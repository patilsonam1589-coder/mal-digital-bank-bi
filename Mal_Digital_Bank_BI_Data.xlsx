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_Instructions" sheetId="1" r:id="rId5"/>
    <sheet state="visible" name="KPI_Dictionary" sheetId="2" r:id="rId6"/>
    <sheet state="visible" name="KPI Dictionary Ref" sheetId="3" r:id="rId7"/>
    <sheet state="visible" name="Metric_Conflict_ActiveCust" sheetId="4" r:id="rId8"/>
    <sheet state="visible" name="LS_Metric_Conflict" sheetId="5" r:id="rId9"/>
    <sheet state="visible" name="Exec_KPI_Summary" sheetId="6" r:id="rId10"/>
    <sheet state="visible" name="Domain_Credit_Summary" sheetId="7" r:id="rId11"/>
    <sheet state="visible" name="Customers" sheetId="8" r:id="rId12"/>
    <sheet state="visible" name="Credit_Applications" sheetId="9" r:id="rId13"/>
    <sheet state="visible" name="Loans" sheetId="10" r:id="rId14"/>
    <sheet state="visible" name="Transactions" sheetId="11" r:id="rId15"/>
    <sheet state="visible" name="Savings" sheetId="12" r:id="rId16"/>
    <sheet state="visible" name="Finance_Revenue" sheetId="13" r:id="rId17"/>
  </sheets>
  <definedNames/>
  <calcPr/>
</workbook>
</file>

<file path=xl/sharedStrings.xml><?xml version="1.0" encoding="utf-8"?>
<sst xmlns="http://schemas.openxmlformats.org/spreadsheetml/2006/main" count="49860" uniqueCount="9988">
  <si>
    <t>Enterprise KPI Dictionary — Mal Digital Bank</t>
  </si>
  <si>
    <t>Mal Digital Bank — Enterprise BI Prototype: Data Pack</t>
  </si>
  <si>
    <t>Single source of truth for every metric on the Executive and Domain dashboards. 'Current Value' is a live link back to the computed source sheet — dictionary and dashboards can never silently drift apart.</t>
  </si>
  <si>
    <t>PURPOSE</t>
  </si>
  <si>
    <t>KPI Name</t>
  </si>
  <si>
    <t>This workbook is 100% synthetic data generated for a BI take-home exercise. It simulates a digital bank ('Mal') launching Credit, Payments and Savings products simultaneously. No real customer, transaction or financial data is used anywhere in this file.</t>
  </si>
  <si>
    <t>Domain Owner</t>
  </si>
  <si>
    <t>Business Definition</t>
  </si>
  <si>
    <t>Formula</t>
  </si>
  <si>
    <t>Data Source</t>
  </si>
  <si>
    <t>Refresh Cadence</t>
  </si>
  <si>
    <t>Metric Conflict Resolution — 'Active Customer'</t>
  </si>
  <si>
    <t>Status</t>
  </si>
  <si>
    <t>SHEET GUIDE</t>
  </si>
  <si>
    <t>Current Value</t>
  </si>
  <si>
    <t>KPI_Dictionary</t>
  </si>
  <si>
    <t>Active Customers (Certified)</t>
  </si>
  <si>
    <t>Same metric, three domain-specific definitions, reconciled into one certified enterprise definition.</t>
  </si>
  <si>
    <t>The single source of truth: 20 metrics with owner, business definition, formula, source, cadence, and Certified/Exploratory status. Every dashboard number should trace back to a row here.</t>
  </si>
  <si>
    <t>Snapshot Date</t>
  </si>
  <si>
    <t>BI / Enterprise Data (cross-domain)</t>
  </si>
  <si>
    <t>Metric_Conflict_ActiveCust</t>
  </si>
  <si>
    <t>The 'Active Customer' conflict resolution view — three domain definitions plus the certified reconciled definition, all computed live.</t>
  </si>
  <si>
    <t>Union of customers who are engaged (logged in), monetised (fee-generating), or hold a live balance, gated by an active account status. Reconciled definition used on the Executive Dashboard and in board/regulatory reporting.</t>
  </si>
  <si>
    <t>Exec_KPI_Summary</t>
  </si>
  <si>
    <t>9 enterprise KPIs across Credit, Finance and Product — import this as the fact table behind the Executive Dashboard.</t>
  </si>
  <si>
    <t>Domain_Credit_Summary</t>
  </si>
  <si>
    <t>Credit &amp; Lending domain metrics: approval funnel, portfolio quality, NPL/PAR30 risk indicators — import as the Credit domain dashboard's fact table.</t>
  </si>
  <si>
    <t>Customers</t>
  </si>
  <si>
    <t>900 synthetic customer records with segment, region, status, and derived engagement/balance fields used by the conflict-resolution formulas.</t>
  </si>
  <si>
    <t>Active status AND (revenue txn in last 30d OR open loan balance&gt;0 OR open savings balance&gt;0)</t>
  </si>
  <si>
    <t>Domain / Version</t>
  </si>
  <si>
    <t>Credit_Applications</t>
  </si>
  <si>
    <t>1,400 synthetic loan/credit-card/BNPL applications carrying them through bureau check → underwriting → approval → disbursement.</t>
  </si>
  <si>
    <t>Customers (derived)</t>
  </si>
  <si>
    <t>Loans</t>
  </si>
  <si>
    <t>660 disbursed loans with outstanding balance, days-past-due and status (Performing / Delinquent / Default / Closed).</t>
  </si>
  <si>
    <t>Transactions</t>
  </si>
  <si>
    <t>Definition (business language)</t>
  </si>
  <si>
    <t>6,000 synthetic payment transactions (bill pay, P2P, card, QR, top-up) with fee revenue where applicable.</t>
  </si>
  <si>
    <t>Savings</t>
  </si>
  <si>
    <t>763 synthetic savings accounts with balance and status.</t>
  </si>
  <si>
    <t>Result (count)</t>
  </si>
  <si>
    <t>Daily</t>
  </si>
  <si>
    <t>Finance_Revenue</t>
  </si>
  <si>
    <t>Monthly revenue by product line and revenue type, Jan 2025–Aug 2026, used for trend and TTM calculations.</t>
  </si>
  <si>
    <t>% of Total Customers</t>
  </si>
  <si>
    <t>CERTIFIED</t>
  </si>
  <si>
    <t>KEY ASSUMPTIONS</t>
  </si>
  <si>
    <t>Product Team version</t>
  </si>
  <si>
    <t>• Snapshot / 'as of' date for all point-in-time KPIs is 2026-08-31 (cell B4 on Exec_KPI_Summary and Metric_Conflict_ActiveCust).</t>
  </si>
  <si>
    <t>• Currency is MYR (Malaysian Ringgit) throughout — this is a fictional Southeast Asian digital bank.</t>
  </si>
  <si>
    <t>• 'Active' status gating in the certified customer definition assumes Finance/Risk/Compliance would not want a closed account counted as active regardless of historical transaction activity.</t>
  </si>
  <si>
    <t>• NPL threshold follows common banking convention: 90+ days past due. PAR30 (30+ DPD) is included as the earlier-warning risk indicator requested by the brief.</t>
  </si>
  <si>
    <t>• Loan disbursement, delinquency and revenue trends include randomised noise so month-over-month movement looks organic rather than synthetic-flat.</t>
  </si>
  <si>
    <t>HOW TO USE IN A BI TOOL</t>
  </si>
  <si>
    <t>Customer logged into the app in the trailing 30 days AND account is not closed.</t>
  </si>
  <si>
    <t>Import this workbook (Get Data &gt; Excel) into Power BI Desktop, Looker Studio (via Google Sheets import first), or Metabase. Build relationships on customer_id / application_id / loan_id. Prefer building visuals directly off Exec_KPI_Summary, Domain_Credit_Summary and Metric_Conflict_ActiveCust — those already contain the certified, reconciled figures — rather than re-deriving KPIs from the raw tables inside the BI tool, to avoid a second, drifting copy of the same logic.</t>
  </si>
  <si>
    <t>Active Customers – Product def.</t>
  </si>
  <si>
    <t>Product</t>
  </si>
  <si>
    <t>Customer logged into the app in the trailing 30 days and the account is not closed.</t>
  </si>
  <si>
    <t>COUNTIFS(last_login_date&gt;=Today-30, account_status=Active)</t>
  </si>
  <si>
    <t>EXPLORATORY</t>
  </si>
  <si>
    <t>Active Customers – Finance def.</t>
  </si>
  <si>
    <t>Finance</t>
  </si>
  <si>
    <t>Customer generated at least one fee-bearing transaction in the trailing 30 days.</t>
  </si>
  <si>
    <t>COUNTIFS(last_revenue_transaction_date&gt;=Today-30)</t>
  </si>
  <si>
    <t>Customers / Transactions</t>
  </si>
  <si>
    <t>Active Customers – Credit/Risk def.</t>
  </si>
  <si>
    <t>Credit &amp; Lending</t>
  </si>
  <si>
    <t>Customer currently holds a live loan or savings balance greater than zero, irrespective of recent login or transaction activity.</t>
  </si>
  <si>
    <t>COUNT(open_loan_balance&gt;0 OR open_savings_balance&gt;0)</t>
  </si>
  <si>
    <t>Customers / Loans / Savings</t>
  </si>
  <si>
    <t>Total Customers</t>
  </si>
  <si>
    <t>Enterprise</t>
  </si>
  <si>
    <t>Count of all customer records ever onboarded, regardless of current status.</t>
  </si>
  <si>
    <t>COUNTA(Customers)</t>
  </si>
  <si>
    <t>New Customer Signups (30d)</t>
  </si>
  <si>
    <t>Customers whose signup date falls within the trailing 30 days.</t>
  </si>
  <si>
    <t>COUNTIFS(signup_date&gt;=Today-30)</t>
  </si>
  <si>
    <t>Total Revenue (TTM)</t>
  </si>
  <si>
    <t>Sum of all recognised revenue — interest income, fees, interchange, FX margin, NIM — over the trailing 12 months.</t>
  </si>
  <si>
    <t>SUMIFS(revenue_myr, month&gt;=Today-12mo)</t>
  </si>
  <si>
    <t>Finance_Revenue (GL extract)</t>
  </si>
  <si>
    <t>Exploratory</t>
  </si>
  <si>
    <t>Monthly</t>
  </si>
  <si>
    <t>Finance Team version</t>
  </si>
  <si>
    <t>Customer generated at least one fee-bearing (revenue) transaction in the trailing 30 days.</t>
  </si>
  <si>
    <t>Revenue by Product Line (TTM)</t>
  </si>
  <si>
    <t>Trailing-12-month revenue split across Credit, Payments and Savings product lines.</t>
  </si>
  <si>
    <t>SUMIFS(revenue_myr, product_line=x, month&gt;=Today-12mo)</t>
  </si>
  <si>
    <t>See Finance_Revenue tab</t>
  </si>
  <si>
    <t>Credit Approval Rate</t>
  </si>
  <si>
    <t>Share of submitted credit applications that are ultimately approved.</t>
  </si>
  <si>
    <t>Approved / Submitted</t>
  </si>
  <si>
    <t>Bureau Pass Rate</t>
  </si>
  <si>
    <t>Share of submitted applications that clear the credit bureau check.</t>
  </si>
  <si>
    <t>Bureau-passed / Submitted</t>
  </si>
  <si>
    <t>Underwriting Pass Rate</t>
  </si>
  <si>
    <t>Share of bureau-passed applications that clear underwriting.</t>
  </si>
  <si>
    <t>Underwriting-passed / Bureau-passed</t>
  </si>
  <si>
    <t>Credit/Risk Team version</t>
  </si>
  <si>
    <t>Customer currently holds a live balance (open loan and/or open savings balance &gt; 0), regardless of recent activity.</t>
  </si>
  <si>
    <t>Disbursement Rate</t>
  </si>
  <si>
    <t>Share of approved applications where funds are actually drawn down.</t>
  </si>
  <si>
    <t>Disbursed / Approved</t>
  </si>
  <si>
    <t>Loan Portfolio Outstanding Balance</t>
  </si>
  <si>
    <t>Total principal balance currently outstanding across all live loans.</t>
  </si>
  <si>
    <t>SUM(outstanding_balance_myr)</t>
  </si>
  <si>
    <t>Non-Performing Loan (NPL) Ratio</t>
  </si>
  <si>
    <t>Credit &amp; Lending / Risk</t>
  </si>
  <si>
    <t>Share of total outstanding balance that is 90+ days past due.</t>
  </si>
  <si>
    <t>Default balance / Total outstanding</t>
  </si>
  <si>
    <t>Portfolio at Risk 30+ (PAR30)</t>
  </si>
  <si>
    <t>Share of total outstanding balance that is 30+ days past due — early warning indicator ahead of NPL.</t>
  </si>
  <si>
    <t>(Delinquent+Default balance) / Total outstanding</t>
  </si>
  <si>
    <t>Average Loan Ticket Size</t>
  </si>
  <si>
    <t>Average original principal amount across disbursed loans.</t>
  </si>
  <si>
    <t>AVERAGE(principal_myr)</t>
  </si>
  <si>
    <t>★ CERTIFIED Enterprise Definition</t>
  </si>
  <si>
    <t>Account status = Active AND (revenue transaction in trailing 30 days OR an open loan balance &gt; 0 OR an open savings balance &gt; 0). Combines engagement (Product), monetisation (Finance) and product holding (Credit) so no domain's view is discarded — it becomes the union, gated by account status.</t>
  </si>
  <si>
    <t>Payment Transaction Volume (30d)</t>
  </si>
  <si>
    <t>Payments / Product</t>
  </si>
  <si>
    <t>Total MYR value of completed transactions in the trailing 30 days.</t>
  </si>
  <si>
    <t>SUMIFS(amount_myr, status=Completed, date&gt;=Today-30)</t>
  </si>
  <si>
    <t>Payments Fee Revenue Yield</t>
  </si>
  <si>
    <t>Finance / Payments</t>
  </si>
  <si>
    <t>Fee revenue earned as a percentage of total completed transaction volume (blended take rate).</t>
  </si>
  <si>
    <t>SUM(fee_revenue_myr)/SUM(amount_myr), status=Completed</t>
  </si>
  <si>
    <t>Domain_Version</t>
  </si>
  <si>
    <t>Savings Attach Rate</t>
  </si>
  <si>
    <t>Product / Savings</t>
  </si>
  <si>
    <t>Share of all customers who hold an open savings product.</t>
  </si>
  <si>
    <t>Definition</t>
  </si>
  <si>
    <t>COUNTIF(has_savings_product=Y)/Total Customers</t>
  </si>
  <si>
    <t>Weekly</t>
  </si>
  <si>
    <t>Result</t>
  </si>
  <si>
    <t>Percent_Total_Customers</t>
  </si>
  <si>
    <t>Total Savings Balance</t>
  </si>
  <si>
    <t>Finance / Savings</t>
  </si>
  <si>
    <t>Sum of balances across all active savings accounts.</t>
  </si>
  <si>
    <t>SUMIF(balance_myr, account_status=Active)</t>
  </si>
  <si>
    <t>Account status = Active AND (revenue transaction in trailing 30 days OR open loan balance &gt; 0 OR open savings balance &gt; 0).</t>
  </si>
  <si>
    <t>Why the numbers disagree:</t>
  </si>
  <si>
    <t>Product counts anyone who opened the app — including customers with a closed loan and zero balance who just browse. Finance only counts customers the bank is currently earning fee revenue from, which excludes engaged savers with no transactions that month. Credit/Risk counts anyone with money on the books, even if dormant on login. None of the three is 'wrong' for its own purpose — the certified definition is the version used on the Executive Dashboard and in all board/regulatory reporting; the other three remain available for domain-specific analysis, labelled Exploratory.</t>
  </si>
  <si>
    <t>Executive Dashboard — Source KPIs (live formulas)</t>
  </si>
  <si>
    <t>Every value below is the CERTIFIED definition per the KPI Dictionary tab. Import this sheet into BI tool as the Exec fact table.</t>
  </si>
  <si>
    <t>Credit &amp; Lending — Domain Dashboard Source Metrics</t>
  </si>
  <si>
    <t>KPI</t>
  </si>
  <si>
    <t>Domain</t>
  </si>
  <si>
    <t>All figures computed live from Credit_Applications and Loans sheets.</t>
  </si>
  <si>
    <t>Value</t>
  </si>
  <si>
    <t>APPROVAL FUNNEL</t>
  </si>
  <si>
    <t>Applications Submitted</t>
  </si>
  <si>
    <t>Passed Bureau Check</t>
  </si>
  <si>
    <t>Passed Underwriting</t>
  </si>
  <si>
    <t>Approved</t>
  </si>
  <si>
    <t>Disbursed</t>
  </si>
  <si>
    <t>Underwriting Pass Rate (of bureau-passed)</t>
  </si>
  <si>
    <t>Overall Approval Rate (approved / submitted)</t>
  </si>
  <si>
    <t>customer_id</t>
  </si>
  <si>
    <t>signup_date</t>
  </si>
  <si>
    <t>Disbursement Rate (disbursed / approved)</t>
  </si>
  <si>
    <t>segment</t>
  </si>
  <si>
    <t>region</t>
  </si>
  <si>
    <t>account_status</t>
  </si>
  <si>
    <t>Total Revenue - TTM (MYR)</t>
  </si>
  <si>
    <t>has_savings_product</t>
  </si>
  <si>
    <t>has_payments_product</t>
  </si>
  <si>
    <t>has_credit_product</t>
  </si>
  <si>
    <t>last_login_date</t>
  </si>
  <si>
    <t>last_transaction_date</t>
  </si>
  <si>
    <t>PORTFOLIO QUALITY</t>
  </si>
  <si>
    <t>last_revenue_transaction_date</t>
  </si>
  <si>
    <t>Total Loans on Book</t>
  </si>
  <si>
    <t>open_loan_balance_myr</t>
  </si>
  <si>
    <t>open_savings_balance_myr</t>
  </si>
  <si>
    <t>CUST100000</t>
  </si>
  <si>
    <t>Retail Mass</t>
  </si>
  <si>
    <t>Melaka</t>
  </si>
  <si>
    <t>Active</t>
  </si>
  <si>
    <t>Y</t>
  </si>
  <si>
    <t>Performing</t>
  </si>
  <si>
    <t>CUST100001</t>
  </si>
  <si>
    <t>Young Professional</t>
  </si>
  <si>
    <t>Perak</t>
  </si>
  <si>
    <t>CUST100002</t>
  </si>
  <si>
    <t>SME</t>
  </si>
  <si>
    <t>Selangor</t>
  </si>
  <si>
    <t>N</t>
  </si>
  <si>
    <t>Delinquent (1-89 DPD)</t>
  </si>
  <si>
    <t>CUST100003</t>
  </si>
  <si>
    <t>CUST100004</t>
  </si>
  <si>
    <t>Default (90+ DPD)</t>
  </si>
  <si>
    <t>Kuala Lumpur</t>
  </si>
  <si>
    <t>CUST100005</t>
  </si>
  <si>
    <t>Penang</t>
  </si>
  <si>
    <t>Credit</t>
  </si>
  <si>
    <t>Closed - Repaid</t>
  </si>
  <si>
    <t>CUST100006</t>
  </si>
  <si>
    <t>Sarawak</t>
  </si>
  <si>
    <t>CUST100007</t>
  </si>
  <si>
    <t>Mass Affluent</t>
  </si>
  <si>
    <t>Total Outstanding Balance (MYR)</t>
  </si>
  <si>
    <t>CUST100008</t>
  </si>
  <si>
    <t>application_id</t>
  </si>
  <si>
    <t>CUST100009</t>
  </si>
  <si>
    <t>Average Loan Ticket Size (MYR)</t>
  </si>
  <si>
    <t>CUST100010</t>
  </si>
  <si>
    <t>product</t>
  </si>
  <si>
    <t>Loan Portfolio Outstanding (MYR)</t>
  </si>
  <si>
    <t>application_date</t>
  </si>
  <si>
    <t>requested_amount_myr</t>
  </si>
  <si>
    <t>CUST100011</t>
  </si>
  <si>
    <t>risk_grade</t>
  </si>
  <si>
    <t>passed_bureau_check</t>
  </si>
  <si>
    <t>RISK INDICATORS</t>
  </si>
  <si>
    <t>passed_underwriting</t>
  </si>
  <si>
    <t>Non-Performing Loan (NPL) Ratio  [Default balance / Total outstanding]</t>
  </si>
  <si>
    <t>approved</t>
  </si>
  <si>
    <t>CUST100012</t>
  </si>
  <si>
    <t>disbursed</t>
  </si>
  <si>
    <t>Dormant</t>
  </si>
  <si>
    <t>final_status</t>
  </si>
  <si>
    <t>APP700000</t>
  </si>
  <si>
    <t>CUST100013</t>
  </si>
  <si>
    <t>CUST100446</t>
  </si>
  <si>
    <t>Personal Loan</t>
  </si>
  <si>
    <t>Sabah</t>
  </si>
  <si>
    <t>NPL Ratio</t>
  </si>
  <si>
    <t>B</t>
  </si>
  <si>
    <t>CUST100014</t>
  </si>
  <si>
    <t>Portfolio at Risk 30+ (PAR30)  [(Delinquent+Default balance) / Total outstanding]</t>
  </si>
  <si>
    <t>APP700001</t>
  </si>
  <si>
    <t>CUST100256</t>
  </si>
  <si>
    <t>BNPL Line</t>
  </si>
  <si>
    <t>CUST100015</t>
  </si>
  <si>
    <t>Johor</t>
  </si>
  <si>
    <t>APP700002</t>
  </si>
  <si>
    <t>CUST100158</t>
  </si>
  <si>
    <t>CUST100016</t>
  </si>
  <si>
    <t>C</t>
  </si>
  <si>
    <t>Payment Txn Volume - 30d (MYR)</t>
  </si>
  <si>
    <t>Payments</t>
  </si>
  <si>
    <t>APP700003</t>
  </si>
  <si>
    <t>CUST100236</t>
  </si>
  <si>
    <t>CUST100017</t>
  </si>
  <si>
    <t>Credit Card</t>
  </si>
  <si>
    <t>A</t>
  </si>
  <si>
    <t>APP700004</t>
  </si>
  <si>
    <t>CUST100296</t>
  </si>
  <si>
    <t>CUST100018</t>
  </si>
  <si>
    <t>Declined - Bureau</t>
  </si>
  <si>
    <t>APP700005</t>
  </si>
  <si>
    <t>CUST100850</t>
  </si>
  <si>
    <t>CUST100019</t>
  </si>
  <si>
    <t>APP700006</t>
  </si>
  <si>
    <t>CUST100290</t>
  </si>
  <si>
    <t>CUST100020</t>
  </si>
  <si>
    <t>APP700007</t>
  </si>
  <si>
    <t>CUST100817</t>
  </si>
  <si>
    <t>CUST100021</t>
  </si>
  <si>
    <t>Declined - Underwriting</t>
  </si>
  <si>
    <t>APP700008</t>
  </si>
  <si>
    <t>CUST100484</t>
  </si>
  <si>
    <t>CUST100022</t>
  </si>
  <si>
    <t>APP700009</t>
  </si>
  <si>
    <t>CUST100406</t>
  </si>
  <si>
    <t>CUST100023</t>
  </si>
  <si>
    <t>D</t>
  </si>
  <si>
    <t>APP700010</t>
  </si>
  <si>
    <t>CUST100240</t>
  </si>
  <si>
    <t>Total Savings Balance (MYR)</t>
  </si>
  <si>
    <t>CUST100024</t>
  </si>
  <si>
    <t>APP700011</t>
  </si>
  <si>
    <t>CUST100688</t>
  </si>
  <si>
    <t>CUST100025</t>
  </si>
  <si>
    <t>APP700012</t>
  </si>
  <si>
    <t>CUST100758</t>
  </si>
  <si>
    <t>CUST100026</t>
  </si>
  <si>
    <t>APP700013</t>
  </si>
  <si>
    <t>CUST100883</t>
  </si>
  <si>
    <t>CUST100027</t>
  </si>
  <si>
    <t>APP700014</t>
  </si>
  <si>
    <t>CUST100738</t>
  </si>
  <si>
    <t>CUST100028</t>
  </si>
  <si>
    <t>APP700015</t>
  </si>
  <si>
    <t>CUST100079</t>
  </si>
  <si>
    <t>CUST100029</t>
  </si>
  <si>
    <t>APP700016</t>
  </si>
  <si>
    <t>CUST100791</t>
  </si>
  <si>
    <t>CUST100030</t>
  </si>
  <si>
    <t>APP700017</t>
  </si>
  <si>
    <t>CUST100545</t>
  </si>
  <si>
    <t>CUST100031</t>
  </si>
  <si>
    <t>APP700018</t>
  </si>
  <si>
    <t>CUST100461</t>
  </si>
  <si>
    <t>CUST100032</t>
  </si>
  <si>
    <t>APP700019</t>
  </si>
  <si>
    <t>CUST100228</t>
  </si>
  <si>
    <t>CUST100033</t>
  </si>
  <si>
    <t>APP700020</t>
  </si>
  <si>
    <t>CUST100455</t>
  </si>
  <si>
    <t>CUST100034</t>
  </si>
  <si>
    <t>APP700021</t>
  </si>
  <si>
    <t>CUST100720</t>
  </si>
  <si>
    <t>CUST100035</t>
  </si>
  <si>
    <t>APP700022</t>
  </si>
  <si>
    <t>CUST100530</t>
  </si>
  <si>
    <t>CUST100036</t>
  </si>
  <si>
    <t>APP700023</t>
  </si>
  <si>
    <t>CUST100091</t>
  </si>
  <si>
    <t>CUST100037</t>
  </si>
  <si>
    <t>APP700024</t>
  </si>
  <si>
    <t>CUST100680</t>
  </si>
  <si>
    <t>CUST100038</t>
  </si>
  <si>
    <t>APP700025</t>
  </si>
  <si>
    <t>CUST100709</t>
  </si>
  <si>
    <t>CUST100039</t>
  </si>
  <si>
    <t>APP700026</t>
  </si>
  <si>
    <t>CUST100605</t>
  </si>
  <si>
    <t>APP700027</t>
  </si>
  <si>
    <t>CUST100040</t>
  </si>
  <si>
    <t>CUST100180</t>
  </si>
  <si>
    <t>CUST100041</t>
  </si>
  <si>
    <t>APP700028</t>
  </si>
  <si>
    <t>CUST100265</t>
  </si>
  <si>
    <t>CUST100042</t>
  </si>
  <si>
    <t>APP700029</t>
  </si>
  <si>
    <t>CUST100410</t>
  </si>
  <si>
    <t>Closed</t>
  </si>
  <si>
    <t>APP700030</t>
  </si>
  <si>
    <t>loan_id</t>
  </si>
  <si>
    <t>CUST100043</t>
  </si>
  <si>
    <t>CUST100782</t>
  </si>
  <si>
    <t>APP700031</t>
  </si>
  <si>
    <t>CUST100732</t>
  </si>
  <si>
    <t>CUST100044</t>
  </si>
  <si>
    <t>origination_date</t>
  </si>
  <si>
    <t>principal_myr</t>
  </si>
  <si>
    <t>interest_rate</t>
  </si>
  <si>
    <t>APP700032</t>
  </si>
  <si>
    <t>CUST100085</t>
  </si>
  <si>
    <t>outstanding_balance_myr</t>
  </si>
  <si>
    <t>CUST100045</t>
  </si>
  <si>
    <t>days_past_due</t>
  </si>
  <si>
    <t>loan_status</t>
  </si>
  <si>
    <t>APP700033</t>
  </si>
  <si>
    <t>LOAN900000</t>
  </si>
  <si>
    <t>CUST100060</t>
  </si>
  <si>
    <t>CUST100046</t>
  </si>
  <si>
    <t>APP700034</t>
  </si>
  <si>
    <t>CUST100047</t>
  </si>
  <si>
    <t>APP700035</t>
  </si>
  <si>
    <t>CUST100835</t>
  </si>
  <si>
    <t>LOAN900001</t>
  </si>
  <si>
    <t>CUST100048</t>
  </si>
  <si>
    <t>APP700036</t>
  </si>
  <si>
    <t>CUST100777</t>
  </si>
  <si>
    <t>LOAN900002</t>
  </si>
  <si>
    <t>CUST100049</t>
  </si>
  <si>
    <t>APP700037</t>
  </si>
  <si>
    <t>CUST100195</t>
  </si>
  <si>
    <t>LOAN900003</t>
  </si>
  <si>
    <t>CUST100050</t>
  </si>
  <si>
    <t>Approved - Pending Disbursement</t>
  </si>
  <si>
    <t>APP700038</t>
  </si>
  <si>
    <t>CUST100824</t>
  </si>
  <si>
    <t>LOAN900004</t>
  </si>
  <si>
    <t>CUST100051</t>
  </si>
  <si>
    <t>APP700039</t>
  </si>
  <si>
    <t>CUST100450</t>
  </si>
  <si>
    <t>LOAN900005</t>
  </si>
  <si>
    <t>APP700040</t>
  </si>
  <si>
    <t>CUST100052</t>
  </si>
  <si>
    <t>CUST100281</t>
  </si>
  <si>
    <t>LOAN900006</t>
  </si>
  <si>
    <t>APP700041</t>
  </si>
  <si>
    <t>CUST100661</t>
  </si>
  <si>
    <t>LOAN900007</t>
  </si>
  <si>
    <t>APP700042</t>
  </si>
  <si>
    <t>CUST100062</t>
  </si>
  <si>
    <t>CUST100053</t>
  </si>
  <si>
    <t>LOAN900008</t>
  </si>
  <si>
    <t>APP700043</t>
  </si>
  <si>
    <t>Delinquent</t>
  </si>
  <si>
    <t>CUST100111</t>
  </si>
  <si>
    <t>LOAN900009</t>
  </si>
  <si>
    <t>APP700044</t>
  </si>
  <si>
    <t>CUST100230</t>
  </si>
  <si>
    <t>LOAN900010</t>
  </si>
  <si>
    <t>CUST100054</t>
  </si>
  <si>
    <t>APP700045</t>
  </si>
  <si>
    <t>CUST100547</t>
  </si>
  <si>
    <t>CUST100055</t>
  </si>
  <si>
    <t>LOAN900011</t>
  </si>
  <si>
    <t>APP700046</t>
  </si>
  <si>
    <t>CUST100754</t>
  </si>
  <si>
    <t>CUST100056</t>
  </si>
  <si>
    <t>LOAN900012</t>
  </si>
  <si>
    <t>APP700047</t>
  </si>
  <si>
    <t>CUST100464</t>
  </si>
  <si>
    <t>CUST100057</t>
  </si>
  <si>
    <t>APP700048</t>
  </si>
  <si>
    <t>CUST100395</t>
  </si>
  <si>
    <t>LOAN900013</t>
  </si>
  <si>
    <t>APP700049</t>
  </si>
  <si>
    <t>CUST100527</t>
  </si>
  <si>
    <t>CUST100058</t>
  </si>
  <si>
    <t>LOAN900014</t>
  </si>
  <si>
    <t>APP700050</t>
  </si>
  <si>
    <t>CUST100059</t>
  </si>
  <si>
    <t>LOAN900015</t>
  </si>
  <si>
    <t>transaction_id</t>
  </si>
  <si>
    <t>APP700051</t>
  </si>
  <si>
    <t>CUST100596</t>
  </si>
  <si>
    <t>transaction_date</t>
  </si>
  <si>
    <t>LOAN900016</t>
  </si>
  <si>
    <t>transaction_type</t>
  </si>
  <si>
    <t>amount_myr</t>
  </si>
  <si>
    <t>fee_revenue_myr</t>
  </si>
  <si>
    <t>APP700052</t>
  </si>
  <si>
    <t>status</t>
  </si>
  <si>
    <t>CUST100724</t>
  </si>
  <si>
    <t>TXN500000</t>
  </si>
  <si>
    <t>LOAN900017</t>
  </si>
  <si>
    <t>CUST100597</t>
  </si>
  <si>
    <t>CUST100061</t>
  </si>
  <si>
    <t>Top-up</t>
  </si>
  <si>
    <t>APP700053</t>
  </si>
  <si>
    <t>CUST100378</t>
  </si>
  <si>
    <t>Reversed</t>
  </si>
  <si>
    <t>LOAN900018</t>
  </si>
  <si>
    <t>TXN500001</t>
  </si>
  <si>
    <t>CUST100891</t>
  </si>
  <si>
    <t>Bill Payment</t>
  </si>
  <si>
    <t>APP700054</t>
  </si>
  <si>
    <t>TXN500002</t>
  </si>
  <si>
    <t>CUST100583</t>
  </si>
  <si>
    <t>LOAN900019</t>
  </si>
  <si>
    <t>P2P Transfer</t>
  </si>
  <si>
    <t>CUST100063</t>
  </si>
  <si>
    <t>Failed</t>
  </si>
  <si>
    <t>TXN500003</t>
  </si>
  <si>
    <t>CUST100751</t>
  </si>
  <si>
    <t>APP700055</t>
  </si>
  <si>
    <t>LOAN900020</t>
  </si>
  <si>
    <t>CUST100268</t>
  </si>
  <si>
    <t>CUST100064</t>
  </si>
  <si>
    <t>TXN500004</t>
  </si>
  <si>
    <t>Completed</t>
  </si>
  <si>
    <t>APP700056</t>
  </si>
  <si>
    <t>LOAN900021</t>
  </si>
  <si>
    <t>CUST100842</t>
  </si>
  <si>
    <t>TXN500005</t>
  </si>
  <si>
    <t>CUST100065</t>
  </si>
  <si>
    <t>TXN500006</t>
  </si>
  <si>
    <t>LOAN900022</t>
  </si>
  <si>
    <t>CUST100852</t>
  </si>
  <si>
    <t>APP700057</t>
  </si>
  <si>
    <t>CUST100165</t>
  </si>
  <si>
    <t>QR Payment</t>
  </si>
  <si>
    <t>CUST100066</t>
  </si>
  <si>
    <t>TXN500007</t>
  </si>
  <si>
    <t>CUST100216</t>
  </si>
  <si>
    <t>LOAN900023</t>
  </si>
  <si>
    <t>APP700058</t>
  </si>
  <si>
    <t>CUST100123</t>
  </si>
  <si>
    <t>TXN500008</t>
  </si>
  <si>
    <t>CUST100376</t>
  </si>
  <si>
    <t>CUST100067</t>
  </si>
  <si>
    <t>LOAN900024</t>
  </si>
  <si>
    <t>TXN500009</t>
  </si>
  <si>
    <t>APP700059</t>
  </si>
  <si>
    <t>CUST100845</t>
  </si>
  <si>
    <t>CUST100068</t>
  </si>
  <si>
    <t>TXN500010</t>
  </si>
  <si>
    <t>LOAN900025</t>
  </si>
  <si>
    <t>CUST100551</t>
  </si>
  <si>
    <t>Card Purchase</t>
  </si>
  <si>
    <t>APP700060</t>
  </si>
  <si>
    <t>CUST100456</t>
  </si>
  <si>
    <t>TXN500011</t>
  </si>
  <si>
    <t>CUST100714</t>
  </si>
  <si>
    <t>CUST100069</t>
  </si>
  <si>
    <t>LOAN900026</t>
  </si>
  <si>
    <t>TXN500012</t>
  </si>
  <si>
    <t>CUST100735</t>
  </si>
  <si>
    <t>APP700061</t>
  </si>
  <si>
    <t>CUST100361</t>
  </si>
  <si>
    <t>LOAN900027</t>
  </si>
  <si>
    <t>TXN500013</t>
  </si>
  <si>
    <t>CUST100070</t>
  </si>
  <si>
    <t>CUST100514</t>
  </si>
  <si>
    <t>APP700062</t>
  </si>
  <si>
    <t>TXN500014</t>
  </si>
  <si>
    <t>CUST100734</t>
  </si>
  <si>
    <t>CUST100582</t>
  </si>
  <si>
    <t>LOAN900028</t>
  </si>
  <si>
    <t>CUST100071</t>
  </si>
  <si>
    <t>TXN500015</t>
  </si>
  <si>
    <t>CUST100454</t>
  </si>
  <si>
    <t>APP700063</t>
  </si>
  <si>
    <t>LOAN900029</t>
  </si>
  <si>
    <t>CUST100254</t>
  </si>
  <si>
    <t>TXN500016</t>
  </si>
  <si>
    <t>CUST100072</t>
  </si>
  <si>
    <t>LOAN900030</t>
  </si>
  <si>
    <t>TXN500017</t>
  </si>
  <si>
    <t>APP700064</t>
  </si>
  <si>
    <t>CUST100490</t>
  </si>
  <si>
    <t>CUST100266</t>
  </si>
  <si>
    <t>TXN500018</t>
  </si>
  <si>
    <t>CUST100073</t>
  </si>
  <si>
    <t>CUST100829</t>
  </si>
  <si>
    <t>APP700065</t>
  </si>
  <si>
    <t>LOAN900031</t>
  </si>
  <si>
    <t>TXN500019</t>
  </si>
  <si>
    <t>CUST100218</t>
  </si>
  <si>
    <t>CUST100074</t>
  </si>
  <si>
    <t>APP700066</t>
  </si>
  <si>
    <t>CUST100466</t>
  </si>
  <si>
    <t>LOAN900032</t>
  </si>
  <si>
    <t>TXN500020</t>
  </si>
  <si>
    <t>CUST100415</t>
  </si>
  <si>
    <t>TXN500021</t>
  </si>
  <si>
    <t>CUST100531</t>
  </si>
  <si>
    <t>CUST100075</t>
  </si>
  <si>
    <t>APP700067</t>
  </si>
  <si>
    <t>LOAN900033</t>
  </si>
  <si>
    <t>CUST100676</t>
  </si>
  <si>
    <t>TXN500022</t>
  </si>
  <si>
    <t>APP700068</t>
  </si>
  <si>
    <t>CUST100505</t>
  </si>
  <si>
    <t>CUST100887</t>
  </si>
  <si>
    <t>LOAN900034</t>
  </si>
  <si>
    <t>CUST100076</t>
  </si>
  <si>
    <t>TXN500023</t>
  </si>
  <si>
    <t>APP700069</t>
  </si>
  <si>
    <t>CUST100474</t>
  </si>
  <si>
    <t>CUST100077</t>
  </si>
  <si>
    <t>LOAN900035</t>
  </si>
  <si>
    <t>TXN500024</t>
  </si>
  <si>
    <t>CUST100245</t>
  </si>
  <si>
    <t>APP700070</t>
  </si>
  <si>
    <t>LOAN900036</t>
  </si>
  <si>
    <t>CUST100078</t>
  </si>
  <si>
    <t>TXN500025</t>
  </si>
  <si>
    <t>CUST100566</t>
  </si>
  <si>
    <t>APP700071</t>
  </si>
  <si>
    <t>LOAN900037</t>
  </si>
  <si>
    <t>CUST100171</t>
  </si>
  <si>
    <t>TXN500026</t>
  </si>
  <si>
    <t>CUST100608</t>
  </si>
  <si>
    <t>LOAN900038</t>
  </si>
  <si>
    <t>APP700072</t>
  </si>
  <si>
    <t>CUST100253</t>
  </si>
  <si>
    <t>TXN500027</t>
  </si>
  <si>
    <t>CUST100644</t>
  </si>
  <si>
    <t>LOAN900039</t>
  </si>
  <si>
    <t>APP700073</t>
  </si>
  <si>
    <t>CUST100804</t>
  </si>
  <si>
    <t>TXN500028</t>
  </si>
  <si>
    <t>CUST100080</t>
  </si>
  <si>
    <t>TXN500029</t>
  </si>
  <si>
    <t>CUST100589</t>
  </si>
  <si>
    <t>CUST100081</t>
  </si>
  <si>
    <t>LOAN900040</t>
  </si>
  <si>
    <t>TXN500030</t>
  </si>
  <si>
    <t>CUST100513</t>
  </si>
  <si>
    <t>TXN500031</t>
  </si>
  <si>
    <t>CUST100286</t>
  </si>
  <si>
    <t>CUST100082</t>
  </si>
  <si>
    <t>LOAN900041</t>
  </si>
  <si>
    <t>TXN500032</t>
  </si>
  <si>
    <t>CUST100322</t>
  </si>
  <si>
    <t>CUST100083</t>
  </si>
  <si>
    <t>LOAN900042</t>
  </si>
  <si>
    <t>TXN500033</t>
  </si>
  <si>
    <t>CUST100721</t>
  </si>
  <si>
    <t>TXN500034</t>
  </si>
  <si>
    <t>CUST100414</t>
  </si>
  <si>
    <t>LOAN900043</t>
  </si>
  <si>
    <t>CUST100084</t>
  </si>
  <si>
    <t>APP700074</t>
  </si>
  <si>
    <t>CUST100522</t>
  </si>
  <si>
    <t>TXN500035</t>
  </si>
  <si>
    <t>CUST100629</t>
  </si>
  <si>
    <t>LOAN900044</t>
  </si>
  <si>
    <t>TXN500036</t>
  </si>
  <si>
    <t>CUST100113</t>
  </si>
  <si>
    <t>APP700075</t>
  </si>
  <si>
    <t>CUST100840</t>
  </si>
  <si>
    <t>TXN500037</t>
  </si>
  <si>
    <t>CUST100115</t>
  </si>
  <si>
    <t>LOAN900045</t>
  </si>
  <si>
    <t>CUST100759</t>
  </si>
  <si>
    <t>CUST100086</t>
  </si>
  <si>
    <t>APP700076</t>
  </si>
  <si>
    <t>TXN500038</t>
  </si>
  <si>
    <t>CUST100184</t>
  </si>
  <si>
    <t>LOAN900046</t>
  </si>
  <si>
    <t>CUST100504</t>
  </si>
  <si>
    <t>APP700079</t>
  </si>
  <si>
    <t>TXN500039</t>
  </si>
  <si>
    <t>CUST100087</t>
  </si>
  <si>
    <t>CUST100172</t>
  </si>
  <si>
    <t>TXN500040</t>
  </si>
  <si>
    <t>CUST100535</t>
  </si>
  <si>
    <t>LOAN900047</t>
  </si>
  <si>
    <t>CUST100088</t>
  </si>
  <si>
    <t>APP700080</t>
  </si>
  <si>
    <t>APP700077</t>
  </si>
  <si>
    <t>TXN500041</t>
  </si>
  <si>
    <t>CUST100792</t>
  </si>
  <si>
    <t>CUST100561</t>
  </si>
  <si>
    <t>LOAN900048</t>
  </si>
  <si>
    <t>TXN500042</t>
  </si>
  <si>
    <t>CUST100089</t>
  </si>
  <si>
    <t>CUST100335</t>
  </si>
  <si>
    <t>CUST100493</t>
  </si>
  <si>
    <t>APP700081</t>
  </si>
  <si>
    <t>APP700078</t>
  </si>
  <si>
    <t>CUST100251</t>
  </si>
  <si>
    <t>TXN500043</t>
  </si>
  <si>
    <t>CUST100090</t>
  </si>
  <si>
    <t>LOAN900049</t>
  </si>
  <si>
    <t>CUST100246</t>
  </si>
  <si>
    <t>APP700082</t>
  </si>
  <si>
    <t>TXN500044</t>
  </si>
  <si>
    <t>CUST100509</t>
  </si>
  <si>
    <t>LOAN900050</t>
  </si>
  <si>
    <t>TXN500045</t>
  </si>
  <si>
    <t>CUST100145</t>
  </si>
  <si>
    <t>CUST100109</t>
  </si>
  <si>
    <t>APP700083</t>
  </si>
  <si>
    <t>TXN500046</t>
  </si>
  <si>
    <t>CUST100417</t>
  </si>
  <si>
    <t>CUST100092</t>
  </si>
  <si>
    <t>LOAN900051</t>
  </si>
  <si>
    <t>APP700084</t>
  </si>
  <si>
    <t>TXN500047</t>
  </si>
  <si>
    <t>CUST100139</t>
  </si>
  <si>
    <t>TXN500048</t>
  </si>
  <si>
    <t>CUST100093</t>
  </si>
  <si>
    <t>LOAN900052</t>
  </si>
  <si>
    <t>CUST100249</t>
  </si>
  <si>
    <t>APP700088</t>
  </si>
  <si>
    <t>TXN500049</t>
  </si>
  <si>
    <t>CUST100147</t>
  </si>
  <si>
    <t>LOAN900053</t>
  </si>
  <si>
    <t>CUST100152</t>
  </si>
  <si>
    <t>CUST100094</t>
  </si>
  <si>
    <t>APP700092</t>
  </si>
  <si>
    <t>TXN500050</t>
  </si>
  <si>
    <t>CUST100103</t>
  </si>
  <si>
    <t>LOAN900054</t>
  </si>
  <si>
    <t>TXN500051</t>
  </si>
  <si>
    <t>CUST100095</t>
  </si>
  <si>
    <t>CUST100420</t>
  </si>
  <si>
    <t>APP700094</t>
  </si>
  <si>
    <t>TXN500052</t>
  </si>
  <si>
    <t>CUST100483</t>
  </si>
  <si>
    <t>LOAN900055</t>
  </si>
  <si>
    <t>CUST100096</t>
  </si>
  <si>
    <t>CUST100658</t>
  </si>
  <si>
    <t>APP700095</t>
  </si>
  <si>
    <t>TXN500053</t>
  </si>
  <si>
    <t>CUST100097</t>
  </si>
  <si>
    <t>LOAN900056</t>
  </si>
  <si>
    <t>TXN500054</t>
  </si>
  <si>
    <t>CUST100104</t>
  </si>
  <si>
    <t>CUST100386</t>
  </si>
  <si>
    <t>APP700096</t>
  </si>
  <si>
    <t>TXN500055</t>
  </si>
  <si>
    <t>CUST100159</t>
  </si>
  <si>
    <t>CUST100098</t>
  </si>
  <si>
    <t>LOAN900057</t>
  </si>
  <si>
    <t>APP700097</t>
  </si>
  <si>
    <t>TXN500056</t>
  </si>
  <si>
    <t>CUST100099</t>
  </si>
  <si>
    <t>LOAN900058</t>
  </si>
  <si>
    <t>APP700085</t>
  </si>
  <si>
    <t>TXN500057</t>
  </si>
  <si>
    <t>CUST100339</t>
  </si>
  <si>
    <t>CUST100787</t>
  </si>
  <si>
    <t>CUST100626</t>
  </si>
  <si>
    <t>APP700098</t>
  </si>
  <si>
    <t>TXN500058</t>
  </si>
  <si>
    <t>CUST100875</t>
  </si>
  <si>
    <t>CUST100100</t>
  </si>
  <si>
    <t>LOAN900059</t>
  </si>
  <si>
    <t>CUST100780</t>
  </si>
  <si>
    <t>APP700086</t>
  </si>
  <si>
    <t>TXN500059</t>
  </si>
  <si>
    <t>APP700099</t>
  </si>
  <si>
    <t>CUST100239</t>
  </si>
  <si>
    <t>CUST100101</t>
  </si>
  <si>
    <t>TXN500060</t>
  </si>
  <si>
    <t>LOAN900060</t>
  </si>
  <si>
    <t>CUST100178</t>
  </si>
  <si>
    <t>CUST100326</t>
  </si>
  <si>
    <t>APP700100</t>
  </si>
  <si>
    <t>TXN500061</t>
  </si>
  <si>
    <t>APP700087</t>
  </si>
  <si>
    <t>CUST100102</t>
  </si>
  <si>
    <t>CUST100550</t>
  </si>
  <si>
    <t>LOAN900061</t>
  </si>
  <si>
    <t>TXN500062</t>
  </si>
  <si>
    <t>APP700102</t>
  </si>
  <si>
    <t>TXN500063</t>
  </si>
  <si>
    <t>CUST100192</t>
  </si>
  <si>
    <t>LOAN900062</t>
  </si>
  <si>
    <t>CUST100523</t>
  </si>
  <si>
    <t>APP700103</t>
  </si>
  <si>
    <t>TXN500064</t>
  </si>
  <si>
    <t>CUST100433</t>
  </si>
  <si>
    <t>LOAN900063</t>
  </si>
  <si>
    <t>APP700089</t>
  </si>
  <si>
    <t>CUST100187</t>
  </si>
  <si>
    <t>TXN500065</t>
  </si>
  <si>
    <t>CUST100684</t>
  </si>
  <si>
    <t>APP700104</t>
  </si>
  <si>
    <t>CUST100203</t>
  </si>
  <si>
    <t>TXN500066</t>
  </si>
  <si>
    <t>LOAN900064</t>
  </si>
  <si>
    <t>CUST100105</t>
  </si>
  <si>
    <t>TXN500067</t>
  </si>
  <si>
    <t>CUST100851</t>
  </si>
  <si>
    <t>APP700090</t>
  </si>
  <si>
    <t>TXN500068</t>
  </si>
  <si>
    <t>CUST100308</t>
  </si>
  <si>
    <t>CUST100151</t>
  </si>
  <si>
    <t>CUST100106</t>
  </si>
  <si>
    <t>APP700107</t>
  </si>
  <si>
    <t>TXN500069</t>
  </si>
  <si>
    <t>APP700091</t>
  </si>
  <si>
    <t>CUST100430</t>
  </si>
  <si>
    <t>TXN500070</t>
  </si>
  <si>
    <t>LOAN900065</t>
  </si>
  <si>
    <t>CUST100329</t>
  </si>
  <si>
    <t>CUST100796</t>
  </si>
  <si>
    <t>CUST100107</t>
  </si>
  <si>
    <t>APP700109</t>
  </si>
  <si>
    <t>TXN500071</t>
  </si>
  <si>
    <t>LOAN900066</t>
  </si>
  <si>
    <t>CUST100260</t>
  </si>
  <si>
    <t>TXN500072</t>
  </si>
  <si>
    <t>APP700110</t>
  </si>
  <si>
    <t>CUST100338</t>
  </si>
  <si>
    <t>CUST100108</t>
  </si>
  <si>
    <t>TXN500073</t>
  </si>
  <si>
    <t>LOAN900067</t>
  </si>
  <si>
    <t>CUST100225</t>
  </si>
  <si>
    <t>CUST100137</t>
  </si>
  <si>
    <t>APP700093</t>
  </si>
  <si>
    <t>APP700114</t>
  </si>
  <si>
    <t>CUST100515</t>
  </si>
  <si>
    <t>TXN500074</t>
  </si>
  <si>
    <t>CUST100421</t>
  </si>
  <si>
    <t>LOAN900068</t>
  </si>
  <si>
    <t>TXN500075</t>
  </si>
  <si>
    <t>CUST100757</t>
  </si>
  <si>
    <t>CUST100142</t>
  </si>
  <si>
    <t>APP700116</t>
  </si>
  <si>
    <t>CUST100110</t>
  </si>
  <si>
    <t>TXN500076</t>
  </si>
  <si>
    <t>CUST100650</t>
  </si>
  <si>
    <t>LOAN900069</t>
  </si>
  <si>
    <t>CUST100114</t>
  </si>
  <si>
    <t>APP700117</t>
  </si>
  <si>
    <t>LOAN900070</t>
  </si>
  <si>
    <t>TXN500077</t>
  </si>
  <si>
    <t>APP700118</t>
  </si>
  <si>
    <t>TXN500078</t>
  </si>
  <si>
    <t>TXN500079</t>
  </si>
  <si>
    <t>LOAN900071</t>
  </si>
  <si>
    <t>CUST100713</t>
  </si>
  <si>
    <t>APP700121</t>
  </si>
  <si>
    <t>TXN500080</t>
  </si>
  <si>
    <t>TXN500081</t>
  </si>
  <si>
    <t>CUST100856</t>
  </si>
  <si>
    <t>LOAN900072</t>
  </si>
  <si>
    <t>CUST100314</t>
  </si>
  <si>
    <t>APP700122</t>
  </si>
  <si>
    <t>TXN500082</t>
  </si>
  <si>
    <t>CUST100739</t>
  </si>
  <si>
    <t>TXN500083</t>
  </si>
  <si>
    <t>CUST100520</t>
  </si>
  <si>
    <t>LOAN900073</t>
  </si>
  <si>
    <t>CUST100122</t>
  </si>
  <si>
    <t>APP700123</t>
  </si>
  <si>
    <t>TXN500084</t>
  </si>
  <si>
    <t>CUST100276</t>
  </si>
  <si>
    <t>Default</t>
  </si>
  <si>
    <t>TXN500085</t>
  </si>
  <si>
    <t>LOAN900074</t>
  </si>
  <si>
    <t>CUST100525</t>
  </si>
  <si>
    <t>APP700128</t>
  </si>
  <si>
    <t>TXN500086</t>
  </si>
  <si>
    <t>LOAN900075</t>
  </si>
  <si>
    <t>CUST100397</t>
  </si>
  <si>
    <t>TXN500087</t>
  </si>
  <si>
    <t>APP700129</t>
  </si>
  <si>
    <t>CUST100112</t>
  </si>
  <si>
    <t>TXN500088</t>
  </si>
  <si>
    <t>CUST100468</t>
  </si>
  <si>
    <t>LOAN900076</t>
  </si>
  <si>
    <t>CUST100208</t>
  </si>
  <si>
    <t>APP700131</t>
  </si>
  <si>
    <t>TXN500089</t>
  </si>
  <si>
    <t>LOAN900077</t>
  </si>
  <si>
    <t>CUST100244</t>
  </si>
  <si>
    <t>TXN500090</t>
  </si>
  <si>
    <t>APP700135</t>
  </si>
  <si>
    <t>CUST100614</t>
  </si>
  <si>
    <t>TXN500091</t>
  </si>
  <si>
    <t>CUST100675</t>
  </si>
  <si>
    <t>LOAN900078</t>
  </si>
  <si>
    <t>CUST100477</t>
  </si>
  <si>
    <t>APP700137</t>
  </si>
  <si>
    <t>TXN500092</t>
  </si>
  <si>
    <t>CUST100257</t>
  </si>
  <si>
    <t>TXN500093</t>
  </si>
  <si>
    <t>LOAN900079</t>
  </si>
  <si>
    <t>CUST100127</t>
  </si>
  <si>
    <t>APP700140</t>
  </si>
  <si>
    <t>TXN500094</t>
  </si>
  <si>
    <t>CUST100130</t>
  </si>
  <si>
    <t>LOAN900080</t>
  </si>
  <si>
    <t>TXN500095</t>
  </si>
  <si>
    <t>APP700141</t>
  </si>
  <si>
    <t>TXN500096</t>
  </si>
  <si>
    <t>CUST100396</t>
  </si>
  <si>
    <t>LOAN900081</t>
  </si>
  <si>
    <t>CUST100357</t>
  </si>
  <si>
    <t>APP700142</t>
  </si>
  <si>
    <t>TXN500097</t>
  </si>
  <si>
    <t>CUST100467</t>
  </si>
  <si>
    <t>TXN500098</t>
  </si>
  <si>
    <t>LOAN900082</t>
  </si>
  <si>
    <t>APP700143</t>
  </si>
  <si>
    <t>APP700101</t>
  </si>
  <si>
    <t>TXN500099</t>
  </si>
  <si>
    <t>LOAN900083</t>
  </si>
  <si>
    <t>CUST100894</t>
  </si>
  <si>
    <t>TXN500100</t>
  </si>
  <si>
    <t>APP700151</t>
  </si>
  <si>
    <t>CUST100116</t>
  </si>
  <si>
    <t>TXN500101</t>
  </si>
  <si>
    <t>CUST100725</t>
  </si>
  <si>
    <t>LOAN900084</t>
  </si>
  <si>
    <t>CUST100167</t>
  </si>
  <si>
    <t>TXN500102</t>
  </si>
  <si>
    <t>APP700152</t>
  </si>
  <si>
    <t>CUST100478</t>
  </si>
  <si>
    <t>TXN500103</t>
  </si>
  <si>
    <t>LOAN900085</t>
  </si>
  <si>
    <t>CUST100746</t>
  </si>
  <si>
    <t>TXN500104</t>
  </si>
  <si>
    <t>APP700153</t>
  </si>
  <si>
    <t>CUST100617</t>
  </si>
  <si>
    <t>TXN500105</t>
  </si>
  <si>
    <t>CUST100126</t>
  </si>
  <si>
    <t>CUST100117</t>
  </si>
  <si>
    <t>LOAN900086</t>
  </si>
  <si>
    <t>CUST100451</t>
  </si>
  <si>
    <t>APP700154</t>
  </si>
  <si>
    <t>TXN500106</t>
  </si>
  <si>
    <t>TXN500107</t>
  </si>
  <si>
    <t>CUST100696</t>
  </si>
  <si>
    <t>LOAN900087</t>
  </si>
  <si>
    <t>CUST100498</t>
  </si>
  <si>
    <t>APP700155</t>
  </si>
  <si>
    <t>TXN500108</t>
  </si>
  <si>
    <t>CUST100718</t>
  </si>
  <si>
    <t>CUST100118</t>
  </si>
  <si>
    <t>TXN500109</t>
  </si>
  <si>
    <t>LOAN900088</t>
  </si>
  <si>
    <t>CUST100411</t>
  </si>
  <si>
    <t>CUST100190</t>
  </si>
  <si>
    <t>APP700159</t>
  </si>
  <si>
    <t>TXN500110</t>
  </si>
  <si>
    <t>LOAN900089</t>
  </si>
  <si>
    <t>CUST100380</t>
  </si>
  <si>
    <t>APP700162</t>
  </si>
  <si>
    <t>APP700105</t>
  </si>
  <si>
    <t>CUST100229</t>
  </si>
  <si>
    <t>CUST100846</t>
  </si>
  <si>
    <t>LOAN900090</t>
  </si>
  <si>
    <t>CUST100119</t>
  </si>
  <si>
    <t>CUST100512</t>
  </si>
  <si>
    <t>APP700165</t>
  </si>
  <si>
    <t>TXN500111</t>
  </si>
  <si>
    <t>LOAN900091</t>
  </si>
  <si>
    <t>CUST100772</t>
  </si>
  <si>
    <t>APP700168</t>
  </si>
  <si>
    <t>APP700106</t>
  </si>
  <si>
    <t>CUST100363</t>
  </si>
  <si>
    <t>TXN500112</t>
  </si>
  <si>
    <t>LOAN900092</t>
  </si>
  <si>
    <t>CUST100120</t>
  </si>
  <si>
    <t>CUST100730</t>
  </si>
  <si>
    <t>APP700169</t>
  </si>
  <si>
    <t>TXN500113</t>
  </si>
  <si>
    <t>CUST100559</t>
  </si>
  <si>
    <t>TXN500114</t>
  </si>
  <si>
    <t>LOAN900093</t>
  </si>
  <si>
    <t>CUST100124</t>
  </si>
  <si>
    <t>APP700171</t>
  </si>
  <si>
    <t>TXN500115</t>
  </si>
  <si>
    <t>LOAN900094</t>
  </si>
  <si>
    <t>TXN500116</t>
  </si>
  <si>
    <t>CUST100121</t>
  </si>
  <si>
    <t>APP700175</t>
  </si>
  <si>
    <t>TXN500117</t>
  </si>
  <si>
    <t>CUST100252</t>
  </si>
  <si>
    <t>APP700108</t>
  </si>
  <si>
    <t>LOAN900095</t>
  </si>
  <si>
    <t>CUST100270</t>
  </si>
  <si>
    <t>CUST100206</t>
  </si>
  <si>
    <t>APP700176</t>
  </si>
  <si>
    <t>TXN500118</t>
  </si>
  <si>
    <t>CUST100666</t>
  </si>
  <si>
    <t>TXN500119</t>
  </si>
  <si>
    <t>LOAN900096</t>
  </si>
  <si>
    <t>CUST100435</t>
  </si>
  <si>
    <t>APP700180</t>
  </si>
  <si>
    <t>TXN500120</t>
  </si>
  <si>
    <t>CUST100632</t>
  </si>
  <si>
    <t>LOAN900097</t>
  </si>
  <si>
    <t>CUST100585</t>
  </si>
  <si>
    <t>TXN500121</t>
  </si>
  <si>
    <t>APP700184</t>
  </si>
  <si>
    <t>TXN500122</t>
  </si>
  <si>
    <t>LOAN900098</t>
  </si>
  <si>
    <t>CUST100422</t>
  </si>
  <si>
    <t>APP700185</t>
  </si>
  <si>
    <t>TXN500123</t>
  </si>
  <si>
    <t>TXN500124</t>
  </si>
  <si>
    <t>LOAN900099</t>
  </si>
  <si>
    <t>CUST100511</t>
  </si>
  <si>
    <t>APP700189</t>
  </si>
  <si>
    <t>TXN500125</t>
  </si>
  <si>
    <t>TXN500126</t>
  </si>
  <si>
    <t>CUST100489</t>
  </si>
  <si>
    <t>APP700111</t>
  </si>
  <si>
    <t>LOAN900100</t>
  </si>
  <si>
    <t>CUST100405</t>
  </si>
  <si>
    <t>CUST100723</t>
  </si>
  <si>
    <t>APP700190</t>
  </si>
  <si>
    <t>TXN500127</t>
  </si>
  <si>
    <t>CUST100232</t>
  </si>
  <si>
    <t>CUST100125</t>
  </si>
  <si>
    <t>TXN500128</t>
  </si>
  <si>
    <t>CUST100553</t>
  </si>
  <si>
    <t>LOAN900101</t>
  </si>
  <si>
    <t>APP700193</t>
  </si>
  <si>
    <t>TXN500129</t>
  </si>
  <si>
    <t>CUST100227</t>
  </si>
  <si>
    <t>APP700112</t>
  </si>
  <si>
    <t>CUST100689</t>
  </si>
  <si>
    <t>TXN500130</t>
  </si>
  <si>
    <t>LOAN900102</t>
  </si>
  <si>
    <t>CUST100381</t>
  </si>
  <si>
    <t>APP700194</t>
  </si>
  <si>
    <t>TXN500131</t>
  </si>
  <si>
    <t>TXN500132</t>
  </si>
  <si>
    <t>LOAN900103</t>
  </si>
  <si>
    <t>CUST100869</t>
  </si>
  <si>
    <t>APP700197</t>
  </si>
  <si>
    <t>APP700113</t>
  </si>
  <si>
    <t>TXN500133</t>
  </si>
  <si>
    <t>LOAN900104</t>
  </si>
  <si>
    <t>TXN500134</t>
  </si>
  <si>
    <t>CUST100389</t>
  </si>
  <si>
    <t>APP700200</t>
  </si>
  <si>
    <t>TXN500135</t>
  </si>
  <si>
    <t>LOAN900105</t>
  </si>
  <si>
    <t>TXN500136</t>
  </si>
  <si>
    <t>APP700206</t>
  </si>
  <si>
    <t>CUST100693</t>
  </si>
  <si>
    <t>TXN500137</t>
  </si>
  <si>
    <t>CUST100128</t>
  </si>
  <si>
    <t>CUST100760</t>
  </si>
  <si>
    <t>LOAN900106</t>
  </si>
  <si>
    <t>APP700207</t>
  </si>
  <si>
    <t>APP700115</t>
  </si>
  <si>
    <t>CUST100353</t>
  </si>
  <si>
    <t>LOAN900107</t>
  </si>
  <si>
    <t>TXN500138</t>
  </si>
  <si>
    <t>APP700208</t>
  </si>
  <si>
    <t>CUST100211</t>
  </si>
  <si>
    <t>CUST100129</t>
  </si>
  <si>
    <t>TXN500139</t>
  </si>
  <si>
    <t>LOAN900108</t>
  </si>
  <si>
    <t>CUST100201</t>
  </si>
  <si>
    <t>APP700209</t>
  </si>
  <si>
    <t>TXN500140</t>
  </si>
  <si>
    <t>CUST100471</t>
  </si>
  <si>
    <t>LOAN900109</t>
  </si>
  <si>
    <t>CUST100590</t>
  </si>
  <si>
    <t>APP700211</t>
  </si>
  <si>
    <t>TXN500141</t>
  </si>
  <si>
    <t>TXN500142</t>
  </si>
  <si>
    <t>LOAN900110</t>
  </si>
  <si>
    <t>CUST100548</t>
  </si>
  <si>
    <t>APP700215</t>
  </si>
  <si>
    <t>TXN500143</t>
  </si>
  <si>
    <t>LOAN900111</t>
  </si>
  <si>
    <t>CUST100362</t>
  </si>
  <si>
    <t>APP700218</t>
  </si>
  <si>
    <t>TXN500144</t>
  </si>
  <si>
    <t>TXN500145</t>
  </si>
  <si>
    <t>CUST100131</t>
  </si>
  <si>
    <t>LOAN900112</t>
  </si>
  <si>
    <t>CUST100654</t>
  </si>
  <si>
    <t>APP700223</t>
  </si>
  <si>
    <t>TXN500146</t>
  </si>
  <si>
    <t>CUST100715</t>
  </si>
  <si>
    <t>LOAN900113</t>
  </si>
  <si>
    <t>TXN500147</t>
  </si>
  <si>
    <t>APP700225</t>
  </si>
  <si>
    <t>CUST100262</t>
  </si>
  <si>
    <t>TXN500148</t>
  </si>
  <si>
    <t>CUST100132</t>
  </si>
  <si>
    <t>APP700119</t>
  </si>
  <si>
    <t>LOAN900114</t>
  </si>
  <si>
    <t>CUST100814</t>
  </si>
  <si>
    <t>APP700227</t>
  </si>
  <si>
    <t>TXN500149</t>
  </si>
  <si>
    <t>CUST100495</t>
  </si>
  <si>
    <t>TXN500150</t>
  </si>
  <si>
    <t>LOAN900115</t>
  </si>
  <si>
    <t>CUST100663</t>
  </si>
  <si>
    <t>APP700228</t>
  </si>
  <si>
    <t>TXN500151</t>
  </si>
  <si>
    <t>CUST100150</t>
  </si>
  <si>
    <t>APP700120</t>
  </si>
  <si>
    <t>LOAN900116</t>
  </si>
  <si>
    <t>CUST100133</t>
  </si>
  <si>
    <t>APP700230</t>
  </si>
  <si>
    <t>TXN500152</t>
  </si>
  <si>
    <t>CUST100440</t>
  </si>
  <si>
    <t>LOAN900117</t>
  </si>
  <si>
    <t>CUST100337</t>
  </si>
  <si>
    <t>APP700231</t>
  </si>
  <si>
    <t>TXN500153</t>
  </si>
  <si>
    <t>LOAN900118</t>
  </si>
  <si>
    <t>TXN500154</t>
  </si>
  <si>
    <t>APP700232</t>
  </si>
  <si>
    <t>CUST100640</t>
  </si>
  <si>
    <t>CUST100134</t>
  </si>
  <si>
    <t>TXN500155</t>
  </si>
  <si>
    <t>CUST100712</t>
  </si>
  <si>
    <t>LOAN900119</t>
  </si>
  <si>
    <t>CUST100588</t>
  </si>
  <si>
    <t>APP700233</t>
  </si>
  <si>
    <t>TXN500156</t>
  </si>
  <si>
    <t>CUST100565</t>
  </si>
  <si>
    <t>LOAN900120</t>
  </si>
  <si>
    <t>TXN500157</t>
  </si>
  <si>
    <t>CUST100768</t>
  </si>
  <si>
    <t>APP700234</t>
  </si>
  <si>
    <t>TXN500158</t>
  </si>
  <si>
    <t>CUST100215</t>
  </si>
  <si>
    <t>LOAN900121</t>
  </si>
  <si>
    <t>CUST100818</t>
  </si>
  <si>
    <t>APP700237</t>
  </si>
  <si>
    <t>CUST100135</t>
  </si>
  <si>
    <t>TXN500159</t>
  </si>
  <si>
    <t>LOAN900122</t>
  </si>
  <si>
    <t>APP700241</t>
  </si>
  <si>
    <t>TXN500160</t>
  </si>
  <si>
    <t>LOAN900123</t>
  </si>
  <si>
    <t>TXN500161</t>
  </si>
  <si>
    <t>CUST100231</t>
  </si>
  <si>
    <t>CUST100889</t>
  </si>
  <si>
    <t>APP700244</t>
  </si>
  <si>
    <t>TXN500162</t>
  </si>
  <si>
    <t>CUST100563</t>
  </si>
  <si>
    <t>LOAN900124</t>
  </si>
  <si>
    <t>CUST100316</t>
  </si>
  <si>
    <t>APP700247</t>
  </si>
  <si>
    <t>APP700124</t>
  </si>
  <si>
    <t>CUST100633</t>
  </si>
  <si>
    <t>TXN500163</t>
  </si>
  <si>
    <t>CUST100214</t>
  </si>
  <si>
    <t>LOAN900125</t>
  </si>
  <si>
    <t>CUST100273</t>
  </si>
  <si>
    <t>APP700248</t>
  </si>
  <si>
    <t>TXN500164</t>
  </si>
  <si>
    <t>CUST100742</t>
  </si>
  <si>
    <t>APP700125</t>
  </si>
  <si>
    <t>LOAN900126</t>
  </si>
  <si>
    <t>CUST100149</t>
  </si>
  <si>
    <t>CUST100275</t>
  </si>
  <si>
    <t>APP700251</t>
  </si>
  <si>
    <t>TXN500165</t>
  </si>
  <si>
    <t>CUST100267</t>
  </si>
  <si>
    <t>TXN500166</t>
  </si>
  <si>
    <t>LOAN900127</t>
  </si>
  <si>
    <t>CUST100528</t>
  </si>
  <si>
    <t>CUST100870</t>
  </si>
  <si>
    <t>APP700252</t>
  </si>
  <si>
    <t>TXN500167</t>
  </si>
  <si>
    <t>APP700126</t>
  </si>
  <si>
    <t>LOAN900128</t>
  </si>
  <si>
    <t>CUST100274</t>
  </si>
  <si>
    <t>APP700253</t>
  </si>
  <si>
    <t>TXN500168</t>
  </si>
  <si>
    <t>LOAN900129</t>
  </si>
  <si>
    <t>TXN500169</t>
  </si>
  <si>
    <t>CUST100871</t>
  </si>
  <si>
    <t>APP700254</t>
  </si>
  <si>
    <t>APP700127</t>
  </si>
  <si>
    <t>CUST100888</t>
  </si>
  <si>
    <t>TXN500170</t>
  </si>
  <si>
    <t>CUST100136</t>
  </si>
  <si>
    <t>LOAN900130</t>
  </si>
  <si>
    <t>APP700255</t>
  </si>
  <si>
    <t>TXN500171</t>
  </si>
  <si>
    <t>LOAN900131</t>
  </si>
  <si>
    <t>TXN500172</t>
  </si>
  <si>
    <t>APP700260</t>
  </si>
  <si>
    <t>TXN500173</t>
  </si>
  <si>
    <t>LOAN900132</t>
  </si>
  <si>
    <t>CUST100207</t>
  </si>
  <si>
    <t>APP700261</t>
  </si>
  <si>
    <t>TXN500174</t>
  </si>
  <si>
    <t>CUST100503</t>
  </si>
  <si>
    <t>LOAN900133</t>
  </si>
  <si>
    <t>CUST100674</t>
  </si>
  <si>
    <t>APP700264</t>
  </si>
  <si>
    <t>TXN500175</t>
  </si>
  <si>
    <t>CUST100343</t>
  </si>
  <si>
    <t>LOAN900134</t>
  </si>
  <si>
    <t>CUST100524</t>
  </si>
  <si>
    <t>APP700265</t>
  </si>
  <si>
    <t>TXN500176</t>
  </si>
  <si>
    <t>CUST100138</t>
  </si>
  <si>
    <t>CUST100560</t>
  </si>
  <si>
    <t>LOAN900135</t>
  </si>
  <si>
    <t>APP700267</t>
  </si>
  <si>
    <t>TXN500177</t>
  </si>
  <si>
    <t>CUST100578</t>
  </si>
  <si>
    <t>LOAN900136</t>
  </si>
  <si>
    <t>CUST100607</t>
  </si>
  <si>
    <t>APP700269</t>
  </si>
  <si>
    <t>TXN500178</t>
  </si>
  <si>
    <t>APP700130</t>
  </si>
  <si>
    <t>LOAN900137</t>
  </si>
  <si>
    <t>CUST100673</t>
  </si>
  <si>
    <t>APP700273</t>
  </si>
  <si>
    <t>TXN500179</t>
  </si>
  <si>
    <t>TXN500180</t>
  </si>
  <si>
    <t>LOAN900138</t>
  </si>
  <si>
    <t>CUST100197</t>
  </si>
  <si>
    <t>CUST100186</t>
  </si>
  <si>
    <t>APP700274</t>
  </si>
  <si>
    <t>TXN500181</t>
  </si>
  <si>
    <t>LOAN900139</t>
  </si>
  <si>
    <t>CUST100188</t>
  </si>
  <si>
    <t>APP700276</t>
  </si>
  <si>
    <t>TXN500182</t>
  </si>
  <si>
    <t>CUST100140</t>
  </si>
  <si>
    <t>LOAN900140</t>
  </si>
  <si>
    <t>CUST100374</t>
  </si>
  <si>
    <t>APP700277</t>
  </si>
  <si>
    <t>TXN500183</t>
  </si>
  <si>
    <t>APP700132</t>
  </si>
  <si>
    <t>LOAN900141</t>
  </si>
  <si>
    <t>APP700279</t>
  </si>
  <si>
    <t>TXN500184</t>
  </si>
  <si>
    <t>CUST100697</t>
  </si>
  <si>
    <t>LOAN900142</t>
  </si>
  <si>
    <t>CUST100302</t>
  </si>
  <si>
    <t>TXN500185</t>
  </si>
  <si>
    <t>APP700280</t>
  </si>
  <si>
    <t>CUST100141</t>
  </si>
  <si>
    <t>TXN500186</t>
  </si>
  <si>
    <t>CUST100325</t>
  </si>
  <si>
    <t>LOAN900143</t>
  </si>
  <si>
    <t>CUST100284</t>
  </si>
  <si>
    <t>APP700133</t>
  </si>
  <si>
    <t>APP700282</t>
  </si>
  <si>
    <t>CUST100677</t>
  </si>
  <si>
    <t>TXN500187</t>
  </si>
  <si>
    <t>CUST100711</t>
  </si>
  <si>
    <t>LOAN900144</t>
  </si>
  <si>
    <t>TXN500188</t>
  </si>
  <si>
    <t>APP700284</t>
  </si>
  <si>
    <t>CUST100783</t>
  </si>
  <si>
    <t>TXN500189</t>
  </si>
  <si>
    <t>LOAN900145</t>
  </si>
  <si>
    <t>APP700287</t>
  </si>
  <si>
    <t>TXN500190</t>
  </si>
  <si>
    <t>APP700134</t>
  </si>
  <si>
    <t>CUST100416</t>
  </si>
  <si>
    <t>LOAN900146</t>
  </si>
  <si>
    <t>CUST100209</t>
  </si>
  <si>
    <t>APP700289</t>
  </si>
  <si>
    <t>TXN500191</t>
  </si>
  <si>
    <t>TXN500192</t>
  </si>
  <si>
    <t>LOAN900147</t>
  </si>
  <si>
    <t>CUST100728</t>
  </si>
  <si>
    <t>APP700290</t>
  </si>
  <si>
    <t>CUST100143</t>
  </si>
  <si>
    <t>TXN500193</t>
  </si>
  <si>
    <t>LOAN900148</t>
  </si>
  <si>
    <t>APP700292</t>
  </si>
  <si>
    <t>TXN500194</t>
  </si>
  <si>
    <t>LOAN900149</t>
  </si>
  <si>
    <t>APP700296</t>
  </si>
  <si>
    <t>TXN500195</t>
  </si>
  <si>
    <t>LOAN900150</t>
  </si>
  <si>
    <t>CUST100586</t>
  </si>
  <si>
    <t>CUST100144</t>
  </si>
  <si>
    <t>CUST100402</t>
  </si>
  <si>
    <t>APP700136</t>
  </si>
  <si>
    <t>APP700298</t>
  </si>
  <si>
    <t>TXN500196</t>
  </si>
  <si>
    <t>CUST100469</t>
  </si>
  <si>
    <t>LOAN900151</t>
  </si>
  <si>
    <t>CUST100808</t>
  </si>
  <si>
    <t>APP700300</t>
  </si>
  <si>
    <t>TXN500197</t>
  </si>
  <si>
    <t>CUST100320</t>
  </si>
  <si>
    <t>LOAN900152</t>
  </si>
  <si>
    <t>CUST100499</t>
  </si>
  <si>
    <t>APP700301</t>
  </si>
  <si>
    <t>TXN500198</t>
  </si>
  <si>
    <t>CUST100669</t>
  </si>
  <si>
    <t>LOAN900153</t>
  </si>
  <si>
    <t>TXN500199</t>
  </si>
  <si>
    <t>CUST100204</t>
  </si>
  <si>
    <t>APP700303</t>
  </si>
  <si>
    <t>CUST100576</t>
  </si>
  <si>
    <t>TXN500200</t>
  </si>
  <si>
    <t>CUST100801</t>
  </si>
  <si>
    <t>LOAN900154</t>
  </si>
  <si>
    <t>APP700305</t>
  </si>
  <si>
    <t>TXN500201</t>
  </si>
  <si>
    <t>APP700138</t>
  </si>
  <si>
    <t>CUST100297</t>
  </si>
  <si>
    <t>CUST100612</t>
  </si>
  <si>
    <t>LOAN900155</t>
  </si>
  <si>
    <t>CUST100800</t>
  </si>
  <si>
    <t>APP700309</t>
  </si>
  <si>
    <t>CUST100146</t>
  </si>
  <si>
    <t>TXN500202</t>
  </si>
  <si>
    <t>CUST100205</t>
  </si>
  <si>
    <t>LOAN900156</t>
  </si>
  <si>
    <t>CUST100306</t>
  </si>
  <si>
    <t>APP700310</t>
  </si>
  <si>
    <t>TXN500203</t>
  </si>
  <si>
    <t>CUST100404</t>
  </si>
  <si>
    <t>APP700139</t>
  </si>
  <si>
    <t>TXN500204</t>
  </si>
  <si>
    <t>CUST100449</t>
  </si>
  <si>
    <t>TXN500205</t>
  </si>
  <si>
    <t>LOAN900157</t>
  </si>
  <si>
    <t>CUST100424</t>
  </si>
  <si>
    <t>APP700315</t>
  </si>
  <si>
    <t>TXN500206</t>
  </si>
  <si>
    <t>LOAN900158</t>
  </si>
  <si>
    <t>CUST100307</t>
  </si>
  <si>
    <t>TXN500207</t>
  </si>
  <si>
    <t>APP700316</t>
  </si>
  <si>
    <t>CUST100148</t>
  </si>
  <si>
    <t>LOAN900159</t>
  </si>
  <si>
    <t>CUST100345</t>
  </si>
  <si>
    <t>TXN500208</t>
  </si>
  <si>
    <t>APP700318</t>
  </si>
  <si>
    <t>TXN500209</t>
  </si>
  <si>
    <t>LOAN900160</t>
  </si>
  <si>
    <t>CUST100622</t>
  </si>
  <si>
    <t>APP700319</t>
  </si>
  <si>
    <t>TXN500210</t>
  </si>
  <si>
    <t>LOAN900161</t>
  </si>
  <si>
    <t>CUST100182</t>
  </si>
  <si>
    <t>APP700321</t>
  </si>
  <si>
    <t>TXN500211</t>
  </si>
  <si>
    <t>LOAN900162</t>
  </si>
  <si>
    <t>TXN500212</t>
  </si>
  <si>
    <t>CUST100698</t>
  </si>
  <si>
    <t>APP700324</t>
  </si>
  <si>
    <t>TXN500213</t>
  </si>
  <si>
    <t>LOAN900163</t>
  </si>
  <si>
    <t>CUST100328</t>
  </si>
  <si>
    <t>APP700327</t>
  </si>
  <si>
    <t>TXN500214</t>
  </si>
  <si>
    <t>TXN500215</t>
  </si>
  <si>
    <t>LOAN900164</t>
  </si>
  <si>
    <t>CUST100213</t>
  </si>
  <si>
    <t>APP700330</t>
  </si>
  <si>
    <t>TXN500216</t>
  </si>
  <si>
    <t>CUST100367</t>
  </si>
  <si>
    <t>LOAN900165</t>
  </si>
  <si>
    <t>TXN500217</t>
  </si>
  <si>
    <t>CUST100176</t>
  </si>
  <si>
    <t>APP700332</t>
  </si>
  <si>
    <t>TXN500218</t>
  </si>
  <si>
    <t>CUST100269</t>
  </si>
  <si>
    <t>LOAN900166</t>
  </si>
  <si>
    <t>CUST100826</t>
  </si>
  <si>
    <t>APP700334</t>
  </si>
  <si>
    <t>TXN500219</t>
  </si>
  <si>
    <t>APP700144</t>
  </si>
  <si>
    <t>CUST100613</t>
  </si>
  <si>
    <t>LOAN900167</t>
  </si>
  <si>
    <t>CUST100874</t>
  </si>
  <si>
    <t>APP700335</t>
  </si>
  <si>
    <t>TXN500220</t>
  </si>
  <si>
    <t>CUST100748</t>
  </si>
  <si>
    <t>LOAN900168</t>
  </si>
  <si>
    <t>TXN500221</t>
  </si>
  <si>
    <t>APP700336</t>
  </si>
  <si>
    <t>CUST100153</t>
  </si>
  <si>
    <t>TXN500222</t>
  </si>
  <si>
    <t>APP700145</t>
  </si>
  <si>
    <t>CUST100695</t>
  </si>
  <si>
    <t>LOAN900169</t>
  </si>
  <si>
    <t>TXN500223</t>
  </si>
  <si>
    <t>APP700340</t>
  </si>
  <si>
    <t>CUST100154</t>
  </si>
  <si>
    <t>TXN500224</t>
  </si>
  <si>
    <t>LOAN900170</t>
  </si>
  <si>
    <t>APP700146</t>
  </si>
  <si>
    <t>CUST100385</t>
  </si>
  <si>
    <t>TXN500225</t>
  </si>
  <si>
    <t>CUST100437</t>
  </si>
  <si>
    <t>APP700345</t>
  </si>
  <si>
    <t>TXN500226</t>
  </si>
  <si>
    <t>CUST100155</t>
  </si>
  <si>
    <t>LOAN900171</t>
  </si>
  <si>
    <t>APP700346</t>
  </si>
  <si>
    <t>TXN500227</t>
  </si>
  <si>
    <t>APP700147</t>
  </si>
  <si>
    <t>TXN500228</t>
  </si>
  <si>
    <t>CUST100859</t>
  </si>
  <si>
    <t>LOAN900172</t>
  </si>
  <si>
    <t>CUST100884</t>
  </si>
  <si>
    <t>APP700349</t>
  </si>
  <si>
    <t>CUST100156</t>
  </si>
  <si>
    <t>TXN500229</t>
  </si>
  <si>
    <t>CUST100609</t>
  </si>
  <si>
    <t>APP700148</t>
  </si>
  <si>
    <t>LOAN900173</t>
  </si>
  <si>
    <t>TXN500230</t>
  </si>
  <si>
    <t>APP700352</t>
  </si>
  <si>
    <t>TXN500231</t>
  </si>
  <si>
    <t>CUST100157</t>
  </si>
  <si>
    <t>LOAN900174</t>
  </si>
  <si>
    <t>APP700149</t>
  </si>
  <si>
    <t>TXN500232</t>
  </si>
  <si>
    <t>APP700353</t>
  </si>
  <si>
    <t>TXN500233</t>
  </si>
  <si>
    <t>LOAN900175</t>
  </si>
  <si>
    <t>CUST100671</t>
  </si>
  <si>
    <t>CUST100844</t>
  </si>
  <si>
    <t>APP700356</t>
  </si>
  <si>
    <t>TXN500234</t>
  </si>
  <si>
    <t>APP700150</t>
  </si>
  <si>
    <t>LOAN900176</t>
  </si>
  <si>
    <t>TXN500235</t>
  </si>
  <si>
    <t>APP700357</t>
  </si>
  <si>
    <t>TXN500236</t>
  </si>
  <si>
    <t>CUST100299</t>
  </si>
  <si>
    <t>LOAN900177</t>
  </si>
  <si>
    <t>APP700359</t>
  </si>
  <si>
    <t>TXN500237</t>
  </si>
  <si>
    <t>CUST100546</t>
  </si>
  <si>
    <t>TXN500238</t>
  </si>
  <si>
    <t>CUST100534</t>
  </si>
  <si>
    <t>CUST100160</t>
  </si>
  <si>
    <t>TXN500239</t>
  </si>
  <si>
    <t>LOAN900178</t>
  </si>
  <si>
    <t>CUST100473</t>
  </si>
  <si>
    <t>TXN500240</t>
  </si>
  <si>
    <t>APP700360</t>
  </si>
  <si>
    <t>TXN500241</t>
  </si>
  <si>
    <t>CUST100336</t>
  </si>
  <si>
    <t>CUST100161</t>
  </si>
  <si>
    <t>LOAN900179</t>
  </si>
  <si>
    <t>TXN500242</t>
  </si>
  <si>
    <t>APP700362</t>
  </si>
  <si>
    <t>TXN500243</t>
  </si>
  <si>
    <t>LOAN900180</t>
  </si>
  <si>
    <t>CUST100533</t>
  </si>
  <si>
    <t>APP700363</t>
  </si>
  <si>
    <t>TXN500244</t>
  </si>
  <si>
    <t>CUST100162</t>
  </si>
  <si>
    <t>CUST100647</t>
  </si>
  <si>
    <t>TXN500245</t>
  </si>
  <si>
    <t>LOAN900181</t>
  </si>
  <si>
    <t>CUST100568</t>
  </si>
  <si>
    <t>APP700365</t>
  </si>
  <si>
    <t>TXN500246</t>
  </si>
  <si>
    <t>CUST100419</t>
  </si>
  <si>
    <t>CUST100163</t>
  </si>
  <si>
    <t>LOAN900182</t>
  </si>
  <si>
    <t>CUST100293</t>
  </si>
  <si>
    <t>APP700368</t>
  </si>
  <si>
    <t>TXN500247</t>
  </si>
  <si>
    <t>CUST100893</t>
  </si>
  <si>
    <t>TXN500248</t>
  </si>
  <si>
    <t>LOAN900183</t>
  </si>
  <si>
    <t>CUST100164</t>
  </si>
  <si>
    <t>CUST100541</t>
  </si>
  <si>
    <t>APP700369</t>
  </si>
  <si>
    <t>TXN500249</t>
  </si>
  <si>
    <t>TXN500250</t>
  </si>
  <si>
    <t>LOAN900184</t>
  </si>
  <si>
    <t>APP700370</t>
  </si>
  <si>
    <t>TXN500251</t>
  </si>
  <si>
    <t>CUST100189</t>
  </si>
  <si>
    <t>APP700156</t>
  </si>
  <si>
    <t>LOAN900185</t>
  </si>
  <si>
    <t>APP700373</t>
  </si>
  <si>
    <t>TXN500252</t>
  </si>
  <si>
    <t>CUST100594</t>
  </si>
  <si>
    <t>CUST100166</t>
  </si>
  <si>
    <t>TXN500253</t>
  </si>
  <si>
    <t>CUST100659</t>
  </si>
  <si>
    <t>LOAN900186</t>
  </si>
  <si>
    <t>TXN500254</t>
  </si>
  <si>
    <t>APP700375</t>
  </si>
  <si>
    <t>APP700157</t>
  </si>
  <si>
    <t>TXN500255</t>
  </si>
  <si>
    <t>CUST100849</t>
  </si>
  <si>
    <t>LOAN900187</t>
  </si>
  <si>
    <t>APP700377</t>
  </si>
  <si>
    <t>TXN500256</t>
  </si>
  <si>
    <t>TXN500257</t>
  </si>
  <si>
    <t>CUST100168</t>
  </si>
  <si>
    <t>LOAN900188</t>
  </si>
  <si>
    <t>CUST100880</t>
  </si>
  <si>
    <t>APP700378</t>
  </si>
  <si>
    <t>TXN500258</t>
  </si>
  <si>
    <t>APP700158</t>
  </si>
  <si>
    <t>TXN500259</t>
  </si>
  <si>
    <t>LOAN900189</t>
  </si>
  <si>
    <t>CUST100169</t>
  </si>
  <si>
    <t>CUST100479</t>
  </si>
  <si>
    <t>APP700379</t>
  </si>
  <si>
    <t>TXN500260</t>
  </si>
  <si>
    <t>LOAN900190</t>
  </si>
  <si>
    <t>CUST100749</t>
  </si>
  <si>
    <t>APP700381</t>
  </si>
  <si>
    <t>TXN500261</t>
  </si>
  <si>
    <t>CUST100441</t>
  </si>
  <si>
    <t>CUST100170</t>
  </si>
  <si>
    <t>TXN500262</t>
  </si>
  <si>
    <t>LOAN900191</t>
  </si>
  <si>
    <t>TXN500263</t>
  </si>
  <si>
    <t>APP700382</t>
  </si>
  <si>
    <t>TXN500264</t>
  </si>
  <si>
    <t>LOAN900192</t>
  </si>
  <si>
    <t>APP700385</t>
  </si>
  <si>
    <t>APP700160</t>
  </si>
  <si>
    <t>TXN500265</t>
  </si>
  <si>
    <t>CUST100285</t>
  </si>
  <si>
    <t>CUST100722</t>
  </si>
  <si>
    <t>LOAN900193</t>
  </si>
  <si>
    <t>TXN500266</t>
  </si>
  <si>
    <t>APP700387</t>
  </si>
  <si>
    <t>CUST100539</t>
  </si>
  <si>
    <t>TXN500267</t>
  </si>
  <si>
    <t>LOAN900194</t>
  </si>
  <si>
    <t>CUST100289</t>
  </si>
  <si>
    <t>APP700388</t>
  </si>
  <si>
    <t>TXN500268</t>
  </si>
  <si>
    <t>CUST100552</t>
  </si>
  <si>
    <t>APP700161</t>
  </si>
  <si>
    <t>CUST100173</t>
  </si>
  <si>
    <t>CUST100516</t>
  </si>
  <si>
    <t>LOAN900195</t>
  </si>
  <si>
    <t>TXN500269</t>
  </si>
  <si>
    <t>APP700390</t>
  </si>
  <si>
    <t>TXN500270</t>
  </si>
  <si>
    <t>LOAN900196</t>
  </si>
  <si>
    <t>CUST100174</t>
  </si>
  <si>
    <t>APP700391</t>
  </si>
  <si>
    <t>TXN500271</t>
  </si>
  <si>
    <t>CUST100319</t>
  </si>
  <si>
    <t>LOAN900197</t>
  </si>
  <si>
    <t>TXN500272</t>
  </si>
  <si>
    <t>CUST100506</t>
  </si>
  <si>
    <t>APP700394</t>
  </si>
  <si>
    <t>CUST100175</t>
  </si>
  <si>
    <t>TXN500273</t>
  </si>
  <si>
    <t>LOAN900198</t>
  </si>
  <si>
    <t>TXN500274</t>
  </si>
  <si>
    <t>APP700396</t>
  </si>
  <si>
    <t>CUST100354</t>
  </si>
  <si>
    <t>TXN500275</t>
  </si>
  <si>
    <t>LOAN900199</t>
  </si>
  <si>
    <t>TXN500276</t>
  </si>
  <si>
    <t>APP700401</t>
  </si>
  <si>
    <t>CUST100177</t>
  </si>
  <si>
    <t>TXN500277</t>
  </si>
  <si>
    <t>APP700163</t>
  </si>
  <si>
    <t>CUST100841</t>
  </si>
  <si>
    <t>LOAN900200</t>
  </si>
  <si>
    <t>CUST100836</t>
  </si>
  <si>
    <t>APP700403</t>
  </si>
  <si>
    <t>TXN500278</t>
  </si>
  <si>
    <t>TXN500279</t>
  </si>
  <si>
    <t>LOAN900201</t>
  </si>
  <si>
    <t>CUST100423</t>
  </si>
  <si>
    <t>APP700404</t>
  </si>
  <si>
    <t>TXN500280</t>
  </si>
  <si>
    <t>APP700164</t>
  </si>
  <si>
    <t>LOAN900202</t>
  </si>
  <si>
    <t>TXN500281</t>
  </si>
  <si>
    <t>APP700406</t>
  </si>
  <si>
    <t>CUST100179</t>
  </si>
  <si>
    <t>TXN500282</t>
  </si>
  <si>
    <t>LOAN900203</t>
  </si>
  <si>
    <t>TXN500283</t>
  </si>
  <si>
    <t>APP700407</t>
  </si>
  <si>
    <t>TXN500284</t>
  </si>
  <si>
    <t>LOAN900204</t>
  </si>
  <si>
    <t>CUST100598</t>
  </si>
  <si>
    <t>APP700412</t>
  </si>
  <si>
    <t>TXN500285</t>
  </si>
  <si>
    <t>CUST100853</t>
  </si>
  <si>
    <t>CUST100181</t>
  </si>
  <si>
    <t>LOAN900205</t>
  </si>
  <si>
    <t>CUST100766</t>
  </si>
  <si>
    <t>TXN500286</t>
  </si>
  <si>
    <t>APP700416</t>
  </si>
  <si>
    <t>CUST100413</t>
  </si>
  <si>
    <t>APP700166</t>
  </si>
  <si>
    <t>TXN500287</t>
  </si>
  <si>
    <t>LOAN900206</t>
  </si>
  <si>
    <t>APP700417</t>
  </si>
  <si>
    <t>LOAN900207</t>
  </si>
  <si>
    <t>APP700420</t>
  </si>
  <si>
    <t>TXN500288</t>
  </si>
  <si>
    <t>CUST100872</t>
  </si>
  <si>
    <t>TXN500289</t>
  </si>
  <si>
    <t>LOAN900208</t>
  </si>
  <si>
    <t>CUST100447</t>
  </si>
  <si>
    <t>APP700421</t>
  </si>
  <si>
    <t>TXN500290</t>
  </si>
  <si>
    <t>CUST100183</t>
  </si>
  <si>
    <t>LOAN900209</t>
  </si>
  <si>
    <t>CUST100526</t>
  </si>
  <si>
    <t>TXN500291</t>
  </si>
  <si>
    <t>APP700422</t>
  </si>
  <si>
    <t>APP700167</t>
  </si>
  <si>
    <t>TXN500292</t>
  </si>
  <si>
    <t>CUST100665</t>
  </si>
  <si>
    <t>CUST100277</t>
  </si>
  <si>
    <t>LOAN900210</t>
  </si>
  <si>
    <t>CUST100882</t>
  </si>
  <si>
    <t>APP700424</t>
  </si>
  <si>
    <t>TXN500293</t>
  </si>
  <si>
    <t>LOAN900211</t>
  </si>
  <si>
    <t>CUST100833</t>
  </si>
  <si>
    <t>CUST100185</t>
  </si>
  <si>
    <t>TXN500294</t>
  </si>
  <si>
    <t>APP700426</t>
  </si>
  <si>
    <t>TXN500295</t>
  </si>
  <si>
    <t>LOAN900212</t>
  </si>
  <si>
    <t>APP700427</t>
  </si>
  <si>
    <t>TXN500296</t>
  </si>
  <si>
    <t>TXN500297</t>
  </si>
  <si>
    <t>LOAN900213</t>
  </si>
  <si>
    <t>CUST100750</t>
  </si>
  <si>
    <t>APP700428</t>
  </si>
  <si>
    <t>TXN500298</t>
  </si>
  <si>
    <t>APP700170</t>
  </si>
  <si>
    <t>LOAN900214</t>
  </si>
  <si>
    <t>CUST100838</t>
  </si>
  <si>
    <t>APP700429</t>
  </si>
  <si>
    <t>TXN500299</t>
  </si>
  <si>
    <t>LOAN900215</t>
  </si>
  <si>
    <t>TXN500300</t>
  </si>
  <si>
    <t>CUST100839</t>
  </si>
  <si>
    <t>APP700430</t>
  </si>
  <si>
    <t>TXN500301</t>
  </si>
  <si>
    <t>LOAN900216</t>
  </si>
  <si>
    <t>CUST100575</t>
  </si>
  <si>
    <t>APP700431</t>
  </si>
  <si>
    <t>TXN500302</t>
  </si>
  <si>
    <t>APP700172</t>
  </si>
  <si>
    <t>TXN500303</t>
  </si>
  <si>
    <t>LOAN900217</t>
  </si>
  <si>
    <t>APP700432</t>
  </si>
  <si>
    <t>TXN500304</t>
  </si>
  <si>
    <t>LOAN900218</t>
  </si>
  <si>
    <t>TXN500305</t>
  </si>
  <si>
    <t>APP700434</t>
  </si>
  <si>
    <t>APP700173</t>
  </si>
  <si>
    <t>TXN500306</t>
  </si>
  <si>
    <t>CUST100491</t>
  </si>
  <si>
    <t>LOAN900219</t>
  </si>
  <si>
    <t>CUST100191</t>
  </si>
  <si>
    <t>APP700438</t>
  </si>
  <si>
    <t>TXN500307</t>
  </si>
  <si>
    <t>LOAN900220</t>
  </si>
  <si>
    <t>APP700174</t>
  </si>
  <si>
    <t>CUST100234</t>
  </si>
  <si>
    <t>TXN500308</t>
  </si>
  <si>
    <t>APP700439</t>
  </si>
  <si>
    <t>TXN500309</t>
  </si>
  <si>
    <t>LOAN900221</t>
  </si>
  <si>
    <t>CUST100193</t>
  </si>
  <si>
    <t>APP700440</t>
  </si>
  <si>
    <t>TXN500310</t>
  </si>
  <si>
    <t>TXN500311</t>
  </si>
  <si>
    <t>LOAN900222</t>
  </si>
  <si>
    <t>CUST100439</t>
  </si>
  <si>
    <t>CUST100651</t>
  </si>
  <si>
    <t>APP700445</t>
  </si>
  <si>
    <t>CUST100194</t>
  </si>
  <si>
    <t>TXN500312</t>
  </si>
  <si>
    <t>CUST100544</t>
  </si>
  <si>
    <t>LOAN900223</t>
  </si>
  <si>
    <t>APP700448</t>
  </si>
  <si>
    <t>TXN500313</t>
  </si>
  <si>
    <t>TXN500314</t>
  </si>
  <si>
    <t>LOAN900224</t>
  </si>
  <si>
    <t>TXN500315</t>
  </si>
  <si>
    <t>APP700177</t>
  </si>
  <si>
    <t>TXN500316</t>
  </si>
  <si>
    <t>CUST100196</t>
  </si>
  <si>
    <t>APP700449</t>
  </si>
  <si>
    <t>TXN500317</t>
  </si>
  <si>
    <t>APP700178</t>
  </si>
  <si>
    <t>TXN500318</t>
  </si>
  <si>
    <t>LOAN900225</t>
  </si>
  <si>
    <t>APP700450</t>
  </si>
  <si>
    <t>TXN500319</t>
  </si>
  <si>
    <t>CUST100745</t>
  </si>
  <si>
    <t>APP700179</t>
  </si>
  <si>
    <t>TXN500320</t>
  </si>
  <si>
    <t>CUST100198</t>
  </si>
  <si>
    <t>LOAN900226</t>
  </si>
  <si>
    <t>CUST100781</t>
  </si>
  <si>
    <t>APP700452</t>
  </si>
  <si>
    <t>TXN500321</t>
  </si>
  <si>
    <t>CUST100662</t>
  </si>
  <si>
    <t>LOAN900227</t>
  </si>
  <si>
    <t>CUST100821</t>
  </si>
  <si>
    <t>APP700455</t>
  </si>
  <si>
    <t>CUST100199</t>
  </si>
  <si>
    <t>TXN500322</t>
  </si>
  <si>
    <t>CUST100861</t>
  </si>
  <si>
    <t>LOAN900228</t>
  </si>
  <si>
    <t>TXN500323</t>
  </si>
  <si>
    <t>CUST100442</t>
  </si>
  <si>
    <t>APP700456</t>
  </si>
  <si>
    <t>CUST100200</t>
  </si>
  <si>
    <t>TXN500324</t>
  </si>
  <si>
    <t>APP700181</t>
  </si>
  <si>
    <t>LOAN900229</t>
  </si>
  <si>
    <t>CUST100816</t>
  </si>
  <si>
    <t>CUST100341</t>
  </si>
  <si>
    <t>CUST100303</t>
  </si>
  <si>
    <t>APP700462</t>
  </si>
  <si>
    <t>TXN500325</t>
  </si>
  <si>
    <t>LOAN900230</t>
  </si>
  <si>
    <t>TXN500326</t>
  </si>
  <si>
    <t>APP700463</t>
  </si>
  <si>
    <t>APP700182</t>
  </si>
  <si>
    <t>CUST100699</t>
  </si>
  <si>
    <t>TXN500327</t>
  </si>
  <si>
    <t>LOAN900231</t>
  </si>
  <si>
    <t>APP700464</t>
  </si>
  <si>
    <t>TXN500328</t>
  </si>
  <si>
    <t>CUST100202</t>
  </si>
  <si>
    <t>LOAN900232</t>
  </si>
  <si>
    <t>APP700467</t>
  </si>
  <si>
    <t>TXN500329</t>
  </si>
  <si>
    <t>APP700183</t>
  </si>
  <si>
    <t>CUST100358</t>
  </si>
  <si>
    <t>TXN500330</t>
  </si>
  <si>
    <t>LOAN900233</t>
  </si>
  <si>
    <t>TXN500331</t>
  </si>
  <si>
    <t>APP700475</t>
  </si>
  <si>
    <t>TXN500332</t>
  </si>
  <si>
    <t>LOAN900234</t>
  </si>
  <si>
    <t>APP700480</t>
  </si>
  <si>
    <t>TXN500333</t>
  </si>
  <si>
    <t>LOAN900235</t>
  </si>
  <si>
    <t>TXN500334</t>
  </si>
  <si>
    <t>CUST100895</t>
  </si>
  <si>
    <t>APP700481</t>
  </si>
  <si>
    <t>TXN500335</t>
  </si>
  <si>
    <t>CUST100716</t>
  </si>
  <si>
    <t>LOAN900236</t>
  </si>
  <si>
    <t>APP700483</t>
  </si>
  <si>
    <t>TXN500336</t>
  </si>
  <si>
    <t>APP700186</t>
  </si>
  <si>
    <t>LOAN900237</t>
  </si>
  <si>
    <t>TXN500337</t>
  </si>
  <si>
    <t>CUST100652</t>
  </si>
  <si>
    <t>APP700484</t>
  </si>
  <si>
    <t>TXN500338</t>
  </si>
  <si>
    <t>CUST100618</t>
  </si>
  <si>
    <t>LOAN900238</t>
  </si>
  <si>
    <t>CUST100287</t>
  </si>
  <si>
    <t>APP700187</t>
  </si>
  <si>
    <t>APP700485</t>
  </si>
  <si>
    <t>TXN500339</t>
  </si>
  <si>
    <t>LOAN900239</t>
  </si>
  <si>
    <t>TXN500340</t>
  </si>
  <si>
    <t>CUST100241</t>
  </si>
  <si>
    <t>APP700486</t>
  </si>
  <si>
    <t>TXN500341</t>
  </si>
  <si>
    <t>APP700188</t>
  </si>
  <si>
    <t>LOAN900240</t>
  </si>
  <si>
    <t>CUST100457</t>
  </si>
  <si>
    <t>APP700487</t>
  </si>
  <si>
    <t>TXN500342</t>
  </si>
  <si>
    <t>TXN500343</t>
  </si>
  <si>
    <t>LOAN900241</t>
  </si>
  <si>
    <t>CUST100686</t>
  </si>
  <si>
    <t>CUST100784</t>
  </si>
  <si>
    <t>APP700488</t>
  </si>
  <si>
    <t>TXN500344</t>
  </si>
  <si>
    <t>CUST100643</t>
  </si>
  <si>
    <t>LOAN900242</t>
  </si>
  <si>
    <t>CUST100868</t>
  </si>
  <si>
    <t>TXN500345</t>
  </si>
  <si>
    <t>APP700490</t>
  </si>
  <si>
    <t>CUST100210</t>
  </si>
  <si>
    <t>TXN500346</t>
  </si>
  <si>
    <t>LOAN900243</t>
  </si>
  <si>
    <t>APP700495</t>
  </si>
  <si>
    <t>TXN500347</t>
  </si>
  <si>
    <t>CUST100770</t>
  </si>
  <si>
    <t>APP700191</t>
  </si>
  <si>
    <t>CUST100642</t>
  </si>
  <si>
    <t>TXN500348</t>
  </si>
  <si>
    <t>LOAN900244</t>
  </si>
  <si>
    <t>APP700497</t>
  </si>
  <si>
    <t>TXN500349</t>
  </si>
  <si>
    <t>CUST100733</t>
  </si>
  <si>
    <t>CUST100212</t>
  </si>
  <si>
    <t>TXN500350</t>
  </si>
  <si>
    <t>LOAN900245</t>
  </si>
  <si>
    <t>APP700192</t>
  </si>
  <si>
    <t>APP700501</t>
  </si>
  <si>
    <t>TXN500351</t>
  </si>
  <si>
    <t>CUST100762</t>
  </si>
  <si>
    <t>LOAN900246</t>
  </si>
  <si>
    <t>APP700502</t>
  </si>
  <si>
    <t>TXN500352</t>
  </si>
  <si>
    <t>LOAN900247</t>
  </si>
  <si>
    <t>TXN500353</t>
  </si>
  <si>
    <t>APP700505</t>
  </si>
  <si>
    <t>TXN500354</t>
  </si>
  <si>
    <t>LOAN900248</t>
  </si>
  <si>
    <t>CUST100638</t>
  </si>
  <si>
    <t>CUST100350</t>
  </si>
  <si>
    <t>APP700514</t>
  </si>
  <si>
    <t>TXN500355</t>
  </si>
  <si>
    <t>LOAN900249</t>
  </si>
  <si>
    <t>CUST100259</t>
  </si>
  <si>
    <t>APP700516</t>
  </si>
  <si>
    <t>TXN500356</t>
  </si>
  <si>
    <t>APP700195</t>
  </si>
  <si>
    <t>TXN500357</t>
  </si>
  <si>
    <t>LOAN900250</t>
  </si>
  <si>
    <t>APP700517</t>
  </si>
  <si>
    <t>TXN500358</t>
  </si>
  <si>
    <t>APP700196</t>
  </si>
  <si>
    <t>TXN500359</t>
  </si>
  <si>
    <t>LOAN900251</t>
  </si>
  <si>
    <t>CUST100807</t>
  </si>
  <si>
    <t>CUST100392</t>
  </si>
  <si>
    <t>CUST100217</t>
  </si>
  <si>
    <t>APP700521</t>
  </si>
  <si>
    <t>TXN500360</t>
  </si>
  <si>
    <t>LOAN900252</t>
  </si>
  <si>
    <t>TXN500361</t>
  </si>
  <si>
    <t>APP700522</t>
  </si>
  <si>
    <t>TXN500362</t>
  </si>
  <si>
    <t>TXN500363</t>
  </si>
  <si>
    <t>LOAN900253</t>
  </si>
  <si>
    <t>CUST100219</t>
  </si>
  <si>
    <t>APP700526</t>
  </si>
  <si>
    <t>APP700198</t>
  </si>
  <si>
    <t>TXN500364</t>
  </si>
  <si>
    <t>CUST100224</t>
  </si>
  <si>
    <t>TXN500365</t>
  </si>
  <si>
    <t>LOAN900254</t>
  </si>
  <si>
    <t>CUST100220</t>
  </si>
  <si>
    <t>APP700527</t>
  </si>
  <si>
    <t>APP700199</t>
  </si>
  <si>
    <t>TXN500366</t>
  </si>
  <si>
    <t>CUST100384</t>
  </si>
  <si>
    <t>LOAN900255</t>
  </si>
  <si>
    <t>TXN500367</t>
  </si>
  <si>
    <t>CUST100221</t>
  </si>
  <si>
    <t>APP700529</t>
  </si>
  <si>
    <t>TXN500368</t>
  </si>
  <si>
    <t>CUST100806</t>
  </si>
  <si>
    <t>TXN500369</t>
  </si>
  <si>
    <t>LOAN900256</t>
  </si>
  <si>
    <t>CUST100222</t>
  </si>
  <si>
    <t>CUST100562</t>
  </si>
  <si>
    <t>APP700530</t>
  </si>
  <si>
    <t>TXN500370</t>
  </si>
  <si>
    <t>TXN500371</t>
  </si>
  <si>
    <t>LOAN900257</t>
  </si>
  <si>
    <t>CUST100810</t>
  </si>
  <si>
    <t>CUST100223</t>
  </si>
  <si>
    <t>APP700531</t>
  </si>
  <si>
    <t>APP700201</t>
  </si>
  <si>
    <t>TXN500372</t>
  </si>
  <si>
    <t>CUST100408</t>
  </si>
  <si>
    <t>LOAN900258</t>
  </si>
  <si>
    <t>TXN500373</t>
  </si>
  <si>
    <t>CUST100803</t>
  </si>
  <si>
    <t>APP700532</t>
  </si>
  <si>
    <t>APP700202</t>
  </si>
  <si>
    <t>TXN500374</t>
  </si>
  <si>
    <t>LOAN900259</t>
  </si>
  <si>
    <t>TXN500375</t>
  </si>
  <si>
    <t>CUST100243</t>
  </si>
  <si>
    <t>APP700533</t>
  </si>
  <si>
    <t>TXN500376</t>
  </si>
  <si>
    <t>CUST100649</t>
  </si>
  <si>
    <t>APP700203</t>
  </si>
  <si>
    <t>CUST100892</t>
  </si>
  <si>
    <t>TXN500377</t>
  </si>
  <si>
    <t>LOAN900260</t>
  </si>
  <si>
    <t>CUST100448</t>
  </si>
  <si>
    <t>CUST100226</t>
  </si>
  <si>
    <t>APP700536</t>
  </si>
  <si>
    <t>TXN500378</t>
  </si>
  <si>
    <t>APP700204</t>
  </si>
  <si>
    <t>LOAN900261</t>
  </si>
  <si>
    <t>APP700543</t>
  </si>
  <si>
    <t>LOAN900262</t>
  </si>
  <si>
    <t>TXN500379</t>
  </si>
  <si>
    <t>CUST100370</t>
  </si>
  <si>
    <t>APP700547</t>
  </si>
  <si>
    <t>TXN500380</t>
  </si>
  <si>
    <t>LOAN900263</t>
  </si>
  <si>
    <t>APP700205</t>
  </si>
  <si>
    <t>CUST100383</t>
  </si>
  <si>
    <t>TXN500381</t>
  </si>
  <si>
    <t>APP700548</t>
  </si>
  <si>
    <t>CUST100401</t>
  </si>
  <si>
    <t>TXN500382</t>
  </si>
  <si>
    <t>LOAN900264</t>
  </si>
  <si>
    <t>TXN500383</t>
  </si>
  <si>
    <t>APP700550</t>
  </si>
  <si>
    <t>TXN500384</t>
  </si>
  <si>
    <t>CUST100656</t>
  </si>
  <si>
    <t>LOAN900265</t>
  </si>
  <si>
    <t>APP700551</t>
  </si>
  <si>
    <t>TXN500385</t>
  </si>
  <si>
    <t>TXN500386</t>
  </si>
  <si>
    <t>LOAN900266</t>
  </si>
  <si>
    <t>CUST100233</t>
  </si>
  <si>
    <t>APP700552</t>
  </si>
  <si>
    <t>TXN500387</t>
  </si>
  <si>
    <t>TXN500388</t>
  </si>
  <si>
    <t>LOAN900267</t>
  </si>
  <si>
    <t>TXN500389</t>
  </si>
  <si>
    <t>CUST100235</t>
  </si>
  <si>
    <t>APP700556</t>
  </si>
  <si>
    <t>APP700210</t>
  </si>
  <si>
    <t>TXN500390</t>
  </si>
  <si>
    <t>LOAN900268</t>
  </si>
  <si>
    <t>APP700558</t>
  </si>
  <si>
    <t>TXN500391</t>
  </si>
  <si>
    <t>LOAN900269</t>
  </si>
  <si>
    <t>CUST100537</t>
  </si>
  <si>
    <t>TXN500392</t>
  </si>
  <si>
    <t>CUST100237</t>
  </si>
  <si>
    <t>APP700560</t>
  </si>
  <si>
    <t>TXN500393</t>
  </si>
  <si>
    <t>CUST100340</t>
  </si>
  <si>
    <t>LOAN900270</t>
  </si>
  <si>
    <t>CUST100790</t>
  </si>
  <si>
    <t>CUST100238</t>
  </si>
  <si>
    <t>APP700561</t>
  </si>
  <si>
    <t>TXN500394</t>
  </si>
  <si>
    <t>CUST100507</t>
  </si>
  <si>
    <t>LOAN900271</t>
  </si>
  <si>
    <t>TXN500395</t>
  </si>
  <si>
    <t>CUST100368</t>
  </si>
  <si>
    <t>APP700562</t>
  </si>
  <si>
    <t>TXN500396</t>
  </si>
  <si>
    <t>CUST100272</t>
  </si>
  <si>
    <t>TXN500397</t>
  </si>
  <si>
    <t>LOAN900272</t>
  </si>
  <si>
    <t>CUST100813</t>
  </si>
  <si>
    <t>APP700564</t>
  </si>
  <si>
    <t>APP700212</t>
  </si>
  <si>
    <t>TXN500398</t>
  </si>
  <si>
    <t>LOAN900273</t>
  </si>
  <si>
    <t>CUST100653</t>
  </si>
  <si>
    <t>APP700565</t>
  </si>
  <si>
    <t>TXN500399</t>
  </si>
  <si>
    <t>APP700213</t>
  </si>
  <si>
    <t>LOAN900274</t>
  </si>
  <si>
    <t>CUST100592</t>
  </si>
  <si>
    <t>TXN500400</t>
  </si>
  <si>
    <t>CUST100631</t>
  </si>
  <si>
    <t>CUST100242</t>
  </si>
  <si>
    <t>TXN500401</t>
  </si>
  <si>
    <t>CUST100379</t>
  </si>
  <si>
    <t>APP700214</t>
  </si>
  <si>
    <t>APP700566</t>
  </si>
  <si>
    <t>CUST100692</t>
  </si>
  <si>
    <t>TXN500402</t>
  </si>
  <si>
    <t>LOAN900275</t>
  </si>
  <si>
    <t>CUST100866</t>
  </si>
  <si>
    <t>APP700568</t>
  </si>
  <si>
    <t>TXN500403</t>
  </si>
  <si>
    <t>CUST100482</t>
  </si>
  <si>
    <t>TXN500404</t>
  </si>
  <si>
    <t>LOAN900276</t>
  </si>
  <si>
    <t>APP700569</t>
  </si>
  <si>
    <t>TXN500405</t>
  </si>
  <si>
    <t>APP700216</t>
  </si>
  <si>
    <t>CUST100769</t>
  </si>
  <si>
    <t>TXN500406</t>
  </si>
  <si>
    <t>LOAN900277</t>
  </si>
  <si>
    <t>APP700573</t>
  </si>
  <si>
    <t>TXN500407</t>
  </si>
  <si>
    <t>APP700217</t>
  </si>
  <si>
    <t>CUST100681</t>
  </si>
  <si>
    <t>LOAN900278</t>
  </si>
  <si>
    <t>TXN500408</t>
  </si>
  <si>
    <t>APP700575</t>
  </si>
  <si>
    <t>CUST100247</t>
  </si>
  <si>
    <t>TXN500409</t>
  </si>
  <si>
    <t>LOAN900279</t>
  </si>
  <si>
    <t>APP700578</t>
  </si>
  <si>
    <t>TXN500410</t>
  </si>
  <si>
    <t>CUST100317</t>
  </si>
  <si>
    <t>APP700219</t>
  </si>
  <si>
    <t>LOAN900280</t>
  </si>
  <si>
    <t>CUST100248</t>
  </si>
  <si>
    <t>CUST100587</t>
  </si>
  <si>
    <t>TXN500411</t>
  </si>
  <si>
    <t>APP700579</t>
  </si>
  <si>
    <t>TXN500412</t>
  </si>
  <si>
    <t>LOAN900281</t>
  </si>
  <si>
    <t>APP700220</t>
  </si>
  <si>
    <t>APP700582</t>
  </si>
  <si>
    <t>TXN500413</t>
  </si>
  <si>
    <t>CUST100342</t>
  </si>
  <si>
    <t>TXN500414</t>
  </si>
  <si>
    <t>CUST100250</t>
  </si>
  <si>
    <t>LOAN900282</t>
  </si>
  <si>
    <t>CUST100581</t>
  </si>
  <si>
    <t>APP700586</t>
  </si>
  <si>
    <t>TXN500415</t>
  </si>
  <si>
    <t>APP700221</t>
  </si>
  <si>
    <t>TXN500416</t>
  </si>
  <si>
    <t>LOAN900283</t>
  </si>
  <si>
    <t>TXN500417</t>
  </si>
  <si>
    <t>APP700587</t>
  </si>
  <si>
    <t>APP700222</t>
  </si>
  <si>
    <t>CUST100706</t>
  </si>
  <si>
    <t>TXN500418</t>
  </si>
  <si>
    <t>LOAN900284</t>
  </si>
  <si>
    <t>CUST100610</t>
  </si>
  <si>
    <t>APP700589</t>
  </si>
  <si>
    <t>TXN500419</t>
  </si>
  <si>
    <t>CUST100775</t>
  </si>
  <si>
    <t>TXN500420</t>
  </si>
  <si>
    <t>LOAN900285</t>
  </si>
  <si>
    <t>TXN500421</t>
  </si>
  <si>
    <t>APP700590</t>
  </si>
  <si>
    <t>CUST100255</t>
  </si>
  <si>
    <t>TXN500422</t>
  </si>
  <si>
    <t>CUST100771</t>
  </si>
  <si>
    <t>LOAN900286</t>
  </si>
  <si>
    <t>CUST100636</t>
  </si>
  <si>
    <t>APP700594</t>
  </si>
  <si>
    <t>TXN500423</t>
  </si>
  <si>
    <t>TXN500424</t>
  </si>
  <si>
    <t>APP700224</t>
  </si>
  <si>
    <t>LOAN900287</t>
  </si>
  <si>
    <t>CUST100827</t>
  </si>
  <si>
    <t>APP700596</t>
  </si>
  <si>
    <t>TXN500425</t>
  </si>
  <si>
    <t>LOAN900288</t>
  </si>
  <si>
    <t>CUST100324</t>
  </si>
  <si>
    <t>APP700597</t>
  </si>
  <si>
    <t>TXN500426</t>
  </si>
  <si>
    <t>CUST100820</t>
  </si>
  <si>
    <t>CUST100258</t>
  </si>
  <si>
    <t>LOAN900289</t>
  </si>
  <si>
    <t>TXN500427</t>
  </si>
  <si>
    <t>CUST100352</t>
  </si>
  <si>
    <t>APP700599</t>
  </si>
  <si>
    <t>TXN500428</t>
  </si>
  <si>
    <t>APP700226</t>
  </si>
  <si>
    <t>CUST100351</t>
  </si>
  <si>
    <t>LOAN900290</t>
  </si>
  <si>
    <t>APP700603</t>
  </si>
  <si>
    <t>TXN500429</t>
  </si>
  <si>
    <t>TXN500430</t>
  </si>
  <si>
    <t>LOAN900291</t>
  </si>
  <si>
    <t>APP700609</t>
  </si>
  <si>
    <t>CUST100261</t>
  </si>
  <si>
    <t>TXN500431</t>
  </si>
  <si>
    <t>LOAN900292</t>
  </si>
  <si>
    <t>APP700613</t>
  </si>
  <si>
    <t>TXN500432</t>
  </si>
  <si>
    <t>LOAN900293</t>
  </si>
  <si>
    <t>CUST100390</t>
  </si>
  <si>
    <t>APP700619</t>
  </si>
  <si>
    <t>TXN500433</t>
  </si>
  <si>
    <t>CUST100426</t>
  </si>
  <si>
    <t>CUST100263</t>
  </si>
  <si>
    <t>TXN500434</t>
  </si>
  <si>
    <t>CUST100691</t>
  </si>
  <si>
    <t>APP700229</t>
  </si>
  <si>
    <t>CUST100264</t>
  </si>
  <si>
    <t>LOAN900294</t>
  </si>
  <si>
    <t>TXN500435</t>
  </si>
  <si>
    <t>CUST100403</t>
  </si>
  <si>
    <t>APP700621</t>
  </si>
  <si>
    <t>TXN500436</t>
  </si>
  <si>
    <t>LOAN900295</t>
  </si>
  <si>
    <t>TXN500437</t>
  </si>
  <si>
    <t>APP700625</t>
  </si>
  <si>
    <t>TXN500438</t>
  </si>
  <si>
    <t>LOAN900296</t>
  </si>
  <si>
    <t>APP700628</t>
  </si>
  <si>
    <t>TXN500439</t>
  </si>
  <si>
    <t>TXN500440</t>
  </si>
  <si>
    <t>LOAN900297</t>
  </si>
  <si>
    <t>APP700629</t>
  </si>
  <si>
    <t>TXN500441</t>
  </si>
  <si>
    <t>CUST100809</t>
  </si>
  <si>
    <t>LOAN900298</t>
  </si>
  <si>
    <t>TXN500442</t>
  </si>
  <si>
    <t>APP700631</t>
  </si>
  <si>
    <t>TXN500443</t>
  </si>
  <si>
    <t>LOAN900299</t>
  </si>
  <si>
    <t>APP700633</t>
  </si>
  <si>
    <t>TXN500444</t>
  </si>
  <si>
    <t>CUST100369</t>
  </si>
  <si>
    <t>TXN500445</t>
  </si>
  <si>
    <t>LOAN900300</t>
  </si>
  <si>
    <t>CUST100591</t>
  </si>
  <si>
    <t>APP700634</t>
  </si>
  <si>
    <t>CUST100271</t>
  </si>
  <si>
    <t>TXN500446</t>
  </si>
  <si>
    <t>TXN500447</t>
  </si>
  <si>
    <t>LOAN900301</t>
  </si>
  <si>
    <t>APP700635</t>
  </si>
  <si>
    <t>APP700235</t>
  </si>
  <si>
    <t>TXN500448</t>
  </si>
  <si>
    <t>LOAN900302</t>
  </si>
  <si>
    <t>APP700636</t>
  </si>
  <si>
    <t>TXN500449</t>
  </si>
  <si>
    <t>CUST100708</t>
  </si>
  <si>
    <t>LOAN900303</t>
  </si>
  <si>
    <t>APP700236</t>
  </si>
  <si>
    <t>CUST100292</t>
  </si>
  <si>
    <t>TXN500450</t>
  </si>
  <si>
    <t>APP700639</t>
  </si>
  <si>
    <t>TXN500451</t>
  </si>
  <si>
    <t>LOAN900304</t>
  </si>
  <si>
    <t>APP700641</t>
  </si>
  <si>
    <t>TXN500452</t>
  </si>
  <si>
    <t>CUST100619</t>
  </si>
  <si>
    <t>LOAN900305</t>
  </si>
  <si>
    <t>CUST100510</t>
  </si>
  <si>
    <t>APP700642</t>
  </si>
  <si>
    <t>TXN500453</t>
  </si>
  <si>
    <t>APP700238</t>
  </si>
  <si>
    <t>TXN500454</t>
  </si>
  <si>
    <t>CUST100577</t>
  </si>
  <si>
    <t>LOAN900306</t>
  </si>
  <si>
    <t>APP700647</t>
  </si>
  <si>
    <t>TXN500455</t>
  </si>
  <si>
    <t>TXN500456</t>
  </si>
  <si>
    <t>APP700239</t>
  </si>
  <si>
    <t>CUST100779</t>
  </si>
  <si>
    <t>CUST100628</t>
  </si>
  <si>
    <t>CUST100278</t>
  </si>
  <si>
    <t>LOAN900307</t>
  </si>
  <si>
    <t>APP700652</t>
  </si>
  <si>
    <t>TXN500457</t>
  </si>
  <si>
    <t>CUST100279</t>
  </si>
  <si>
    <t>TXN500458</t>
  </si>
  <si>
    <t>APP700240</t>
  </si>
  <si>
    <t>LOAN900308</t>
  </si>
  <si>
    <t>TXN500459</t>
  </si>
  <si>
    <t>APP700654</t>
  </si>
  <si>
    <t>CUST100280</t>
  </si>
  <si>
    <t>TXN500460</t>
  </si>
  <si>
    <t>LOAN900309</t>
  </si>
  <si>
    <t>TXN500461</t>
  </si>
  <si>
    <t>APP700655</t>
  </si>
  <si>
    <t>TXN500462</t>
  </si>
  <si>
    <t>CUST100282</t>
  </si>
  <si>
    <t>APP700242</t>
  </si>
  <si>
    <t>LOAN900310</t>
  </si>
  <si>
    <t>CUST100885</t>
  </si>
  <si>
    <t>APP700656</t>
  </si>
  <si>
    <t>TXN500463</t>
  </si>
  <si>
    <t>CUST100283</t>
  </si>
  <si>
    <t>LOAN900311</t>
  </si>
  <si>
    <t>TXN500464</t>
  </si>
  <si>
    <t>APP700657</t>
  </si>
  <si>
    <t>TXN500465</t>
  </si>
  <si>
    <t>LOAN900312</t>
  </si>
  <si>
    <t>CUST100494</t>
  </si>
  <si>
    <t>APP700243</t>
  </si>
  <si>
    <t>TXN500466</t>
  </si>
  <si>
    <t>APP700659</t>
  </si>
  <si>
    <t>TXN500467</t>
  </si>
  <si>
    <t>LOAN900313</t>
  </si>
  <si>
    <t>TXN500468</t>
  </si>
  <si>
    <t>CUST100313</t>
  </si>
  <si>
    <t>APP700660</t>
  </si>
  <si>
    <t>TXN500469</t>
  </si>
  <si>
    <t>LOAN900314</t>
  </si>
  <si>
    <t>APP700663</t>
  </si>
  <si>
    <t>TXN500470</t>
  </si>
  <si>
    <t>CUST100602</t>
  </si>
  <si>
    <t>LOAN900315</t>
  </si>
  <si>
    <t>CUST100375</t>
  </si>
  <si>
    <t>CUST100288</t>
  </si>
  <si>
    <t>APP700664</t>
  </si>
  <si>
    <t>LOAN900316</t>
  </si>
  <si>
    <t>APP700665</t>
  </si>
  <si>
    <t>TXN500471</t>
  </si>
  <si>
    <t>LOAN900317</t>
  </si>
  <si>
    <t>TXN500472</t>
  </si>
  <si>
    <t>CUST100459</t>
  </si>
  <si>
    <t>APP700666</t>
  </si>
  <si>
    <t>CUST100291</t>
  </si>
  <si>
    <t>TXN500473</t>
  </si>
  <si>
    <t>APP700245</t>
  </si>
  <si>
    <t>CUST100773</t>
  </si>
  <si>
    <t>LOAN900318</t>
  </si>
  <si>
    <t>APP700668</t>
  </si>
  <si>
    <t>TXN500474</t>
  </si>
  <si>
    <t>APP700246</t>
  </si>
  <si>
    <t>LOAN900319</t>
  </si>
  <si>
    <t>TXN500475</t>
  </si>
  <si>
    <t>APP700672</t>
  </si>
  <si>
    <t>TXN500476</t>
  </si>
  <si>
    <t>CUST100740</t>
  </si>
  <si>
    <t>CUST100294</t>
  </si>
  <si>
    <t>LOAN900320</t>
  </si>
  <si>
    <t>APP700676</t>
  </si>
  <si>
    <t>TXN500477</t>
  </si>
  <si>
    <t>CUST100295</t>
  </si>
  <si>
    <t>TXN500478</t>
  </si>
  <si>
    <t>LOAN900321</t>
  </si>
  <si>
    <t>CUST100584</t>
  </si>
  <si>
    <t>TXN500479</t>
  </si>
  <si>
    <t>APP700677</t>
  </si>
  <si>
    <t>TXN500480</t>
  </si>
  <si>
    <t>CUST100599</t>
  </si>
  <si>
    <t>APP700249</t>
  </si>
  <si>
    <t>LOAN900322</t>
  </si>
  <si>
    <t>CUST100444</t>
  </si>
  <si>
    <t>CUST100399</t>
  </si>
  <si>
    <t>APP700678</t>
  </si>
  <si>
    <t>TXN500481</t>
  </si>
  <si>
    <t>CUST100298</t>
  </si>
  <si>
    <t>LOAN900323</t>
  </si>
  <si>
    <t>TXN500482</t>
  </si>
  <si>
    <t>APP700250</t>
  </si>
  <si>
    <t>APP700682</t>
  </si>
  <si>
    <t>CUST100685</t>
  </si>
  <si>
    <t>TXN500483</t>
  </si>
  <si>
    <t>LOAN900324</t>
  </si>
  <si>
    <t>CUST100679</t>
  </si>
  <si>
    <t>APP700685</t>
  </si>
  <si>
    <t>TXN500484</t>
  </si>
  <si>
    <t>CUST100300</t>
  </si>
  <si>
    <t>LOAN900325</t>
  </si>
  <si>
    <t>APP700688</t>
  </si>
  <si>
    <t>TXN500485</t>
  </si>
  <si>
    <t>CUST100301</t>
  </si>
  <si>
    <t>CUST100543</t>
  </si>
  <si>
    <t>LOAN900326</t>
  </si>
  <si>
    <t>TXN500486</t>
  </si>
  <si>
    <t>APP700689</t>
  </si>
  <si>
    <t>TXN500487</t>
  </si>
  <si>
    <t>LOAN900327</t>
  </si>
  <si>
    <t>CUST100330</t>
  </si>
  <si>
    <t>APP700691</t>
  </si>
  <si>
    <t>TXN500488</t>
  </si>
  <si>
    <t>CUST100304</t>
  </si>
  <si>
    <t>TXN500489</t>
  </si>
  <si>
    <t>CUST100863</t>
  </si>
  <si>
    <t>LOAN900328</t>
  </si>
  <si>
    <t>CUST100305</t>
  </si>
  <si>
    <t>APP700694</t>
  </si>
  <si>
    <t>TXN500490</t>
  </si>
  <si>
    <t>LOAN900329</t>
  </si>
  <si>
    <t>CUST100648</t>
  </si>
  <si>
    <t>TXN500491</t>
  </si>
  <si>
    <t>APP700695</t>
  </si>
  <si>
    <t>LOAN900330</t>
  </si>
  <si>
    <t>TXN500492</t>
  </si>
  <si>
    <t>APP700256</t>
  </si>
  <si>
    <t>CUST100492</t>
  </si>
  <si>
    <t>CUST100377</t>
  </si>
  <si>
    <t>APP700698</t>
  </si>
  <si>
    <t>TXN500493</t>
  </si>
  <si>
    <t>APP700257</t>
  </si>
  <si>
    <t>LOAN900331</t>
  </si>
  <si>
    <t>CUST100309</t>
  </si>
  <si>
    <t>APP700699</t>
  </si>
  <si>
    <t>TXN500494</t>
  </si>
  <si>
    <t>APP700258</t>
  </si>
  <si>
    <t>CUST100310</t>
  </si>
  <si>
    <t>TXN500495</t>
  </si>
  <si>
    <t>LOAN900332</t>
  </si>
  <si>
    <t>APP700700</t>
  </si>
  <si>
    <t>TXN500496</t>
  </si>
  <si>
    <t>CUST100311</t>
  </si>
  <si>
    <t>APP700259</t>
  </si>
  <si>
    <t>TXN500497</t>
  </si>
  <si>
    <t>CUST100312</t>
  </si>
  <si>
    <t>LOAN900333</t>
  </si>
  <si>
    <t>CUST100360</t>
  </si>
  <si>
    <t>APP700701</t>
  </si>
  <si>
    <t>TXN500498</t>
  </si>
  <si>
    <t>CUST100332</t>
  </si>
  <si>
    <t>LOAN900334</t>
  </si>
  <si>
    <t>TXN500499</t>
  </si>
  <si>
    <t>APP700702</t>
  </si>
  <si>
    <t>TXN500500</t>
  </si>
  <si>
    <t>CUST100475</t>
  </si>
  <si>
    <t>LOAN900335</t>
  </si>
  <si>
    <t>APP700703</t>
  </si>
  <si>
    <t>CUST100315</t>
  </si>
  <si>
    <t>TXN500501</t>
  </si>
  <si>
    <t>APP700262</t>
  </si>
  <si>
    <t>CUST100670</t>
  </si>
  <si>
    <t>LOAN900336</t>
  </si>
  <si>
    <t>TXN500502</t>
  </si>
  <si>
    <t>APP700704</t>
  </si>
  <si>
    <t>TXN500503</t>
  </si>
  <si>
    <t>APP700263</t>
  </si>
  <si>
    <t>LOAN900337</t>
  </si>
  <si>
    <t>CUST100700</t>
  </si>
  <si>
    <t>APP700706</t>
  </si>
  <si>
    <t>TXN500504</t>
  </si>
  <si>
    <t>CUST100318</t>
  </si>
  <si>
    <t>LOAN900338</t>
  </si>
  <si>
    <t>APP700708</t>
  </si>
  <si>
    <t>TXN500505</t>
  </si>
  <si>
    <t>CUST100737</t>
  </si>
  <si>
    <t>TXN500506</t>
  </si>
  <si>
    <t>LOAN900339</t>
  </si>
  <si>
    <t>APP700709</t>
  </si>
  <si>
    <t>TXN500507</t>
  </si>
  <si>
    <t>CUST100726</t>
  </si>
  <si>
    <t>LOAN900340</t>
  </si>
  <si>
    <t>TXN500508</t>
  </si>
  <si>
    <t>APP700710</t>
  </si>
  <si>
    <t>CUST100635</t>
  </si>
  <si>
    <t>CUST100321</t>
  </si>
  <si>
    <t>APP700266</t>
  </si>
  <si>
    <t>TXN500509</t>
  </si>
  <si>
    <t>LOAN900341</t>
  </si>
  <si>
    <t>TXN500510</t>
  </si>
  <si>
    <t>APP700713</t>
  </si>
  <si>
    <t>TXN500511</t>
  </si>
  <si>
    <t>CUST100858</t>
  </si>
  <si>
    <t>CUST100323</t>
  </si>
  <si>
    <t>TXN500512</t>
  </si>
  <si>
    <t>LOAN900342</t>
  </si>
  <si>
    <t>APP700268</t>
  </si>
  <si>
    <t>TXN500513</t>
  </si>
  <si>
    <t>APP700714</t>
  </si>
  <si>
    <t>CUST100873</t>
  </si>
  <si>
    <t>TXN500514</t>
  </si>
  <si>
    <t>LOAN900343</t>
  </si>
  <si>
    <t>CUST100857</t>
  </si>
  <si>
    <t>APP700715</t>
  </si>
  <si>
    <t>TXN500515</t>
  </si>
  <si>
    <t>APP700270</t>
  </si>
  <si>
    <t>TXN500516</t>
  </si>
  <si>
    <t>LOAN900344</t>
  </si>
  <si>
    <t>CUST100327</t>
  </si>
  <si>
    <t>APP700716</t>
  </si>
  <si>
    <t>TXN500517</t>
  </si>
  <si>
    <t>APP700271</t>
  </si>
  <si>
    <t>LOAN900345</t>
  </si>
  <si>
    <t>APP700717</t>
  </si>
  <si>
    <t>TXN500518</t>
  </si>
  <si>
    <t>CUST100830</t>
  </si>
  <si>
    <t>APP700272</t>
  </si>
  <si>
    <t>TXN500519</t>
  </si>
  <si>
    <t>LOAN900346</t>
  </si>
  <si>
    <t>CUST100620</t>
  </si>
  <si>
    <t>APP700719</t>
  </si>
  <si>
    <t>TXN500520</t>
  </si>
  <si>
    <t>LOAN900347</t>
  </si>
  <si>
    <t>TXN500521</t>
  </si>
  <si>
    <t>CUST100331</t>
  </si>
  <si>
    <t>APP700721</t>
  </si>
  <si>
    <t>TXN500522</t>
  </si>
  <si>
    <t>LOAN900348</t>
  </si>
  <si>
    <t>APP700722</t>
  </si>
  <si>
    <t>TXN500523</t>
  </si>
  <si>
    <t>CUST100333</t>
  </si>
  <si>
    <t>LOAN900349</t>
  </si>
  <si>
    <t>APP700275</t>
  </si>
  <si>
    <t>CUST100877</t>
  </si>
  <si>
    <t>TXN500524</t>
  </si>
  <si>
    <t>CUST100334</t>
  </si>
  <si>
    <t>APP700724</t>
  </si>
  <si>
    <t>TXN500525</t>
  </si>
  <si>
    <t>LOAN900350</t>
  </si>
  <si>
    <t>APP700725</t>
  </si>
  <si>
    <t>TXN500526</t>
  </si>
  <si>
    <t>LOAN900351</t>
  </si>
  <si>
    <t>TXN500527</t>
  </si>
  <si>
    <t>CUST100843</t>
  </si>
  <si>
    <t>APP700727</t>
  </si>
  <si>
    <t>TXN500528</t>
  </si>
  <si>
    <t>LOAN900352</t>
  </si>
  <si>
    <t>APP700278</t>
  </si>
  <si>
    <t>APP700732</t>
  </si>
  <si>
    <t>TXN500529</t>
  </si>
  <si>
    <t>CUST100359</t>
  </si>
  <si>
    <t>LOAN900353</t>
  </si>
  <si>
    <t>TXN500530</t>
  </si>
  <si>
    <t>APP700734</t>
  </si>
  <si>
    <t>TXN500531</t>
  </si>
  <si>
    <t>LOAN900354</t>
  </si>
  <si>
    <t>CUST100664</t>
  </si>
  <si>
    <t>APP700736</t>
  </si>
  <si>
    <t>TXN500532</t>
  </si>
  <si>
    <t>LOAN900355</t>
  </si>
  <si>
    <t>APP700739</t>
  </si>
  <si>
    <t>TXN500533</t>
  </si>
  <si>
    <t>APP700281</t>
  </si>
  <si>
    <t>LOAN900356</t>
  </si>
  <si>
    <t>CUST100764</t>
  </si>
  <si>
    <t>APP700743</t>
  </si>
  <si>
    <t>TXN500534</t>
  </si>
  <si>
    <t>LOAN900357</t>
  </si>
  <si>
    <t>APP700748</t>
  </si>
  <si>
    <t>TXN500535</t>
  </si>
  <si>
    <t>CUST100344</t>
  </si>
  <si>
    <t>LOAN900358</t>
  </si>
  <si>
    <t>APP700751</t>
  </si>
  <si>
    <t>TXN500536</t>
  </si>
  <si>
    <t>APP700283</t>
  </si>
  <si>
    <t>TXN500537</t>
  </si>
  <si>
    <t>LOAN900359</t>
  </si>
  <si>
    <t>APP700752</t>
  </si>
  <si>
    <t>CUST100346</t>
  </si>
  <si>
    <t>TXN500538</t>
  </si>
  <si>
    <t>LOAN900360</t>
  </si>
  <si>
    <t>APP700763</t>
  </si>
  <si>
    <t>CUST100347</t>
  </si>
  <si>
    <t>TXN500539</t>
  </si>
  <si>
    <t>LOAN900361</t>
  </si>
  <si>
    <t>APP700285</t>
  </si>
  <si>
    <t>APP700767</t>
  </si>
  <si>
    <t>CUST100348</t>
  </si>
  <si>
    <t>TXN500540</t>
  </si>
  <si>
    <t>LOAN900362</t>
  </si>
  <si>
    <t>APP700768</t>
  </si>
  <si>
    <t>CUST100349</t>
  </si>
  <si>
    <t>TXN500541</t>
  </si>
  <si>
    <t>APP700286</t>
  </si>
  <si>
    <t>LOAN900363</t>
  </si>
  <si>
    <t>APP700770</t>
  </si>
  <si>
    <t>TXN500542</t>
  </si>
  <si>
    <t>LOAN900364</t>
  </si>
  <si>
    <t>TXN500543</t>
  </si>
  <si>
    <t>APP700771</t>
  </si>
  <si>
    <t>TXN500544</t>
  </si>
  <si>
    <t>APP700288</t>
  </si>
  <si>
    <t>LOAN900365</t>
  </si>
  <si>
    <t>APP700773</t>
  </si>
  <si>
    <t>TXN500545</t>
  </si>
  <si>
    <t>TXN500546</t>
  </si>
  <si>
    <t>LOAN900366</t>
  </si>
  <si>
    <t>APP700774</t>
  </si>
  <si>
    <t>TXN500547</t>
  </si>
  <si>
    <t>LOAN900367</t>
  </si>
  <si>
    <t>CUST100355</t>
  </si>
  <si>
    <t>APP700775</t>
  </si>
  <si>
    <t>TXN500548</t>
  </si>
  <si>
    <t>CUST100356</t>
  </si>
  <si>
    <t>LOAN900368</t>
  </si>
  <si>
    <t>APP700291</t>
  </si>
  <si>
    <t>APP700777</t>
  </si>
  <si>
    <t>TXN500549</t>
  </si>
  <si>
    <t>LOAN900369</t>
  </si>
  <si>
    <t>APP700779</t>
  </si>
  <si>
    <t>TXN500550</t>
  </si>
  <si>
    <t>TXN500551</t>
  </si>
  <si>
    <t>LOAN900370</t>
  </si>
  <si>
    <t>APP700782</t>
  </si>
  <si>
    <t>APP700293</t>
  </si>
  <si>
    <t>TXN500552</t>
  </si>
  <si>
    <t>LOAN900371</t>
  </si>
  <si>
    <t>APP700784</t>
  </si>
  <si>
    <t>APP700294</t>
  </si>
  <si>
    <t>TXN500553</t>
  </si>
  <si>
    <t>LOAN900372</t>
  </si>
  <si>
    <t>APP700785</t>
  </si>
  <si>
    <t>TXN500554</t>
  </si>
  <si>
    <t>APP700295</t>
  </si>
  <si>
    <t>CUST100641</t>
  </si>
  <si>
    <t>LOAN900373</t>
  </si>
  <si>
    <t>APP700786</t>
  </si>
  <si>
    <t>TXN500555</t>
  </si>
  <si>
    <t>LOAN900374</t>
  </si>
  <si>
    <t>APP700790</t>
  </si>
  <si>
    <t>CUST100364</t>
  </si>
  <si>
    <t>TXN500556</t>
  </si>
  <si>
    <t>LOAN900375</t>
  </si>
  <si>
    <t>APP700792</t>
  </si>
  <si>
    <t>TXN500557</t>
  </si>
  <si>
    <t>CUST100365</t>
  </si>
  <si>
    <t>LOAN900376</t>
  </si>
  <si>
    <t>APP700297</t>
  </si>
  <si>
    <t>APP700795</t>
  </si>
  <si>
    <t>CUST100366</t>
  </si>
  <si>
    <t>TXN500558</t>
  </si>
  <si>
    <t>LOAN900377</t>
  </si>
  <si>
    <t>APP700796</t>
  </si>
  <si>
    <t>TXN500559</t>
  </si>
  <si>
    <t>LOAN900378</t>
  </si>
  <si>
    <t>APP700797</t>
  </si>
  <si>
    <t>TXN500560</t>
  </si>
  <si>
    <t>LOAN900379</t>
  </si>
  <si>
    <t>APP700798</t>
  </si>
  <si>
    <t>APP700299</t>
  </si>
  <si>
    <t>CUST100458</t>
  </si>
  <si>
    <t>TXN500561</t>
  </si>
  <si>
    <t>LOAN900380</t>
  </si>
  <si>
    <t>CUST100428</t>
  </si>
  <si>
    <t>TXN500562</t>
  </si>
  <si>
    <t>APP700799</t>
  </si>
  <si>
    <t>LOAN900381</t>
  </si>
  <si>
    <t>TXN500563</t>
  </si>
  <si>
    <t>APP700800</t>
  </si>
  <si>
    <t>CUST100371</t>
  </si>
  <si>
    <t>LOAN900382</t>
  </si>
  <si>
    <t>TXN500564</t>
  </si>
  <si>
    <t>CUST100752</t>
  </si>
  <si>
    <t>APP700802</t>
  </si>
  <si>
    <t>CUST100372</t>
  </si>
  <si>
    <t>TXN500565</t>
  </si>
  <si>
    <t>LOAN900383</t>
  </si>
  <si>
    <t>APP700803</t>
  </si>
  <si>
    <t>APP700302</t>
  </si>
  <si>
    <t>TXN500566</t>
  </si>
  <si>
    <t>CUST100373</t>
  </si>
  <si>
    <t>LOAN900384</t>
  </si>
  <si>
    <t>APP700805</t>
  </si>
  <si>
    <t>TXN500567</t>
  </si>
  <si>
    <t>LOAN900385</t>
  </si>
  <si>
    <t>CUST100571</t>
  </si>
  <si>
    <t>APP700806</t>
  </si>
  <si>
    <t>TXN500568</t>
  </si>
  <si>
    <t>APP700304</t>
  </si>
  <si>
    <t>TXN500569</t>
  </si>
  <si>
    <t>CUST100409</t>
  </si>
  <si>
    <t>LOAN900386</t>
  </si>
  <si>
    <t>APP700808</t>
  </si>
  <si>
    <t>TXN500570</t>
  </si>
  <si>
    <t>CUST100731</t>
  </si>
  <si>
    <t>TXN500571</t>
  </si>
  <si>
    <t>LOAN900387</t>
  </si>
  <si>
    <t>APP700809</t>
  </si>
  <si>
    <t>APP700306</t>
  </si>
  <si>
    <t>TXN500572</t>
  </si>
  <si>
    <t>LOAN900388</t>
  </si>
  <si>
    <t>APP700814</t>
  </si>
  <si>
    <t>TXN500573</t>
  </si>
  <si>
    <t>APP700307</t>
  </si>
  <si>
    <t>LOAN900389</t>
  </si>
  <si>
    <t>APP700815</t>
  </si>
  <si>
    <t>TXN500574</t>
  </si>
  <si>
    <t>LOAN900390</t>
  </si>
  <si>
    <t>APP700308</t>
  </si>
  <si>
    <t>CUST100603</t>
  </si>
  <si>
    <t>APP700816</t>
  </si>
  <si>
    <t>TXN500575</t>
  </si>
  <si>
    <t>LOAN900391</t>
  </si>
  <si>
    <t>CUST100382</t>
  </si>
  <si>
    <t>APP700819</t>
  </si>
  <si>
    <t>TXN500576</t>
  </si>
  <si>
    <t>LOAN900392</t>
  </si>
  <si>
    <t>APP700820</t>
  </si>
  <si>
    <t>TXN500577</t>
  </si>
  <si>
    <t>LOAN900393</t>
  </si>
  <si>
    <t>APP700823</t>
  </si>
  <si>
    <t>TXN500578</t>
  </si>
  <si>
    <t>APP700311</t>
  </si>
  <si>
    <t>LOAN900394</t>
  </si>
  <si>
    <t>CUST100823</t>
  </si>
  <si>
    <t>APP700824</t>
  </si>
  <si>
    <t>TXN500579</t>
  </si>
  <si>
    <t>CUST100394</t>
  </si>
  <si>
    <t>LOAN900395</t>
  </si>
  <si>
    <t>APP700312</t>
  </si>
  <si>
    <t>APP700825</t>
  </si>
  <si>
    <t>CUST100387</t>
  </si>
  <si>
    <t>LOAN900396</t>
  </si>
  <si>
    <t>TXN500580</t>
  </si>
  <si>
    <t>APP700826</t>
  </si>
  <si>
    <t>APP700313</t>
  </si>
  <si>
    <t>CUST100637</t>
  </si>
  <si>
    <t>CUST100388</t>
  </si>
  <si>
    <t>LOAN900397</t>
  </si>
  <si>
    <t>TXN500581</t>
  </si>
  <si>
    <t>APP700828</t>
  </si>
  <si>
    <t>APP700314</t>
  </si>
  <si>
    <t>CUST100719</t>
  </si>
  <si>
    <t>TXN500582</t>
  </si>
  <si>
    <t>LOAN900398</t>
  </si>
  <si>
    <t>CUST100864</t>
  </si>
  <si>
    <t>APP700829</t>
  </si>
  <si>
    <t>TXN500583</t>
  </si>
  <si>
    <t>LOAN900399</t>
  </si>
  <si>
    <t>TXN500584</t>
  </si>
  <si>
    <t>APP700830</t>
  </si>
  <si>
    <t>LOAN900400</t>
  </si>
  <si>
    <t>TXN500585</t>
  </si>
  <si>
    <t>APP700831</t>
  </si>
  <si>
    <t>CUST100391</t>
  </si>
  <si>
    <t>APP700317</t>
  </si>
  <si>
    <t>LOAN900401</t>
  </si>
  <si>
    <t>TXN500586</t>
  </si>
  <si>
    <t>APP700835</t>
  </si>
  <si>
    <t>LOAN900402</t>
  </si>
  <si>
    <t>CUST100819</t>
  </si>
  <si>
    <t>APP700836</t>
  </si>
  <si>
    <t>CUST100393</t>
  </si>
  <si>
    <t>TXN500587</t>
  </si>
  <si>
    <t>LOAN900403</t>
  </si>
  <si>
    <t>APP700837</t>
  </si>
  <si>
    <t>TXN500588</t>
  </si>
  <si>
    <t>LOAN900404</t>
  </si>
  <si>
    <t>APP700840</t>
  </si>
  <si>
    <t>TXN500589</t>
  </si>
  <si>
    <t>LOAN900405</t>
  </si>
  <si>
    <t>APP700320</t>
  </si>
  <si>
    <t>APP700841</t>
  </si>
  <si>
    <t>TXN500590</t>
  </si>
  <si>
    <t>LOAN900406</t>
  </si>
  <si>
    <t>CUST100763</t>
  </si>
  <si>
    <t>APP700842</t>
  </si>
  <si>
    <t>TXN500591</t>
  </si>
  <si>
    <t>CUST100572</t>
  </si>
  <si>
    <t>LOAN900407</t>
  </si>
  <si>
    <t>APP700844</t>
  </si>
  <si>
    <t>TXN500592</t>
  </si>
  <si>
    <t>APP700322</t>
  </si>
  <si>
    <t>LOAN900408</t>
  </si>
  <si>
    <t>CUST100558</t>
  </si>
  <si>
    <t>APP700855</t>
  </si>
  <si>
    <t>CUST100398</t>
  </si>
  <si>
    <t>TXN500593</t>
  </si>
  <si>
    <t>LOAN900409</t>
  </si>
  <si>
    <t>APP700323</t>
  </si>
  <si>
    <t>APP700856</t>
  </si>
  <si>
    <t>TXN500594</t>
  </si>
  <si>
    <t>LOAN900410</t>
  </si>
  <si>
    <t>APP700858</t>
  </si>
  <si>
    <t>TXN500595</t>
  </si>
  <si>
    <t>CUST100400</t>
  </si>
  <si>
    <t>LOAN900411</t>
  </si>
  <si>
    <t>APP700862</t>
  </si>
  <si>
    <t>TXN500596</t>
  </si>
  <si>
    <t>APP700325</t>
  </si>
  <si>
    <t>LOAN900412</t>
  </si>
  <si>
    <t>APP700866</t>
  </si>
  <si>
    <t>TXN500597</t>
  </si>
  <si>
    <t>LOAN900413</t>
  </si>
  <si>
    <t>TXN500598</t>
  </si>
  <si>
    <t>CUST100519</t>
  </si>
  <si>
    <t>APP700867</t>
  </si>
  <si>
    <t>APP700326</t>
  </si>
  <si>
    <t>TXN500599</t>
  </si>
  <si>
    <t>LOAN900414</t>
  </si>
  <si>
    <t>CUST100847</t>
  </si>
  <si>
    <t>APP700871</t>
  </si>
  <si>
    <t>TXN500600</t>
  </si>
  <si>
    <t>LOAN900415</t>
  </si>
  <si>
    <t>APP700873</t>
  </si>
  <si>
    <t>TXN500601</t>
  </si>
  <si>
    <t>APP700328</t>
  </si>
  <si>
    <t>LOAN900416</t>
  </si>
  <si>
    <t>APP700876</t>
  </si>
  <si>
    <t>TXN500602</t>
  </si>
  <si>
    <t>LOAN900417</t>
  </si>
  <si>
    <t>TXN500603</t>
  </si>
  <si>
    <t>APP700877</t>
  </si>
  <si>
    <t>APP700329</t>
  </si>
  <si>
    <t>LOAN900418</t>
  </si>
  <si>
    <t>TXN500604</t>
  </si>
  <si>
    <t>CUST100557</t>
  </si>
  <si>
    <t>APP700880</t>
  </si>
  <si>
    <t>TXN500605</t>
  </si>
  <si>
    <t>LOAN900419</t>
  </si>
  <si>
    <t>APP700881</t>
  </si>
  <si>
    <t>CUST100407</t>
  </si>
  <si>
    <t>TXN500606</t>
  </si>
  <si>
    <t>LOAN900420</t>
  </si>
  <si>
    <t>APP700331</t>
  </si>
  <si>
    <t>APP700882</t>
  </si>
  <si>
    <t>TXN500607</t>
  </si>
  <si>
    <t>LOAN900421</t>
  </si>
  <si>
    <t>CUST100683</t>
  </si>
  <si>
    <t>APP700884</t>
  </si>
  <si>
    <t>TXN500608</t>
  </si>
  <si>
    <t>CUST100736</t>
  </si>
  <si>
    <t>LOAN900422</t>
  </si>
  <si>
    <t>CUST100755</t>
  </si>
  <si>
    <t>APP700888</t>
  </si>
  <si>
    <t>TXN500609</t>
  </si>
  <si>
    <t>LOAN900423</t>
  </si>
  <si>
    <t>APP700333</t>
  </si>
  <si>
    <t>APP700893</t>
  </si>
  <si>
    <t>TXN500610</t>
  </si>
  <si>
    <t>LOAN900424</t>
  </si>
  <si>
    <t>APP700895</t>
  </si>
  <si>
    <t>LOAN900425</t>
  </si>
  <si>
    <t>APP700896</t>
  </si>
  <si>
    <t>LOAN900426</t>
  </si>
  <si>
    <t>TXN500611</t>
  </si>
  <si>
    <t>APP700898</t>
  </si>
  <si>
    <t>LOAN900427</t>
  </si>
  <si>
    <t>APP700900</t>
  </si>
  <si>
    <t>TXN500612</t>
  </si>
  <si>
    <t>CUST100412</t>
  </si>
  <si>
    <t>LOAN900428</t>
  </si>
  <si>
    <t>TXN500613</t>
  </si>
  <si>
    <t>APP700901</t>
  </si>
  <si>
    <t>LOAN900429</t>
  </si>
  <si>
    <t>TXN500614</t>
  </si>
  <si>
    <t>CUST100452</t>
  </si>
  <si>
    <t>APP700906</t>
  </si>
  <si>
    <t>TXN500615</t>
  </si>
  <si>
    <t>LOAN900430</t>
  </si>
  <si>
    <t>TXN500616</t>
  </si>
  <si>
    <t>APP700907</t>
  </si>
  <si>
    <t>APP700337</t>
  </si>
  <si>
    <t>TXN500617</t>
  </si>
  <si>
    <t>CUST100831</t>
  </si>
  <si>
    <t>LOAN900431</t>
  </si>
  <si>
    <t>APP700911</t>
  </si>
  <si>
    <t>TXN500618</t>
  </si>
  <si>
    <t>APP700338</t>
  </si>
  <si>
    <t>LOAN900432</t>
  </si>
  <si>
    <t>APP700912</t>
  </si>
  <si>
    <t>APP700339</t>
  </si>
  <si>
    <t>TXN500619</t>
  </si>
  <si>
    <t>CUST100744</t>
  </si>
  <si>
    <t>LOAN900433</t>
  </si>
  <si>
    <t>CUST100825</t>
  </si>
  <si>
    <t>APP700915</t>
  </si>
  <si>
    <t>LOAN900434</t>
  </si>
  <si>
    <t>TXN500620</t>
  </si>
  <si>
    <t>APP700916</t>
  </si>
  <si>
    <t>APP700341</t>
  </si>
  <si>
    <t>TXN500621</t>
  </si>
  <si>
    <t>CUST100767</t>
  </si>
  <si>
    <t>LOAN900435</t>
  </si>
  <si>
    <t>CUST100418</t>
  </si>
  <si>
    <t>APP700917</t>
  </si>
  <si>
    <t>TXN500622</t>
  </si>
  <si>
    <t>LOAN900436</t>
  </si>
  <si>
    <t>APP700342</t>
  </si>
  <si>
    <t>APP700918</t>
  </si>
  <si>
    <t>TXN500623</t>
  </si>
  <si>
    <t>LOAN900437</t>
  </si>
  <si>
    <t>APP700922</t>
  </si>
  <si>
    <t>APP700343</t>
  </si>
  <si>
    <t>TXN500624</t>
  </si>
  <si>
    <t>LOAN900438</t>
  </si>
  <si>
    <t>APP700344</t>
  </si>
  <si>
    <t>TXN500625</t>
  </si>
  <si>
    <t>APP700923</t>
  </si>
  <si>
    <t>TXN500626</t>
  </si>
  <si>
    <t>LOAN900439</t>
  </si>
  <si>
    <t>APP700925</t>
  </si>
  <si>
    <t>TXN500627</t>
  </si>
  <si>
    <t>LOAN900440</t>
  </si>
  <si>
    <t>APP700926</t>
  </si>
  <si>
    <t>TXN500628</t>
  </si>
  <si>
    <t>APP700347</t>
  </si>
  <si>
    <t>TXN500629</t>
  </si>
  <si>
    <t>CUST100600</t>
  </si>
  <si>
    <t>LOAN900441</t>
  </si>
  <si>
    <t>APP700927</t>
  </si>
  <si>
    <t>TXN500630</t>
  </si>
  <si>
    <t>APP700348</t>
  </si>
  <si>
    <t>LOAN900442</t>
  </si>
  <si>
    <t>APP700928</t>
  </si>
  <si>
    <t>TXN500631</t>
  </si>
  <si>
    <t>LOAN900443</t>
  </si>
  <si>
    <t>TXN500632</t>
  </si>
  <si>
    <t>APP700930</t>
  </si>
  <si>
    <t>TXN500633</t>
  </si>
  <si>
    <t>LOAN900444</t>
  </si>
  <si>
    <t>CUST100532</t>
  </si>
  <si>
    <t>APP700350</t>
  </si>
  <si>
    <t>APP700931</t>
  </si>
  <si>
    <t>CUST100425</t>
  </si>
  <si>
    <t>TXN500634</t>
  </si>
  <si>
    <t>LOAN900445</t>
  </si>
  <si>
    <t>APP700351</t>
  </si>
  <si>
    <t>APP700933</t>
  </si>
  <si>
    <t>CUST100517</t>
  </si>
  <si>
    <t>TXN500635</t>
  </si>
  <si>
    <t>LOAN900446</t>
  </si>
  <si>
    <t>APP700934</t>
  </si>
  <si>
    <t>TXN500636</t>
  </si>
  <si>
    <t>LOAN900447</t>
  </si>
  <si>
    <t>CUST100774</t>
  </si>
  <si>
    <t>APP700935</t>
  </si>
  <si>
    <t>TXN500637</t>
  </si>
  <si>
    <t>CUST100427</t>
  </si>
  <si>
    <t>LOAN900448</t>
  </si>
  <si>
    <t>TXN500638</t>
  </si>
  <si>
    <t>APP700937</t>
  </si>
  <si>
    <t>APP700354</t>
  </si>
  <si>
    <t>LOAN900449</t>
  </si>
  <si>
    <t>TXN500639</t>
  </si>
  <si>
    <t>APP700938</t>
  </si>
  <si>
    <t>APP700355</t>
  </si>
  <si>
    <t>CUST100753</t>
  </si>
  <si>
    <t>TXN500640</t>
  </si>
  <si>
    <t>LOAN900450</t>
  </si>
  <si>
    <t>CUST100429</t>
  </si>
  <si>
    <t>TXN500641</t>
  </si>
  <si>
    <t>APP700942</t>
  </si>
  <si>
    <t>TXN500642</t>
  </si>
  <si>
    <t>LOAN900451</t>
  </si>
  <si>
    <t>APP700943</t>
  </si>
  <si>
    <t>TXN500643</t>
  </si>
  <si>
    <t>APP700358</t>
  </si>
  <si>
    <t>CUST100867</t>
  </si>
  <si>
    <t>CUST100431</t>
  </si>
  <si>
    <t>TXN500644</t>
  </si>
  <si>
    <t>TXN500645</t>
  </si>
  <si>
    <t>LOAN900452</t>
  </si>
  <si>
    <t>CUST100432</t>
  </si>
  <si>
    <t>APP700944</t>
  </si>
  <si>
    <t>TXN500646</t>
  </si>
  <si>
    <t>LOAN900453</t>
  </si>
  <si>
    <t>TXN500647</t>
  </si>
  <si>
    <t>APP700946</t>
  </si>
  <si>
    <t>APP700361</t>
  </si>
  <si>
    <t>CUST100536</t>
  </si>
  <si>
    <t>TXN500648</t>
  </si>
  <si>
    <t>CUST100434</t>
  </si>
  <si>
    <t>LOAN900454</t>
  </si>
  <si>
    <t>APP700947</t>
  </si>
  <si>
    <t>TXN500649</t>
  </si>
  <si>
    <t>LOAN900455</t>
  </si>
  <si>
    <t>APP700948</t>
  </si>
  <si>
    <t>TXN500650</t>
  </si>
  <si>
    <t>LOAN900456</t>
  </si>
  <si>
    <t>APP700951</t>
  </si>
  <si>
    <t>CUST100436</t>
  </si>
  <si>
    <t>TXN500651</t>
  </si>
  <si>
    <t>APP700364</t>
  </si>
  <si>
    <t>LOAN900457</t>
  </si>
  <si>
    <t>CUST100595</t>
  </si>
  <si>
    <t>APP700952</t>
  </si>
  <si>
    <t>TXN500652</t>
  </si>
  <si>
    <t>LOAN900458</t>
  </si>
  <si>
    <t>APP700954</t>
  </si>
  <si>
    <t>TXN500653</t>
  </si>
  <si>
    <t>APP700366</t>
  </si>
  <si>
    <t>CUST100438</t>
  </si>
  <si>
    <t>LOAN900459</t>
  </si>
  <si>
    <t>TXN500654</t>
  </si>
  <si>
    <t>APP700960</t>
  </si>
  <si>
    <t>APP700367</t>
  </si>
  <si>
    <t>TXN500655</t>
  </si>
  <si>
    <t>LOAN900460</t>
  </si>
  <si>
    <t>APP700965</t>
  </si>
  <si>
    <t>TXN500656</t>
  </si>
  <si>
    <t>LOAN900461</t>
  </si>
  <si>
    <t>APP700967</t>
  </si>
  <si>
    <t>TXN500657</t>
  </si>
  <si>
    <t>LOAN900462</t>
  </si>
  <si>
    <t>APP700968</t>
  </si>
  <si>
    <t>TXN500658</t>
  </si>
  <si>
    <t>LOAN900463</t>
  </si>
  <si>
    <t>APP700978</t>
  </si>
  <si>
    <t>TXN500659</t>
  </si>
  <si>
    <t>APP700371</t>
  </si>
  <si>
    <t>LOAN900464</t>
  </si>
  <si>
    <t>APP700980</t>
  </si>
  <si>
    <t>TXN500660</t>
  </si>
  <si>
    <t>APP700372</t>
  </si>
  <si>
    <t>CUST100443</t>
  </si>
  <si>
    <t>TXN500661</t>
  </si>
  <si>
    <t>LOAN900465</t>
  </si>
  <si>
    <t>CUST100812</t>
  </si>
  <si>
    <t>APP700981</t>
  </si>
  <si>
    <t>LOAN900466</t>
  </si>
  <si>
    <t>TXN500662</t>
  </si>
  <si>
    <t>CUST100639</t>
  </si>
  <si>
    <t>APP700982</t>
  </si>
  <si>
    <t>APP700374</t>
  </si>
  <si>
    <t>TXN500663</t>
  </si>
  <si>
    <t>LOAN900467</t>
  </si>
  <si>
    <t>CUST100445</t>
  </si>
  <si>
    <t>APP700983</t>
  </si>
  <si>
    <t>TXN500664</t>
  </si>
  <si>
    <t>LOAN900468</t>
  </si>
  <si>
    <t>APP700376</t>
  </si>
  <si>
    <t>CUST100485</t>
  </si>
  <si>
    <t>APP700984</t>
  </si>
  <si>
    <t>TXN500665</t>
  </si>
  <si>
    <t>LOAN900469</t>
  </si>
  <si>
    <t>TXN500666</t>
  </si>
  <si>
    <t>APP700985</t>
  </si>
  <si>
    <t>TXN500667</t>
  </si>
  <si>
    <t>LOAN900470</t>
  </si>
  <si>
    <t>APP700993</t>
  </si>
  <si>
    <t>TXN500668</t>
  </si>
  <si>
    <t>CUST100601</t>
  </si>
  <si>
    <t>LOAN900471</t>
  </si>
  <si>
    <t>APP700994</t>
  </si>
  <si>
    <t>TXN500669</t>
  </si>
  <si>
    <t>APP700380</t>
  </si>
  <si>
    <t>LOAN900472</t>
  </si>
  <si>
    <t>CUST100694</t>
  </si>
  <si>
    <t>APP700995</t>
  </si>
  <si>
    <t>TXN500670</t>
  </si>
  <si>
    <t>LOAN900473</t>
  </si>
  <si>
    <t>APP700998</t>
  </si>
  <si>
    <t>TXN500671</t>
  </si>
  <si>
    <t>LOAN900474</t>
  </si>
  <si>
    <t>TXN500672</t>
  </si>
  <si>
    <t>APP701000</t>
  </si>
  <si>
    <t>APP700383</t>
  </si>
  <si>
    <t>LOAN900475</t>
  </si>
  <si>
    <t>TXN500673</t>
  </si>
  <si>
    <t>APP701002</t>
  </si>
  <si>
    <t>APP700384</t>
  </si>
  <si>
    <t>TXN500674</t>
  </si>
  <si>
    <t>CUST100611</t>
  </si>
  <si>
    <t>LOAN900476</t>
  </si>
  <si>
    <t>APP701003</t>
  </si>
  <si>
    <t>CUST100453</t>
  </si>
  <si>
    <t>TXN500675</t>
  </si>
  <si>
    <t>LOAN900477</t>
  </si>
  <si>
    <t>APP701006</t>
  </si>
  <si>
    <t>APP700386</t>
  </si>
  <si>
    <t>LOAN900478</t>
  </si>
  <si>
    <t>APP701007</t>
  </si>
  <si>
    <t>TXN500676</t>
  </si>
  <si>
    <t>LOAN900479</t>
  </si>
  <si>
    <t>TXN500677</t>
  </si>
  <si>
    <t>APP701009</t>
  </si>
  <si>
    <t>LOAN900480</t>
  </si>
  <si>
    <t>CUST100625</t>
  </si>
  <si>
    <t>APP701011</t>
  </si>
  <si>
    <t>TXN500678</t>
  </si>
  <si>
    <t>APP700389</t>
  </si>
  <si>
    <t>CUST100896</t>
  </si>
  <si>
    <t>LOAN900481</t>
  </si>
  <si>
    <t>TXN500679</t>
  </si>
  <si>
    <t>CUST100538</t>
  </si>
  <si>
    <t>APP701012</t>
  </si>
  <si>
    <t>LOAN900482</t>
  </si>
  <si>
    <t>TXN500680</t>
  </si>
  <si>
    <t>APP701014</t>
  </si>
  <si>
    <t>TXN500681</t>
  </si>
  <si>
    <t>LOAN900483</t>
  </si>
  <si>
    <t>CUST100761</t>
  </si>
  <si>
    <t>APP701016</t>
  </si>
  <si>
    <t>TXN500682</t>
  </si>
  <si>
    <t>LOAN900484</t>
  </si>
  <si>
    <t>APP701017</t>
  </si>
  <si>
    <t>APP700392</t>
  </si>
  <si>
    <t>TXN500683</t>
  </si>
  <si>
    <t>LOAN900485</t>
  </si>
  <si>
    <t>APP701018</t>
  </si>
  <si>
    <t>APP700393</t>
  </si>
  <si>
    <t>TXN500684</t>
  </si>
  <si>
    <t>LOAN900486</t>
  </si>
  <si>
    <t>APP701021</t>
  </si>
  <si>
    <t>TXN500685</t>
  </si>
  <si>
    <t>LOAN900487</t>
  </si>
  <si>
    <t>APP701023</t>
  </si>
  <si>
    <t>TXN500686</t>
  </si>
  <si>
    <t>APP700395</t>
  </si>
  <si>
    <t>LOAN900488</t>
  </si>
  <si>
    <t>CUST100460</t>
  </si>
  <si>
    <t>APP701025</t>
  </si>
  <si>
    <t>TXN500687</t>
  </si>
  <si>
    <t>LOAN900489</t>
  </si>
  <si>
    <t>APP701030</t>
  </si>
  <si>
    <t>TXN500688</t>
  </si>
  <si>
    <t>CUST100668</t>
  </si>
  <si>
    <t>LOAN900490</t>
  </si>
  <si>
    <t>APP700397</t>
  </si>
  <si>
    <t>CUST100593</t>
  </si>
  <si>
    <t>APP701032</t>
  </si>
  <si>
    <t>TXN500689</t>
  </si>
  <si>
    <t>CUST100462</t>
  </si>
  <si>
    <t>APP700398</t>
  </si>
  <si>
    <t>LOAN900491</t>
  </si>
  <si>
    <t>APP701033</t>
  </si>
  <si>
    <t>TXN500690</t>
  </si>
  <si>
    <t>APP700399</t>
  </si>
  <si>
    <t>CUST100463</t>
  </si>
  <si>
    <t>LOAN900492</t>
  </si>
  <si>
    <t>TXN500691</t>
  </si>
  <si>
    <t>CUST100549</t>
  </si>
  <si>
    <t>APP701041</t>
  </si>
  <si>
    <t>APP700400</t>
  </si>
  <si>
    <t>TXN500692</t>
  </si>
  <si>
    <t>LOAN900493</t>
  </si>
  <si>
    <t>APP701044</t>
  </si>
  <si>
    <t>TXN500693</t>
  </si>
  <si>
    <t>LOAN900494</t>
  </si>
  <si>
    <t>CUST100465</t>
  </si>
  <si>
    <t>APP701048</t>
  </si>
  <si>
    <t>APP700402</t>
  </si>
  <si>
    <t>TXN500694</t>
  </si>
  <si>
    <t>LOAN900495</t>
  </si>
  <si>
    <t>APP701051</t>
  </si>
  <si>
    <t>LOAN900496</t>
  </si>
  <si>
    <t>TXN500695</t>
  </si>
  <si>
    <t>APP701053</t>
  </si>
  <si>
    <t>TXN500696</t>
  </si>
  <si>
    <t>LOAN900497</t>
  </si>
  <si>
    <t>APP701055</t>
  </si>
  <si>
    <t>TXN500697</t>
  </si>
  <si>
    <t>LOAN900498</t>
  </si>
  <si>
    <t>APP701056</t>
  </si>
  <si>
    <t>TXN500698</t>
  </si>
  <si>
    <t>LOAN900499</t>
  </si>
  <si>
    <t>APP700405</t>
  </si>
  <si>
    <t>APP701057</t>
  </si>
  <si>
    <t>CUST100854</t>
  </si>
  <si>
    <t>CUST100470</t>
  </si>
  <si>
    <t>TXN500699</t>
  </si>
  <si>
    <t>LOAN900500</t>
  </si>
  <si>
    <t>CUST100886</t>
  </si>
  <si>
    <t>CUST100802</t>
  </si>
  <si>
    <t>APP701059</t>
  </si>
  <si>
    <t>TXN500700</t>
  </si>
  <si>
    <t>LOAN900501</t>
  </si>
  <si>
    <t>APP701064</t>
  </si>
  <si>
    <t>TXN500701</t>
  </si>
  <si>
    <t>APP700408</t>
  </si>
  <si>
    <t>CUST100472</t>
  </si>
  <si>
    <t>LOAN900502</t>
  </si>
  <si>
    <t>TXN500702</t>
  </si>
  <si>
    <t>APP701065</t>
  </si>
  <si>
    <t>APP700409</t>
  </si>
  <si>
    <t>TXN500703</t>
  </si>
  <si>
    <t>LOAN900503</t>
  </si>
  <si>
    <t>APP701068</t>
  </si>
  <si>
    <t>APP700410</t>
  </si>
  <si>
    <t>TXN500704</t>
  </si>
  <si>
    <t>LOAN900504</t>
  </si>
  <si>
    <t>APP701074</t>
  </si>
  <si>
    <t>TXN500705</t>
  </si>
  <si>
    <t>APP700411</t>
  </si>
  <si>
    <t>LOAN900505</t>
  </si>
  <si>
    <t>APP701076</t>
  </si>
  <si>
    <t>TXN500706</t>
  </si>
  <si>
    <t>LOAN900506</t>
  </si>
  <si>
    <t>TXN500707</t>
  </si>
  <si>
    <t>APP701078</t>
  </si>
  <si>
    <t>LOAN900507</t>
  </si>
  <si>
    <t>APP700413</t>
  </si>
  <si>
    <t>CUST100579</t>
  </si>
  <si>
    <t>TXN500708</t>
  </si>
  <si>
    <t>APP701080</t>
  </si>
  <si>
    <t>CUST100476</t>
  </si>
  <si>
    <t>LOAN900508</t>
  </si>
  <si>
    <t>APP700414</t>
  </si>
  <si>
    <t>CUST100500</t>
  </si>
  <si>
    <t>APP701083</t>
  </si>
  <si>
    <t>TXN500709</t>
  </si>
  <si>
    <t>APP700415</t>
  </si>
  <si>
    <t>LOAN900509</t>
  </si>
  <si>
    <t>APP701085</t>
  </si>
  <si>
    <t>TXN500710</t>
  </si>
  <si>
    <t>LOAN900510</t>
  </si>
  <si>
    <t>APP701086</t>
  </si>
  <si>
    <t>TXN500711</t>
  </si>
  <si>
    <t>TXN500712</t>
  </si>
  <si>
    <t>LOAN900511</t>
  </si>
  <si>
    <t>APP701087</t>
  </si>
  <si>
    <t>TXN500713</t>
  </si>
  <si>
    <t>LOAN900512</t>
  </si>
  <si>
    <t>CUST100480</t>
  </si>
  <si>
    <t>APP701088</t>
  </si>
  <si>
    <t>APP700418</t>
  </si>
  <si>
    <t>TXN500714</t>
  </si>
  <si>
    <t>LOAN900513</t>
  </si>
  <si>
    <t>CUST100797</t>
  </si>
  <si>
    <t>CUST100481</t>
  </si>
  <si>
    <t>APP701089</t>
  </si>
  <si>
    <t>TXN500715</t>
  </si>
  <si>
    <t>APP700419</t>
  </si>
  <si>
    <t>TXN500716</t>
  </si>
  <si>
    <t>LOAN900514</t>
  </si>
  <si>
    <t>APP701091</t>
  </si>
  <si>
    <t>TXN500717</t>
  </si>
  <si>
    <t>LOAN900515</t>
  </si>
  <si>
    <t>APP701096</t>
  </si>
  <si>
    <t>TXN500718</t>
  </si>
  <si>
    <t>LOAN900516</t>
  </si>
  <si>
    <t>TXN500719</t>
  </si>
  <si>
    <t>APP701100</t>
  </si>
  <si>
    <t>TXN500720</t>
  </si>
  <si>
    <t>LOAN900517</t>
  </si>
  <si>
    <t>APP701101</t>
  </si>
  <si>
    <t>TXN500721</t>
  </si>
  <si>
    <t>LOAN900518</t>
  </si>
  <si>
    <t>APP700423</t>
  </si>
  <si>
    <t>APP701103</t>
  </si>
  <si>
    <t>TXN500722</t>
  </si>
  <si>
    <t>LOAN900519</t>
  </si>
  <si>
    <t>APP701104</t>
  </si>
  <si>
    <t>TXN500723</t>
  </si>
  <si>
    <t>CUST100486</t>
  </si>
  <si>
    <t>LOAN900520</t>
  </si>
  <si>
    <t>APP701105</t>
  </si>
  <si>
    <t>APP700425</t>
  </si>
  <si>
    <t>TXN500724</t>
  </si>
  <si>
    <t>CUST100487</t>
  </si>
  <si>
    <t>LOAN900521</t>
  </si>
  <si>
    <t>APP701107</t>
  </si>
  <si>
    <t>TXN500725</t>
  </si>
  <si>
    <t>CUST100488</t>
  </si>
  <si>
    <t>LOAN900522</t>
  </si>
  <si>
    <t>APP701108</t>
  </si>
  <si>
    <t>TXN500726</t>
  </si>
  <si>
    <t>LOAN900523</t>
  </si>
  <si>
    <t>APP701110</t>
  </si>
  <si>
    <t>TXN500727</t>
  </si>
  <si>
    <t>CUST100529</t>
  </si>
  <si>
    <t>LOAN900524</t>
  </si>
  <si>
    <t>APP701112</t>
  </si>
  <si>
    <t>TXN500728</t>
  </si>
  <si>
    <t>CUST100793</t>
  </si>
  <si>
    <t>LOAN900525</t>
  </si>
  <si>
    <t>APP701114</t>
  </si>
  <si>
    <t>TXN500729</t>
  </si>
  <si>
    <t>LOAN900526</t>
  </si>
  <si>
    <t>TXN500730</t>
  </si>
  <si>
    <t>APP701115</t>
  </si>
  <si>
    <t>LOAN900527</t>
  </si>
  <si>
    <t>APP701120</t>
  </si>
  <si>
    <t>LOAN900528</t>
  </si>
  <si>
    <t>APP700433</t>
  </si>
  <si>
    <t>APP701123</t>
  </si>
  <si>
    <t>TXN500731</t>
  </si>
  <si>
    <t>LOAN900529</t>
  </si>
  <si>
    <t>APP701124</t>
  </si>
  <si>
    <t>APP700435</t>
  </si>
  <si>
    <t>CUST100832</t>
  </si>
  <si>
    <t>LOAN900530</t>
  </si>
  <si>
    <t>APP701125</t>
  </si>
  <si>
    <t>APP700436</t>
  </si>
  <si>
    <t>CUST100604</t>
  </si>
  <si>
    <t>LOAN900531</t>
  </si>
  <si>
    <t>APP701129</t>
  </si>
  <si>
    <t>APP700437</t>
  </si>
  <si>
    <t>TXN500732</t>
  </si>
  <si>
    <t>LOAN900532</t>
  </si>
  <si>
    <t>APP701130</t>
  </si>
  <si>
    <t>LOAN900533</t>
  </si>
  <si>
    <t>TXN500733</t>
  </si>
  <si>
    <t>CUST100496</t>
  </si>
  <si>
    <t>APP701131</t>
  </si>
  <si>
    <t>LOAN900534</t>
  </si>
  <si>
    <t>APP701136</t>
  </si>
  <si>
    <t>CUST100497</t>
  </si>
  <si>
    <t>TXN500734</t>
  </si>
  <si>
    <t>LOAN900535</t>
  </si>
  <si>
    <t>APP701137</t>
  </si>
  <si>
    <t>TXN500735</t>
  </si>
  <si>
    <t>APP700441</t>
  </si>
  <si>
    <t>LOAN900536</t>
  </si>
  <si>
    <t>APP701139</t>
  </si>
  <si>
    <t>APP700442</t>
  </si>
  <si>
    <t>TXN500736</t>
  </si>
  <si>
    <t>LOAN900537</t>
  </si>
  <si>
    <t>APP701142</t>
  </si>
  <si>
    <t>APP700443</t>
  </si>
  <si>
    <t>TXN500737</t>
  </si>
  <si>
    <t>LOAN900538</t>
  </si>
  <si>
    <t>APP701143</t>
  </si>
  <si>
    <t>APP700444</t>
  </si>
  <si>
    <t>LOAN900539</t>
  </si>
  <si>
    <t>TXN500738</t>
  </si>
  <si>
    <t>APP701146</t>
  </si>
  <si>
    <t>CUST100501</t>
  </si>
  <si>
    <t>LOAN900540</t>
  </si>
  <si>
    <t>APP701147</t>
  </si>
  <si>
    <t>TXN500739</t>
  </si>
  <si>
    <t>CUST100502</t>
  </si>
  <si>
    <t>APP700446</t>
  </si>
  <si>
    <t>LOAN900541</t>
  </si>
  <si>
    <t>APP701150</t>
  </si>
  <si>
    <t>TXN500740</t>
  </si>
  <si>
    <t>APP700447</t>
  </si>
  <si>
    <t>LOAN900542</t>
  </si>
  <si>
    <t>APP701153</t>
  </si>
  <si>
    <t>TXN500741</t>
  </si>
  <si>
    <t>LOAN900543</t>
  </si>
  <si>
    <t>APP701156</t>
  </si>
  <si>
    <t>TXN500742</t>
  </si>
  <si>
    <t>CUST100805</t>
  </si>
  <si>
    <t>LOAN900544</t>
  </si>
  <si>
    <t>APP701158</t>
  </si>
  <si>
    <t>LOAN900545</t>
  </si>
  <si>
    <t>APP701160</t>
  </si>
  <si>
    <t>APP700451</t>
  </si>
  <si>
    <t>CUST100860</t>
  </si>
  <si>
    <t>LOAN900546</t>
  </si>
  <si>
    <t>APP701164</t>
  </si>
  <si>
    <t>LOAN900547</t>
  </si>
  <si>
    <t>CUST100834</t>
  </si>
  <si>
    <t>APP701167</t>
  </si>
  <si>
    <t>CUST100508</t>
  </si>
  <si>
    <t>APP700453</t>
  </si>
  <si>
    <t>LOAN900548</t>
  </si>
  <si>
    <t>APP701172</t>
  </si>
  <si>
    <t>APP700454</t>
  </si>
  <si>
    <t>LOAN900549</t>
  </si>
  <si>
    <t>APP701173</t>
  </si>
  <si>
    <t>LOAN900550</t>
  </si>
  <si>
    <t>APP701175</t>
  </si>
  <si>
    <t>TXN500743</t>
  </si>
  <si>
    <t>LOAN900551</t>
  </si>
  <si>
    <t>APP701176</t>
  </si>
  <si>
    <t>APP700457</t>
  </si>
  <si>
    <t>TXN500744</t>
  </si>
  <si>
    <t>LOAN900552</t>
  </si>
  <si>
    <t>APP701177</t>
  </si>
  <si>
    <t>APP700458</t>
  </si>
  <si>
    <t>LOAN900553</t>
  </si>
  <si>
    <t>APP701180</t>
  </si>
  <si>
    <t>TXN500745</t>
  </si>
  <si>
    <t>APP700459</t>
  </si>
  <si>
    <t>LOAN900554</t>
  </si>
  <si>
    <t>CUST100555</t>
  </si>
  <si>
    <t>TXN500746</t>
  </si>
  <si>
    <t>APP701182</t>
  </si>
  <si>
    <t>APP700460</t>
  </si>
  <si>
    <t>LOAN900555</t>
  </si>
  <si>
    <t>APP701183</t>
  </si>
  <si>
    <t>TXN500747</t>
  </si>
  <si>
    <t>APP700461</t>
  </si>
  <si>
    <t>LOAN900556</t>
  </si>
  <si>
    <t>APP701188</t>
  </si>
  <si>
    <t>TXN500748</t>
  </si>
  <si>
    <t>LOAN900557</t>
  </si>
  <si>
    <t>APP701190</t>
  </si>
  <si>
    <t>TXN500749</t>
  </si>
  <si>
    <t>LOAN900558</t>
  </si>
  <si>
    <t>CUST100606</t>
  </si>
  <si>
    <t>APP701191</t>
  </si>
  <si>
    <t>CUST100518</t>
  </si>
  <si>
    <t>TXN500750</t>
  </si>
  <si>
    <t>LOAN900559</t>
  </si>
  <si>
    <t>APP701195</t>
  </si>
  <si>
    <t>TXN500751</t>
  </si>
  <si>
    <t>APP700465</t>
  </si>
  <si>
    <t>LOAN900560</t>
  </si>
  <si>
    <t>APP701197</t>
  </si>
  <si>
    <t>TXN500752</t>
  </si>
  <si>
    <t>APP700466</t>
  </si>
  <si>
    <t>LOAN900561</t>
  </si>
  <si>
    <t>CUST100621</t>
  </si>
  <si>
    <t>APP701205</t>
  </si>
  <si>
    <t>TXN500753</t>
  </si>
  <si>
    <t>CUST100521</t>
  </si>
  <si>
    <t>LOAN900562</t>
  </si>
  <si>
    <t>CUST100667</t>
  </si>
  <si>
    <t>APP701206</t>
  </si>
  <si>
    <t>APP700468</t>
  </si>
  <si>
    <t>TXN500754</t>
  </si>
  <si>
    <t>LOAN900563</t>
  </si>
  <si>
    <t>APP701209</t>
  </si>
  <si>
    <t>APP700469</t>
  </si>
  <si>
    <t>LOAN900564</t>
  </si>
  <si>
    <t>CUST100876</t>
  </si>
  <si>
    <t>APP701211</t>
  </si>
  <si>
    <t>APP700470</t>
  </si>
  <si>
    <t>LOAN900565</t>
  </si>
  <si>
    <t>APP701212</t>
  </si>
  <si>
    <t>TXN500755</t>
  </si>
  <si>
    <t>APP700471</t>
  </si>
  <si>
    <t>LOAN900566</t>
  </si>
  <si>
    <t>APP701214</t>
  </si>
  <si>
    <t>APP700472</t>
  </si>
  <si>
    <t>TXN500756</t>
  </si>
  <si>
    <t>LOAN900567</t>
  </si>
  <si>
    <t>APP701216</t>
  </si>
  <si>
    <t>APP700473</t>
  </si>
  <si>
    <t>TXN500757</t>
  </si>
  <si>
    <t>LOAN900568</t>
  </si>
  <si>
    <t>APP701217</t>
  </si>
  <si>
    <t>APP700474</t>
  </si>
  <si>
    <t>TXN500758</t>
  </si>
  <si>
    <t>LOAN900569</t>
  </si>
  <si>
    <t>APP701221</t>
  </si>
  <si>
    <t>TXN500759</t>
  </si>
  <si>
    <t>LOAN900570</t>
  </si>
  <si>
    <t>APP701222</t>
  </si>
  <si>
    <t>APP700476</t>
  </si>
  <si>
    <t>CUST100627</t>
  </si>
  <si>
    <t>LOAN900571</t>
  </si>
  <si>
    <t>TXN500760</t>
  </si>
  <si>
    <t>APP701226</t>
  </si>
  <si>
    <t>APP700477</t>
  </si>
  <si>
    <t>LOAN900572</t>
  </si>
  <si>
    <t>TXN500761</t>
  </si>
  <si>
    <t>APP701227</t>
  </si>
  <si>
    <t>APP700478</t>
  </si>
  <si>
    <t>TXN500762</t>
  </si>
  <si>
    <t>LOAN900573</t>
  </si>
  <si>
    <t>APP701230</t>
  </si>
  <si>
    <t>APP700479</t>
  </si>
  <si>
    <t>LOAN900574</t>
  </si>
  <si>
    <t>CUST100747</t>
  </si>
  <si>
    <t>TXN500763</t>
  </si>
  <si>
    <t>APP701232</t>
  </si>
  <si>
    <t>LOAN900575</t>
  </si>
  <si>
    <t>TXN500764</t>
  </si>
  <si>
    <t>APP701233</t>
  </si>
  <si>
    <t>LOAN900576</t>
  </si>
  <si>
    <t>TXN500765</t>
  </si>
  <si>
    <t>APP701235</t>
  </si>
  <si>
    <t>APP700482</t>
  </si>
  <si>
    <t>LOAN900577</t>
  </si>
  <si>
    <t>TXN500766</t>
  </si>
  <si>
    <t>APP701236</t>
  </si>
  <si>
    <t>TXN500767</t>
  </si>
  <si>
    <t>LOAN900578</t>
  </si>
  <si>
    <t>APP701242</t>
  </si>
  <si>
    <t>TXN500768</t>
  </si>
  <si>
    <t>LOAN900579</t>
  </si>
  <si>
    <t>APP701243</t>
  </si>
  <si>
    <t>TXN500769</t>
  </si>
  <si>
    <t>LOAN900580</t>
  </si>
  <si>
    <t>APP701246</t>
  </si>
  <si>
    <t>TXN500770</t>
  </si>
  <si>
    <t>LOAN900581</t>
  </si>
  <si>
    <t>APP701247</t>
  </si>
  <si>
    <t>TXN500771</t>
  </si>
  <si>
    <t>LOAN900582</t>
  </si>
  <si>
    <t>APP701250</t>
  </si>
  <si>
    <t>TXN500772</t>
  </si>
  <si>
    <t>LOAN900583</t>
  </si>
  <si>
    <t>APP701252</t>
  </si>
  <si>
    <t>CUST100540</t>
  </si>
  <si>
    <t>LOAN900584</t>
  </si>
  <si>
    <t>APP701254</t>
  </si>
  <si>
    <t>LOAN900585</t>
  </si>
  <si>
    <t>TXN500773</t>
  </si>
  <si>
    <t>APP700489</t>
  </si>
  <si>
    <t>APP701256</t>
  </si>
  <si>
    <t>LOAN900586</t>
  </si>
  <si>
    <t>APP701257</t>
  </si>
  <si>
    <t>CUST100542</t>
  </si>
  <si>
    <t>TXN500774</t>
  </si>
  <si>
    <t>LOAN900587</t>
  </si>
  <si>
    <t>APP700491</t>
  </si>
  <si>
    <t>APP701258</t>
  </si>
  <si>
    <t>TXN500775</t>
  </si>
  <si>
    <t>LOAN900588</t>
  </si>
  <si>
    <t>APP700492</t>
  </si>
  <si>
    <t>APP701259</t>
  </si>
  <si>
    <t>TXN500776</t>
  </si>
  <si>
    <t>LOAN900589</t>
  </si>
  <si>
    <t>APP701262</t>
  </si>
  <si>
    <t>APP700493</t>
  </si>
  <si>
    <t>CUST100564</t>
  </si>
  <si>
    <t>TXN500777</t>
  </si>
  <si>
    <t>LOAN900590</t>
  </si>
  <si>
    <t>APP701263</t>
  </si>
  <si>
    <t>APP700494</t>
  </si>
  <si>
    <t>TXN500778</t>
  </si>
  <si>
    <t>LOAN900591</t>
  </si>
  <si>
    <t>APP701265</t>
  </si>
  <si>
    <t>TXN500779</t>
  </si>
  <si>
    <t>LOAN900592</t>
  </si>
  <si>
    <t>CUST100645</t>
  </si>
  <si>
    <t>APP701266</t>
  </si>
  <si>
    <t>TXN500780</t>
  </si>
  <si>
    <t>APP700496</t>
  </si>
  <si>
    <t>LOAN900593</t>
  </si>
  <si>
    <t>CUST100890</t>
  </si>
  <si>
    <t>APP701269</t>
  </si>
  <si>
    <t>TXN500781</t>
  </si>
  <si>
    <t>LOAN900594</t>
  </si>
  <si>
    <t>TXN500782</t>
  </si>
  <si>
    <t>APP701270</t>
  </si>
  <si>
    <t>APP700498</t>
  </si>
  <si>
    <t>LOAN900595</t>
  </si>
  <si>
    <t>APP701272</t>
  </si>
  <si>
    <t>APP700499</t>
  </si>
  <si>
    <t>TXN500783</t>
  </si>
  <si>
    <t>LOAN900596</t>
  </si>
  <si>
    <t>APP701277</t>
  </si>
  <si>
    <t>APP700500</t>
  </si>
  <si>
    <t>TXN500784</t>
  </si>
  <si>
    <t>LOAN900597</t>
  </si>
  <si>
    <t>CUST100855</t>
  </si>
  <si>
    <t>APP701278</t>
  </si>
  <si>
    <t>TXN500785</t>
  </si>
  <si>
    <t>LOAN900598</t>
  </si>
  <si>
    <t>APP701279</t>
  </si>
  <si>
    <t>TXN500786</t>
  </si>
  <si>
    <t>LOAN900599</t>
  </si>
  <si>
    <t>APP701280</t>
  </si>
  <si>
    <t>APP700503</t>
  </si>
  <si>
    <t>TXN500787</t>
  </si>
  <si>
    <t>LOAN900600</t>
  </si>
  <si>
    <t>APP701283</t>
  </si>
  <si>
    <t>APP700504</t>
  </si>
  <si>
    <t>LOAN900601</t>
  </si>
  <si>
    <t>TXN500788</t>
  </si>
  <si>
    <t>APP701285</t>
  </si>
  <si>
    <t>CUST100554</t>
  </si>
  <si>
    <t>LOAN900602</t>
  </si>
  <si>
    <t>CUST100657</t>
  </si>
  <si>
    <t>TXN500789</t>
  </si>
  <si>
    <t>APP701286</t>
  </si>
  <si>
    <t>APP700506</t>
  </si>
  <si>
    <t>LOAN900603</t>
  </si>
  <si>
    <t>APP701288</t>
  </si>
  <si>
    <t>TXN500790</t>
  </si>
  <si>
    <t>APP700507</t>
  </si>
  <si>
    <t>CUST100556</t>
  </si>
  <si>
    <t>LOAN900604</t>
  </si>
  <si>
    <t>APP701290</t>
  </si>
  <si>
    <t>TXN500791</t>
  </si>
  <si>
    <t>APP700508</t>
  </si>
  <si>
    <t>LOAN900605</t>
  </si>
  <si>
    <t>APP701291</t>
  </si>
  <si>
    <t>TXN500792</t>
  </si>
  <si>
    <t>APP700509</t>
  </si>
  <si>
    <t>LOAN900606</t>
  </si>
  <si>
    <t>APP701294</t>
  </si>
  <si>
    <t>TXN500793</t>
  </si>
  <si>
    <t>APP700510</t>
  </si>
  <si>
    <t>LOAN900607</t>
  </si>
  <si>
    <t>APP701296</t>
  </si>
  <si>
    <t>TXN500794</t>
  </si>
  <si>
    <t>LOAN900608</t>
  </si>
  <si>
    <t>APP700511</t>
  </si>
  <si>
    <t>APP701299</t>
  </si>
  <si>
    <t>TXN500795</t>
  </si>
  <si>
    <t>APP700512</t>
  </si>
  <si>
    <t>LOAN900609</t>
  </si>
  <si>
    <t>APP701305</t>
  </si>
  <si>
    <t>TXN500796</t>
  </si>
  <si>
    <t>APP700513</t>
  </si>
  <si>
    <t>LOAN900610</t>
  </si>
  <si>
    <t>APP701306</t>
  </si>
  <si>
    <t>TXN500797</t>
  </si>
  <si>
    <t>LOAN900611</t>
  </si>
  <si>
    <t>APP701308</t>
  </si>
  <si>
    <t>APP700515</t>
  </si>
  <si>
    <t>TXN500798</t>
  </si>
  <si>
    <t>LOAN900612</t>
  </si>
  <si>
    <t>APP701309</t>
  </si>
  <si>
    <t>TXN500799</t>
  </si>
  <si>
    <t>LOAN900613</t>
  </si>
  <si>
    <t>APP701311</t>
  </si>
  <si>
    <t>TXN500800</t>
  </si>
  <si>
    <t>LOAN900614</t>
  </si>
  <si>
    <t>APP701312</t>
  </si>
  <si>
    <t>APP700518</t>
  </si>
  <si>
    <t>LOAN900615</t>
  </si>
  <si>
    <t>TXN500801</t>
  </si>
  <si>
    <t>APP701314</t>
  </si>
  <si>
    <t>APP700519</t>
  </si>
  <si>
    <t>LOAN900616</t>
  </si>
  <si>
    <t>TXN500802</t>
  </si>
  <si>
    <t>APP701315</t>
  </si>
  <si>
    <t>CUST100567</t>
  </si>
  <si>
    <t>APP700520</t>
  </si>
  <si>
    <t>TXN500803</t>
  </si>
  <si>
    <t>LOAN900617</t>
  </si>
  <si>
    <t>APP701316</t>
  </si>
  <si>
    <t>TXN500804</t>
  </si>
  <si>
    <t>LOAN900618</t>
  </si>
  <si>
    <t>CUST100569</t>
  </si>
  <si>
    <t>APP701317</t>
  </si>
  <si>
    <t>TXN500805</t>
  </si>
  <si>
    <t>LOAN900619</t>
  </si>
  <si>
    <t>APP701318</t>
  </si>
  <si>
    <t>CUST100570</t>
  </si>
  <si>
    <t>APP700523</t>
  </si>
  <si>
    <t>TXN500806</t>
  </si>
  <si>
    <t>LOAN900620</t>
  </si>
  <si>
    <t>APP701319</t>
  </si>
  <si>
    <t>APP700524</t>
  </si>
  <si>
    <t>TXN500807</t>
  </si>
  <si>
    <t>LOAN900621</t>
  </si>
  <si>
    <t>APP701322</t>
  </si>
  <si>
    <t>APP700525</t>
  </si>
  <si>
    <t>TXN500808</t>
  </si>
  <si>
    <t>LOAN900622</t>
  </si>
  <si>
    <t>APP701323</t>
  </si>
  <si>
    <t>TXN500809</t>
  </si>
  <si>
    <t>CUST100573</t>
  </si>
  <si>
    <t>LOAN900623</t>
  </si>
  <si>
    <t>CUST100672</t>
  </si>
  <si>
    <t>APP701324</t>
  </si>
  <si>
    <t>TXN500810</t>
  </si>
  <si>
    <t>CUST100574</t>
  </si>
  <si>
    <t>LOAN900624</t>
  </si>
  <si>
    <t>APP700528</t>
  </si>
  <si>
    <t>CUST100624</t>
  </si>
  <si>
    <t>APP701325</t>
  </si>
  <si>
    <t>TXN500811</t>
  </si>
  <si>
    <t>LOAN900625</t>
  </si>
  <si>
    <t>APP701326</t>
  </si>
  <si>
    <t>TXN500812</t>
  </si>
  <si>
    <t>CUST100879</t>
  </si>
  <si>
    <t>LOAN900626</t>
  </si>
  <si>
    <t>CUST100705</t>
  </si>
  <si>
    <t>APP701328</t>
  </si>
  <si>
    <t>TXN500813</t>
  </si>
  <si>
    <t>LOAN900627</t>
  </si>
  <si>
    <t>TXN500814</t>
  </si>
  <si>
    <t>APP701330</t>
  </si>
  <si>
    <t>TXN500815</t>
  </si>
  <si>
    <t>LOAN900628</t>
  </si>
  <si>
    <t>APP701331</t>
  </si>
  <si>
    <t>LOAN900629</t>
  </si>
  <si>
    <t>CUST100580</t>
  </si>
  <si>
    <t>TXN500816</t>
  </si>
  <si>
    <t>APP701332</t>
  </si>
  <si>
    <t>APP700534</t>
  </si>
  <si>
    <t>LOAN900630</t>
  </si>
  <si>
    <t>APP701338</t>
  </si>
  <si>
    <t>APP700535</t>
  </si>
  <si>
    <t>LOAN900631</t>
  </si>
  <si>
    <t>APP701340</t>
  </si>
  <si>
    <t>TXN500817</t>
  </si>
  <si>
    <t>LOAN900632</t>
  </si>
  <si>
    <t>APP700537</t>
  </si>
  <si>
    <t>APP701350</t>
  </si>
  <si>
    <t>TXN500818</t>
  </si>
  <si>
    <t>APP700538</t>
  </si>
  <si>
    <t>LOAN900633</t>
  </si>
  <si>
    <t>APP701352</t>
  </si>
  <si>
    <t>TXN500819</t>
  </si>
  <si>
    <t>LOAN900634</t>
  </si>
  <si>
    <t>APP700539</t>
  </si>
  <si>
    <t>APP701353</t>
  </si>
  <si>
    <t>TXN500820</t>
  </si>
  <si>
    <t>LOAN900635</t>
  </si>
  <si>
    <t>APP701357</t>
  </si>
  <si>
    <t>APP700540</t>
  </si>
  <si>
    <t>TXN500821</t>
  </si>
  <si>
    <t>LOAN900636</t>
  </si>
  <si>
    <t>APP701360</t>
  </si>
  <si>
    <t>APP700541</t>
  </si>
  <si>
    <t>TXN500822</t>
  </si>
  <si>
    <t>LOAN900637</t>
  </si>
  <si>
    <t>APP701362</t>
  </si>
  <si>
    <t>APP700542</t>
  </si>
  <si>
    <t>LOAN900638</t>
  </si>
  <si>
    <t>APP701363</t>
  </si>
  <si>
    <t>TXN500823</t>
  </si>
  <si>
    <t>LOAN900639</t>
  </si>
  <si>
    <t>APP701364</t>
  </si>
  <si>
    <t>TXN500824</t>
  </si>
  <si>
    <t>APP700544</t>
  </si>
  <si>
    <t>LOAN900640</t>
  </si>
  <si>
    <t>APP701365</t>
  </si>
  <si>
    <t>TXN500825</t>
  </si>
  <si>
    <t>APP700545</t>
  </si>
  <si>
    <t>LOAN900641</t>
  </si>
  <si>
    <t>APP701367</t>
  </si>
  <si>
    <t>TXN500826</t>
  </si>
  <si>
    <t>APP700546</t>
  </si>
  <si>
    <t>LOAN900642</t>
  </si>
  <si>
    <t>APP701368</t>
  </si>
  <si>
    <t>TXN500827</t>
  </si>
  <si>
    <t>LOAN900643</t>
  </si>
  <si>
    <t>APP701369</t>
  </si>
  <si>
    <t>TXN500828</t>
  </si>
  <si>
    <t>LOAN900644</t>
  </si>
  <si>
    <t>APP701372</t>
  </si>
  <si>
    <t>TXN500829</t>
  </si>
  <si>
    <t>APP700549</t>
  </si>
  <si>
    <t>LOAN900645</t>
  </si>
  <si>
    <t>APP701373</t>
  </si>
  <si>
    <t>TXN500830</t>
  </si>
  <si>
    <t>LOAN900646</t>
  </si>
  <si>
    <t>APP701374</t>
  </si>
  <si>
    <t>LOAN900647</t>
  </si>
  <si>
    <t>TXN500831</t>
  </si>
  <si>
    <t>APP701376</t>
  </si>
  <si>
    <t>TXN500832</t>
  </si>
  <si>
    <t>LOAN900648</t>
  </si>
  <si>
    <t>APP701377</t>
  </si>
  <si>
    <t>APP700553</t>
  </si>
  <si>
    <t>LOAN900649</t>
  </si>
  <si>
    <t>APP700554</t>
  </si>
  <si>
    <t>APP701380</t>
  </si>
  <si>
    <t>TXN500833</t>
  </si>
  <si>
    <t>LOAN900650</t>
  </si>
  <si>
    <t>APP700555</t>
  </si>
  <si>
    <t>APP701381</t>
  </si>
  <si>
    <t>TXN500834</t>
  </si>
  <si>
    <t>LOAN900651</t>
  </si>
  <si>
    <t>APP701382</t>
  </si>
  <si>
    <t>TXN500835</t>
  </si>
  <si>
    <t>LOAN900652</t>
  </si>
  <si>
    <t>APP700557</t>
  </si>
  <si>
    <t>CUST100878</t>
  </si>
  <si>
    <t>APP701383</t>
  </si>
  <si>
    <t>TXN500836</t>
  </si>
  <si>
    <t>LOAN900653</t>
  </si>
  <si>
    <t>APP701385</t>
  </si>
  <si>
    <t>TXN500837</t>
  </si>
  <si>
    <t>LOAN900654</t>
  </si>
  <si>
    <t>APP700559</t>
  </si>
  <si>
    <t>APP701387</t>
  </si>
  <si>
    <t>TXN500838</t>
  </si>
  <si>
    <t>LOAN900655</t>
  </si>
  <si>
    <t>TXN500839</t>
  </si>
  <si>
    <t>CUST100865</t>
  </si>
  <si>
    <t>APP701390</t>
  </si>
  <si>
    <t>LOAN900656</t>
  </si>
  <si>
    <t>TXN500840</t>
  </si>
  <si>
    <t>APP701391</t>
  </si>
  <si>
    <t>CUST100710</t>
  </si>
  <si>
    <t>LOAN900657</t>
  </si>
  <si>
    <t>TXN500841</t>
  </si>
  <si>
    <t>APP701394</t>
  </si>
  <si>
    <t>APP700563</t>
  </si>
  <si>
    <t>TXN500842</t>
  </si>
  <si>
    <t>LOAN900658</t>
  </si>
  <si>
    <t>APP701397</t>
  </si>
  <si>
    <t>TXN500843</t>
  </si>
  <si>
    <t>LOAN900659</t>
  </si>
  <si>
    <t>APP701399</t>
  </si>
  <si>
    <t>TXN500844</t>
  </si>
  <si>
    <t>TXN500845</t>
  </si>
  <si>
    <t>TXN500846</t>
  </si>
  <si>
    <t>APP700567</t>
  </si>
  <si>
    <t>TXN500847</t>
  </si>
  <si>
    <t>TXN500848</t>
  </si>
  <si>
    <t>TXN500849</t>
  </si>
  <si>
    <t>APP700570</t>
  </si>
  <si>
    <t>TXN500850</t>
  </si>
  <si>
    <t>CUST100615</t>
  </si>
  <si>
    <t>APP700571</t>
  </si>
  <si>
    <t>TXN500851</t>
  </si>
  <si>
    <t>CUST100616</t>
  </si>
  <si>
    <t>APP700572</t>
  </si>
  <si>
    <t>TXN500852</t>
  </si>
  <si>
    <t>TXN500853</t>
  </si>
  <si>
    <t>APP700574</t>
  </si>
  <si>
    <t>TXN500854</t>
  </si>
  <si>
    <t>TXN500855</t>
  </si>
  <si>
    <t>APP700576</t>
  </si>
  <si>
    <t>TXN500856</t>
  </si>
  <si>
    <t>APP700577</t>
  </si>
  <si>
    <t>TXN500857</t>
  </si>
  <si>
    <t>TXN500858</t>
  </si>
  <si>
    <t>TXN500859</t>
  </si>
  <si>
    <t>APP700580</t>
  </si>
  <si>
    <t>TXN500860</t>
  </si>
  <si>
    <t>CUST100623</t>
  </si>
  <si>
    <t>APP700581</t>
  </si>
  <si>
    <t>TXN500861</t>
  </si>
  <si>
    <t>TXN500862</t>
  </si>
  <si>
    <t>APP700583</t>
  </si>
  <si>
    <t>TXN500863</t>
  </si>
  <si>
    <t>APP700584</t>
  </si>
  <si>
    <t>TXN500864</t>
  </si>
  <si>
    <t>CUST100660</t>
  </si>
  <si>
    <t>APP700585</t>
  </si>
  <si>
    <t>TXN500865</t>
  </si>
  <si>
    <t>TXN500866</t>
  </si>
  <si>
    <t>TXN500867</t>
  </si>
  <si>
    <t>APP700588</t>
  </si>
  <si>
    <t>TXN500868</t>
  </si>
  <si>
    <t>CUST100630</t>
  </si>
  <si>
    <t>TXN500869</t>
  </si>
  <si>
    <t>TXN500870</t>
  </si>
  <si>
    <t>APP700591</t>
  </si>
  <si>
    <t>TXN500871</t>
  </si>
  <si>
    <t>APP700592</t>
  </si>
  <si>
    <t>TXN500872</t>
  </si>
  <si>
    <t>CUST100678</t>
  </si>
  <si>
    <t>CUST100634</t>
  </si>
  <si>
    <t>APP700593</t>
  </si>
  <si>
    <t>TXN500873</t>
  </si>
  <si>
    <t>TXN500874</t>
  </si>
  <si>
    <t>savings_account_id</t>
  </si>
  <si>
    <t>APP700595</t>
  </si>
  <si>
    <t>TXN500875</t>
  </si>
  <si>
    <t>open_date</t>
  </si>
  <si>
    <t>balance_myr</t>
  </si>
  <si>
    <t>TXN500876</t>
  </si>
  <si>
    <t>SAV300000</t>
  </si>
  <si>
    <t>TXN500877</t>
  </si>
  <si>
    <t>SAV300001</t>
  </si>
  <si>
    <t>APP700598</t>
  </si>
  <si>
    <t>SAV300002</t>
  </si>
  <si>
    <t>TXN500878</t>
  </si>
  <si>
    <t>SAV300003</t>
  </si>
  <si>
    <t>TXN500879</t>
  </si>
  <si>
    <t>SAV300004</t>
  </si>
  <si>
    <t>APP700600</t>
  </si>
  <si>
    <t>CUST100788</t>
  </si>
  <si>
    <t>SAV300005</t>
  </si>
  <si>
    <t>SAV300006</t>
  </si>
  <si>
    <t>APP700601</t>
  </si>
  <si>
    <t>SAV300007</t>
  </si>
  <si>
    <t>SAV300008</t>
  </si>
  <si>
    <t>SAV300009</t>
  </si>
  <si>
    <t>APP700602</t>
  </si>
  <si>
    <t>SAV300010</t>
  </si>
  <si>
    <t>TXN500880</t>
  </si>
  <si>
    <t>SAV300011</t>
  </si>
  <si>
    <t>TXN500881</t>
  </si>
  <si>
    <t>SAV300012</t>
  </si>
  <si>
    <t>APP700604</t>
  </si>
  <si>
    <t>SAV300013</t>
  </si>
  <si>
    <t>TXN500882</t>
  </si>
  <si>
    <t>SAV300014</t>
  </si>
  <si>
    <t>APP700605</t>
  </si>
  <si>
    <t>TXN500883</t>
  </si>
  <si>
    <t>CUST100646</t>
  </si>
  <si>
    <t>SAV300015</t>
  </si>
  <si>
    <t>SAV300016</t>
  </si>
  <si>
    <t>APP700606</t>
  </si>
  <si>
    <t>TXN500884</t>
  </si>
  <si>
    <t>SAV300017</t>
  </si>
  <si>
    <t>SAV300018</t>
  </si>
  <si>
    <t>APP700607</t>
  </si>
  <si>
    <t>TXN500885</t>
  </si>
  <si>
    <t>SAV300019</t>
  </si>
  <si>
    <t>APP700608</t>
  </si>
  <si>
    <t>SAV300020</t>
  </si>
  <si>
    <t>TXN500886</t>
  </si>
  <si>
    <t>TXN500887</t>
  </si>
  <si>
    <t>SAV300021</t>
  </si>
  <si>
    <t>SAV300022</t>
  </si>
  <si>
    <t>TXN500888</t>
  </si>
  <si>
    <t>APP700610</t>
  </si>
  <si>
    <t>SAV300023</t>
  </si>
  <si>
    <t>TXN500889</t>
  </si>
  <si>
    <t>SAV300024</t>
  </si>
  <si>
    <t>APP700611</t>
  </si>
  <si>
    <t>SAV300025</t>
  </si>
  <si>
    <t>TXN500890</t>
  </si>
  <si>
    <t>APP700612</t>
  </si>
  <si>
    <t>SAV300026</t>
  </si>
  <si>
    <t>TXN500891</t>
  </si>
  <si>
    <t>SAV300027</t>
  </si>
  <si>
    <t>SAV300028</t>
  </si>
  <si>
    <t>TXN500892</t>
  </si>
  <si>
    <t>SAV300029</t>
  </si>
  <si>
    <t>APP700614</t>
  </si>
  <si>
    <t>SAV300030</t>
  </si>
  <si>
    <t>TXN500893</t>
  </si>
  <si>
    <t>SAV300031</t>
  </si>
  <si>
    <t>CUST100655</t>
  </si>
  <si>
    <t>APP700615</t>
  </si>
  <si>
    <t>SAV300032</t>
  </si>
  <si>
    <t>TXN500894</t>
  </si>
  <si>
    <t>SAV300033</t>
  </si>
  <si>
    <t>APP700616</t>
  </si>
  <si>
    <t>TXN500895</t>
  </si>
  <si>
    <t>SAV300034</t>
  </si>
  <si>
    <t>APP700617</t>
  </si>
  <si>
    <t>TXN500896</t>
  </si>
  <si>
    <t>SAV300035</t>
  </si>
  <si>
    <t>APP700618</t>
  </si>
  <si>
    <t>SAV300036</t>
  </si>
  <si>
    <t>TXN500897</t>
  </si>
  <si>
    <t>SAV300037</t>
  </si>
  <si>
    <t>SAV300038</t>
  </si>
  <si>
    <t>TXN500898</t>
  </si>
  <si>
    <t>SAV300039</t>
  </si>
  <si>
    <t>APP700620</t>
  </si>
  <si>
    <t>SAV300040</t>
  </si>
  <si>
    <t>TXN500899</t>
  </si>
  <si>
    <t>SAV300041</t>
  </si>
  <si>
    <t>TXN500900</t>
  </si>
  <si>
    <t>APP700622</t>
  </si>
  <si>
    <t>SAV300042</t>
  </si>
  <si>
    <t>SAV300043</t>
  </si>
  <si>
    <t>APP700623</t>
  </si>
  <si>
    <t>CUST100897</t>
  </si>
  <si>
    <t>TXN500901</t>
  </si>
  <si>
    <t>SAV300044</t>
  </si>
  <si>
    <t>SAV300045</t>
  </si>
  <si>
    <t>APP700624</t>
  </si>
  <si>
    <t>TXN500902</t>
  </si>
  <si>
    <t>SAV300046</t>
  </si>
  <si>
    <t>TXN500903</t>
  </si>
  <si>
    <t>SAV300047</t>
  </si>
  <si>
    <t>APP700626</t>
  </si>
  <si>
    <t>SAV300048</t>
  </si>
  <si>
    <t>TXN500904</t>
  </si>
  <si>
    <t>SAV300049</t>
  </si>
  <si>
    <t>SAV300050</t>
  </si>
  <si>
    <t>APP700627</t>
  </si>
  <si>
    <t>TXN500905</t>
  </si>
  <si>
    <t>SAV300051</t>
  </si>
  <si>
    <t>TXN500906</t>
  </si>
  <si>
    <t>SAV300052</t>
  </si>
  <si>
    <t>SAV300053</t>
  </si>
  <si>
    <t>TXN500907</t>
  </si>
  <si>
    <t>SAV300054</t>
  </si>
  <si>
    <t>SAV300055</t>
  </si>
  <si>
    <t>APP700630</t>
  </si>
  <si>
    <t>TXN500908</t>
  </si>
  <si>
    <t>SAV300056</t>
  </si>
  <si>
    <t>SAV300057</t>
  </si>
  <si>
    <t>TXN500909</t>
  </si>
  <si>
    <t>SAV300058</t>
  </si>
  <si>
    <t>APP700632</t>
  </si>
  <si>
    <t>SAV300059</t>
  </si>
  <si>
    <t>TXN500910</t>
  </si>
  <si>
    <t>SAV300060</t>
  </si>
  <si>
    <t>SAV300061</t>
  </si>
  <si>
    <t>TXN500911</t>
  </si>
  <si>
    <t>SAV300062</t>
  </si>
  <si>
    <t>TXN500912</t>
  </si>
  <si>
    <t>SAV300063</t>
  </si>
  <si>
    <t>SAV300064</t>
  </si>
  <si>
    <t>TXN500913</t>
  </si>
  <si>
    <t>SAV300065</t>
  </si>
  <si>
    <t>TXN500914</t>
  </si>
  <si>
    <t>SAV300066</t>
  </si>
  <si>
    <t>SAV300067</t>
  </si>
  <si>
    <t>APP700637</t>
  </si>
  <si>
    <t>TXN500915</t>
  </si>
  <si>
    <t>SAV300068</t>
  </si>
  <si>
    <t>SAV300069</t>
  </si>
  <si>
    <t>APP700638</t>
  </si>
  <si>
    <t>TXN500916</t>
  </si>
  <si>
    <t>SAV300070</t>
  </si>
  <si>
    <t>TXN500917</t>
  </si>
  <si>
    <t>SAV300071</t>
  </si>
  <si>
    <t>SAV300072</t>
  </si>
  <si>
    <t>APP700640</t>
  </si>
  <si>
    <t>TXN500918</t>
  </si>
  <si>
    <t>SAV300073</t>
  </si>
  <si>
    <t>SAV300074</t>
  </si>
  <si>
    <t>TXN500919</t>
  </si>
  <si>
    <t>SAV300075</t>
  </si>
  <si>
    <t>CUST100682</t>
  </si>
  <si>
    <t>SAV300076</t>
  </si>
  <si>
    <t>TXN500920</t>
  </si>
  <si>
    <t>SAV300077</t>
  </si>
  <si>
    <t>APP700643</t>
  </si>
  <si>
    <t>SAV300078</t>
  </si>
  <si>
    <t>TXN500921</t>
  </si>
  <si>
    <t>SAV300079</t>
  </si>
  <si>
    <t>APP700644</t>
  </si>
  <si>
    <t>SAV300080</t>
  </si>
  <si>
    <t>TXN500922</t>
  </si>
  <si>
    <t>SAV300081</t>
  </si>
  <si>
    <t>APP700645</t>
  </si>
  <si>
    <t>SAV300082</t>
  </si>
  <si>
    <t>TXN500923</t>
  </si>
  <si>
    <t>SAV300083</t>
  </si>
  <si>
    <t>APP700646</t>
  </si>
  <si>
    <t>SAV300084</t>
  </si>
  <si>
    <t>TXN500924</t>
  </si>
  <si>
    <t>CUST100687</t>
  </si>
  <si>
    <t>SAV300085</t>
  </si>
  <si>
    <t>SAV300086</t>
  </si>
  <si>
    <t>TXN500925</t>
  </si>
  <si>
    <t>APP700648</t>
  </si>
  <si>
    <t>SAV300087</t>
  </si>
  <si>
    <t>SAV300088</t>
  </si>
  <si>
    <t>TXN500926</t>
  </si>
  <si>
    <t>APP700649</t>
  </si>
  <si>
    <t>SAV300089</t>
  </si>
  <si>
    <t>SAV300090</t>
  </si>
  <si>
    <t>TXN500927</t>
  </si>
  <si>
    <t>APP700650</t>
  </si>
  <si>
    <t>SAV300091</t>
  </si>
  <si>
    <t>CUST100690</t>
  </si>
  <si>
    <t>SAV300092</t>
  </si>
  <si>
    <t>APP700651</t>
  </si>
  <si>
    <t>TXN500928</t>
  </si>
  <si>
    <t>SAV300093</t>
  </si>
  <si>
    <t>SAV300094</t>
  </si>
  <si>
    <t>TXN500929</t>
  </si>
  <si>
    <t>SAV300095</t>
  </si>
  <si>
    <t>SAV300096</t>
  </si>
  <si>
    <t>TXN500930</t>
  </si>
  <si>
    <t>APP700653</t>
  </si>
  <si>
    <t>SAV300097</t>
  </si>
  <si>
    <t>SAV300098</t>
  </si>
  <si>
    <t>TXN500931</t>
  </si>
  <si>
    <t>SAV300099</t>
  </si>
  <si>
    <t>SAV300100</t>
  </si>
  <si>
    <t>TXN500932</t>
  </si>
  <si>
    <t>SAV300101</t>
  </si>
  <si>
    <t>SAV300102</t>
  </si>
  <si>
    <t>TXN500933</t>
  </si>
  <si>
    <t>SAV300103</t>
  </si>
  <si>
    <t>SAV300104</t>
  </si>
  <si>
    <t>TXN500934</t>
  </si>
  <si>
    <t>SAV300105</t>
  </si>
  <si>
    <t>APP700658</t>
  </si>
  <si>
    <t>SAV300106</t>
  </si>
  <si>
    <t>TXN500935</t>
  </si>
  <si>
    <t>SAV300107</t>
  </si>
  <si>
    <t>TXN500936</t>
  </si>
  <si>
    <t>SAV300108</t>
  </si>
  <si>
    <t>SAV300109</t>
  </si>
  <si>
    <t>TXN500937</t>
  </si>
  <si>
    <t>SAV300110</t>
  </si>
  <si>
    <t>APP700661</t>
  </si>
  <si>
    <t>SAV300111</t>
  </si>
  <si>
    <t>TXN500938</t>
  </si>
  <si>
    <t>SAV300112</t>
  </si>
  <si>
    <t>APP700662</t>
  </si>
  <si>
    <t>SAV300113</t>
  </si>
  <si>
    <t>CUST100701</t>
  </si>
  <si>
    <t>TXN500939</t>
  </si>
  <si>
    <t>SAV300114</t>
  </si>
  <si>
    <t>SAV300115</t>
  </si>
  <si>
    <t>CUST100702</t>
  </si>
  <si>
    <t>TXN500940</t>
  </si>
  <si>
    <t>SAV300116</t>
  </si>
  <si>
    <t>CUST100703</t>
  </si>
  <si>
    <t>TXN500941</t>
  </si>
  <si>
    <t>SAV300117</t>
  </si>
  <si>
    <t>SAV300118</t>
  </si>
  <si>
    <t>CUST100704</t>
  </si>
  <si>
    <t>SAV300119</t>
  </si>
  <si>
    <t>SAV300120</t>
  </si>
  <si>
    <t>TXN500942</t>
  </si>
  <si>
    <t>SAV300121</t>
  </si>
  <si>
    <t>APP700667</t>
  </si>
  <si>
    <t>SAV300122</t>
  </si>
  <si>
    <t>CUST100707</t>
  </si>
  <si>
    <t>TXN500943</t>
  </si>
  <si>
    <t>SAV300123</t>
  </si>
  <si>
    <t>TXN500944</t>
  </si>
  <si>
    <t>SAV300124</t>
  </si>
  <si>
    <t>APP700669</t>
  </si>
  <si>
    <t>SAV300125</t>
  </si>
  <si>
    <t>TXN500945</t>
  </si>
  <si>
    <t>SAV300126</t>
  </si>
  <si>
    <t>APP700670</t>
  </si>
  <si>
    <t>SAV300127</t>
  </si>
  <si>
    <t>APP700671</t>
  </si>
  <si>
    <t>SAV300128</t>
  </si>
  <si>
    <t>SAV300129</t>
  </si>
  <si>
    <t>TXN500946</t>
  </si>
  <si>
    <t>SAV300130</t>
  </si>
  <si>
    <t>APP700673</t>
  </si>
  <si>
    <t>TXN500947</t>
  </si>
  <si>
    <t>SAV300131</t>
  </si>
  <si>
    <t>APP700674</t>
  </si>
  <si>
    <t>SAV300132</t>
  </si>
  <si>
    <t>SAV300133</t>
  </si>
  <si>
    <t>TXN500948</t>
  </si>
  <si>
    <t>APP700675</t>
  </si>
  <si>
    <t>SAV300134</t>
  </si>
  <si>
    <t>TXN500949</t>
  </si>
  <si>
    <t>SAV300135</t>
  </si>
  <si>
    <t>TXN500950</t>
  </si>
  <si>
    <t>SAV300136</t>
  </si>
  <si>
    <t>SAV300137</t>
  </si>
  <si>
    <t>TXN500951</t>
  </si>
  <si>
    <t>CUST100717</t>
  </si>
  <si>
    <t>SAV300138</t>
  </si>
  <si>
    <t>APP700679</t>
  </si>
  <si>
    <t>TXN500952</t>
  </si>
  <si>
    <t>SAV300139</t>
  </si>
  <si>
    <t>SAV300140</t>
  </si>
  <si>
    <t>TXN500953</t>
  </si>
  <si>
    <t>APP700680</t>
  </si>
  <si>
    <t>SAV300141</t>
  </si>
  <si>
    <t>APP700681</t>
  </si>
  <si>
    <t>TXN500954</t>
  </si>
  <si>
    <t>SAV300142</t>
  </si>
  <si>
    <t>TXN500955</t>
  </si>
  <si>
    <t>SAV300143</t>
  </si>
  <si>
    <t>TXN500956</t>
  </si>
  <si>
    <t>SAV300144</t>
  </si>
  <si>
    <t>APP700683</t>
  </si>
  <si>
    <t>SAV300145</t>
  </si>
  <si>
    <t>TXN500957</t>
  </si>
  <si>
    <t>SAV300146</t>
  </si>
  <si>
    <t>APP700684</t>
  </si>
  <si>
    <t>TXN500958</t>
  </si>
  <si>
    <t>SAV300147</t>
  </si>
  <si>
    <t>SAV300148</t>
  </si>
  <si>
    <t>TXN500959</t>
  </si>
  <si>
    <t>SAV300149</t>
  </si>
  <si>
    <t>SAV300150</t>
  </si>
  <si>
    <t>APP700686</t>
  </si>
  <si>
    <t>TXN500960</t>
  </si>
  <si>
    <t>SAV300151</t>
  </si>
  <si>
    <t>SAV300152</t>
  </si>
  <si>
    <t>APP700687</t>
  </si>
  <si>
    <t>TXN500961</t>
  </si>
  <si>
    <t>CUST100727</t>
  </si>
  <si>
    <t>SAV300153</t>
  </si>
  <si>
    <t>SAV300154</t>
  </si>
  <si>
    <t>TXN500962</t>
  </si>
  <si>
    <t>SAV300155</t>
  </si>
  <si>
    <t>TXN500963</t>
  </si>
  <si>
    <t>CUST100848</t>
  </si>
  <si>
    <t>SAV300156</t>
  </si>
  <si>
    <t>CUST100729</t>
  </si>
  <si>
    <t>TXN500964</t>
  </si>
  <si>
    <t>SAV300157</t>
  </si>
  <si>
    <t>APP700690</t>
  </si>
  <si>
    <t>SAV300158</t>
  </si>
  <si>
    <t>TXN500965</t>
  </si>
  <si>
    <t>SAV300159</t>
  </si>
  <si>
    <t>SAV300160</t>
  </si>
  <si>
    <t>APP700692</t>
  </si>
  <si>
    <t>TXN500966</t>
  </si>
  <si>
    <t>SAV300161</t>
  </si>
  <si>
    <t>SAV300162</t>
  </si>
  <si>
    <t>APP700693</t>
  </si>
  <si>
    <t>TXN500967</t>
  </si>
  <si>
    <t>SAV300163</t>
  </si>
  <si>
    <t>SAV300164</t>
  </si>
  <si>
    <t>TXN500968</t>
  </si>
  <si>
    <t>SAV300165</t>
  </si>
  <si>
    <t>TXN500969</t>
  </si>
  <si>
    <t>SAV300166</t>
  </si>
  <si>
    <t>SAV300167</t>
  </si>
  <si>
    <t>APP700696</t>
  </si>
  <si>
    <t>TXN500970</t>
  </si>
  <si>
    <t>SAV300168</t>
  </si>
  <si>
    <t>SAV300169</t>
  </si>
  <si>
    <t>TXN500971</t>
  </si>
  <si>
    <t>APP700697</t>
  </si>
  <si>
    <t>SAV300170</t>
  </si>
  <si>
    <t>SAV300171</t>
  </si>
  <si>
    <t>TXN500972</t>
  </si>
  <si>
    <t>SAV300172</t>
  </si>
  <si>
    <t>SAV300173</t>
  </si>
  <si>
    <t>TXN500973</t>
  </si>
  <si>
    <t>SAV300174</t>
  </si>
  <si>
    <t>SAV300175</t>
  </si>
  <si>
    <t>TXN500974</t>
  </si>
  <si>
    <t>SAV300176</t>
  </si>
  <si>
    <t>SAV300177</t>
  </si>
  <si>
    <t>TXN500975</t>
  </si>
  <si>
    <t>SAV300178</t>
  </si>
  <si>
    <t>TXN500976</t>
  </si>
  <si>
    <t>SAV300179</t>
  </si>
  <si>
    <t>CUST100741</t>
  </si>
  <si>
    <t>SAV300180</t>
  </si>
  <si>
    <t>TXN500977</t>
  </si>
  <si>
    <t>SAV300181</t>
  </si>
  <si>
    <t>SAV300182</t>
  </si>
  <si>
    <t>TXN500978</t>
  </si>
  <si>
    <t>SAV300183</t>
  </si>
  <si>
    <t>CUST100743</t>
  </si>
  <si>
    <t>TXN500979</t>
  </si>
  <si>
    <t>SAV300184</t>
  </si>
  <si>
    <t>SAV300185</t>
  </si>
  <si>
    <t>APP700705</t>
  </si>
  <si>
    <t>TXN500980</t>
  </si>
  <si>
    <t>SAV300186</t>
  </si>
  <si>
    <t>SAV300187</t>
  </si>
  <si>
    <t>TXN500981</t>
  </si>
  <si>
    <t>SAV300188</t>
  </si>
  <si>
    <t>TXN500982</t>
  </si>
  <si>
    <t>APP700707</t>
  </si>
  <si>
    <t>SAV300189</t>
  </si>
  <si>
    <t>SAV300190</t>
  </si>
  <si>
    <t>TXN500983</t>
  </si>
  <si>
    <t>CUST100798</t>
  </si>
  <si>
    <t>SAV300191</t>
  </si>
  <si>
    <t>SAV300192</t>
  </si>
  <si>
    <t>TXN500984</t>
  </si>
  <si>
    <t>SAV300193</t>
  </si>
  <si>
    <t>SAV300194</t>
  </si>
  <si>
    <t>TXN500985</t>
  </si>
  <si>
    <t>SAV300195</t>
  </si>
  <si>
    <t>TXN500986</t>
  </si>
  <si>
    <t>APP700711</t>
  </si>
  <si>
    <t>TXN500987</t>
  </si>
  <si>
    <t>APP700712</t>
  </si>
  <si>
    <t>SAV300196</t>
  </si>
  <si>
    <t>SAV300197</t>
  </si>
  <si>
    <t>TXN500988</t>
  </si>
  <si>
    <t>SAV300198</t>
  </si>
  <si>
    <t>SAV300199</t>
  </si>
  <si>
    <t>TXN500989</t>
  </si>
  <si>
    <t>SAV300200</t>
  </si>
  <si>
    <t>TXN500990</t>
  </si>
  <si>
    <t>SAV300201</t>
  </si>
  <si>
    <t>SAV300202</t>
  </si>
  <si>
    <t>TXN500991</t>
  </si>
  <si>
    <t>SAV300203</t>
  </si>
  <si>
    <t>TXN500992</t>
  </si>
  <si>
    <t>SAV300204</t>
  </si>
  <si>
    <t>SAV300205</t>
  </si>
  <si>
    <t>APP700718</t>
  </si>
  <si>
    <t>CUST100756</t>
  </si>
  <si>
    <t>TXN500993</t>
  </si>
  <si>
    <t>SAV300206</t>
  </si>
  <si>
    <t>SAV300207</t>
  </si>
  <si>
    <t>TXN500994</t>
  </si>
  <si>
    <t>APP700720</t>
  </si>
  <si>
    <t>SAV300208</t>
  </si>
  <si>
    <t>TXN500995</t>
  </si>
  <si>
    <t>SAV300209</t>
  </si>
  <si>
    <t>SAV300210</t>
  </si>
  <si>
    <t>TXN500996</t>
  </si>
  <si>
    <t>SAV300211</t>
  </si>
  <si>
    <t>TXN500997</t>
  </si>
  <si>
    <t>APP700723</t>
  </si>
  <si>
    <t>SAV300212</t>
  </si>
  <si>
    <t>SAV300213</t>
  </si>
  <si>
    <t>TXN500998</t>
  </si>
  <si>
    <t>SAV300214</t>
  </si>
  <si>
    <t>TXN500999</t>
  </si>
  <si>
    <t>SAV300215</t>
  </si>
  <si>
    <t>SAV300216</t>
  </si>
  <si>
    <t>TXN501000</t>
  </si>
  <si>
    <t>SAV300217</t>
  </si>
  <si>
    <t>APP700726</t>
  </si>
  <si>
    <t>SAV300218</t>
  </si>
  <si>
    <t>TXN501001</t>
  </si>
  <si>
    <t>SAV300219</t>
  </si>
  <si>
    <t>SAV300220</t>
  </si>
  <si>
    <t>TXN501002</t>
  </si>
  <si>
    <t>SAV300221</t>
  </si>
  <si>
    <t>APP700728</t>
  </si>
  <si>
    <t>SAV300222</t>
  </si>
  <si>
    <t>TXN501003</t>
  </si>
  <si>
    <t>SAV300223</t>
  </si>
  <si>
    <t>APP700729</t>
  </si>
  <si>
    <t>TXN501004</t>
  </si>
  <si>
    <t>SAV300224</t>
  </si>
  <si>
    <t>APP700730</t>
  </si>
  <si>
    <t>CUST100765</t>
  </si>
  <si>
    <t>SAV300225</t>
  </si>
  <si>
    <t>TXN501005</t>
  </si>
  <si>
    <t>SAV300226</t>
  </si>
  <si>
    <t>APP700731</t>
  </si>
  <si>
    <t>SAV300227</t>
  </si>
  <si>
    <t>TXN501006</t>
  </si>
  <si>
    <t>SAV300228</t>
  </si>
  <si>
    <t>TXN501007</t>
  </si>
  <si>
    <t>APP700733</t>
  </si>
  <si>
    <t>SAV300229</t>
  </si>
  <si>
    <t>SAV300230</t>
  </si>
  <si>
    <t>TXN501008</t>
  </si>
  <si>
    <t>SAV300231</t>
  </si>
  <si>
    <t>SAV300232</t>
  </si>
  <si>
    <t>APP700735</t>
  </si>
  <si>
    <t>TXN501009</t>
  </si>
  <si>
    <t>SAV300233</t>
  </si>
  <si>
    <t>SAV300234</t>
  </si>
  <si>
    <t>TXN501010</t>
  </si>
  <si>
    <t>SAV300235</t>
  </si>
  <si>
    <t>APP700737</t>
  </si>
  <si>
    <t>TXN501011</t>
  </si>
  <si>
    <t>SAV300236</t>
  </si>
  <si>
    <t>SAV300237</t>
  </si>
  <si>
    <t>APP700738</t>
  </si>
  <si>
    <t>TXN501012</t>
  </si>
  <si>
    <t>SAV300238</t>
  </si>
  <si>
    <t>SAV300239</t>
  </si>
  <si>
    <t>TXN501013</t>
  </si>
  <si>
    <t>SAV300240</t>
  </si>
  <si>
    <t>APP700740</t>
  </si>
  <si>
    <t>SAV300241</t>
  </si>
  <si>
    <t>TXN501014</t>
  </si>
  <si>
    <t>SAV300242</t>
  </si>
  <si>
    <t>APP700741</t>
  </si>
  <si>
    <t>SAV300243</t>
  </si>
  <si>
    <t>TXN501015</t>
  </si>
  <si>
    <t>CUST100776</t>
  </si>
  <si>
    <t>APP700742</t>
  </si>
  <si>
    <t>SAV300244</t>
  </si>
  <si>
    <t>TXN501016</t>
  </si>
  <si>
    <t>SAV300245</t>
  </si>
  <si>
    <t>SAV300246</t>
  </si>
  <si>
    <t>TXN501017</t>
  </si>
  <si>
    <t>SAV300247</t>
  </si>
  <si>
    <t>CUST100778</t>
  </si>
  <si>
    <t>APP700744</t>
  </si>
  <si>
    <t>SAV300248</t>
  </si>
  <si>
    <t>TXN501018</t>
  </si>
  <si>
    <t>APP700745</t>
  </si>
  <si>
    <t>SAV300249</t>
  </si>
  <si>
    <t>TXN501019</t>
  </si>
  <si>
    <t>SAV300250</t>
  </si>
  <si>
    <t>APP700746</t>
  </si>
  <si>
    <t>SAV300251</t>
  </si>
  <si>
    <t>TXN501020</t>
  </si>
  <si>
    <t>SAV300252</t>
  </si>
  <si>
    <t>APP700747</t>
  </si>
  <si>
    <t>SAV300253</t>
  </si>
  <si>
    <t>TXN501021</t>
  </si>
  <si>
    <t>SAV300254</t>
  </si>
  <si>
    <t>SAV300255</t>
  </si>
  <si>
    <t>TXN501022</t>
  </si>
  <si>
    <t>APP700749</t>
  </si>
  <si>
    <t>SAV300256</t>
  </si>
  <si>
    <t>SAV300257</t>
  </si>
  <si>
    <t>TXN501023</t>
  </si>
  <si>
    <t>SAV300258</t>
  </si>
  <si>
    <t>APP700750</t>
  </si>
  <si>
    <t>TXN501024</t>
  </si>
  <si>
    <t>SAV300259</t>
  </si>
  <si>
    <t>CUST100785</t>
  </si>
  <si>
    <t>SAV300260</t>
  </si>
  <si>
    <t>TXN501025</t>
  </si>
  <si>
    <t>SAV300261</t>
  </si>
  <si>
    <t>CUST100786</t>
  </si>
  <si>
    <t>SAV300262</t>
  </si>
  <si>
    <t>TXN501026</t>
  </si>
  <si>
    <t>SAV300263</t>
  </si>
  <si>
    <t>APP700753</t>
  </si>
  <si>
    <t>TXN501027</t>
  </si>
  <si>
    <t>SAV300264</t>
  </si>
  <si>
    <t>APP700754</t>
  </si>
  <si>
    <t>SAV300265</t>
  </si>
  <si>
    <t>TXN501028</t>
  </si>
  <si>
    <t>SAV300266</t>
  </si>
  <si>
    <t>CUST100837</t>
  </si>
  <si>
    <t>CUST100789</t>
  </si>
  <si>
    <t>APP700755</t>
  </si>
  <si>
    <t>SAV300267</t>
  </si>
  <si>
    <t>TXN501029</t>
  </si>
  <si>
    <t>SAV300268</t>
  </si>
  <si>
    <t>APP700756</t>
  </si>
  <si>
    <t>SAV300269</t>
  </si>
  <si>
    <t>TXN501030</t>
  </si>
  <si>
    <t>APP700757</t>
  </si>
  <si>
    <t>SAV300270</t>
  </si>
  <si>
    <t>TXN501031</t>
  </si>
  <si>
    <t>SAV300271</t>
  </si>
  <si>
    <t>APP700758</t>
  </si>
  <si>
    <t>SAV300272</t>
  </si>
  <si>
    <t>TXN501032</t>
  </si>
  <si>
    <t>SAV300273</t>
  </si>
  <si>
    <t>APP700759</t>
  </si>
  <si>
    <t>SAV300274</t>
  </si>
  <si>
    <t>TXN501033</t>
  </si>
  <si>
    <t>SAV300275</t>
  </si>
  <si>
    <t>APP700760</t>
  </si>
  <si>
    <t>CUST100794</t>
  </si>
  <si>
    <t>TXN501034</t>
  </si>
  <si>
    <t>SAV300276</t>
  </si>
  <si>
    <t>APP700761</t>
  </si>
  <si>
    <t>CUST100795</t>
  </si>
  <si>
    <t>SAV300277</t>
  </si>
  <si>
    <t>TXN501035</t>
  </si>
  <si>
    <t>SAV300278</t>
  </si>
  <si>
    <t>APP700762</t>
  </si>
  <si>
    <t>TXN501036</t>
  </si>
  <si>
    <t>SAV300279</t>
  </si>
  <si>
    <t>SAV300280</t>
  </si>
  <si>
    <t>TXN501037</t>
  </si>
  <si>
    <t>SAV300281</t>
  </si>
  <si>
    <t>APP700764</t>
  </si>
  <si>
    <t>SAV300282</t>
  </si>
  <si>
    <t>SAV300283</t>
  </si>
  <si>
    <t>APP700765</t>
  </si>
  <si>
    <t>SAV300284</t>
  </si>
  <si>
    <t>APP700766</t>
  </si>
  <si>
    <t>SAV300285</t>
  </si>
  <si>
    <t>CUST100799</t>
  </si>
  <si>
    <t>SAV300286</t>
  </si>
  <si>
    <t>SAV300287</t>
  </si>
  <si>
    <t>TXN501038</t>
  </si>
  <si>
    <t>SAV300288</t>
  </si>
  <si>
    <t>SAV300289</t>
  </si>
  <si>
    <t>APP700769</t>
  </si>
  <si>
    <t>TXN501039</t>
  </si>
  <si>
    <t>SAV300290</t>
  </si>
  <si>
    <t>SAV300291</t>
  </si>
  <si>
    <t>TXN501040</t>
  </si>
  <si>
    <t>SAV300292</t>
  </si>
  <si>
    <t>TXN501041</t>
  </si>
  <si>
    <t>SAV300293</t>
  </si>
  <si>
    <t>APP700772</t>
  </si>
  <si>
    <t>SAV300294</t>
  </si>
  <si>
    <t>TXN501042</t>
  </si>
  <si>
    <t>SAV300295</t>
  </si>
  <si>
    <t>TXN501043</t>
  </si>
  <si>
    <t>SAV300296</t>
  </si>
  <si>
    <t>SAV300297</t>
  </si>
  <si>
    <t>TXN501044</t>
  </si>
  <si>
    <t>SAV300298</t>
  </si>
  <si>
    <t>TXN501045</t>
  </si>
  <si>
    <t>SAV300299</t>
  </si>
  <si>
    <t>SAV300300</t>
  </si>
  <si>
    <t>APP700776</t>
  </si>
  <si>
    <t>TXN501046</t>
  </si>
  <si>
    <t>SAV300301</t>
  </si>
  <si>
    <t>SAV300302</t>
  </si>
  <si>
    <t>TXN501047</t>
  </si>
  <si>
    <t>SAV300303</t>
  </si>
  <si>
    <t>SAV300304</t>
  </si>
  <si>
    <t>APP700778</t>
  </si>
  <si>
    <t>TXN501048</t>
  </si>
  <si>
    <t>SAV300305</t>
  </si>
  <si>
    <t>SAV300306</t>
  </si>
  <si>
    <t>TXN501049</t>
  </si>
  <si>
    <t>SAV300307</t>
  </si>
  <si>
    <t>SAV300308</t>
  </si>
  <si>
    <t>APP700780</t>
  </si>
  <si>
    <t>TXN501050</t>
  </si>
  <si>
    <t>SAV300309</t>
  </si>
  <si>
    <t>APP700781</t>
  </si>
  <si>
    <t>SAV300310</t>
  </si>
  <si>
    <t>TXN501051</t>
  </si>
  <si>
    <t>CUST100811</t>
  </si>
  <si>
    <t>SAV300311</t>
  </si>
  <si>
    <t>TXN501052</t>
  </si>
  <si>
    <t>SAV300312</t>
  </si>
  <si>
    <t>SAV300313</t>
  </si>
  <si>
    <t>TXN501053</t>
  </si>
  <si>
    <t>APP700783</t>
  </si>
  <si>
    <t>SAV300314</t>
  </si>
  <si>
    <t>TXN501054</t>
  </si>
  <si>
    <t>SAV300315</t>
  </si>
  <si>
    <t>SAV300316</t>
  </si>
  <si>
    <t>TXN501055</t>
  </si>
  <si>
    <t>SAV300317</t>
  </si>
  <si>
    <t>TXN501056</t>
  </si>
  <si>
    <t>SAV300318</t>
  </si>
  <si>
    <t>TXN501057</t>
  </si>
  <si>
    <t>CUST100815</t>
  </si>
  <si>
    <t>APP700787</t>
  </si>
  <si>
    <t>SAV300319</t>
  </si>
  <si>
    <t>SAV300320</t>
  </si>
  <si>
    <t>APP700788</t>
  </si>
  <si>
    <t>TXN501058</t>
  </si>
  <si>
    <t>SAV300321</t>
  </si>
  <si>
    <t>SAV300322</t>
  </si>
  <si>
    <t>APP700789</t>
  </si>
  <si>
    <t>TXN501059</t>
  </si>
  <si>
    <t>SAV300323</t>
  </si>
  <si>
    <t>SAV300324</t>
  </si>
  <si>
    <t>TXN501060</t>
  </si>
  <si>
    <t>SAV300325</t>
  </si>
  <si>
    <t>TXN501061</t>
  </si>
  <si>
    <t>APP700791</t>
  </si>
  <si>
    <t>SAV300326</t>
  </si>
  <si>
    <t>SAV300327</t>
  </si>
  <si>
    <t>TXN501062</t>
  </si>
  <si>
    <t>SAV300328</t>
  </si>
  <si>
    <t>SAV300329</t>
  </si>
  <si>
    <t>APP700793</t>
  </si>
  <si>
    <t>TXN501063</t>
  </si>
  <si>
    <t>SAV300330</t>
  </si>
  <si>
    <t>APP700794</t>
  </si>
  <si>
    <t>SAV300331</t>
  </si>
  <si>
    <t>TXN501064</t>
  </si>
  <si>
    <t>SAV300332</t>
  </si>
  <si>
    <t>SAV300333</t>
  </si>
  <si>
    <t>CUST100822</t>
  </si>
  <si>
    <t>TXN501065</t>
  </si>
  <si>
    <t>SAV300334</t>
  </si>
  <si>
    <t>SAV300335</t>
  </si>
  <si>
    <t>TXN501066</t>
  </si>
  <si>
    <t>SAV300336</t>
  </si>
  <si>
    <t>SAV300337</t>
  </si>
  <si>
    <t>TXN501067</t>
  </si>
  <si>
    <t>SAV300338</t>
  </si>
  <si>
    <t>SAV300339</t>
  </si>
  <si>
    <t>TXN501068</t>
  </si>
  <si>
    <t>SAV300340</t>
  </si>
  <si>
    <t>SAV300341</t>
  </si>
  <si>
    <t>TXN501069</t>
  </si>
  <si>
    <t>SAV300342</t>
  </si>
  <si>
    <t>SAV300343</t>
  </si>
  <si>
    <t>TXN501070</t>
  </si>
  <si>
    <t>APP700801</t>
  </si>
  <si>
    <t>SAV300344</t>
  </si>
  <si>
    <t>TXN501071</t>
  </si>
  <si>
    <t>SAV300345</t>
  </si>
  <si>
    <t>CUST100828</t>
  </si>
  <si>
    <t>SAV300346</t>
  </si>
  <si>
    <t>TXN501072</t>
  </si>
  <si>
    <t>SAV300347</t>
  </si>
  <si>
    <t>SAV300348</t>
  </si>
  <si>
    <t>TXN501073</t>
  </si>
  <si>
    <t>APP700804</t>
  </si>
  <si>
    <t>SAV300349</t>
  </si>
  <si>
    <t>SAV300350</t>
  </si>
  <si>
    <t>TXN501074</t>
  </si>
  <si>
    <t>SAV300351</t>
  </si>
  <si>
    <t>SAV300352</t>
  </si>
  <si>
    <t>TXN501075</t>
  </si>
  <si>
    <t>SAV300353</t>
  </si>
  <si>
    <t>SAV300354</t>
  </si>
  <si>
    <t>APP700807</t>
  </si>
  <si>
    <t>TXN501076</t>
  </si>
  <si>
    <t>CUST100862</t>
  </si>
  <si>
    <t>SAV300355</t>
  </si>
  <si>
    <t>SAV300356</t>
  </si>
  <si>
    <t>TXN501077</t>
  </si>
  <si>
    <t>SAV300357</t>
  </si>
  <si>
    <t>TXN501078</t>
  </si>
  <si>
    <t>SAV300358</t>
  </si>
  <si>
    <t>SAV300359</t>
  </si>
  <si>
    <t>APP700810</t>
  </si>
  <si>
    <t>TXN501079</t>
  </si>
  <si>
    <t>SAV300360</t>
  </si>
  <si>
    <t>SAV300361</t>
  </si>
  <si>
    <t>APP700811</t>
  </si>
  <si>
    <t>TXN501080</t>
  </si>
  <si>
    <t>SAV300362</t>
  </si>
  <si>
    <t>APP700812</t>
  </si>
  <si>
    <t>SAV300363</t>
  </si>
  <si>
    <t>TXN501081</t>
  </si>
  <si>
    <t>SAV300364</t>
  </si>
  <si>
    <t>APP700813</t>
  </si>
  <si>
    <t>TXN501082</t>
  </si>
  <si>
    <t>SAV300365</t>
  </si>
  <si>
    <t>SAV300366</t>
  </si>
  <si>
    <t>TXN501083</t>
  </si>
  <si>
    <t>TXN501084</t>
  </si>
  <si>
    <t>SAV300367</t>
  </si>
  <si>
    <t>SAV300368</t>
  </si>
  <si>
    <t>TXN501085</t>
  </si>
  <si>
    <t>SAV300369</t>
  </si>
  <si>
    <t>APP700817</t>
  </si>
  <si>
    <t>APP700818</t>
  </si>
  <si>
    <t>SAV300370</t>
  </si>
  <si>
    <t>SAV300371</t>
  </si>
  <si>
    <t>SAV300372</t>
  </si>
  <si>
    <t>TXN501086</t>
  </si>
  <si>
    <t>SAV300373</t>
  </si>
  <si>
    <t>TXN501087</t>
  </si>
  <si>
    <t>SAV300374</t>
  </si>
  <si>
    <t>APP700821</t>
  </si>
  <si>
    <t>SAV300375</t>
  </si>
  <si>
    <t>SAV300376</t>
  </si>
  <si>
    <t>APP700822</t>
  </si>
  <si>
    <t>SAV300377</t>
  </si>
  <si>
    <t>TXN501088</t>
  </si>
  <si>
    <t>SAV300378</t>
  </si>
  <si>
    <t>TXN501089</t>
  </si>
  <si>
    <t>SAV300379</t>
  </si>
  <si>
    <t>SAV300380</t>
  </si>
  <si>
    <t>TXN501090</t>
  </si>
  <si>
    <t>SAV300381</t>
  </si>
  <si>
    <t>TXN501091</t>
  </si>
  <si>
    <t>SAV300382</t>
  </si>
  <si>
    <t>SAV300383</t>
  </si>
  <si>
    <t>TXN501092</t>
  </si>
  <si>
    <t>APP700827</t>
  </si>
  <si>
    <t>SAV300384</t>
  </si>
  <si>
    <t>SAV300385</t>
  </si>
  <si>
    <t>TXN501093</t>
  </si>
  <si>
    <t>SAV300386</t>
  </si>
  <si>
    <t>SAV300387</t>
  </si>
  <si>
    <t>TXN501094</t>
  </si>
  <si>
    <t>SAV300388</t>
  </si>
  <si>
    <t>SAV300389</t>
  </si>
  <si>
    <t>TXN501095</t>
  </si>
  <si>
    <t>SAV300390</t>
  </si>
  <si>
    <t>SAV300391</t>
  </si>
  <si>
    <t>TXN501096</t>
  </si>
  <si>
    <t>SAV300392</t>
  </si>
  <si>
    <t>APP700832</t>
  </si>
  <si>
    <t>TXN501097</t>
  </si>
  <si>
    <t>SAV300393</t>
  </si>
  <si>
    <t>SAV300394</t>
  </si>
  <si>
    <t>APP700833</t>
  </si>
  <si>
    <t>TXN501098</t>
  </si>
  <si>
    <t>SAV300395</t>
  </si>
  <si>
    <t>APP700834</t>
  </si>
  <si>
    <t>SAV300396</t>
  </si>
  <si>
    <t>TXN501099</t>
  </si>
  <si>
    <t>SAV300397</t>
  </si>
  <si>
    <t>SAV300398</t>
  </si>
  <si>
    <t>TXN501100</t>
  </si>
  <si>
    <t>SAV300399</t>
  </si>
  <si>
    <t>SAV300400</t>
  </si>
  <si>
    <t>TXN501101</t>
  </si>
  <si>
    <t>SAV300401</t>
  </si>
  <si>
    <t>SAV300402</t>
  </si>
  <si>
    <t>TXN501102</t>
  </si>
  <si>
    <t>APP700838</t>
  </si>
  <si>
    <t>SAV300403</t>
  </si>
  <si>
    <t>SAV300404</t>
  </si>
  <si>
    <t>APP700839</t>
  </si>
  <si>
    <t>TXN501103</t>
  </si>
  <si>
    <t>SAV300405</t>
  </si>
  <si>
    <t>TXN501104</t>
  </si>
  <si>
    <t>SAV300406</t>
  </si>
  <si>
    <t>SAV300407</t>
  </si>
  <si>
    <t>TXN501105</t>
  </si>
  <si>
    <t>SAV300408</t>
  </si>
  <si>
    <t>SAV300409</t>
  </si>
  <si>
    <t>TXN501106</t>
  </si>
  <si>
    <t>SAV300410</t>
  </si>
  <si>
    <t>TXN501107</t>
  </si>
  <si>
    <t>APP700843</t>
  </si>
  <si>
    <t>SAV300411</t>
  </si>
  <si>
    <t>TXN501108</t>
  </si>
  <si>
    <t>TXN501109</t>
  </si>
  <si>
    <t>APP700845</t>
  </si>
  <si>
    <t>TXN501110</t>
  </si>
  <si>
    <t>SAV300412</t>
  </si>
  <si>
    <t>APP700846</t>
  </si>
  <si>
    <t>SAV300413</t>
  </si>
  <si>
    <t>TXN501111</t>
  </si>
  <si>
    <t>SAV300414</t>
  </si>
  <si>
    <t>APP700847</t>
  </si>
  <si>
    <t>SAV300415</t>
  </si>
  <si>
    <t>TXN501112</t>
  </si>
  <si>
    <t>APP700848</t>
  </si>
  <si>
    <t>SAV300416</t>
  </si>
  <si>
    <t>TXN501113</t>
  </si>
  <si>
    <t>SAV300417</t>
  </si>
  <si>
    <t>APP700849</t>
  </si>
  <si>
    <t>SAV300418</t>
  </si>
  <si>
    <t>TXN501114</t>
  </si>
  <si>
    <t>SAV300419</t>
  </si>
  <si>
    <t>APP700850</t>
  </si>
  <si>
    <t>SAV300420</t>
  </si>
  <si>
    <t>TXN501115</t>
  </si>
  <si>
    <t>SAV300421</t>
  </si>
  <si>
    <t>APP700851</t>
  </si>
  <si>
    <t>SAV300422</t>
  </si>
  <si>
    <t>TXN501116</t>
  </si>
  <si>
    <t>APP700852</t>
  </si>
  <si>
    <t>SAV300423</t>
  </si>
  <si>
    <t>TXN501117</t>
  </si>
  <si>
    <t>SAV300424</t>
  </si>
  <si>
    <t>APP700853</t>
  </si>
  <si>
    <t>SAV300425</t>
  </si>
  <si>
    <t>TXN501118</t>
  </si>
  <si>
    <t>SAV300426</t>
  </si>
  <si>
    <t>APP700854</t>
  </si>
  <si>
    <t>SAV300427</t>
  </si>
  <si>
    <t>TXN501119</t>
  </si>
  <si>
    <t>SAV300428</t>
  </si>
  <si>
    <t>SAV300429</t>
  </si>
  <si>
    <t>CUST100881</t>
  </si>
  <si>
    <t>TXN501120</t>
  </si>
  <si>
    <t>SAV300430</t>
  </si>
  <si>
    <t>SAV300431</t>
  </si>
  <si>
    <t>TXN501121</t>
  </si>
  <si>
    <t>APP700857</t>
  </si>
  <si>
    <t>SAV300432</t>
  </si>
  <si>
    <t>SAV300433</t>
  </si>
  <si>
    <t>TXN501122</t>
  </si>
  <si>
    <t>SAV300434</t>
  </si>
  <si>
    <t>SAV300435</t>
  </si>
  <si>
    <t>APP700859</t>
  </si>
  <si>
    <t>TXN501123</t>
  </si>
  <si>
    <t>SAV300436</t>
  </si>
  <si>
    <t>SAV300437</t>
  </si>
  <si>
    <t>APP700860</t>
  </si>
  <si>
    <t>TXN501124</t>
  </si>
  <si>
    <t>SAV300438</t>
  </si>
  <si>
    <t>SAV300439</t>
  </si>
  <si>
    <t>APP700861</t>
  </si>
  <si>
    <t>TXN501125</t>
  </si>
  <si>
    <t>SAV300440</t>
  </si>
  <si>
    <t>SAV300441</t>
  </si>
  <si>
    <t>TXN501126</t>
  </si>
  <si>
    <t>APP700863</t>
  </si>
  <si>
    <t>TXN501127</t>
  </si>
  <si>
    <t>APP700864</t>
  </si>
  <si>
    <t>SAV300442</t>
  </si>
  <si>
    <t>TXN501128</t>
  </si>
  <si>
    <t>APP700865</t>
  </si>
  <si>
    <t>SAV300443</t>
  </si>
  <si>
    <t>SAV300444</t>
  </si>
  <si>
    <t>TXN501129</t>
  </si>
  <si>
    <t>SAV300445</t>
  </si>
  <si>
    <t>SAV300446</t>
  </si>
  <si>
    <t>TXN501130</t>
  </si>
  <si>
    <t>SAV300447</t>
  </si>
  <si>
    <t>SAV300448</t>
  </si>
  <si>
    <t>TXN501131</t>
  </si>
  <si>
    <t>APP700868</t>
  </si>
  <si>
    <t>SAV300449</t>
  </si>
  <si>
    <t>SAV300450</t>
  </si>
  <si>
    <t>TXN501132</t>
  </si>
  <si>
    <t>APP700869</t>
  </si>
  <si>
    <t>SAV300451</t>
  </si>
  <si>
    <t>SAV300452</t>
  </si>
  <si>
    <t>APP700870</t>
  </si>
  <si>
    <t>TXN501133</t>
  </si>
  <si>
    <t>SAV300453</t>
  </si>
  <si>
    <t>TXN501134</t>
  </si>
  <si>
    <t>SAV300454</t>
  </si>
  <si>
    <t>TXN501135</t>
  </si>
  <si>
    <t>APP700872</t>
  </si>
  <si>
    <t>SAV300455</t>
  </si>
  <si>
    <t>SAV300456</t>
  </si>
  <si>
    <t>TXN501136</t>
  </si>
  <si>
    <t>SAV300457</t>
  </si>
  <si>
    <t>SAV300458</t>
  </si>
  <si>
    <t>APP700874</t>
  </si>
  <si>
    <t>TXN501137</t>
  </si>
  <si>
    <t>CUST100898</t>
  </si>
  <si>
    <t>SAV300459</t>
  </si>
  <si>
    <t>SAV300460</t>
  </si>
  <si>
    <t>APP700875</t>
  </si>
  <si>
    <t>CUST100899</t>
  </si>
  <si>
    <t>TXN501138</t>
  </si>
  <si>
    <t>SAV300461</t>
  </si>
  <si>
    <t>SAV300462</t>
  </si>
  <si>
    <t>TXN501139</t>
  </si>
  <si>
    <t>SAV300463</t>
  </si>
  <si>
    <t>SAV300464</t>
  </si>
  <si>
    <t>TXN501140</t>
  </si>
  <si>
    <t>SAV300465</t>
  </si>
  <si>
    <t>APP700878</t>
  </si>
  <si>
    <t>SAV300466</t>
  </si>
  <si>
    <t>TXN501141</t>
  </si>
  <si>
    <t>SAV300467</t>
  </si>
  <si>
    <t>APP700879</t>
  </si>
  <si>
    <t>SAV300468</t>
  </si>
  <si>
    <t>TXN501142</t>
  </si>
  <si>
    <t>SAV300469</t>
  </si>
  <si>
    <t>SAV300470</t>
  </si>
  <si>
    <t>TXN501143</t>
  </si>
  <si>
    <t>SAV300471</t>
  </si>
  <si>
    <t>TXN501144</t>
  </si>
  <si>
    <t>SAV300472</t>
  </si>
  <si>
    <t>SAV300473</t>
  </si>
  <si>
    <t>TXN501145</t>
  </si>
  <si>
    <t>SAV300474</t>
  </si>
  <si>
    <t>APP700883</t>
  </si>
  <si>
    <t>SAV300475</t>
  </si>
  <si>
    <t>TXN501146</t>
  </si>
  <si>
    <t>SAV300476</t>
  </si>
  <si>
    <t>SAV300477</t>
  </si>
  <si>
    <t>TXN501147</t>
  </si>
  <si>
    <t>SAV300478</t>
  </si>
  <si>
    <t>APP700885</t>
  </si>
  <si>
    <t>SAV300479</t>
  </si>
  <si>
    <t>TXN501148</t>
  </si>
  <si>
    <t>SAV300480</t>
  </si>
  <si>
    <t>APP700886</t>
  </si>
  <si>
    <t>TXN501149</t>
  </si>
  <si>
    <t>SAV300481</t>
  </si>
  <si>
    <t>APP700887</t>
  </si>
  <si>
    <t>SAV300482</t>
  </si>
  <si>
    <t>TXN501150</t>
  </si>
  <si>
    <t>SAV300483</t>
  </si>
  <si>
    <t>month</t>
  </si>
  <si>
    <t>product_line</t>
  </si>
  <si>
    <t>SAV300484</t>
  </si>
  <si>
    <t>TXN501151</t>
  </si>
  <si>
    <t>revenue_type</t>
  </si>
  <si>
    <t>SAV300485</t>
  </si>
  <si>
    <t>revenue_myr</t>
  </si>
  <si>
    <t>APP700889</t>
  </si>
  <si>
    <t>SAV300486</t>
  </si>
  <si>
    <t>TXN501152</t>
  </si>
  <si>
    <t>Interest Income</t>
  </si>
  <si>
    <t>SAV300487</t>
  </si>
  <si>
    <t>APP700890</t>
  </si>
  <si>
    <t>SAV300488</t>
  </si>
  <si>
    <t>Late Fees</t>
  </si>
  <si>
    <t>TXN501153</t>
  </si>
  <si>
    <t>Origination Fees</t>
  </si>
  <si>
    <t>SAV300489</t>
  </si>
  <si>
    <t>APP700891</t>
  </si>
  <si>
    <t>Interchange Fee</t>
  </si>
  <si>
    <t>SAV300490</t>
  </si>
  <si>
    <t>FX Margin</t>
  </si>
  <si>
    <t>APP700892</t>
  </si>
  <si>
    <t>TXN501154</t>
  </si>
  <si>
    <t>Net Interest Margin</t>
  </si>
  <si>
    <t>SAV300491</t>
  </si>
  <si>
    <t>TXN501155</t>
  </si>
  <si>
    <t>SAV300492</t>
  </si>
  <si>
    <t>APP700894</t>
  </si>
  <si>
    <t>SAV300493</t>
  </si>
  <si>
    <t>TXN501156</t>
  </si>
  <si>
    <t>SAV300494</t>
  </si>
  <si>
    <t>TXN501157</t>
  </si>
  <si>
    <t>SAV300495</t>
  </si>
  <si>
    <t>TXN501158</t>
  </si>
  <si>
    <t>SAV300496</t>
  </si>
  <si>
    <t>TXN501159</t>
  </si>
  <si>
    <t>SAV300497</t>
  </si>
  <si>
    <t>SAV300498</t>
  </si>
  <si>
    <t>TXN501160</t>
  </si>
  <si>
    <t>APP700897</t>
  </si>
  <si>
    <t>SAV300499</t>
  </si>
  <si>
    <t>TXN501161</t>
  </si>
  <si>
    <t>SAV300500</t>
  </si>
  <si>
    <t>TXN501162</t>
  </si>
  <si>
    <t>APP700899</t>
  </si>
  <si>
    <t>TXN501163</t>
  </si>
  <si>
    <t>SAV300501</t>
  </si>
  <si>
    <t>TXN501164</t>
  </si>
  <si>
    <t>SAV300502</t>
  </si>
  <si>
    <t>SAV300503</t>
  </si>
  <si>
    <t>APP700902</t>
  </si>
  <si>
    <t>TXN501165</t>
  </si>
  <si>
    <t>SAV300504</t>
  </si>
  <si>
    <t>APP700903</t>
  </si>
  <si>
    <t>TXN501166</t>
  </si>
  <si>
    <t>SAV300505</t>
  </si>
  <si>
    <t>APP700904</t>
  </si>
  <si>
    <t>SAV300506</t>
  </si>
  <si>
    <t>TXN501167</t>
  </si>
  <si>
    <t>APP700905</t>
  </si>
  <si>
    <t>TXN501168</t>
  </si>
  <si>
    <t>SAV300507</t>
  </si>
  <si>
    <t>SAV300508</t>
  </si>
  <si>
    <t>TXN501169</t>
  </si>
  <si>
    <t>SAV300509</t>
  </si>
  <si>
    <t>TXN501170</t>
  </si>
  <si>
    <t>SAV300510</t>
  </si>
  <si>
    <t>APP700908</t>
  </si>
  <si>
    <t>TXN501171</t>
  </si>
  <si>
    <t>APP700909</t>
  </si>
  <si>
    <t>SAV300511</t>
  </si>
  <si>
    <t>SAV300512</t>
  </si>
  <si>
    <t>APP700910</t>
  </si>
  <si>
    <t>TXN501172</t>
  </si>
  <si>
    <t>SAV300513</t>
  </si>
  <si>
    <t>TXN501173</t>
  </si>
  <si>
    <t>SAV300514</t>
  </si>
  <si>
    <t>TXN501174</t>
  </si>
  <si>
    <t>SAV300515</t>
  </si>
  <si>
    <t>APP700913</t>
  </si>
  <si>
    <t>TXN501175</t>
  </si>
  <si>
    <t>SAV300516</t>
  </si>
  <si>
    <t>APP700914</t>
  </si>
  <si>
    <t>TXN501176</t>
  </si>
  <si>
    <t>SAV300517</t>
  </si>
  <si>
    <t>TXN501177</t>
  </si>
  <si>
    <t>SAV300518</t>
  </si>
  <si>
    <t>SAV300519</t>
  </si>
  <si>
    <t>TXN501178</t>
  </si>
  <si>
    <t>SAV300520</t>
  </si>
  <si>
    <t>TXN501179</t>
  </si>
  <si>
    <t>SAV300521</t>
  </si>
  <si>
    <t>SAV300522</t>
  </si>
  <si>
    <t>TXN501180</t>
  </si>
  <si>
    <t>SAV300523</t>
  </si>
  <si>
    <t>APP700919</t>
  </si>
  <si>
    <t>TXN501181</t>
  </si>
  <si>
    <t>SAV300524</t>
  </si>
  <si>
    <t>APP700920</t>
  </si>
  <si>
    <t>SAV300525</t>
  </si>
  <si>
    <t>TXN501182</t>
  </si>
  <si>
    <t>SAV300526</t>
  </si>
  <si>
    <t>APP700921</t>
  </si>
  <si>
    <t>SAV300527</t>
  </si>
  <si>
    <t>SAV300528</t>
  </si>
  <si>
    <t>SAV300529</t>
  </si>
  <si>
    <t>APP700924</t>
  </si>
  <si>
    <t>SAV300530</t>
  </si>
  <si>
    <t>SAV300531</t>
  </si>
  <si>
    <t>TXN501183</t>
  </si>
  <si>
    <t>SAV300532</t>
  </si>
  <si>
    <t>TXN501184</t>
  </si>
  <si>
    <t>SAV300533</t>
  </si>
  <si>
    <t>SAV300534</t>
  </si>
  <si>
    <t>TXN501185</t>
  </si>
  <si>
    <t>SAV300535</t>
  </si>
  <si>
    <t>SAV300536</t>
  </si>
  <si>
    <t>TXN501186</t>
  </si>
  <si>
    <t>SAV300537</t>
  </si>
  <si>
    <t>APP700929</t>
  </si>
  <si>
    <t>SAV300538</t>
  </si>
  <si>
    <t>TXN501187</t>
  </si>
  <si>
    <t>SAV300539</t>
  </si>
  <si>
    <t>SAV300540</t>
  </si>
  <si>
    <t>TXN501188</t>
  </si>
  <si>
    <t>SAV300541</t>
  </si>
  <si>
    <t>APP700932</t>
  </si>
  <si>
    <t>TXN501189</t>
  </si>
  <si>
    <t>SAV300542</t>
  </si>
  <si>
    <t>SAV300543</t>
  </si>
  <si>
    <t>TXN501190</t>
  </si>
  <si>
    <t>SAV300544</t>
  </si>
  <si>
    <t>TXN501191</t>
  </si>
  <si>
    <t>SAV300545</t>
  </si>
  <si>
    <t>SAV300546</t>
  </si>
  <si>
    <t>TXN501192</t>
  </si>
  <si>
    <t>SAV300547</t>
  </si>
  <si>
    <t>APP700936</t>
  </si>
  <si>
    <t>SAV300548</t>
  </si>
  <si>
    <t>TXN501193</t>
  </si>
  <si>
    <t>SAV300549</t>
  </si>
  <si>
    <t>SAV300550</t>
  </si>
  <si>
    <t>TXN501194</t>
  </si>
  <si>
    <t>SAV300551</t>
  </si>
  <si>
    <t>SAV300552</t>
  </si>
  <si>
    <t>TXN501195</t>
  </si>
  <si>
    <t>SAV300553</t>
  </si>
  <si>
    <t>APP700939</t>
  </si>
  <si>
    <t>TXN501196</t>
  </si>
  <si>
    <t>SAV300554</t>
  </si>
  <si>
    <t>APP700940</t>
  </si>
  <si>
    <t>SAV300555</t>
  </si>
  <si>
    <t>TXN501197</t>
  </si>
  <si>
    <t>APP700941</t>
  </si>
  <si>
    <t>TXN501198</t>
  </si>
  <si>
    <t>SAV300556</t>
  </si>
  <si>
    <t>SAV300557</t>
  </si>
  <si>
    <t>TXN501199</t>
  </si>
  <si>
    <t>SAV300558</t>
  </si>
  <si>
    <t>SAV300559</t>
  </si>
  <si>
    <t>TXN501200</t>
  </si>
  <si>
    <t>SAV300560</t>
  </si>
  <si>
    <t>SAV300561</t>
  </si>
  <si>
    <t>TXN501201</t>
  </si>
  <si>
    <t>SAV300562</t>
  </si>
  <si>
    <t>APP700945</t>
  </si>
  <si>
    <t>SAV300563</t>
  </si>
  <si>
    <t>TXN501202</t>
  </si>
  <si>
    <t>SAV300564</t>
  </si>
  <si>
    <t>SAV300565</t>
  </si>
  <si>
    <t>TXN501203</t>
  </si>
  <si>
    <t>SAV300566</t>
  </si>
  <si>
    <t>SAV300567</t>
  </si>
  <si>
    <t>TXN501204</t>
  </si>
  <si>
    <t>SAV300568</t>
  </si>
  <si>
    <t>SAV300569</t>
  </si>
  <si>
    <t>APP700949</t>
  </si>
  <si>
    <t>TXN501205</t>
  </si>
  <si>
    <t>SAV300570</t>
  </si>
  <si>
    <t>APP700950</t>
  </si>
  <si>
    <t>SAV300571</t>
  </si>
  <si>
    <t>TXN501206</t>
  </si>
  <si>
    <t>SAV300572</t>
  </si>
  <si>
    <t>SAV300573</t>
  </si>
  <si>
    <t>TXN501207</t>
  </si>
  <si>
    <t>SAV300574</t>
  </si>
  <si>
    <t>TXN501208</t>
  </si>
  <si>
    <t>SAV300575</t>
  </si>
  <si>
    <t>SAV300576</t>
  </si>
  <si>
    <t>APP700953</t>
  </si>
  <si>
    <t>TXN501209</t>
  </si>
  <si>
    <t>SAV300577</t>
  </si>
  <si>
    <t>SAV300578</t>
  </si>
  <si>
    <t>TXN501210</t>
  </si>
  <si>
    <t>SAV300579</t>
  </si>
  <si>
    <t>APP700955</t>
  </si>
  <si>
    <t>SAV300580</t>
  </si>
  <si>
    <t>TXN501211</t>
  </si>
  <si>
    <t>SAV300581</t>
  </si>
  <si>
    <t>APP700956</t>
  </si>
  <si>
    <t>SAV300582</t>
  </si>
  <si>
    <t>TXN501212</t>
  </si>
  <si>
    <t>SAV300583</t>
  </si>
  <si>
    <t>APP700957</t>
  </si>
  <si>
    <t>SAV300584</t>
  </si>
  <si>
    <t>TXN501213</t>
  </si>
  <si>
    <t>APP700958</t>
  </si>
  <si>
    <t>SAV300585</t>
  </si>
  <si>
    <t>TXN501214</t>
  </si>
  <si>
    <t>SAV300586</t>
  </si>
  <si>
    <t>APP700959</t>
  </si>
  <si>
    <t>SAV300587</t>
  </si>
  <si>
    <t>TXN501215</t>
  </si>
  <si>
    <t>SAV300588</t>
  </si>
  <si>
    <t>SAV300589</t>
  </si>
  <si>
    <t>TXN501216</t>
  </si>
  <si>
    <t>APP700961</t>
  </si>
  <si>
    <t>SAV300590</t>
  </si>
  <si>
    <t>TXN501217</t>
  </si>
  <si>
    <t>SAV300591</t>
  </si>
  <si>
    <t>APP700962</t>
  </si>
  <si>
    <t>SAV300592</t>
  </si>
  <si>
    <t>TXN501218</t>
  </si>
  <si>
    <t>APP700963</t>
  </si>
  <si>
    <t>SAV300593</t>
  </si>
  <si>
    <t>TXN501219</t>
  </si>
  <si>
    <t>SAV300594</t>
  </si>
  <si>
    <t>APP700964</t>
  </si>
  <si>
    <t>SAV300595</t>
  </si>
  <si>
    <t>TXN501220</t>
  </si>
  <si>
    <t>SAV300596</t>
  </si>
  <si>
    <t>SAV300597</t>
  </si>
  <si>
    <t>APP700966</t>
  </si>
  <si>
    <t>TXN501221</t>
  </si>
  <si>
    <t>SAV300598</t>
  </si>
  <si>
    <t>SAV300599</t>
  </si>
  <si>
    <t>TXN501222</t>
  </si>
  <si>
    <t>SAV300600</t>
  </si>
  <si>
    <t>SAV300601</t>
  </si>
  <si>
    <t>TXN501223</t>
  </si>
  <si>
    <t>SAV300602</t>
  </si>
  <si>
    <t>APP700969</t>
  </si>
  <si>
    <t>SAV300603</t>
  </si>
  <si>
    <t>TXN501224</t>
  </si>
  <si>
    <t>SAV300604</t>
  </si>
  <si>
    <t>APP700970</t>
  </si>
  <si>
    <t>TXN501225</t>
  </si>
  <si>
    <t>SAV300605</t>
  </si>
  <si>
    <t>APP700971</t>
  </si>
  <si>
    <t>SAV300606</t>
  </si>
  <si>
    <t>TXN501226</t>
  </si>
  <si>
    <t>SAV300607</t>
  </si>
  <si>
    <t>APP700972</t>
  </si>
  <si>
    <t>SAV300608</t>
  </si>
  <si>
    <t>TXN501227</t>
  </si>
  <si>
    <t>SAV300609</t>
  </si>
  <si>
    <t>APP700973</t>
  </si>
  <si>
    <t>TXN501228</t>
  </si>
  <si>
    <t>SAV300610</t>
  </si>
  <si>
    <t>APP700974</t>
  </si>
  <si>
    <t>SAV300611</t>
  </si>
  <si>
    <t>TXN501229</t>
  </si>
  <si>
    <t>SAV300612</t>
  </si>
  <si>
    <t>APP700975</t>
  </si>
  <si>
    <t>SAV300613</t>
  </si>
  <si>
    <t>TXN501230</t>
  </si>
  <si>
    <t>APP700976</t>
  </si>
  <si>
    <t>SAV300614</t>
  </si>
  <si>
    <t>SAV300615</t>
  </si>
  <si>
    <t>TXN501231</t>
  </si>
  <si>
    <t>APP700977</t>
  </si>
  <si>
    <t>SAV300616</t>
  </si>
  <si>
    <t>SAV300617</t>
  </si>
  <si>
    <t>TXN501232</t>
  </si>
  <si>
    <t>SAV300618</t>
  </si>
  <si>
    <t>SAV300619</t>
  </si>
  <si>
    <t>TXN501233</t>
  </si>
  <si>
    <t>APP700979</t>
  </si>
  <si>
    <t>SAV300620</t>
  </si>
  <si>
    <t>TXN501234</t>
  </si>
  <si>
    <t>SAV300621</t>
  </si>
  <si>
    <t>SAV300622</t>
  </si>
  <si>
    <t>TXN501235</t>
  </si>
  <si>
    <t>SAV300623</t>
  </si>
  <si>
    <t>SAV300624</t>
  </si>
  <si>
    <t>TXN501236</t>
  </si>
  <si>
    <t>SAV300625</t>
  </si>
  <si>
    <t>SAV300626</t>
  </si>
  <si>
    <t>TXN501237</t>
  </si>
  <si>
    <t>SAV300627</t>
  </si>
  <si>
    <t>SAV300628</t>
  </si>
  <si>
    <t>TXN501238</t>
  </si>
  <si>
    <t>SAV300629</t>
  </si>
  <si>
    <t>SAV300630</t>
  </si>
  <si>
    <t>TXN501239</t>
  </si>
  <si>
    <t>SAV300631</t>
  </si>
  <si>
    <t>SAV300632</t>
  </si>
  <si>
    <t>TXN501240</t>
  </si>
  <si>
    <t>APP700986</t>
  </si>
  <si>
    <t>SAV300633</t>
  </si>
  <si>
    <t>SAV300634</t>
  </si>
  <si>
    <t>TXN501241</t>
  </si>
  <si>
    <t>APP700987</t>
  </si>
  <si>
    <t>SAV300635</t>
  </si>
  <si>
    <t>SAV300636</t>
  </si>
  <si>
    <t>TXN501242</t>
  </si>
  <si>
    <t>APP700988</t>
  </si>
  <si>
    <t>SAV300637</t>
  </si>
  <si>
    <t>SAV300638</t>
  </si>
  <si>
    <t>APP700989</t>
  </si>
  <si>
    <t>TXN501243</t>
  </si>
  <si>
    <t>SAV300639</t>
  </si>
  <si>
    <t>TXN501244</t>
  </si>
  <si>
    <t>APP700990</t>
  </si>
  <si>
    <t>SAV300640</t>
  </si>
  <si>
    <t>APP700991</t>
  </si>
  <si>
    <t>SAV300641</t>
  </si>
  <si>
    <t>TXN501245</t>
  </si>
  <si>
    <t>SAV300642</t>
  </si>
  <si>
    <t>APP700992</t>
  </si>
  <si>
    <t>SAV300643</t>
  </si>
  <si>
    <t>TXN501246</t>
  </si>
  <si>
    <t>SAV300644</t>
  </si>
  <si>
    <t>SAV300645</t>
  </si>
  <si>
    <t>TXN501247</t>
  </si>
  <si>
    <t>SAV300646</t>
  </si>
  <si>
    <t>TXN501248</t>
  </si>
  <si>
    <t>SAV300647</t>
  </si>
  <si>
    <t>SAV300648</t>
  </si>
  <si>
    <t>TXN501249</t>
  </si>
  <si>
    <t>SAV300649</t>
  </si>
  <si>
    <t>SAV300650</t>
  </si>
  <si>
    <t>APP700996</t>
  </si>
  <si>
    <t>TXN501250</t>
  </si>
  <si>
    <t>SAV300651</t>
  </si>
  <si>
    <t>APP700997</t>
  </si>
  <si>
    <t>SAV300652</t>
  </si>
  <si>
    <t>TXN501251</t>
  </si>
  <si>
    <t>SAV300653</t>
  </si>
  <si>
    <t>SAV300654</t>
  </si>
  <si>
    <t>TXN501252</t>
  </si>
  <si>
    <t>SAV300655</t>
  </si>
  <si>
    <t>APP700999</t>
  </si>
  <si>
    <t>SAV300656</t>
  </si>
  <si>
    <t>TXN501253</t>
  </si>
  <si>
    <t>SAV300657</t>
  </si>
  <si>
    <t>TXN501254</t>
  </si>
  <si>
    <t>SAV300658</t>
  </si>
  <si>
    <t>APP701001</t>
  </si>
  <si>
    <t>SAV300659</t>
  </si>
  <si>
    <t>TXN501255</t>
  </si>
  <si>
    <t>SAV300660</t>
  </si>
  <si>
    <t>SAV300661</t>
  </si>
  <si>
    <t>TXN501256</t>
  </si>
  <si>
    <t>SAV300662</t>
  </si>
  <si>
    <t>TXN501257</t>
  </si>
  <si>
    <t>SAV300663</t>
  </si>
  <si>
    <t>SAV300664</t>
  </si>
  <si>
    <t>APP701004</t>
  </si>
  <si>
    <t>TXN501258</t>
  </si>
  <si>
    <t>SAV300665</t>
  </si>
  <si>
    <t>APP701005</t>
  </si>
  <si>
    <t>SAV300666</t>
  </si>
  <si>
    <t>TXN501259</t>
  </si>
  <si>
    <t>SAV300667</t>
  </si>
  <si>
    <t>SAV300668</t>
  </si>
  <si>
    <t>TXN501260</t>
  </si>
  <si>
    <t>SAV300669</t>
  </si>
  <si>
    <t>TXN501261</t>
  </si>
  <si>
    <t>SAV300670</t>
  </si>
  <si>
    <t>APP701008</t>
  </si>
  <si>
    <t>SAV300671</t>
  </si>
  <si>
    <t>TXN501262</t>
  </si>
  <si>
    <t>SAV300672</t>
  </si>
  <si>
    <t>TXN501263</t>
  </si>
  <si>
    <t>SAV300673</t>
  </si>
  <si>
    <t>APP701010</t>
  </si>
  <si>
    <t>SAV300674</t>
  </si>
  <si>
    <t>TXN501264</t>
  </si>
  <si>
    <t>SAV300675</t>
  </si>
  <si>
    <t>TXN501265</t>
  </si>
  <si>
    <t>SAV300676</t>
  </si>
  <si>
    <t>SAV300677</t>
  </si>
  <si>
    <t>TXN501266</t>
  </si>
  <si>
    <t>SAV300678</t>
  </si>
  <si>
    <t>APP701013</t>
  </si>
  <si>
    <t>SAV300679</t>
  </si>
  <si>
    <t>TXN501267</t>
  </si>
  <si>
    <t>SAV300680</t>
  </si>
  <si>
    <t>SAV300681</t>
  </si>
  <si>
    <t>TXN501268</t>
  </si>
  <si>
    <t>APP701015</t>
  </si>
  <si>
    <t>SAV300682</t>
  </si>
  <si>
    <t>TXN501269</t>
  </si>
  <si>
    <t>SAV300683</t>
  </si>
  <si>
    <t>SAV300684</t>
  </si>
  <si>
    <t>TXN501270</t>
  </si>
  <si>
    <t>SAV300685</t>
  </si>
  <si>
    <t>SAV300686</t>
  </si>
  <si>
    <t>TXN501271</t>
  </si>
  <si>
    <t>SAV300687</t>
  </si>
  <si>
    <t>SAV300688</t>
  </si>
  <si>
    <t>TXN501272</t>
  </si>
  <si>
    <t>SAV300689</t>
  </si>
  <si>
    <t>APP701019</t>
  </si>
  <si>
    <t>TXN501273</t>
  </si>
  <si>
    <t>SAV300690</t>
  </si>
  <si>
    <t>APP701020</t>
  </si>
  <si>
    <t>SAV300691</t>
  </si>
  <si>
    <t>TXN501274</t>
  </si>
  <si>
    <t>SAV300692</t>
  </si>
  <si>
    <t>SAV300693</t>
  </si>
  <si>
    <t>TXN501275</t>
  </si>
  <si>
    <t>SAV300694</t>
  </si>
  <si>
    <t>APP701022</t>
  </si>
  <si>
    <t>SAV300695</t>
  </si>
  <si>
    <t>TXN501276</t>
  </si>
  <si>
    <t>SAV300696</t>
  </si>
  <si>
    <t>SAV300697</t>
  </si>
  <si>
    <t>TXN501277</t>
  </si>
  <si>
    <t>SAV300698</t>
  </si>
  <si>
    <t>APP701024</t>
  </si>
  <si>
    <t>TXN501278</t>
  </si>
  <si>
    <t>SAV300699</t>
  </si>
  <si>
    <t>SAV300700</t>
  </si>
  <si>
    <t>TXN501279</t>
  </si>
  <si>
    <t>APP701026</t>
  </si>
  <si>
    <t>TXN501280</t>
  </si>
  <si>
    <t>SAV300701</t>
  </si>
  <si>
    <t>APP701027</t>
  </si>
  <si>
    <t>SAV300702</t>
  </si>
  <si>
    <t>TXN501281</t>
  </si>
  <si>
    <t>APP701028</t>
  </si>
  <si>
    <t>SAV300703</t>
  </si>
  <si>
    <t>SAV300704</t>
  </si>
  <si>
    <t>TXN501282</t>
  </si>
  <si>
    <t>APP701029</t>
  </si>
  <si>
    <t>SAV300705</t>
  </si>
  <si>
    <t>TXN501283</t>
  </si>
  <si>
    <t>SAV300706</t>
  </si>
  <si>
    <t>SAV300707</t>
  </si>
  <si>
    <t>APP701031</t>
  </si>
  <si>
    <t>TXN501284</t>
  </si>
  <si>
    <t>SAV300708</t>
  </si>
  <si>
    <t>SAV300709</t>
  </si>
  <si>
    <t>TXN501285</t>
  </si>
  <si>
    <t>SAV300710</t>
  </si>
  <si>
    <t>SAV300711</t>
  </si>
  <si>
    <t>TXN501286</t>
  </si>
  <si>
    <t>SAV300712</t>
  </si>
  <si>
    <t>APP701034</t>
  </si>
  <si>
    <t>SAV300713</t>
  </si>
  <si>
    <t>TXN501287</t>
  </si>
  <si>
    <t>SAV300714</t>
  </si>
  <si>
    <t>APP701035</t>
  </si>
  <si>
    <t>TXN501288</t>
  </si>
  <si>
    <t>SAV300715</t>
  </si>
  <si>
    <t>APP701036</t>
  </si>
  <si>
    <t>SAV300716</t>
  </si>
  <si>
    <t>TXN501289</t>
  </si>
  <si>
    <t>SAV300717</t>
  </si>
  <si>
    <t>APP701037</t>
  </si>
  <si>
    <t>SAV300718</t>
  </si>
  <si>
    <t>TXN501290</t>
  </si>
  <si>
    <t>SAV300719</t>
  </si>
  <si>
    <t>SAV300720</t>
  </si>
  <si>
    <t>APP701038</t>
  </si>
  <si>
    <t>TXN501291</t>
  </si>
  <si>
    <t>SAV300721</t>
  </si>
  <si>
    <t>SAV300722</t>
  </si>
  <si>
    <t>TXN501292</t>
  </si>
  <si>
    <t>APP701039</t>
  </si>
  <si>
    <t>SAV300723</t>
  </si>
  <si>
    <t>TXN501293</t>
  </si>
  <si>
    <t>SAV300724</t>
  </si>
  <si>
    <t>APP701040</t>
  </si>
  <si>
    <t>SAV300725</t>
  </si>
  <si>
    <t>TXN501294</t>
  </si>
  <si>
    <t>SAV300726</t>
  </si>
  <si>
    <t>TXN501295</t>
  </si>
  <si>
    <t>APP701042</t>
  </si>
  <si>
    <t>SAV300727</t>
  </si>
  <si>
    <t>SAV300728</t>
  </si>
  <si>
    <t>TXN501296</t>
  </si>
  <si>
    <t>APP701043</t>
  </si>
  <si>
    <t>SAV300729</t>
  </si>
  <si>
    <t>TXN501297</t>
  </si>
  <si>
    <t>SAV300730</t>
  </si>
  <si>
    <t>SAV300731</t>
  </si>
  <si>
    <t>TXN501298</t>
  </si>
  <si>
    <t>APP701045</t>
  </si>
  <si>
    <t>SAV300732</t>
  </si>
  <si>
    <t>TXN501299</t>
  </si>
  <si>
    <t>APP701046</t>
  </si>
  <si>
    <t>SAV300733</t>
  </si>
  <si>
    <t>TXN501300</t>
  </si>
  <si>
    <t>APP701047</t>
  </si>
  <si>
    <t>SAV300734</t>
  </si>
  <si>
    <t>SAV300735</t>
  </si>
  <si>
    <t>SAV300736</t>
  </si>
  <si>
    <t>TXN501301</t>
  </si>
  <si>
    <t>SAV300737</t>
  </si>
  <si>
    <t>APP701049</t>
  </si>
  <si>
    <t>SAV300738</t>
  </si>
  <si>
    <t>TXN501302</t>
  </si>
  <si>
    <t>SAV300739</t>
  </si>
  <si>
    <t>APP701050</t>
  </si>
  <si>
    <t>TXN501303</t>
  </si>
  <si>
    <t>SAV300740</t>
  </si>
  <si>
    <t>SAV300741</t>
  </si>
  <si>
    <t>TXN501304</t>
  </si>
  <si>
    <t>SAV300742</t>
  </si>
  <si>
    <t>APP701052</t>
  </si>
  <si>
    <t>SAV300743</t>
  </si>
  <si>
    <t>TXN501305</t>
  </si>
  <si>
    <t>SAV300744</t>
  </si>
  <si>
    <t>TXN501306</t>
  </si>
  <si>
    <t>SAV300745</t>
  </si>
  <si>
    <t>APP701054</t>
  </si>
  <si>
    <t>SAV300746</t>
  </si>
  <si>
    <t>TXN501307</t>
  </si>
  <si>
    <t>SAV300747</t>
  </si>
  <si>
    <t>TXN501308</t>
  </si>
  <si>
    <t>SAV300748</t>
  </si>
  <si>
    <t>TXN501309</t>
  </si>
  <si>
    <t>SAV300749</t>
  </si>
  <si>
    <t>SAV300750</t>
  </si>
  <si>
    <t>TXN501310</t>
  </si>
  <si>
    <t>SAV300751</t>
  </si>
  <si>
    <t>APP701058</t>
  </si>
  <si>
    <t>SAV300752</t>
  </si>
  <si>
    <t>TXN501311</t>
  </si>
  <si>
    <t>SAV300753</t>
  </si>
  <si>
    <t>TXN501312</t>
  </si>
  <si>
    <t>SAV300754</t>
  </si>
  <si>
    <t>SAV300755</t>
  </si>
  <si>
    <t>APP701060</t>
  </si>
  <si>
    <t>TXN501313</t>
  </si>
  <si>
    <t>SAV300756</t>
  </si>
  <si>
    <t>APP701061</t>
  </si>
  <si>
    <t>SAV300757</t>
  </si>
  <si>
    <t>TXN501314</t>
  </si>
  <si>
    <t>SAV300758</t>
  </si>
  <si>
    <t>APP701062</t>
  </si>
  <si>
    <t>TXN501315</t>
  </si>
  <si>
    <t>SAV300759</t>
  </si>
  <si>
    <t>SAV300760</t>
  </si>
  <si>
    <t>APP701063</t>
  </si>
  <si>
    <t>TXN501316</t>
  </si>
  <si>
    <t>SAV300761</t>
  </si>
  <si>
    <t>SAV300762</t>
  </si>
  <si>
    <t>TXN501317</t>
  </si>
  <si>
    <t>TXN501318</t>
  </si>
  <si>
    <t>TXN501319</t>
  </si>
  <si>
    <t>APP701066</t>
  </si>
  <si>
    <t>TXN501320</t>
  </si>
  <si>
    <t>APP701067</t>
  </si>
  <si>
    <t>TXN501321</t>
  </si>
  <si>
    <t>APP701069</t>
  </si>
  <si>
    <t>TXN501322</t>
  </si>
  <si>
    <t>TXN501323</t>
  </si>
  <si>
    <t>APP701070</t>
  </si>
  <si>
    <t>TXN501324</t>
  </si>
  <si>
    <t>APP701071</t>
  </si>
  <si>
    <t>TXN501325</t>
  </si>
  <si>
    <t>APP701072</t>
  </si>
  <si>
    <t>TXN501326</t>
  </si>
  <si>
    <t>TXN501327</t>
  </si>
  <si>
    <t>APP701073</t>
  </si>
  <si>
    <t>TXN501328</t>
  </si>
  <si>
    <t>TXN501329</t>
  </si>
  <si>
    <t>TXN501330</t>
  </si>
  <si>
    <t>APP701075</t>
  </si>
  <si>
    <t>TXN501331</t>
  </si>
  <si>
    <t>TXN501332</t>
  </si>
  <si>
    <t>TXN501333</t>
  </si>
  <si>
    <t>APP701077</t>
  </si>
  <si>
    <t>TXN501334</t>
  </si>
  <si>
    <t>TXN501335</t>
  </si>
  <si>
    <t>TXN501336</t>
  </si>
  <si>
    <t>APP701079</t>
  </si>
  <si>
    <t>TXN501337</t>
  </si>
  <si>
    <t>TXN501338</t>
  </si>
  <si>
    <t>TXN501339</t>
  </si>
  <si>
    <t>TXN501340</t>
  </si>
  <si>
    <t>APP701081</t>
  </si>
  <si>
    <t>TXN501341</t>
  </si>
  <si>
    <t>APP701082</t>
  </si>
  <si>
    <t>TXN501342</t>
  </si>
  <si>
    <t>TXN501343</t>
  </si>
  <si>
    <t>TXN501344</t>
  </si>
  <si>
    <t>APP701084</t>
  </si>
  <si>
    <t>TXN501345</t>
  </si>
  <si>
    <t>TXN501346</t>
  </si>
  <si>
    <t>TXN501347</t>
  </si>
  <si>
    <t>TXN501348</t>
  </si>
  <si>
    <t>TXN501349</t>
  </si>
  <si>
    <t>TXN501350</t>
  </si>
  <si>
    <t>TXN501351</t>
  </si>
  <si>
    <t>TXN501352</t>
  </si>
  <si>
    <t>APP701090</t>
  </si>
  <si>
    <t>TXN501353</t>
  </si>
  <si>
    <t>TXN501354</t>
  </si>
  <si>
    <t>TXN501355</t>
  </si>
  <si>
    <t>APP701092</t>
  </si>
  <si>
    <t>TXN501356</t>
  </si>
  <si>
    <t>APP701093</t>
  </si>
  <si>
    <t>TXN501357</t>
  </si>
  <si>
    <t>TXN501358</t>
  </si>
  <si>
    <t>APP701094</t>
  </si>
  <si>
    <t>TXN501359</t>
  </si>
  <si>
    <t>APP701095</t>
  </si>
  <si>
    <t>TXN501360</t>
  </si>
  <si>
    <t>TXN501361</t>
  </si>
  <si>
    <t>TXN501362</t>
  </si>
  <si>
    <t>APP701097</t>
  </si>
  <si>
    <t>TXN501363</t>
  </si>
  <si>
    <t>APP701098</t>
  </si>
  <si>
    <t>TXN501364</t>
  </si>
  <si>
    <t>APP701099</t>
  </si>
  <si>
    <t>TXN501365</t>
  </si>
  <si>
    <t>TXN501366</t>
  </si>
  <si>
    <t>TXN501367</t>
  </si>
  <si>
    <t>APP701102</t>
  </si>
  <si>
    <t>TXN501368</t>
  </si>
  <si>
    <t>TXN501369</t>
  </si>
  <si>
    <t>TXN501370</t>
  </si>
  <si>
    <t>TXN501371</t>
  </si>
  <si>
    <t>APP701106</t>
  </si>
  <si>
    <t>TXN501372</t>
  </si>
  <si>
    <t>TXN501373</t>
  </si>
  <si>
    <t>TXN501374</t>
  </si>
  <si>
    <t>APP701109</t>
  </si>
  <si>
    <t>TXN501375</t>
  </si>
  <si>
    <t>TXN501376</t>
  </si>
  <si>
    <t>TXN501377</t>
  </si>
  <si>
    <t>APP701111</t>
  </si>
  <si>
    <t>TXN501378</t>
  </si>
  <si>
    <t>TXN501379</t>
  </si>
  <si>
    <t>TXN501380</t>
  </si>
  <si>
    <t>APP701113</t>
  </si>
  <si>
    <t>TXN501381</t>
  </si>
  <si>
    <t>TXN501382</t>
  </si>
  <si>
    <t>TXN501383</t>
  </si>
  <si>
    <t>TXN501384</t>
  </si>
  <si>
    <t>APP701116</t>
  </si>
  <si>
    <t>TXN501385</t>
  </si>
  <si>
    <t>TXN501386</t>
  </si>
  <si>
    <t>APP701117</t>
  </si>
  <si>
    <t>TXN501387</t>
  </si>
  <si>
    <t>APP701118</t>
  </si>
  <si>
    <t>TXN501388</t>
  </si>
  <si>
    <t>TXN501389</t>
  </si>
  <si>
    <t>APP701119</t>
  </si>
  <si>
    <t>TXN501390</t>
  </si>
  <si>
    <t>TXN501391</t>
  </si>
  <si>
    <t>APP701121</t>
  </si>
  <si>
    <t>TXN501392</t>
  </si>
  <si>
    <t>TXN501393</t>
  </si>
  <si>
    <t>APP701122</t>
  </si>
  <si>
    <t>TXN501394</t>
  </si>
  <si>
    <t>TXN501395</t>
  </si>
  <si>
    <t>TXN501396</t>
  </si>
  <si>
    <t>TXN501397</t>
  </si>
  <si>
    <t>TXN501398</t>
  </si>
  <si>
    <t>TXN501399</t>
  </si>
  <si>
    <t>APP701126</t>
  </si>
  <si>
    <t>TXN501400</t>
  </si>
  <si>
    <t>APP701127</t>
  </si>
  <si>
    <t>TXN501401</t>
  </si>
  <si>
    <t>TXN501402</t>
  </si>
  <si>
    <t>APP701128</t>
  </si>
  <si>
    <t>TXN501403</t>
  </si>
  <si>
    <t>TXN501404</t>
  </si>
  <si>
    <t>TXN501405</t>
  </si>
  <si>
    <t>TXN501406</t>
  </si>
  <si>
    <t>TXN501407</t>
  </si>
  <si>
    <t>TXN501408</t>
  </si>
  <si>
    <t>APP701132</t>
  </si>
  <si>
    <t>TXN501409</t>
  </si>
  <si>
    <t>APP701133</t>
  </si>
  <si>
    <t>TXN501410</t>
  </si>
  <si>
    <t>APP701134</t>
  </si>
  <si>
    <t>TXN501411</t>
  </si>
  <si>
    <t>APP701135</t>
  </si>
  <si>
    <t>TXN501412</t>
  </si>
  <si>
    <t>TXN501413</t>
  </si>
  <si>
    <t>TXN501414</t>
  </si>
  <si>
    <t>TXN501415</t>
  </si>
  <si>
    <t>APP701138</t>
  </si>
  <si>
    <t>TXN501416</t>
  </si>
  <si>
    <t>TXN501417</t>
  </si>
  <si>
    <t>TXN501418</t>
  </si>
  <si>
    <t>APP701140</t>
  </si>
  <si>
    <t>TXN501419</t>
  </si>
  <si>
    <t>APP701141</t>
  </si>
  <si>
    <t>TXN501420</t>
  </si>
  <si>
    <t>TXN501421</t>
  </si>
  <si>
    <t>TXN501422</t>
  </si>
  <si>
    <t>TXN501423</t>
  </si>
  <si>
    <t>APP701144</t>
  </si>
  <si>
    <t>TXN501424</t>
  </si>
  <si>
    <t>TXN501425</t>
  </si>
  <si>
    <t>APP701145</t>
  </si>
  <si>
    <t>TXN501426</t>
  </si>
  <si>
    <t>TXN501427</t>
  </si>
  <si>
    <t>TXN501428</t>
  </si>
  <si>
    <t>TXN501429</t>
  </si>
  <si>
    <t>APP701148</t>
  </si>
  <si>
    <t>TXN501430</t>
  </si>
  <si>
    <t>APP701149</t>
  </si>
  <si>
    <t>TXN501431</t>
  </si>
  <si>
    <t>TXN501432</t>
  </si>
  <si>
    <t>APP701151</t>
  </si>
  <si>
    <t>TXN501433</t>
  </si>
  <si>
    <t>APP701152</t>
  </si>
  <si>
    <t>TXN501434</t>
  </si>
  <si>
    <t>TXN501435</t>
  </si>
  <si>
    <t>APP701154</t>
  </si>
  <si>
    <t>TXN501436</t>
  </si>
  <si>
    <t>TXN501437</t>
  </si>
  <si>
    <t>APP701155</t>
  </si>
  <si>
    <t>TXN501438</t>
  </si>
  <si>
    <t>TXN501439</t>
  </si>
  <si>
    <t>TXN501440</t>
  </si>
  <si>
    <t>APP701157</t>
  </si>
  <si>
    <t>TXN501441</t>
  </si>
  <si>
    <t>TXN501442</t>
  </si>
  <si>
    <t>TXN501443</t>
  </si>
  <si>
    <t>APP701159</t>
  </si>
  <si>
    <t>TXN501444</t>
  </si>
  <si>
    <t>TXN501445</t>
  </si>
  <si>
    <t>TXN501446</t>
  </si>
  <si>
    <t>APP701161</t>
  </si>
  <si>
    <t>TXN501447</t>
  </si>
  <si>
    <t>APP701162</t>
  </si>
  <si>
    <t>TXN501448</t>
  </si>
  <si>
    <t>APP701163</t>
  </si>
  <si>
    <t>TXN501449</t>
  </si>
  <si>
    <t>TXN501450</t>
  </si>
  <si>
    <t>APP701165</t>
  </si>
  <si>
    <t>TXN501451</t>
  </si>
  <si>
    <t>APP701166</t>
  </si>
  <si>
    <t>TXN501452</t>
  </si>
  <si>
    <t>TXN501453</t>
  </si>
  <si>
    <t>TXN501454</t>
  </si>
  <si>
    <t>APP701168</t>
  </si>
  <si>
    <t>TXN501455</t>
  </si>
  <si>
    <t>APP701169</t>
  </si>
  <si>
    <t>TXN501456</t>
  </si>
  <si>
    <t>TXN501457</t>
  </si>
  <si>
    <t>APP701170</t>
  </si>
  <si>
    <t>TXN501458</t>
  </si>
  <si>
    <t>APP701171</t>
  </si>
  <si>
    <t>TXN501459</t>
  </si>
  <si>
    <t>TXN501460</t>
  </si>
  <si>
    <t>TXN501461</t>
  </si>
  <si>
    <t>APP701174</t>
  </si>
  <si>
    <t>TXN501462</t>
  </si>
  <si>
    <t>TXN501463</t>
  </si>
  <si>
    <t>TXN501464</t>
  </si>
  <si>
    <t>TXN501465</t>
  </si>
  <si>
    <t>APP701178</t>
  </si>
  <si>
    <t>TXN501466</t>
  </si>
  <si>
    <t>APP701179</t>
  </si>
  <si>
    <t>TXN501467</t>
  </si>
  <si>
    <t>TXN501468</t>
  </si>
  <si>
    <t>APP701181</t>
  </si>
  <si>
    <t>TXN501469</t>
  </si>
  <si>
    <t>TXN501470</t>
  </si>
  <si>
    <t>APP701184</t>
  </si>
  <si>
    <t>TXN501471</t>
  </si>
  <si>
    <t>APP701185</t>
  </si>
  <si>
    <t>TXN501472</t>
  </si>
  <si>
    <t>APP701186</t>
  </si>
  <si>
    <t>TXN501473</t>
  </si>
  <si>
    <t>APP701187</t>
  </si>
  <si>
    <t>TXN501474</t>
  </si>
  <si>
    <t>TXN501475</t>
  </si>
  <si>
    <t>APP701189</t>
  </si>
  <si>
    <t>TXN501476</t>
  </si>
  <si>
    <t>TXN501477</t>
  </si>
  <si>
    <t>TXN501478</t>
  </si>
  <si>
    <t>APP701192</t>
  </si>
  <si>
    <t>TXN501479</t>
  </si>
  <si>
    <t>APP701193</t>
  </si>
  <si>
    <t>TXN501480</t>
  </si>
  <si>
    <t>APP701194</t>
  </si>
  <si>
    <t>TXN501481</t>
  </si>
  <si>
    <t>TXN501482</t>
  </si>
  <si>
    <t>APP701196</t>
  </si>
  <si>
    <t>TXN501483</t>
  </si>
  <si>
    <t>TXN501484</t>
  </si>
  <si>
    <t>APP701198</t>
  </si>
  <si>
    <t>TXN501485</t>
  </si>
  <si>
    <t>APP701199</t>
  </si>
  <si>
    <t>TXN501486</t>
  </si>
  <si>
    <t>APP701200</t>
  </si>
  <si>
    <t>TXN501487</t>
  </si>
  <si>
    <t>APP701201</t>
  </si>
  <si>
    <t>TXN501488</t>
  </si>
  <si>
    <t>APP701202</t>
  </si>
  <si>
    <t>TXN501489</t>
  </si>
  <si>
    <t>APP701203</t>
  </si>
  <si>
    <t>TXN501490</t>
  </si>
  <si>
    <t>APP701204</t>
  </si>
  <si>
    <t>TXN501491</t>
  </si>
  <si>
    <t>TXN501492</t>
  </si>
  <si>
    <t>TXN501493</t>
  </si>
  <si>
    <t>APP701207</t>
  </si>
  <si>
    <t>TXN501494</t>
  </si>
  <si>
    <t>APP701208</t>
  </si>
  <si>
    <t>TXN501495</t>
  </si>
  <si>
    <t>TXN501496</t>
  </si>
  <si>
    <t>APP701210</t>
  </si>
  <si>
    <t>TXN501497</t>
  </si>
  <si>
    <t>TXN501498</t>
  </si>
  <si>
    <t>TXN501499</t>
  </si>
  <si>
    <t>APP701213</t>
  </si>
  <si>
    <t>TXN501500</t>
  </si>
  <si>
    <t>TXN501501</t>
  </si>
  <si>
    <t>TXN501502</t>
  </si>
  <si>
    <t>APP701215</t>
  </si>
  <si>
    <t>TXN501503</t>
  </si>
  <si>
    <t>TXN501504</t>
  </si>
  <si>
    <t>TXN501505</t>
  </si>
  <si>
    <t>APP701218</t>
  </si>
  <si>
    <t>TXN501506</t>
  </si>
  <si>
    <t>APP701219</t>
  </si>
  <si>
    <t>TXN501507</t>
  </si>
  <si>
    <t>APP701220</t>
  </si>
  <si>
    <t>TXN501508</t>
  </si>
  <si>
    <t>TXN501509</t>
  </si>
  <si>
    <t>TXN501510</t>
  </si>
  <si>
    <t>APP701223</t>
  </si>
  <si>
    <t>TXN501511</t>
  </si>
  <si>
    <t>APP701224</t>
  </si>
  <si>
    <t>TXN501512</t>
  </si>
  <si>
    <t>APP701225</t>
  </si>
  <si>
    <t>TXN501513</t>
  </si>
  <si>
    <t>TXN501514</t>
  </si>
  <si>
    <t>APP701228</t>
  </si>
  <si>
    <t>TXN501515</t>
  </si>
  <si>
    <t>APP701229</t>
  </si>
  <si>
    <t>TXN501516</t>
  </si>
  <si>
    <t>TXN501517</t>
  </si>
  <si>
    <t>APP701231</t>
  </si>
  <si>
    <t>TXN501518</t>
  </si>
  <si>
    <t>TXN501519</t>
  </si>
  <si>
    <t>TXN501520</t>
  </si>
  <si>
    <t>APP701234</t>
  </si>
  <si>
    <t>TXN501521</t>
  </si>
  <si>
    <t>TXN501522</t>
  </si>
  <si>
    <t>TXN501523</t>
  </si>
  <si>
    <t>APP701237</t>
  </si>
  <si>
    <t>TXN501524</t>
  </si>
  <si>
    <t>APP701238</t>
  </si>
  <si>
    <t>TXN501525</t>
  </si>
  <si>
    <t>APP701239</t>
  </si>
  <si>
    <t>TXN501526</t>
  </si>
  <si>
    <t>APP701240</t>
  </si>
  <si>
    <t>TXN501527</t>
  </si>
  <si>
    <t>APP701241</t>
  </si>
  <si>
    <t>TXN501528</t>
  </si>
  <si>
    <t>TXN501529</t>
  </si>
  <si>
    <t>TXN501530</t>
  </si>
  <si>
    <t>APP701244</t>
  </si>
  <si>
    <t>TXN501531</t>
  </si>
  <si>
    <t>APP701245</t>
  </si>
  <si>
    <t>TXN501532</t>
  </si>
  <si>
    <t>TXN501533</t>
  </si>
  <si>
    <t>TXN501534</t>
  </si>
  <si>
    <t>APP701248</t>
  </si>
  <si>
    <t>TXN501535</t>
  </si>
  <si>
    <t>APP701249</t>
  </si>
  <si>
    <t>TXN501536</t>
  </si>
  <si>
    <t>TXN501537</t>
  </si>
  <si>
    <t>APP701251</t>
  </si>
  <si>
    <t>TXN501538</t>
  </si>
  <si>
    <t>TXN501539</t>
  </si>
  <si>
    <t>APP701253</t>
  </si>
  <si>
    <t>TXN501540</t>
  </si>
  <si>
    <t>TXN501541</t>
  </si>
  <si>
    <t>APP701255</t>
  </si>
  <si>
    <t>TXN501542</t>
  </si>
  <si>
    <t>TXN501543</t>
  </si>
  <si>
    <t>TXN501544</t>
  </si>
  <si>
    <t>TXN501545</t>
  </si>
  <si>
    <t>APP701260</t>
  </si>
  <si>
    <t>TXN501546</t>
  </si>
  <si>
    <t>APP701261</t>
  </si>
  <si>
    <t>TXN501547</t>
  </si>
  <si>
    <t>TXN501548</t>
  </si>
  <si>
    <t>TXN501549</t>
  </si>
  <si>
    <t>APP701264</t>
  </si>
  <si>
    <t>TXN501550</t>
  </si>
  <si>
    <t>TXN501551</t>
  </si>
  <si>
    <t>TXN501552</t>
  </si>
  <si>
    <t>APP701267</t>
  </si>
  <si>
    <t>TXN501553</t>
  </si>
  <si>
    <t>APP701268</t>
  </si>
  <si>
    <t>TXN501554</t>
  </si>
  <si>
    <t>TXN501555</t>
  </si>
  <si>
    <t>TXN501556</t>
  </si>
  <si>
    <t>APP701271</t>
  </si>
  <si>
    <t>TXN501557</t>
  </si>
  <si>
    <t>TXN501558</t>
  </si>
  <si>
    <t>APP701273</t>
  </si>
  <si>
    <t>TXN501559</t>
  </si>
  <si>
    <t>APP701274</t>
  </si>
  <si>
    <t>TXN501560</t>
  </si>
  <si>
    <t>APP701275</t>
  </si>
  <si>
    <t>TXN501561</t>
  </si>
  <si>
    <t>APP701276</t>
  </si>
  <si>
    <t>TXN501562</t>
  </si>
  <si>
    <t>TXN501563</t>
  </si>
  <si>
    <t>TXN501564</t>
  </si>
  <si>
    <t>TXN501565</t>
  </si>
  <si>
    <t>TXN501566</t>
  </si>
  <si>
    <t>APP701281</t>
  </si>
  <si>
    <t>TXN501567</t>
  </si>
  <si>
    <t>APP701282</t>
  </si>
  <si>
    <t>TXN501568</t>
  </si>
  <si>
    <t>TXN501569</t>
  </si>
  <si>
    <t>APP701284</t>
  </si>
  <si>
    <t>TXN501570</t>
  </si>
  <si>
    <t>TXN501571</t>
  </si>
  <si>
    <t>TXN501572</t>
  </si>
  <si>
    <t>APP701287</t>
  </si>
  <si>
    <t>TXN501573</t>
  </si>
  <si>
    <t>TXN501574</t>
  </si>
  <si>
    <t>TXN501575</t>
  </si>
  <si>
    <t>APP701289</t>
  </si>
  <si>
    <t>TXN501576</t>
  </si>
  <si>
    <t>TXN501577</t>
  </si>
  <si>
    <t>APP701292</t>
  </si>
  <si>
    <t>TXN501578</t>
  </si>
  <si>
    <t>APP701293</t>
  </si>
  <si>
    <t>TXN501579</t>
  </si>
  <si>
    <t>TXN501580</t>
  </si>
  <si>
    <t>APP701295</t>
  </si>
  <si>
    <t>TXN501581</t>
  </si>
  <si>
    <t>TXN501582</t>
  </si>
  <si>
    <t>APP701297</t>
  </si>
  <si>
    <t>TXN501583</t>
  </si>
  <si>
    <t>APP701298</t>
  </si>
  <si>
    <t>TXN501584</t>
  </si>
  <si>
    <t>TXN501585</t>
  </si>
  <si>
    <t>TXN501586</t>
  </si>
  <si>
    <t>APP701300</t>
  </si>
  <si>
    <t>APP701301</t>
  </si>
  <si>
    <t>TXN501587</t>
  </si>
  <si>
    <t>APP701302</t>
  </si>
  <si>
    <t>TXN501588</t>
  </si>
  <si>
    <t>APP701303</t>
  </si>
  <si>
    <t>TXN501589</t>
  </si>
  <si>
    <t>APP701304</t>
  </si>
  <si>
    <t>TXN501590</t>
  </si>
  <si>
    <t>TXN501591</t>
  </si>
  <si>
    <t>TXN501592</t>
  </si>
  <si>
    <t>APP701307</t>
  </si>
  <si>
    <t>TXN501593</t>
  </si>
  <si>
    <t>TXN501594</t>
  </si>
  <si>
    <t>TXN501595</t>
  </si>
  <si>
    <t>APP701310</t>
  </si>
  <si>
    <t>TXN501596</t>
  </si>
  <si>
    <t>TXN501597</t>
  </si>
  <si>
    <t>TXN501598</t>
  </si>
  <si>
    <t>APP701313</t>
  </si>
  <si>
    <t>TXN501599</t>
  </si>
  <si>
    <t>TXN501600</t>
  </si>
  <si>
    <t>TXN501601</t>
  </si>
  <si>
    <t>TXN501602</t>
  </si>
  <si>
    <t>TXN501603</t>
  </si>
  <si>
    <t>TXN501604</t>
  </si>
  <si>
    <t>TXN501605</t>
  </si>
  <si>
    <t>APP701320</t>
  </si>
  <si>
    <t>TXN501606</t>
  </si>
  <si>
    <t>APP701321</t>
  </si>
  <si>
    <t>TXN501607</t>
  </si>
  <si>
    <t>TXN501608</t>
  </si>
  <si>
    <t>TXN501609</t>
  </si>
  <si>
    <t>TXN501610</t>
  </si>
  <si>
    <t>TXN501611</t>
  </si>
  <si>
    <t>TXN501612</t>
  </si>
  <si>
    <t>APP701327</t>
  </si>
  <si>
    <t>TXN501613</t>
  </si>
  <si>
    <t>TXN501614</t>
  </si>
  <si>
    <t>APP701329</t>
  </si>
  <si>
    <t>TXN501615</t>
  </si>
  <si>
    <t>TXN501616</t>
  </si>
  <si>
    <t>TXN501617</t>
  </si>
  <si>
    <t>TXN501618</t>
  </si>
  <si>
    <t>APP701333</t>
  </si>
  <si>
    <t>TXN501619</t>
  </si>
  <si>
    <t>APP701334</t>
  </si>
  <si>
    <t>TXN501620</t>
  </si>
  <si>
    <t>APP701335</t>
  </si>
  <si>
    <t>TXN501621</t>
  </si>
  <si>
    <t>APP701336</t>
  </si>
  <si>
    <t>TXN501622</t>
  </si>
  <si>
    <t>APP701337</t>
  </si>
  <si>
    <t>TXN501623</t>
  </si>
  <si>
    <t>TXN501624</t>
  </si>
  <si>
    <t>APP701339</t>
  </si>
  <si>
    <t>TXN501625</t>
  </si>
  <si>
    <t>TXN501626</t>
  </si>
  <si>
    <t>APP701341</t>
  </si>
  <si>
    <t>TXN501627</t>
  </si>
  <si>
    <t>APP701342</t>
  </si>
  <si>
    <t>TXN501628</t>
  </si>
  <si>
    <t>APP701343</t>
  </si>
  <si>
    <t>TXN501629</t>
  </si>
  <si>
    <t>APP701344</t>
  </si>
  <si>
    <t>TXN501630</t>
  </si>
  <si>
    <t>APP701345</t>
  </si>
  <si>
    <t>TXN501631</t>
  </si>
  <si>
    <t>APP701346</t>
  </si>
  <si>
    <t>TXN501632</t>
  </si>
  <si>
    <t>APP701347</t>
  </si>
  <si>
    <t>TXN501633</t>
  </si>
  <si>
    <t>APP701348</t>
  </si>
  <si>
    <t>TXN501634</t>
  </si>
  <si>
    <t>APP701349</t>
  </si>
  <si>
    <t>TXN501635</t>
  </si>
  <si>
    <t>TXN501636</t>
  </si>
  <si>
    <t>APP701351</t>
  </si>
  <si>
    <t>TXN501637</t>
  </si>
  <si>
    <t>TXN501638</t>
  </si>
  <si>
    <t>TXN501639</t>
  </si>
  <si>
    <t>APP701354</t>
  </si>
  <si>
    <t>TXN501640</t>
  </si>
  <si>
    <t>APP701355</t>
  </si>
  <si>
    <t>TXN501641</t>
  </si>
  <si>
    <t>APP701356</t>
  </si>
  <si>
    <t>TXN501642</t>
  </si>
  <si>
    <t>TXN501643</t>
  </si>
  <si>
    <t>APP701358</t>
  </si>
  <si>
    <t>TXN501644</t>
  </si>
  <si>
    <t>APP701359</t>
  </si>
  <si>
    <t>TXN501645</t>
  </si>
  <si>
    <t>TXN501646</t>
  </si>
  <si>
    <t>APP701361</t>
  </si>
  <si>
    <t>TXN501647</t>
  </si>
  <si>
    <t>TXN501648</t>
  </si>
  <si>
    <t>TXN501649</t>
  </si>
  <si>
    <t>TXN501650</t>
  </si>
  <si>
    <t>TXN501651</t>
  </si>
  <si>
    <t>APP701366</t>
  </si>
  <si>
    <t>TXN501652</t>
  </si>
  <si>
    <t>TXN501653</t>
  </si>
  <si>
    <t>TXN501654</t>
  </si>
  <si>
    <t>TXN501655</t>
  </si>
  <si>
    <t>APP701370</t>
  </si>
  <si>
    <t>TXN501656</t>
  </si>
  <si>
    <t>APP701371</t>
  </si>
  <si>
    <t>TXN501657</t>
  </si>
  <si>
    <t>TXN501658</t>
  </si>
  <si>
    <t>TXN501659</t>
  </si>
  <si>
    <t>TXN501660</t>
  </si>
  <si>
    <t>APP701375</t>
  </si>
  <si>
    <t>TXN501661</t>
  </si>
  <si>
    <t>TXN501662</t>
  </si>
  <si>
    <t>TXN501663</t>
  </si>
  <si>
    <t>APP701378</t>
  </si>
  <si>
    <t>TXN501664</t>
  </si>
  <si>
    <t>APP701379</t>
  </si>
  <si>
    <t>TXN501665</t>
  </si>
  <si>
    <t>TXN501666</t>
  </si>
  <si>
    <t>TXN501667</t>
  </si>
  <si>
    <t>TXN501668</t>
  </si>
  <si>
    <t>TXN501669</t>
  </si>
  <si>
    <t>TXN501670</t>
  </si>
  <si>
    <t>APP701384</t>
  </si>
  <si>
    <t>TXN501671</t>
  </si>
  <si>
    <t>TXN501672</t>
  </si>
  <si>
    <t>APP701386</t>
  </si>
  <si>
    <t>TXN501673</t>
  </si>
  <si>
    <t>APP701388</t>
  </si>
  <si>
    <t>TXN501674</t>
  </si>
  <si>
    <t>APP701389</t>
  </si>
  <si>
    <t>TXN501675</t>
  </si>
  <si>
    <t>TXN501676</t>
  </si>
  <si>
    <t>TXN501677</t>
  </si>
  <si>
    <t>APP701392</t>
  </si>
  <si>
    <t>TXN501678</t>
  </si>
  <si>
    <t>APP701393</t>
  </si>
  <si>
    <t>TXN501679</t>
  </si>
  <si>
    <t>TXN501680</t>
  </si>
  <si>
    <t>APP701395</t>
  </si>
  <si>
    <t>TXN501681</t>
  </si>
  <si>
    <t>APP701396</t>
  </si>
  <si>
    <t>TXN501682</t>
  </si>
  <si>
    <t>TXN501683</t>
  </si>
  <si>
    <t>APP701398</t>
  </si>
  <si>
    <t>TXN501684</t>
  </si>
  <si>
    <t>TXN501685</t>
  </si>
  <si>
    <t>TXN501686</t>
  </si>
  <si>
    <t>TXN501687</t>
  </si>
  <si>
    <t>TXN501688</t>
  </si>
  <si>
    <t>TXN501689</t>
  </si>
  <si>
    <t>TXN501690</t>
  </si>
  <si>
    <t>TXN501691</t>
  </si>
  <si>
    <t>TXN501692</t>
  </si>
  <si>
    <t>TXN501693</t>
  </si>
  <si>
    <t>TXN501694</t>
  </si>
  <si>
    <t>TXN501695</t>
  </si>
  <si>
    <t>TXN501696</t>
  </si>
  <si>
    <t>TXN501697</t>
  </si>
  <si>
    <t>TXN501698</t>
  </si>
  <si>
    <t>TXN501699</t>
  </si>
  <si>
    <t>TXN501700</t>
  </si>
  <si>
    <t>TXN501701</t>
  </si>
  <si>
    <t>TXN501702</t>
  </si>
  <si>
    <t>TXN501703</t>
  </si>
  <si>
    <t>TXN501704</t>
  </si>
  <si>
    <t>TXN501705</t>
  </si>
  <si>
    <t>TXN501706</t>
  </si>
  <si>
    <t>TXN501707</t>
  </si>
  <si>
    <t>TXN501708</t>
  </si>
  <si>
    <t>TXN501709</t>
  </si>
  <si>
    <t>TXN501710</t>
  </si>
  <si>
    <t>TXN501711</t>
  </si>
  <si>
    <t>TXN501712</t>
  </si>
  <si>
    <t>TXN501713</t>
  </si>
  <si>
    <t>TXN501714</t>
  </si>
  <si>
    <t>TXN501715</t>
  </si>
  <si>
    <t>TXN501716</t>
  </si>
  <si>
    <t>TXN501717</t>
  </si>
  <si>
    <t>TXN501718</t>
  </si>
  <si>
    <t>TXN501719</t>
  </si>
  <si>
    <t>TXN501720</t>
  </si>
  <si>
    <t>TXN501721</t>
  </si>
  <si>
    <t>TXN501722</t>
  </si>
  <si>
    <t>TXN501723</t>
  </si>
  <si>
    <t>TXN501724</t>
  </si>
  <si>
    <t>TXN501725</t>
  </si>
  <si>
    <t>TXN501726</t>
  </si>
  <si>
    <t>TXN501727</t>
  </si>
  <si>
    <t>TXN501728</t>
  </si>
  <si>
    <t>TXN501729</t>
  </si>
  <si>
    <t>TXN501730</t>
  </si>
  <si>
    <t>TXN501731</t>
  </si>
  <si>
    <t>TXN501732</t>
  </si>
  <si>
    <t>TXN501733</t>
  </si>
  <si>
    <t>TXN501734</t>
  </si>
  <si>
    <t>TXN501735</t>
  </si>
  <si>
    <t>TXN501736</t>
  </si>
  <si>
    <t>TXN501737</t>
  </si>
  <si>
    <t>TXN501738</t>
  </si>
  <si>
    <t>TXN501739</t>
  </si>
  <si>
    <t>TXN501740</t>
  </si>
  <si>
    <t>TXN501741</t>
  </si>
  <si>
    <t>TXN501742</t>
  </si>
  <si>
    <t>TXN501743</t>
  </si>
  <si>
    <t>TXN501744</t>
  </si>
  <si>
    <t>TXN501745</t>
  </si>
  <si>
    <t>TXN501746</t>
  </si>
  <si>
    <t>TXN501747</t>
  </si>
  <si>
    <t>TXN501748</t>
  </si>
  <si>
    <t>TXN501749</t>
  </si>
  <si>
    <t>TXN501750</t>
  </si>
  <si>
    <t>TXN501751</t>
  </si>
  <si>
    <t>TXN501752</t>
  </si>
  <si>
    <t>TXN501753</t>
  </si>
  <si>
    <t>TXN501754</t>
  </si>
  <si>
    <t>TXN501755</t>
  </si>
  <si>
    <t>TXN501756</t>
  </si>
  <si>
    <t>TXN501757</t>
  </si>
  <si>
    <t>TXN501758</t>
  </si>
  <si>
    <t>TXN501759</t>
  </si>
  <si>
    <t>TXN501760</t>
  </si>
  <si>
    <t>TXN501761</t>
  </si>
  <si>
    <t>TXN501762</t>
  </si>
  <si>
    <t>TXN501763</t>
  </si>
  <si>
    <t>TXN501764</t>
  </si>
  <si>
    <t>TXN501765</t>
  </si>
  <si>
    <t>TXN501766</t>
  </si>
  <si>
    <t>TXN501767</t>
  </si>
  <si>
    <t>TXN501768</t>
  </si>
  <si>
    <t>TXN501769</t>
  </si>
  <si>
    <t>TXN501770</t>
  </si>
  <si>
    <t>TXN501771</t>
  </si>
  <si>
    <t>TXN501772</t>
  </si>
  <si>
    <t>TXN501773</t>
  </si>
  <si>
    <t>TXN501774</t>
  </si>
  <si>
    <t>TXN501775</t>
  </si>
  <si>
    <t>TXN501776</t>
  </si>
  <si>
    <t>TXN501777</t>
  </si>
  <si>
    <t>TXN501778</t>
  </si>
  <si>
    <t>TXN501779</t>
  </si>
  <si>
    <t>TXN501780</t>
  </si>
  <si>
    <t>TXN501781</t>
  </si>
  <si>
    <t>TXN501782</t>
  </si>
  <si>
    <t>TXN501783</t>
  </si>
  <si>
    <t>TXN501784</t>
  </si>
  <si>
    <t>TXN501785</t>
  </si>
  <si>
    <t>TXN501786</t>
  </si>
  <si>
    <t>TXN501787</t>
  </si>
  <si>
    <t>TXN501788</t>
  </si>
  <si>
    <t>TXN501789</t>
  </si>
  <si>
    <t>TXN501790</t>
  </si>
  <si>
    <t>TXN501791</t>
  </si>
  <si>
    <t>TXN501792</t>
  </si>
  <si>
    <t>TXN501793</t>
  </si>
  <si>
    <t>TXN501794</t>
  </si>
  <si>
    <t>TXN501795</t>
  </si>
  <si>
    <t>TXN501796</t>
  </si>
  <si>
    <t>TXN501797</t>
  </si>
  <si>
    <t>TXN501798</t>
  </si>
  <si>
    <t>TXN501799</t>
  </si>
  <si>
    <t>TXN501800</t>
  </si>
  <si>
    <t>TXN501801</t>
  </si>
  <si>
    <t>TXN501802</t>
  </si>
  <si>
    <t>TXN501803</t>
  </si>
  <si>
    <t>TXN501804</t>
  </si>
  <si>
    <t>TXN501805</t>
  </si>
  <si>
    <t>TXN501806</t>
  </si>
  <si>
    <t>TXN501807</t>
  </si>
  <si>
    <t>TXN501808</t>
  </si>
  <si>
    <t>TXN501809</t>
  </si>
  <si>
    <t>TXN501810</t>
  </si>
  <si>
    <t>TXN501811</t>
  </si>
  <si>
    <t>TXN501812</t>
  </si>
  <si>
    <t>TXN501813</t>
  </si>
  <si>
    <t>TXN501814</t>
  </si>
  <si>
    <t>TXN501815</t>
  </si>
  <si>
    <t>TXN501816</t>
  </si>
  <si>
    <t>TXN501817</t>
  </si>
  <si>
    <t>TXN501818</t>
  </si>
  <si>
    <t>TXN501819</t>
  </si>
  <si>
    <t>TXN501820</t>
  </si>
  <si>
    <t>TXN501821</t>
  </si>
  <si>
    <t>TXN501822</t>
  </si>
  <si>
    <t>TXN501823</t>
  </si>
  <si>
    <t>TXN501824</t>
  </si>
  <si>
    <t>TXN501825</t>
  </si>
  <si>
    <t>TXN501826</t>
  </si>
  <si>
    <t>TXN501827</t>
  </si>
  <si>
    <t>TXN501828</t>
  </si>
  <si>
    <t>TXN501829</t>
  </si>
  <si>
    <t>TXN501830</t>
  </si>
  <si>
    <t>TXN501831</t>
  </si>
  <si>
    <t>TXN501832</t>
  </si>
  <si>
    <t>TXN501833</t>
  </si>
  <si>
    <t>TXN501834</t>
  </si>
  <si>
    <t>TXN501835</t>
  </si>
  <si>
    <t>TXN501836</t>
  </si>
  <si>
    <t>TXN501837</t>
  </si>
  <si>
    <t>TXN501838</t>
  </si>
  <si>
    <t>TXN501839</t>
  </si>
  <si>
    <t>TXN501840</t>
  </si>
  <si>
    <t>TXN501841</t>
  </si>
  <si>
    <t>TXN501842</t>
  </si>
  <si>
    <t>TXN501843</t>
  </si>
  <si>
    <t>TXN501844</t>
  </si>
  <si>
    <t>TXN501845</t>
  </si>
  <si>
    <t>TXN501846</t>
  </si>
  <si>
    <t>TXN501847</t>
  </si>
  <si>
    <t>TXN501848</t>
  </si>
  <si>
    <t>TXN501849</t>
  </si>
  <si>
    <t>TXN501850</t>
  </si>
  <si>
    <t>TXN501851</t>
  </si>
  <si>
    <t>TXN501852</t>
  </si>
  <si>
    <t>TXN501853</t>
  </si>
  <si>
    <t>TXN501854</t>
  </si>
  <si>
    <t>TXN501855</t>
  </si>
  <si>
    <t>TXN501856</t>
  </si>
  <si>
    <t>TXN501857</t>
  </si>
  <si>
    <t>TXN501858</t>
  </si>
  <si>
    <t>TXN501859</t>
  </si>
  <si>
    <t>TXN501860</t>
  </si>
  <si>
    <t>TXN501861</t>
  </si>
  <si>
    <t>TXN501862</t>
  </si>
  <si>
    <t>TXN501863</t>
  </si>
  <si>
    <t>TXN501864</t>
  </si>
  <si>
    <t>TXN501865</t>
  </si>
  <si>
    <t>TXN501866</t>
  </si>
  <si>
    <t>TXN501867</t>
  </si>
  <si>
    <t>TXN501868</t>
  </si>
  <si>
    <t>TXN501869</t>
  </si>
  <si>
    <t>TXN501870</t>
  </si>
  <si>
    <t>TXN501871</t>
  </si>
  <si>
    <t>TXN501872</t>
  </si>
  <si>
    <t>TXN501873</t>
  </si>
  <si>
    <t>TXN501874</t>
  </si>
  <si>
    <t>TXN501875</t>
  </si>
  <si>
    <t>TXN501876</t>
  </si>
  <si>
    <t>TXN501877</t>
  </si>
  <si>
    <t>TXN501878</t>
  </si>
  <si>
    <t>TXN501879</t>
  </si>
  <si>
    <t>TXN501880</t>
  </si>
  <si>
    <t>TXN501881</t>
  </si>
  <si>
    <t>TXN501882</t>
  </si>
  <si>
    <t>TXN501883</t>
  </si>
  <si>
    <t>TXN501884</t>
  </si>
  <si>
    <t>TXN501885</t>
  </si>
  <si>
    <t>TXN501886</t>
  </si>
  <si>
    <t>TXN501887</t>
  </si>
  <si>
    <t>TXN501888</t>
  </si>
  <si>
    <t>TXN501889</t>
  </si>
  <si>
    <t>TXN501890</t>
  </si>
  <si>
    <t>TXN501891</t>
  </si>
  <si>
    <t>TXN501892</t>
  </si>
  <si>
    <t>TXN501893</t>
  </si>
  <si>
    <t>TXN501894</t>
  </si>
  <si>
    <t>TXN501895</t>
  </si>
  <si>
    <t>TXN501896</t>
  </si>
  <si>
    <t>TXN501897</t>
  </si>
  <si>
    <t>TXN501898</t>
  </si>
  <si>
    <t>TXN501899</t>
  </si>
  <si>
    <t>TXN501900</t>
  </si>
  <si>
    <t>TXN501901</t>
  </si>
  <si>
    <t>TXN501902</t>
  </si>
  <si>
    <t>TXN501903</t>
  </si>
  <si>
    <t>TXN501904</t>
  </si>
  <si>
    <t>TXN501905</t>
  </si>
  <si>
    <t>TXN501906</t>
  </si>
  <si>
    <t>TXN501907</t>
  </si>
  <si>
    <t>TXN501908</t>
  </si>
  <si>
    <t>TXN501909</t>
  </si>
  <si>
    <t>TXN501910</t>
  </si>
  <si>
    <t>TXN501911</t>
  </si>
  <si>
    <t>TXN501912</t>
  </si>
  <si>
    <t>TXN501913</t>
  </si>
  <si>
    <t>TXN501914</t>
  </si>
  <si>
    <t>TXN501915</t>
  </si>
  <si>
    <t>TXN501916</t>
  </si>
  <si>
    <t>TXN501917</t>
  </si>
  <si>
    <t>TXN501918</t>
  </si>
  <si>
    <t>TXN501919</t>
  </si>
  <si>
    <t>TXN501920</t>
  </si>
  <si>
    <t>TXN501921</t>
  </si>
  <si>
    <t>TXN501922</t>
  </si>
  <si>
    <t>TXN501923</t>
  </si>
  <si>
    <t>TXN501924</t>
  </si>
  <si>
    <t>TXN501925</t>
  </si>
  <si>
    <t>TXN501926</t>
  </si>
  <si>
    <t>TXN501927</t>
  </si>
  <si>
    <t>TXN501928</t>
  </si>
  <si>
    <t>TXN501929</t>
  </si>
  <si>
    <t>TXN501930</t>
  </si>
  <si>
    <t>TXN501931</t>
  </si>
  <si>
    <t>TXN501932</t>
  </si>
  <si>
    <t>TXN501933</t>
  </si>
  <si>
    <t>TXN501934</t>
  </si>
  <si>
    <t>TXN501935</t>
  </si>
  <si>
    <t>TXN501936</t>
  </si>
  <si>
    <t>TXN501937</t>
  </si>
  <si>
    <t>TXN501938</t>
  </si>
  <si>
    <t>TXN501939</t>
  </si>
  <si>
    <t>TXN501940</t>
  </si>
  <si>
    <t>TXN501941</t>
  </si>
  <si>
    <t>TXN501942</t>
  </si>
  <si>
    <t>TXN501943</t>
  </si>
  <si>
    <t>TXN501944</t>
  </si>
  <si>
    <t>TXN501945</t>
  </si>
  <si>
    <t>TXN501946</t>
  </si>
  <si>
    <t>TXN501947</t>
  </si>
  <si>
    <t>TXN501948</t>
  </si>
  <si>
    <t>TXN501949</t>
  </si>
  <si>
    <t>TXN501950</t>
  </si>
  <si>
    <t>TXN501951</t>
  </si>
  <si>
    <t>TXN501952</t>
  </si>
  <si>
    <t>TXN501953</t>
  </si>
  <si>
    <t>TXN501954</t>
  </si>
  <si>
    <t>TXN501955</t>
  </si>
  <si>
    <t>TXN501956</t>
  </si>
  <si>
    <t>TXN501957</t>
  </si>
  <si>
    <t>TXN501958</t>
  </si>
  <si>
    <t>TXN501959</t>
  </si>
  <si>
    <t>TXN501960</t>
  </si>
  <si>
    <t>TXN501961</t>
  </si>
  <si>
    <t>TXN501962</t>
  </si>
  <si>
    <t>TXN501963</t>
  </si>
  <si>
    <t>TXN501964</t>
  </si>
  <si>
    <t>TXN501965</t>
  </si>
  <si>
    <t>TXN501966</t>
  </si>
  <si>
    <t>TXN501967</t>
  </si>
  <si>
    <t>TXN501968</t>
  </si>
  <si>
    <t>TXN501969</t>
  </si>
  <si>
    <t>TXN501970</t>
  </si>
  <si>
    <t>TXN501971</t>
  </si>
  <si>
    <t>TXN501972</t>
  </si>
  <si>
    <t>TXN501973</t>
  </si>
  <si>
    <t>TXN501974</t>
  </si>
  <si>
    <t>TXN501975</t>
  </si>
  <si>
    <t>TXN501976</t>
  </si>
  <si>
    <t>TXN501977</t>
  </si>
  <si>
    <t>TXN501978</t>
  </si>
  <si>
    <t>TXN501979</t>
  </si>
  <si>
    <t>TXN501980</t>
  </si>
  <si>
    <t>TXN501981</t>
  </si>
  <si>
    <t>TXN501982</t>
  </si>
  <si>
    <t>TXN501983</t>
  </si>
  <si>
    <t>TXN501984</t>
  </si>
  <si>
    <t>TXN501985</t>
  </si>
  <si>
    <t>TXN501986</t>
  </si>
  <si>
    <t>TXN501987</t>
  </si>
  <si>
    <t>TXN501988</t>
  </si>
  <si>
    <t>TXN501989</t>
  </si>
  <si>
    <t>TXN501990</t>
  </si>
  <si>
    <t>TXN501991</t>
  </si>
  <si>
    <t>TXN501992</t>
  </si>
  <si>
    <t>TXN501993</t>
  </si>
  <si>
    <t>TXN501994</t>
  </si>
  <si>
    <t>TXN501995</t>
  </si>
  <si>
    <t>TXN501996</t>
  </si>
  <si>
    <t>TXN501997</t>
  </si>
  <si>
    <t>TXN501998</t>
  </si>
  <si>
    <t>TXN501999</t>
  </si>
  <si>
    <t>TXN502000</t>
  </si>
  <si>
    <t>TXN502001</t>
  </si>
  <si>
    <t>TXN502002</t>
  </si>
  <si>
    <t>TXN502003</t>
  </si>
  <si>
    <t>TXN502004</t>
  </si>
  <si>
    <t>TXN502005</t>
  </si>
  <si>
    <t>TXN502006</t>
  </si>
  <si>
    <t>TXN502007</t>
  </si>
  <si>
    <t>TXN502008</t>
  </si>
  <si>
    <t>TXN502009</t>
  </si>
  <si>
    <t>TXN502010</t>
  </si>
  <si>
    <t>TXN502011</t>
  </si>
  <si>
    <t>TXN502012</t>
  </si>
  <si>
    <t>TXN502013</t>
  </si>
  <si>
    <t>TXN502014</t>
  </si>
  <si>
    <t>TXN502015</t>
  </si>
  <si>
    <t>TXN502016</t>
  </si>
  <si>
    <t>TXN502017</t>
  </si>
  <si>
    <t>TXN502018</t>
  </si>
  <si>
    <t>TXN502019</t>
  </si>
  <si>
    <t>TXN502020</t>
  </si>
  <si>
    <t>TXN502021</t>
  </si>
  <si>
    <t>TXN502022</t>
  </si>
  <si>
    <t>TXN502023</t>
  </si>
  <si>
    <t>TXN502024</t>
  </si>
  <si>
    <t>TXN502025</t>
  </si>
  <si>
    <t>TXN502026</t>
  </si>
  <si>
    <t>TXN502027</t>
  </si>
  <si>
    <t>TXN502028</t>
  </si>
  <si>
    <t>TXN502029</t>
  </si>
  <si>
    <t>TXN502030</t>
  </si>
  <si>
    <t>TXN502031</t>
  </si>
  <si>
    <t>TXN502032</t>
  </si>
  <si>
    <t>TXN502033</t>
  </si>
  <si>
    <t>TXN502034</t>
  </si>
  <si>
    <t>TXN502035</t>
  </si>
  <si>
    <t>TXN502036</t>
  </si>
  <si>
    <t>TXN502037</t>
  </si>
  <si>
    <t>TXN502038</t>
  </si>
  <si>
    <t>TXN502039</t>
  </si>
  <si>
    <t>TXN502040</t>
  </si>
  <si>
    <t>TXN502041</t>
  </si>
  <si>
    <t>TXN502042</t>
  </si>
  <si>
    <t>TXN502043</t>
  </si>
  <si>
    <t>TXN502044</t>
  </si>
  <si>
    <t>TXN502045</t>
  </si>
  <si>
    <t>TXN502046</t>
  </si>
  <si>
    <t>TXN502047</t>
  </si>
  <si>
    <t>TXN502048</t>
  </si>
  <si>
    <t>TXN502049</t>
  </si>
  <si>
    <t>TXN502050</t>
  </si>
  <si>
    <t>TXN502051</t>
  </si>
  <si>
    <t>TXN502052</t>
  </si>
  <si>
    <t>TXN502053</t>
  </si>
  <si>
    <t>TXN502054</t>
  </si>
  <si>
    <t>TXN502055</t>
  </si>
  <si>
    <t>TXN502056</t>
  </si>
  <si>
    <t>TXN502057</t>
  </si>
  <si>
    <t>TXN502058</t>
  </si>
  <si>
    <t>TXN502059</t>
  </si>
  <si>
    <t>TXN502060</t>
  </si>
  <si>
    <t>TXN502061</t>
  </si>
  <si>
    <t>TXN502062</t>
  </si>
  <si>
    <t>TXN502063</t>
  </si>
  <si>
    <t>TXN502064</t>
  </si>
  <si>
    <t>TXN502065</t>
  </si>
  <si>
    <t>TXN502066</t>
  </si>
  <si>
    <t>TXN502067</t>
  </si>
  <si>
    <t>TXN502068</t>
  </si>
  <si>
    <t>TXN502069</t>
  </si>
  <si>
    <t>TXN502070</t>
  </si>
  <si>
    <t>TXN502071</t>
  </si>
  <si>
    <t>TXN502072</t>
  </si>
  <si>
    <t>TXN502073</t>
  </si>
  <si>
    <t>TXN502074</t>
  </si>
  <si>
    <t>TXN502075</t>
  </si>
  <si>
    <t>TXN502076</t>
  </si>
  <si>
    <t>TXN502077</t>
  </si>
  <si>
    <t>TXN502078</t>
  </si>
  <si>
    <t>TXN502079</t>
  </si>
  <si>
    <t>TXN502080</t>
  </si>
  <si>
    <t>TXN502081</t>
  </si>
  <si>
    <t>TXN502082</t>
  </si>
  <si>
    <t>TXN502083</t>
  </si>
  <si>
    <t>TXN502084</t>
  </si>
  <si>
    <t>TXN502085</t>
  </si>
  <si>
    <t>TXN502086</t>
  </si>
  <si>
    <t>TXN502087</t>
  </si>
  <si>
    <t>TXN502088</t>
  </si>
  <si>
    <t>TXN502089</t>
  </si>
  <si>
    <t>TXN502090</t>
  </si>
  <si>
    <t>TXN502091</t>
  </si>
  <si>
    <t>TXN502092</t>
  </si>
  <si>
    <t>TXN502093</t>
  </si>
  <si>
    <t>TXN502094</t>
  </si>
  <si>
    <t>TXN502095</t>
  </si>
  <si>
    <t>TXN502096</t>
  </si>
  <si>
    <t>TXN502097</t>
  </si>
  <si>
    <t>TXN502098</t>
  </si>
  <si>
    <t>TXN502099</t>
  </si>
  <si>
    <t>TXN502100</t>
  </si>
  <si>
    <t>TXN502101</t>
  </si>
  <si>
    <t>TXN502102</t>
  </si>
  <si>
    <t>TXN502103</t>
  </si>
  <si>
    <t>TXN502104</t>
  </si>
  <si>
    <t>TXN502105</t>
  </si>
  <si>
    <t>TXN502106</t>
  </si>
  <si>
    <t>TXN502107</t>
  </si>
  <si>
    <t>TXN502108</t>
  </si>
  <si>
    <t>TXN502109</t>
  </si>
  <si>
    <t>TXN502110</t>
  </si>
  <si>
    <t>TXN502111</t>
  </si>
  <si>
    <t>TXN502112</t>
  </si>
  <si>
    <t>TXN502113</t>
  </si>
  <si>
    <t>TXN502114</t>
  </si>
  <si>
    <t>TXN502115</t>
  </si>
  <si>
    <t>TXN502116</t>
  </si>
  <si>
    <t>TXN502117</t>
  </si>
  <si>
    <t>TXN502118</t>
  </si>
  <si>
    <t>TXN502119</t>
  </si>
  <si>
    <t>TXN502120</t>
  </si>
  <si>
    <t>TXN502121</t>
  </si>
  <si>
    <t>TXN502122</t>
  </si>
  <si>
    <t>TXN502123</t>
  </si>
  <si>
    <t>TXN502124</t>
  </si>
  <si>
    <t>TXN502125</t>
  </si>
  <si>
    <t>TXN502126</t>
  </si>
  <si>
    <t>TXN502127</t>
  </si>
  <si>
    <t>TXN502128</t>
  </si>
  <si>
    <t>TXN502129</t>
  </si>
  <si>
    <t>TXN502130</t>
  </si>
  <si>
    <t>TXN502131</t>
  </si>
  <si>
    <t>TXN502132</t>
  </si>
  <si>
    <t>TXN502133</t>
  </si>
  <si>
    <t>TXN502134</t>
  </si>
  <si>
    <t>TXN502135</t>
  </si>
  <si>
    <t>TXN502136</t>
  </si>
  <si>
    <t>TXN502137</t>
  </si>
  <si>
    <t>TXN502138</t>
  </si>
  <si>
    <t>TXN502139</t>
  </si>
  <si>
    <t>TXN502140</t>
  </si>
  <si>
    <t>TXN502141</t>
  </si>
  <si>
    <t>TXN502142</t>
  </si>
  <si>
    <t>TXN502143</t>
  </si>
  <si>
    <t>TXN502144</t>
  </si>
  <si>
    <t>TXN502145</t>
  </si>
  <si>
    <t>TXN502146</t>
  </si>
  <si>
    <t>TXN502147</t>
  </si>
  <si>
    <t>TXN502148</t>
  </si>
  <si>
    <t>TXN502149</t>
  </si>
  <si>
    <t>TXN502150</t>
  </si>
  <si>
    <t>TXN502151</t>
  </si>
  <si>
    <t>TXN502152</t>
  </si>
  <si>
    <t>TXN502153</t>
  </si>
  <si>
    <t>TXN502154</t>
  </si>
  <si>
    <t>TXN502155</t>
  </si>
  <si>
    <t>TXN502156</t>
  </si>
  <si>
    <t>TXN502157</t>
  </si>
  <si>
    <t>TXN502158</t>
  </si>
  <si>
    <t>TXN502159</t>
  </si>
  <si>
    <t>TXN502160</t>
  </si>
  <si>
    <t>TXN502161</t>
  </si>
  <si>
    <t>TXN502162</t>
  </si>
  <si>
    <t>TXN502163</t>
  </si>
  <si>
    <t>TXN502164</t>
  </si>
  <si>
    <t>TXN502165</t>
  </si>
  <si>
    <t>TXN502166</t>
  </si>
  <si>
    <t>TXN502167</t>
  </si>
  <si>
    <t>TXN502168</t>
  </si>
  <si>
    <t>TXN502169</t>
  </si>
  <si>
    <t>TXN502170</t>
  </si>
  <si>
    <t>TXN502171</t>
  </si>
  <si>
    <t>TXN502172</t>
  </si>
  <si>
    <t>TXN502173</t>
  </si>
  <si>
    <t>TXN502174</t>
  </si>
  <si>
    <t>TXN502175</t>
  </si>
  <si>
    <t>TXN502176</t>
  </si>
  <si>
    <t>TXN502177</t>
  </si>
  <si>
    <t>TXN502178</t>
  </si>
  <si>
    <t>TXN502179</t>
  </si>
  <si>
    <t>TXN502180</t>
  </si>
  <si>
    <t>TXN502181</t>
  </si>
  <si>
    <t>TXN502182</t>
  </si>
  <si>
    <t>TXN502183</t>
  </si>
  <si>
    <t>TXN502184</t>
  </si>
  <si>
    <t>TXN502185</t>
  </si>
  <si>
    <t>TXN502186</t>
  </si>
  <si>
    <t>TXN502187</t>
  </si>
  <si>
    <t>TXN502188</t>
  </si>
  <si>
    <t>TXN502189</t>
  </si>
  <si>
    <t>TXN502190</t>
  </si>
  <si>
    <t>TXN502191</t>
  </si>
  <si>
    <t>TXN502192</t>
  </si>
  <si>
    <t>TXN502193</t>
  </si>
  <si>
    <t>TXN502194</t>
  </si>
  <si>
    <t>TXN502195</t>
  </si>
  <si>
    <t>TXN502196</t>
  </si>
  <si>
    <t>TXN502197</t>
  </si>
  <si>
    <t>TXN502198</t>
  </si>
  <si>
    <t>TXN502199</t>
  </si>
  <si>
    <t>TXN502200</t>
  </si>
  <si>
    <t>TXN502201</t>
  </si>
  <si>
    <t>TXN502202</t>
  </si>
  <si>
    <t>TXN502203</t>
  </si>
  <si>
    <t>TXN502204</t>
  </si>
  <si>
    <t>TXN502205</t>
  </si>
  <si>
    <t>TXN502206</t>
  </si>
  <si>
    <t>TXN502207</t>
  </si>
  <si>
    <t>TXN502208</t>
  </si>
  <si>
    <t>TXN502209</t>
  </si>
  <si>
    <t>TXN502210</t>
  </si>
  <si>
    <t>TXN502211</t>
  </si>
  <si>
    <t>TXN502212</t>
  </si>
  <si>
    <t>TXN502213</t>
  </si>
  <si>
    <t>TXN502214</t>
  </si>
  <si>
    <t>TXN502215</t>
  </si>
  <si>
    <t>TXN502216</t>
  </si>
  <si>
    <t>TXN502217</t>
  </si>
  <si>
    <t>TXN502218</t>
  </si>
  <si>
    <t>TXN502219</t>
  </si>
  <si>
    <t>TXN502220</t>
  </si>
  <si>
    <t>TXN502221</t>
  </si>
  <si>
    <t>TXN502222</t>
  </si>
  <si>
    <t>TXN502223</t>
  </si>
  <si>
    <t>TXN502224</t>
  </si>
  <si>
    <t>TXN502225</t>
  </si>
  <si>
    <t>TXN502226</t>
  </si>
  <si>
    <t>TXN502227</t>
  </si>
  <si>
    <t>TXN502228</t>
  </si>
  <si>
    <t>TXN502229</t>
  </si>
  <si>
    <t>TXN502230</t>
  </si>
  <si>
    <t>TXN502231</t>
  </si>
  <si>
    <t>TXN502232</t>
  </si>
  <si>
    <t>TXN502233</t>
  </si>
  <si>
    <t>TXN502234</t>
  </si>
  <si>
    <t>TXN502235</t>
  </si>
  <si>
    <t>TXN502236</t>
  </si>
  <si>
    <t>TXN502237</t>
  </si>
  <si>
    <t>TXN502238</t>
  </si>
  <si>
    <t>TXN502239</t>
  </si>
  <si>
    <t>TXN502240</t>
  </si>
  <si>
    <t>TXN502241</t>
  </si>
  <si>
    <t>TXN502242</t>
  </si>
  <si>
    <t>TXN502243</t>
  </si>
  <si>
    <t>TXN502244</t>
  </si>
  <si>
    <t>TXN502245</t>
  </si>
  <si>
    <t>TXN502246</t>
  </si>
  <si>
    <t>TXN502247</t>
  </si>
  <si>
    <t>TXN502248</t>
  </si>
  <si>
    <t>TXN502249</t>
  </si>
  <si>
    <t>TXN502250</t>
  </si>
  <si>
    <t>TXN502251</t>
  </si>
  <si>
    <t>TXN502252</t>
  </si>
  <si>
    <t>TXN502253</t>
  </si>
  <si>
    <t>TXN502254</t>
  </si>
  <si>
    <t>TXN502255</t>
  </si>
  <si>
    <t>TXN502256</t>
  </si>
  <si>
    <t>TXN502257</t>
  </si>
  <si>
    <t>TXN502258</t>
  </si>
  <si>
    <t>TXN502259</t>
  </si>
  <si>
    <t>TXN502260</t>
  </si>
  <si>
    <t>TXN502261</t>
  </si>
  <si>
    <t>TXN502262</t>
  </si>
  <si>
    <t>TXN502263</t>
  </si>
  <si>
    <t>TXN502264</t>
  </si>
  <si>
    <t>TXN502265</t>
  </si>
  <si>
    <t>TXN502266</t>
  </si>
  <si>
    <t>TXN502267</t>
  </si>
  <si>
    <t>TXN502268</t>
  </si>
  <si>
    <t>TXN502269</t>
  </si>
  <si>
    <t>TXN502270</t>
  </si>
  <si>
    <t>TXN502271</t>
  </si>
  <si>
    <t>TXN502272</t>
  </si>
  <si>
    <t>TXN502273</t>
  </si>
  <si>
    <t>TXN502274</t>
  </si>
  <si>
    <t>TXN502275</t>
  </si>
  <si>
    <t>TXN502276</t>
  </si>
  <si>
    <t>TXN502277</t>
  </si>
  <si>
    <t>TXN502278</t>
  </si>
  <si>
    <t>TXN502279</t>
  </si>
  <si>
    <t>TXN502280</t>
  </si>
  <si>
    <t>TXN502281</t>
  </si>
  <si>
    <t>TXN502282</t>
  </si>
  <si>
    <t>TXN502283</t>
  </si>
  <si>
    <t>TXN502284</t>
  </si>
  <si>
    <t>TXN502285</t>
  </si>
  <si>
    <t>TXN502286</t>
  </si>
  <si>
    <t>TXN502287</t>
  </si>
  <si>
    <t>TXN502288</t>
  </si>
  <si>
    <t>TXN502289</t>
  </si>
  <si>
    <t>TXN502290</t>
  </si>
  <si>
    <t>TXN502291</t>
  </si>
  <si>
    <t>TXN502292</t>
  </si>
  <si>
    <t>TXN502293</t>
  </si>
  <si>
    <t>TXN502294</t>
  </si>
  <si>
    <t>TXN502295</t>
  </si>
  <si>
    <t>TXN502296</t>
  </si>
  <si>
    <t>TXN502297</t>
  </si>
  <si>
    <t>TXN502298</t>
  </si>
  <si>
    <t>TXN502299</t>
  </si>
  <si>
    <t>TXN502300</t>
  </si>
  <si>
    <t>TXN502301</t>
  </si>
  <si>
    <t>TXN502302</t>
  </si>
  <si>
    <t>TXN502303</t>
  </si>
  <si>
    <t>TXN502304</t>
  </si>
  <si>
    <t>TXN502305</t>
  </si>
  <si>
    <t>TXN502306</t>
  </si>
  <si>
    <t>TXN502307</t>
  </si>
  <si>
    <t>TXN502308</t>
  </si>
  <si>
    <t>TXN502309</t>
  </si>
  <si>
    <t>TXN502310</t>
  </si>
  <si>
    <t>TXN502311</t>
  </si>
  <si>
    <t>TXN502312</t>
  </si>
  <si>
    <t>TXN502313</t>
  </si>
  <si>
    <t>TXN502314</t>
  </si>
  <si>
    <t>TXN502315</t>
  </si>
  <si>
    <t>TXN502316</t>
  </si>
  <si>
    <t>TXN502317</t>
  </si>
  <si>
    <t>TXN502318</t>
  </si>
  <si>
    <t>TXN502319</t>
  </si>
  <si>
    <t>TXN502320</t>
  </si>
  <si>
    <t>TXN502321</t>
  </si>
  <si>
    <t>TXN502322</t>
  </si>
  <si>
    <t>TXN502323</t>
  </si>
  <si>
    <t>TXN502324</t>
  </si>
  <si>
    <t>TXN502325</t>
  </si>
  <si>
    <t>TXN502326</t>
  </si>
  <si>
    <t>TXN502327</t>
  </si>
  <si>
    <t>TXN502328</t>
  </si>
  <si>
    <t>TXN502329</t>
  </si>
  <si>
    <t>TXN502330</t>
  </si>
  <si>
    <t>TXN502331</t>
  </si>
  <si>
    <t>TXN502332</t>
  </si>
  <si>
    <t>TXN502333</t>
  </si>
  <si>
    <t>TXN502334</t>
  </si>
  <si>
    <t>TXN502335</t>
  </si>
  <si>
    <t>TXN502336</t>
  </si>
  <si>
    <t>TXN502337</t>
  </si>
  <si>
    <t>TXN502338</t>
  </si>
  <si>
    <t>TXN502339</t>
  </si>
  <si>
    <t>TXN502340</t>
  </si>
  <si>
    <t>TXN502341</t>
  </si>
  <si>
    <t>TXN502342</t>
  </si>
  <si>
    <t>TXN502343</t>
  </si>
  <si>
    <t>TXN502344</t>
  </si>
  <si>
    <t>TXN502345</t>
  </si>
  <si>
    <t>TXN502346</t>
  </si>
  <si>
    <t>TXN502347</t>
  </si>
  <si>
    <t>TXN502348</t>
  </si>
  <si>
    <t>TXN502349</t>
  </si>
  <si>
    <t>TXN502350</t>
  </si>
  <si>
    <t>TXN502351</t>
  </si>
  <si>
    <t>TXN502352</t>
  </si>
  <si>
    <t>TXN502353</t>
  </si>
  <si>
    <t>TXN502354</t>
  </si>
  <si>
    <t>TXN502355</t>
  </si>
  <si>
    <t>TXN502356</t>
  </si>
  <si>
    <t>TXN502357</t>
  </si>
  <si>
    <t>TXN502358</t>
  </si>
  <si>
    <t>TXN502359</t>
  </si>
  <si>
    <t>TXN502360</t>
  </si>
  <si>
    <t>TXN502361</t>
  </si>
  <si>
    <t>TXN502362</t>
  </si>
  <si>
    <t>TXN502363</t>
  </si>
  <si>
    <t>TXN502364</t>
  </si>
  <si>
    <t>TXN502365</t>
  </si>
  <si>
    <t>TXN502366</t>
  </si>
  <si>
    <t>TXN502367</t>
  </si>
  <si>
    <t>TXN502368</t>
  </si>
  <si>
    <t>TXN502369</t>
  </si>
  <si>
    <t>TXN502370</t>
  </si>
  <si>
    <t>TXN502371</t>
  </si>
  <si>
    <t>TXN502372</t>
  </si>
  <si>
    <t>TXN502373</t>
  </si>
  <si>
    <t>TXN502374</t>
  </si>
  <si>
    <t>TXN502375</t>
  </si>
  <si>
    <t>TXN502376</t>
  </si>
  <si>
    <t>TXN502377</t>
  </si>
  <si>
    <t>TXN502378</t>
  </si>
  <si>
    <t>TXN502379</t>
  </si>
  <si>
    <t>TXN502380</t>
  </si>
  <si>
    <t>TXN502381</t>
  </si>
  <si>
    <t>TXN502382</t>
  </si>
  <si>
    <t>TXN502383</t>
  </si>
  <si>
    <t>TXN502384</t>
  </si>
  <si>
    <t>TXN502385</t>
  </si>
  <si>
    <t>TXN502386</t>
  </si>
  <si>
    <t>TXN502387</t>
  </si>
  <si>
    <t>TXN502388</t>
  </si>
  <si>
    <t>TXN502389</t>
  </si>
  <si>
    <t>TXN502390</t>
  </si>
  <si>
    <t>TXN502391</t>
  </si>
  <si>
    <t>TXN502392</t>
  </si>
  <si>
    <t>TXN502393</t>
  </si>
  <si>
    <t>TXN502394</t>
  </si>
  <si>
    <t>TXN502395</t>
  </si>
  <si>
    <t>TXN502396</t>
  </si>
  <si>
    <t>TXN502397</t>
  </si>
  <si>
    <t>TXN502398</t>
  </si>
  <si>
    <t>TXN502399</t>
  </si>
  <si>
    <t>TXN502400</t>
  </si>
  <si>
    <t>TXN502401</t>
  </si>
  <si>
    <t>TXN502402</t>
  </si>
  <si>
    <t>TXN502403</t>
  </si>
  <si>
    <t>TXN502404</t>
  </si>
  <si>
    <t>TXN502405</t>
  </si>
  <si>
    <t>TXN502406</t>
  </si>
  <si>
    <t>TXN502407</t>
  </si>
  <si>
    <t>TXN502408</t>
  </si>
  <si>
    <t>TXN502409</t>
  </si>
  <si>
    <t>TXN502410</t>
  </si>
  <si>
    <t>TXN502411</t>
  </si>
  <si>
    <t>TXN502412</t>
  </si>
  <si>
    <t>TXN502413</t>
  </si>
  <si>
    <t>TXN502414</t>
  </si>
  <si>
    <t>TXN502415</t>
  </si>
  <si>
    <t>TXN502416</t>
  </si>
  <si>
    <t>TXN502417</t>
  </si>
  <si>
    <t>TXN502418</t>
  </si>
  <si>
    <t>TXN502419</t>
  </si>
  <si>
    <t>TXN502420</t>
  </si>
  <si>
    <t>TXN502421</t>
  </si>
  <si>
    <t>TXN502422</t>
  </si>
  <si>
    <t>TXN502423</t>
  </si>
  <si>
    <t>TXN502424</t>
  </si>
  <si>
    <t>TXN502425</t>
  </si>
  <si>
    <t>TXN502426</t>
  </si>
  <si>
    <t>TXN502427</t>
  </si>
  <si>
    <t>TXN502428</t>
  </si>
  <si>
    <t>TXN502429</t>
  </si>
  <si>
    <t>TXN502430</t>
  </si>
  <si>
    <t>TXN502431</t>
  </si>
  <si>
    <t>TXN502432</t>
  </si>
  <si>
    <t>TXN502433</t>
  </si>
  <si>
    <t>TXN502434</t>
  </si>
  <si>
    <t>TXN502435</t>
  </si>
  <si>
    <t>TXN502436</t>
  </si>
  <si>
    <t>TXN502437</t>
  </si>
  <si>
    <t>TXN502438</t>
  </si>
  <si>
    <t>TXN502439</t>
  </si>
  <si>
    <t>TXN502440</t>
  </si>
  <si>
    <t>TXN502441</t>
  </si>
  <si>
    <t>TXN502442</t>
  </si>
  <si>
    <t>TXN502443</t>
  </si>
  <si>
    <t>TXN502444</t>
  </si>
  <si>
    <t>TXN502445</t>
  </si>
  <si>
    <t>TXN502446</t>
  </si>
  <si>
    <t>TXN502447</t>
  </si>
  <si>
    <t>TXN502448</t>
  </si>
  <si>
    <t>TXN502449</t>
  </si>
  <si>
    <t>TXN502450</t>
  </si>
  <si>
    <t>TXN502451</t>
  </si>
  <si>
    <t>TXN502452</t>
  </si>
  <si>
    <t>TXN502453</t>
  </si>
  <si>
    <t>TXN502454</t>
  </si>
  <si>
    <t>TXN502455</t>
  </si>
  <si>
    <t>TXN502456</t>
  </si>
  <si>
    <t>TXN502457</t>
  </si>
  <si>
    <t>TXN502458</t>
  </si>
  <si>
    <t>TXN502459</t>
  </si>
  <si>
    <t>TXN502460</t>
  </si>
  <si>
    <t>TXN502461</t>
  </si>
  <si>
    <t>TXN502462</t>
  </si>
  <si>
    <t>TXN502463</t>
  </si>
  <si>
    <t>TXN502464</t>
  </si>
  <si>
    <t>TXN502465</t>
  </si>
  <si>
    <t>TXN502466</t>
  </si>
  <si>
    <t>TXN502467</t>
  </si>
  <si>
    <t>TXN502468</t>
  </si>
  <si>
    <t>TXN502469</t>
  </si>
  <si>
    <t>TXN502470</t>
  </si>
  <si>
    <t>TXN502471</t>
  </si>
  <si>
    <t>TXN502472</t>
  </si>
  <si>
    <t>TXN502473</t>
  </si>
  <si>
    <t>TXN502474</t>
  </si>
  <si>
    <t>TXN502475</t>
  </si>
  <si>
    <t>TXN502476</t>
  </si>
  <si>
    <t>TXN502477</t>
  </si>
  <si>
    <t>TXN502478</t>
  </si>
  <si>
    <t>TXN502479</t>
  </si>
  <si>
    <t>TXN502480</t>
  </si>
  <si>
    <t>TXN502481</t>
  </si>
  <si>
    <t>TXN502482</t>
  </si>
  <si>
    <t>TXN502483</t>
  </si>
  <si>
    <t>TXN502484</t>
  </si>
  <si>
    <t>TXN502485</t>
  </si>
  <si>
    <t>TXN502486</t>
  </si>
  <si>
    <t>TXN502487</t>
  </si>
  <si>
    <t>TXN502488</t>
  </si>
  <si>
    <t>TXN502489</t>
  </si>
  <si>
    <t>TXN502490</t>
  </si>
  <si>
    <t>TXN502491</t>
  </si>
  <si>
    <t>TXN502492</t>
  </si>
  <si>
    <t>TXN502493</t>
  </si>
  <si>
    <t>TXN502494</t>
  </si>
  <si>
    <t>TXN502495</t>
  </si>
  <si>
    <t>TXN502496</t>
  </si>
  <si>
    <t>TXN502497</t>
  </si>
  <si>
    <t>TXN502498</t>
  </si>
  <si>
    <t>TXN502499</t>
  </si>
  <si>
    <t>TXN502500</t>
  </si>
  <si>
    <t>TXN502501</t>
  </si>
  <si>
    <t>TXN502502</t>
  </si>
  <si>
    <t>TXN502503</t>
  </si>
  <si>
    <t>TXN502504</t>
  </si>
  <si>
    <t>TXN502505</t>
  </si>
  <si>
    <t>TXN502506</t>
  </si>
  <si>
    <t>TXN502507</t>
  </si>
  <si>
    <t>TXN502508</t>
  </si>
  <si>
    <t>TXN502509</t>
  </si>
  <si>
    <t>TXN502510</t>
  </si>
  <si>
    <t>TXN502511</t>
  </si>
  <si>
    <t>TXN502512</t>
  </si>
  <si>
    <t>TXN502513</t>
  </si>
  <si>
    <t>TXN502514</t>
  </si>
  <si>
    <t>TXN502515</t>
  </si>
  <si>
    <t>TXN502516</t>
  </si>
  <si>
    <t>TXN502517</t>
  </si>
  <si>
    <t>TXN502518</t>
  </si>
  <si>
    <t>TXN502519</t>
  </si>
  <si>
    <t>TXN502520</t>
  </si>
  <si>
    <t>TXN502521</t>
  </si>
  <si>
    <t>TXN502522</t>
  </si>
  <si>
    <t>TXN502523</t>
  </si>
  <si>
    <t>TXN502524</t>
  </si>
  <si>
    <t>TXN502525</t>
  </si>
  <si>
    <t>TXN502526</t>
  </si>
  <si>
    <t>TXN502527</t>
  </si>
  <si>
    <t>TXN502528</t>
  </si>
  <si>
    <t>TXN502529</t>
  </si>
  <si>
    <t>TXN502530</t>
  </si>
  <si>
    <t>TXN502531</t>
  </si>
  <si>
    <t>TXN502532</t>
  </si>
  <si>
    <t>TXN502533</t>
  </si>
  <si>
    <t>TXN502534</t>
  </si>
  <si>
    <t>TXN502535</t>
  </si>
  <si>
    <t>TXN502536</t>
  </si>
  <si>
    <t>TXN502537</t>
  </si>
  <si>
    <t>TXN502538</t>
  </si>
  <si>
    <t>TXN502539</t>
  </si>
  <si>
    <t>TXN502540</t>
  </si>
  <si>
    <t>TXN502541</t>
  </si>
  <si>
    <t>TXN502542</t>
  </si>
  <si>
    <t>TXN502543</t>
  </si>
  <si>
    <t>TXN502544</t>
  </si>
  <si>
    <t>TXN502545</t>
  </si>
  <si>
    <t>TXN502546</t>
  </si>
  <si>
    <t>TXN502547</t>
  </si>
  <si>
    <t>TXN502548</t>
  </si>
  <si>
    <t>TXN502549</t>
  </si>
  <si>
    <t>TXN502550</t>
  </si>
  <si>
    <t>TXN502551</t>
  </si>
  <si>
    <t>TXN502552</t>
  </si>
  <si>
    <t>TXN502553</t>
  </si>
  <si>
    <t>TXN502554</t>
  </si>
  <si>
    <t>TXN502555</t>
  </si>
  <si>
    <t>TXN502556</t>
  </si>
  <si>
    <t>TXN502557</t>
  </si>
  <si>
    <t>TXN502558</t>
  </si>
  <si>
    <t>TXN502559</t>
  </si>
  <si>
    <t>TXN502560</t>
  </si>
  <si>
    <t>TXN502561</t>
  </si>
  <si>
    <t>TXN502562</t>
  </si>
  <si>
    <t>TXN502563</t>
  </si>
  <si>
    <t>TXN502564</t>
  </si>
  <si>
    <t>TXN502565</t>
  </si>
  <si>
    <t>TXN502566</t>
  </si>
  <si>
    <t>TXN502567</t>
  </si>
  <si>
    <t>TXN502568</t>
  </si>
  <si>
    <t>TXN502569</t>
  </si>
  <si>
    <t>TXN502570</t>
  </si>
  <si>
    <t>TXN502571</t>
  </si>
  <si>
    <t>TXN502572</t>
  </si>
  <si>
    <t>TXN502573</t>
  </si>
  <si>
    <t>TXN502574</t>
  </si>
  <si>
    <t>TXN502575</t>
  </si>
  <si>
    <t>TXN502576</t>
  </si>
  <si>
    <t>TXN502577</t>
  </si>
  <si>
    <t>TXN502578</t>
  </si>
  <si>
    <t>TXN502579</t>
  </si>
  <si>
    <t>TXN502580</t>
  </si>
  <si>
    <t>TXN502581</t>
  </si>
  <si>
    <t>TXN502582</t>
  </si>
  <si>
    <t>TXN502583</t>
  </si>
  <si>
    <t>TXN502584</t>
  </si>
  <si>
    <t>TXN502585</t>
  </si>
  <si>
    <t>TXN502586</t>
  </si>
  <si>
    <t>TXN502587</t>
  </si>
  <si>
    <t>TXN502588</t>
  </si>
  <si>
    <t>TXN502589</t>
  </si>
  <si>
    <t>TXN502590</t>
  </si>
  <si>
    <t>TXN502591</t>
  </si>
  <si>
    <t>TXN502592</t>
  </si>
  <si>
    <t>TXN502593</t>
  </si>
  <si>
    <t>TXN502594</t>
  </si>
  <si>
    <t>TXN502595</t>
  </si>
  <si>
    <t>TXN502596</t>
  </si>
  <si>
    <t>TXN502597</t>
  </si>
  <si>
    <t>TXN502598</t>
  </si>
  <si>
    <t>TXN502599</t>
  </si>
  <si>
    <t>TXN502600</t>
  </si>
  <si>
    <t>TXN502601</t>
  </si>
  <si>
    <t>TXN502602</t>
  </si>
  <si>
    <t>TXN502603</t>
  </si>
  <si>
    <t>TXN502604</t>
  </si>
  <si>
    <t>TXN502605</t>
  </si>
  <si>
    <t>TXN502606</t>
  </si>
  <si>
    <t>TXN502607</t>
  </si>
  <si>
    <t>TXN502608</t>
  </si>
  <si>
    <t>TXN502609</t>
  </si>
  <si>
    <t>TXN502610</t>
  </si>
  <si>
    <t>TXN502611</t>
  </si>
  <si>
    <t>TXN502612</t>
  </si>
  <si>
    <t>TXN502613</t>
  </si>
  <si>
    <t>TXN502614</t>
  </si>
  <si>
    <t>TXN502615</t>
  </si>
  <si>
    <t>TXN502616</t>
  </si>
  <si>
    <t>TXN502617</t>
  </si>
  <si>
    <t>TXN502618</t>
  </si>
  <si>
    <t>TXN502619</t>
  </si>
  <si>
    <t>TXN502620</t>
  </si>
  <si>
    <t>TXN502621</t>
  </si>
  <si>
    <t>TXN502622</t>
  </si>
  <si>
    <t>TXN502623</t>
  </si>
  <si>
    <t>TXN502624</t>
  </si>
  <si>
    <t>TXN502625</t>
  </si>
  <si>
    <t>TXN502626</t>
  </si>
  <si>
    <t>TXN502627</t>
  </si>
  <si>
    <t>TXN502628</t>
  </si>
  <si>
    <t>TXN502629</t>
  </si>
  <si>
    <t>TXN502630</t>
  </si>
  <si>
    <t>TXN502631</t>
  </si>
  <si>
    <t>TXN502632</t>
  </si>
  <si>
    <t>TXN502633</t>
  </si>
  <si>
    <t>TXN502634</t>
  </si>
  <si>
    <t>TXN502635</t>
  </si>
  <si>
    <t>TXN502636</t>
  </si>
  <si>
    <t>TXN502637</t>
  </si>
  <si>
    <t>TXN502638</t>
  </si>
  <si>
    <t>TXN502639</t>
  </si>
  <si>
    <t>TXN502640</t>
  </si>
  <si>
    <t>TXN502641</t>
  </si>
  <si>
    <t>TXN502642</t>
  </si>
  <si>
    <t>TXN502643</t>
  </si>
  <si>
    <t>TXN502644</t>
  </si>
  <si>
    <t>TXN502645</t>
  </si>
  <si>
    <t>TXN502646</t>
  </si>
  <si>
    <t>TXN502647</t>
  </si>
  <si>
    <t>TXN502648</t>
  </si>
  <si>
    <t>TXN502649</t>
  </si>
  <si>
    <t>TXN502650</t>
  </si>
  <si>
    <t>TXN502651</t>
  </si>
  <si>
    <t>TXN502652</t>
  </si>
  <si>
    <t>TXN502653</t>
  </si>
  <si>
    <t>TXN502654</t>
  </si>
  <si>
    <t>TXN502655</t>
  </si>
  <si>
    <t>TXN502656</t>
  </si>
  <si>
    <t>TXN502657</t>
  </si>
  <si>
    <t>TXN502658</t>
  </si>
  <si>
    <t>TXN502659</t>
  </si>
  <si>
    <t>TXN502660</t>
  </si>
  <si>
    <t>TXN502661</t>
  </si>
  <si>
    <t>TXN502662</t>
  </si>
  <si>
    <t>TXN502663</t>
  </si>
  <si>
    <t>TXN502664</t>
  </si>
  <si>
    <t>TXN502665</t>
  </si>
  <si>
    <t>TXN502666</t>
  </si>
  <si>
    <t>TXN502667</t>
  </si>
  <si>
    <t>TXN502668</t>
  </si>
  <si>
    <t>TXN502669</t>
  </si>
  <si>
    <t>TXN502670</t>
  </si>
  <si>
    <t>TXN502671</t>
  </si>
  <si>
    <t>TXN502672</t>
  </si>
  <si>
    <t>TXN502673</t>
  </si>
  <si>
    <t>TXN502674</t>
  </si>
  <si>
    <t>TXN502675</t>
  </si>
  <si>
    <t>TXN502676</t>
  </si>
  <si>
    <t>TXN502677</t>
  </si>
  <si>
    <t>TXN502678</t>
  </si>
  <si>
    <t>TXN502679</t>
  </si>
  <si>
    <t>TXN502680</t>
  </si>
  <si>
    <t>TXN502681</t>
  </si>
  <si>
    <t>TXN502682</t>
  </si>
  <si>
    <t>TXN502683</t>
  </si>
  <si>
    <t>TXN502684</t>
  </si>
  <si>
    <t>TXN502685</t>
  </si>
  <si>
    <t>TXN502686</t>
  </si>
  <si>
    <t>TXN502687</t>
  </si>
  <si>
    <t>TXN502688</t>
  </si>
  <si>
    <t>TXN502689</t>
  </si>
  <si>
    <t>TXN502690</t>
  </si>
  <si>
    <t>TXN502691</t>
  </si>
  <si>
    <t>TXN502692</t>
  </si>
  <si>
    <t>TXN502693</t>
  </si>
  <si>
    <t>TXN502694</t>
  </si>
  <si>
    <t>TXN502695</t>
  </si>
  <si>
    <t>TXN502696</t>
  </si>
  <si>
    <t>TXN502697</t>
  </si>
  <si>
    <t>TXN502698</t>
  </si>
  <si>
    <t>TXN502699</t>
  </si>
  <si>
    <t>TXN502700</t>
  </si>
  <si>
    <t>TXN502701</t>
  </si>
  <si>
    <t>TXN502702</t>
  </si>
  <si>
    <t>TXN502703</t>
  </si>
  <si>
    <t>TXN502704</t>
  </si>
  <si>
    <t>TXN502705</t>
  </si>
  <si>
    <t>TXN502706</t>
  </si>
  <si>
    <t>TXN502707</t>
  </si>
  <si>
    <t>TXN502708</t>
  </si>
  <si>
    <t>TXN502709</t>
  </si>
  <si>
    <t>TXN502710</t>
  </si>
  <si>
    <t>TXN502711</t>
  </si>
  <si>
    <t>TXN502712</t>
  </si>
  <si>
    <t>TXN502713</t>
  </si>
  <si>
    <t>TXN502714</t>
  </si>
  <si>
    <t>TXN502715</t>
  </si>
  <si>
    <t>TXN502716</t>
  </si>
  <si>
    <t>TXN502717</t>
  </si>
  <si>
    <t>TXN502718</t>
  </si>
  <si>
    <t>TXN502719</t>
  </si>
  <si>
    <t>TXN502720</t>
  </si>
  <si>
    <t>TXN502721</t>
  </si>
  <si>
    <t>TXN502722</t>
  </si>
  <si>
    <t>TXN502723</t>
  </si>
  <si>
    <t>TXN502724</t>
  </si>
  <si>
    <t>TXN502725</t>
  </si>
  <si>
    <t>TXN502726</t>
  </si>
  <si>
    <t>TXN502727</t>
  </si>
  <si>
    <t>TXN502728</t>
  </si>
  <si>
    <t>TXN502729</t>
  </si>
  <si>
    <t>TXN502730</t>
  </si>
  <si>
    <t>TXN502731</t>
  </si>
  <si>
    <t>TXN502732</t>
  </si>
  <si>
    <t>TXN502733</t>
  </si>
  <si>
    <t>TXN502734</t>
  </si>
  <si>
    <t>TXN502735</t>
  </si>
  <si>
    <t>TXN502736</t>
  </si>
  <si>
    <t>TXN502737</t>
  </si>
  <si>
    <t>TXN502738</t>
  </si>
  <si>
    <t>TXN502739</t>
  </si>
  <si>
    <t>TXN502740</t>
  </si>
  <si>
    <t>TXN502741</t>
  </si>
  <si>
    <t>TXN502742</t>
  </si>
  <si>
    <t>TXN502743</t>
  </si>
  <si>
    <t>TXN502744</t>
  </si>
  <si>
    <t>TXN502745</t>
  </si>
  <si>
    <t>TXN502746</t>
  </si>
  <si>
    <t>TXN502747</t>
  </si>
  <si>
    <t>TXN502748</t>
  </si>
  <si>
    <t>TXN502749</t>
  </si>
  <si>
    <t>TXN502750</t>
  </si>
  <si>
    <t>TXN502751</t>
  </si>
  <si>
    <t>TXN502752</t>
  </si>
  <si>
    <t>TXN502753</t>
  </si>
  <si>
    <t>TXN502754</t>
  </si>
  <si>
    <t>TXN502755</t>
  </si>
  <si>
    <t>TXN502756</t>
  </si>
  <si>
    <t>TXN502757</t>
  </si>
  <si>
    <t>TXN502758</t>
  </si>
  <si>
    <t>TXN502759</t>
  </si>
  <si>
    <t>TXN502760</t>
  </si>
  <si>
    <t>TXN502761</t>
  </si>
  <si>
    <t>TXN502762</t>
  </si>
  <si>
    <t>TXN502763</t>
  </si>
  <si>
    <t>TXN502764</t>
  </si>
  <si>
    <t>TXN502765</t>
  </si>
  <si>
    <t>TXN502766</t>
  </si>
  <si>
    <t>TXN502767</t>
  </si>
  <si>
    <t>TXN502768</t>
  </si>
  <si>
    <t>TXN502769</t>
  </si>
  <si>
    <t>TXN502770</t>
  </si>
  <si>
    <t>TXN502771</t>
  </si>
  <si>
    <t>TXN502772</t>
  </si>
  <si>
    <t>TXN502773</t>
  </si>
  <si>
    <t>TXN502774</t>
  </si>
  <si>
    <t>TXN502775</t>
  </si>
  <si>
    <t>TXN502776</t>
  </si>
  <si>
    <t>TXN502777</t>
  </si>
  <si>
    <t>TXN502778</t>
  </si>
  <si>
    <t>TXN502779</t>
  </si>
  <si>
    <t>TXN502780</t>
  </si>
  <si>
    <t>TXN502781</t>
  </si>
  <si>
    <t>TXN502782</t>
  </si>
  <si>
    <t>TXN502783</t>
  </si>
  <si>
    <t>TXN502784</t>
  </si>
  <si>
    <t>TXN502785</t>
  </si>
  <si>
    <t>TXN502786</t>
  </si>
  <si>
    <t>TXN502787</t>
  </si>
  <si>
    <t>TXN502788</t>
  </si>
  <si>
    <t>TXN502789</t>
  </si>
  <si>
    <t>TXN502790</t>
  </si>
  <si>
    <t>TXN502791</t>
  </si>
  <si>
    <t>TXN502792</t>
  </si>
  <si>
    <t>TXN502793</t>
  </si>
  <si>
    <t>TXN502794</t>
  </si>
  <si>
    <t>TXN502795</t>
  </si>
  <si>
    <t>TXN502796</t>
  </si>
  <si>
    <t>TXN502797</t>
  </si>
  <si>
    <t>TXN502798</t>
  </si>
  <si>
    <t>TXN502799</t>
  </si>
  <si>
    <t>TXN502800</t>
  </si>
  <si>
    <t>TXN502801</t>
  </si>
  <si>
    <t>TXN502802</t>
  </si>
  <si>
    <t>TXN502803</t>
  </si>
  <si>
    <t>TXN502804</t>
  </si>
  <si>
    <t>TXN502805</t>
  </si>
  <si>
    <t>TXN502806</t>
  </si>
  <si>
    <t>TXN502807</t>
  </si>
  <si>
    <t>TXN502808</t>
  </si>
  <si>
    <t>TXN502809</t>
  </si>
  <si>
    <t>TXN502810</t>
  </si>
  <si>
    <t>TXN502811</t>
  </si>
  <si>
    <t>TXN502812</t>
  </si>
  <si>
    <t>TXN502813</t>
  </si>
  <si>
    <t>TXN502814</t>
  </si>
  <si>
    <t>TXN502815</t>
  </si>
  <si>
    <t>TXN502816</t>
  </si>
  <si>
    <t>TXN502817</t>
  </si>
  <si>
    <t>TXN502818</t>
  </si>
  <si>
    <t>TXN502819</t>
  </si>
  <si>
    <t>TXN502820</t>
  </si>
  <si>
    <t>TXN502821</t>
  </si>
  <si>
    <t>TXN502822</t>
  </si>
  <si>
    <t>TXN502823</t>
  </si>
  <si>
    <t>TXN502824</t>
  </si>
  <si>
    <t>TXN502825</t>
  </si>
  <si>
    <t>TXN502826</t>
  </si>
  <si>
    <t>TXN502827</t>
  </si>
  <si>
    <t>TXN502828</t>
  </si>
  <si>
    <t>TXN502829</t>
  </si>
  <si>
    <t>TXN502830</t>
  </si>
  <si>
    <t>TXN502831</t>
  </si>
  <si>
    <t>TXN502832</t>
  </si>
  <si>
    <t>TXN502833</t>
  </si>
  <si>
    <t>TXN502834</t>
  </si>
  <si>
    <t>TXN502835</t>
  </si>
  <si>
    <t>TXN502836</t>
  </si>
  <si>
    <t>TXN502837</t>
  </si>
  <si>
    <t>TXN502838</t>
  </si>
  <si>
    <t>TXN502839</t>
  </si>
  <si>
    <t>TXN502840</t>
  </si>
  <si>
    <t>TXN502841</t>
  </si>
  <si>
    <t>TXN502842</t>
  </si>
  <si>
    <t>TXN502843</t>
  </si>
  <si>
    <t>TXN502844</t>
  </si>
  <si>
    <t>TXN502845</t>
  </si>
  <si>
    <t>TXN502846</t>
  </si>
  <si>
    <t>TXN502847</t>
  </si>
  <si>
    <t>TXN502848</t>
  </si>
  <si>
    <t>TXN502849</t>
  </si>
  <si>
    <t>TXN502850</t>
  </si>
  <si>
    <t>TXN502851</t>
  </si>
  <si>
    <t>TXN502852</t>
  </si>
  <si>
    <t>TXN502853</t>
  </si>
  <si>
    <t>TXN502854</t>
  </si>
  <si>
    <t>TXN502855</t>
  </si>
  <si>
    <t>TXN502856</t>
  </si>
  <si>
    <t>TXN502857</t>
  </si>
  <si>
    <t>TXN502858</t>
  </si>
  <si>
    <t>TXN502859</t>
  </si>
  <si>
    <t>TXN502860</t>
  </si>
  <si>
    <t>TXN502861</t>
  </si>
  <si>
    <t>TXN502862</t>
  </si>
  <si>
    <t>TXN502863</t>
  </si>
  <si>
    <t>TXN502864</t>
  </si>
  <si>
    <t>TXN502865</t>
  </si>
  <si>
    <t>TXN502866</t>
  </si>
  <si>
    <t>TXN502867</t>
  </si>
  <si>
    <t>TXN502868</t>
  </si>
  <si>
    <t>TXN502869</t>
  </si>
  <si>
    <t>TXN502870</t>
  </si>
  <si>
    <t>TXN502871</t>
  </si>
  <si>
    <t>TXN502872</t>
  </si>
  <si>
    <t>TXN502873</t>
  </si>
  <si>
    <t>TXN502874</t>
  </si>
  <si>
    <t>TXN502875</t>
  </si>
  <si>
    <t>TXN502876</t>
  </si>
  <si>
    <t>TXN502877</t>
  </si>
  <si>
    <t>TXN502878</t>
  </si>
  <si>
    <t>TXN502879</t>
  </si>
  <si>
    <t>TXN502880</t>
  </si>
  <si>
    <t>TXN502881</t>
  </si>
  <si>
    <t>TXN502882</t>
  </si>
  <si>
    <t>TXN502883</t>
  </si>
  <si>
    <t>TXN502884</t>
  </si>
  <si>
    <t>TXN502885</t>
  </si>
  <si>
    <t>TXN502886</t>
  </si>
  <si>
    <t>TXN502887</t>
  </si>
  <si>
    <t>TXN502888</t>
  </si>
  <si>
    <t>TXN502889</t>
  </si>
  <si>
    <t>TXN502890</t>
  </si>
  <si>
    <t>TXN502891</t>
  </si>
  <si>
    <t>TXN502892</t>
  </si>
  <si>
    <t>TXN502893</t>
  </si>
  <si>
    <t>TXN502894</t>
  </si>
  <si>
    <t>TXN502895</t>
  </si>
  <si>
    <t>TXN502896</t>
  </si>
  <si>
    <t>TXN502897</t>
  </si>
  <si>
    <t>TXN502898</t>
  </si>
  <si>
    <t>TXN502899</t>
  </si>
  <si>
    <t>TXN502900</t>
  </si>
  <si>
    <t>TXN502901</t>
  </si>
  <si>
    <t>TXN502902</t>
  </si>
  <si>
    <t>TXN502903</t>
  </si>
  <si>
    <t>TXN502904</t>
  </si>
  <si>
    <t>TXN502905</t>
  </si>
  <si>
    <t>TXN502906</t>
  </si>
  <si>
    <t>TXN502907</t>
  </si>
  <si>
    <t>TXN502908</t>
  </si>
  <si>
    <t>TXN502909</t>
  </si>
  <si>
    <t>TXN502910</t>
  </si>
  <si>
    <t>TXN502911</t>
  </si>
  <si>
    <t>TXN502912</t>
  </si>
  <si>
    <t>TXN502913</t>
  </si>
  <si>
    <t>TXN502914</t>
  </si>
  <si>
    <t>TXN502915</t>
  </si>
  <si>
    <t>TXN502916</t>
  </si>
  <si>
    <t>TXN502917</t>
  </si>
  <si>
    <t>TXN502918</t>
  </si>
  <si>
    <t>TXN502919</t>
  </si>
  <si>
    <t>TXN502920</t>
  </si>
  <si>
    <t>TXN502921</t>
  </si>
  <si>
    <t>TXN502922</t>
  </si>
  <si>
    <t>TXN502923</t>
  </si>
  <si>
    <t>TXN502924</t>
  </si>
  <si>
    <t>TXN502925</t>
  </si>
  <si>
    <t>TXN502926</t>
  </si>
  <si>
    <t>TXN502927</t>
  </si>
  <si>
    <t>TXN502928</t>
  </si>
  <si>
    <t>TXN502929</t>
  </si>
  <si>
    <t>TXN502930</t>
  </si>
  <si>
    <t>TXN502931</t>
  </si>
  <si>
    <t>TXN502932</t>
  </si>
  <si>
    <t>TXN502933</t>
  </si>
  <si>
    <t>TXN502934</t>
  </si>
  <si>
    <t>TXN502935</t>
  </si>
  <si>
    <t>TXN502936</t>
  </si>
  <si>
    <t>TXN502937</t>
  </si>
  <si>
    <t>TXN502938</t>
  </si>
  <si>
    <t>TXN502939</t>
  </si>
  <si>
    <t>TXN502940</t>
  </si>
  <si>
    <t>TXN502941</t>
  </si>
  <si>
    <t>TXN502942</t>
  </si>
  <si>
    <t>TXN502943</t>
  </si>
  <si>
    <t>TXN502944</t>
  </si>
  <si>
    <t>TXN502945</t>
  </si>
  <si>
    <t>TXN502946</t>
  </si>
  <si>
    <t>TXN502947</t>
  </si>
  <si>
    <t>TXN502948</t>
  </si>
  <si>
    <t>TXN502949</t>
  </si>
  <si>
    <t>TXN502950</t>
  </si>
  <si>
    <t>TXN502951</t>
  </si>
  <si>
    <t>TXN502952</t>
  </si>
  <si>
    <t>TXN502953</t>
  </si>
  <si>
    <t>TXN502954</t>
  </si>
  <si>
    <t>TXN502955</t>
  </si>
  <si>
    <t>TXN502956</t>
  </si>
  <si>
    <t>TXN502957</t>
  </si>
  <si>
    <t>TXN502958</t>
  </si>
  <si>
    <t>TXN502959</t>
  </si>
  <si>
    <t>TXN502960</t>
  </si>
  <si>
    <t>TXN502961</t>
  </si>
  <si>
    <t>TXN502962</t>
  </si>
  <si>
    <t>TXN502963</t>
  </si>
  <si>
    <t>TXN502964</t>
  </si>
  <si>
    <t>TXN502965</t>
  </si>
  <si>
    <t>TXN502966</t>
  </si>
  <si>
    <t>TXN502967</t>
  </si>
  <si>
    <t>TXN502968</t>
  </si>
  <si>
    <t>TXN502969</t>
  </si>
  <si>
    <t>TXN502970</t>
  </si>
  <si>
    <t>TXN502971</t>
  </si>
  <si>
    <t>TXN502972</t>
  </si>
  <si>
    <t>TXN502973</t>
  </si>
  <si>
    <t>TXN502974</t>
  </si>
  <si>
    <t>TXN502975</t>
  </si>
  <si>
    <t>TXN502976</t>
  </si>
  <si>
    <t>TXN502977</t>
  </si>
  <si>
    <t>TXN502978</t>
  </si>
  <si>
    <t>TXN502979</t>
  </si>
  <si>
    <t>TXN502980</t>
  </si>
  <si>
    <t>TXN502981</t>
  </si>
  <si>
    <t>TXN502982</t>
  </si>
  <si>
    <t>TXN502983</t>
  </si>
  <si>
    <t>TXN502984</t>
  </si>
  <si>
    <t>TXN502985</t>
  </si>
  <si>
    <t>TXN502986</t>
  </si>
  <si>
    <t>TXN502987</t>
  </si>
  <si>
    <t>TXN502988</t>
  </si>
  <si>
    <t>TXN502989</t>
  </si>
  <si>
    <t>TXN502990</t>
  </si>
  <si>
    <t>TXN502991</t>
  </si>
  <si>
    <t>TXN502992</t>
  </si>
  <si>
    <t>TXN502993</t>
  </si>
  <si>
    <t>TXN502994</t>
  </si>
  <si>
    <t>TXN502995</t>
  </si>
  <si>
    <t>TXN502996</t>
  </si>
  <si>
    <t>TXN502997</t>
  </si>
  <si>
    <t>TXN502998</t>
  </si>
  <si>
    <t>TXN502999</t>
  </si>
  <si>
    <t>TXN503000</t>
  </si>
  <si>
    <t>TXN503001</t>
  </si>
  <si>
    <t>TXN503002</t>
  </si>
  <si>
    <t>TXN503003</t>
  </si>
  <si>
    <t>TXN503004</t>
  </si>
  <si>
    <t>TXN503005</t>
  </si>
  <si>
    <t>TXN503006</t>
  </si>
  <si>
    <t>TXN503007</t>
  </si>
  <si>
    <t>TXN503008</t>
  </si>
  <si>
    <t>TXN503009</t>
  </si>
  <si>
    <t>TXN503010</t>
  </si>
  <si>
    <t>TXN503011</t>
  </si>
  <si>
    <t>TXN503012</t>
  </si>
  <si>
    <t>TXN503013</t>
  </si>
  <si>
    <t>TXN503014</t>
  </si>
  <si>
    <t>TXN503015</t>
  </si>
  <si>
    <t>TXN503016</t>
  </si>
  <si>
    <t>TXN503017</t>
  </si>
  <si>
    <t>TXN503018</t>
  </si>
  <si>
    <t>TXN503019</t>
  </si>
  <si>
    <t>TXN503020</t>
  </si>
  <si>
    <t>TXN503021</t>
  </si>
  <si>
    <t>TXN503022</t>
  </si>
  <si>
    <t>TXN503023</t>
  </si>
  <si>
    <t>TXN503024</t>
  </si>
  <si>
    <t>TXN503025</t>
  </si>
  <si>
    <t>TXN503026</t>
  </si>
  <si>
    <t>TXN503027</t>
  </si>
  <si>
    <t>TXN503028</t>
  </si>
  <si>
    <t>TXN503029</t>
  </si>
  <si>
    <t>TXN503030</t>
  </si>
  <si>
    <t>TXN503031</t>
  </si>
  <si>
    <t>TXN503032</t>
  </si>
  <si>
    <t>TXN503033</t>
  </si>
  <si>
    <t>TXN503034</t>
  </si>
  <si>
    <t>TXN503035</t>
  </si>
  <si>
    <t>TXN503036</t>
  </si>
  <si>
    <t>TXN503037</t>
  </si>
  <si>
    <t>TXN503038</t>
  </si>
  <si>
    <t>TXN503039</t>
  </si>
  <si>
    <t>TXN503040</t>
  </si>
  <si>
    <t>TXN503041</t>
  </si>
  <si>
    <t>TXN503042</t>
  </si>
  <si>
    <t>TXN503043</t>
  </si>
  <si>
    <t>TXN503044</t>
  </si>
  <si>
    <t>TXN503045</t>
  </si>
  <si>
    <t>TXN503046</t>
  </si>
  <si>
    <t>TXN503047</t>
  </si>
  <si>
    <t>TXN503048</t>
  </si>
  <si>
    <t>TXN503049</t>
  </si>
  <si>
    <t>TXN503050</t>
  </si>
  <si>
    <t>TXN503051</t>
  </si>
  <si>
    <t>TXN503052</t>
  </si>
  <si>
    <t>TXN503053</t>
  </si>
  <si>
    <t>TXN503054</t>
  </si>
  <si>
    <t>TXN503055</t>
  </si>
  <si>
    <t>TXN503056</t>
  </si>
  <si>
    <t>TXN503057</t>
  </si>
  <si>
    <t>TXN503058</t>
  </si>
  <si>
    <t>TXN503059</t>
  </si>
  <si>
    <t>TXN503060</t>
  </si>
  <si>
    <t>TXN503061</t>
  </si>
  <si>
    <t>TXN503062</t>
  </si>
  <si>
    <t>TXN503063</t>
  </si>
  <si>
    <t>TXN503064</t>
  </si>
  <si>
    <t>TXN503065</t>
  </si>
  <si>
    <t>TXN503066</t>
  </si>
  <si>
    <t>TXN503067</t>
  </si>
  <si>
    <t>TXN503068</t>
  </si>
  <si>
    <t>TXN503069</t>
  </si>
  <si>
    <t>TXN503070</t>
  </si>
  <si>
    <t>TXN503071</t>
  </si>
  <si>
    <t>TXN503072</t>
  </si>
  <si>
    <t>TXN503073</t>
  </si>
  <si>
    <t>TXN503074</t>
  </si>
  <si>
    <t>TXN503075</t>
  </si>
  <si>
    <t>TXN503076</t>
  </si>
  <si>
    <t>TXN503077</t>
  </si>
  <si>
    <t>TXN503078</t>
  </si>
  <si>
    <t>TXN503079</t>
  </si>
  <si>
    <t>TXN503080</t>
  </si>
  <si>
    <t>TXN503081</t>
  </si>
  <si>
    <t>TXN503082</t>
  </si>
  <si>
    <t>TXN503083</t>
  </si>
  <si>
    <t>TXN503084</t>
  </si>
  <si>
    <t>TXN503085</t>
  </si>
  <si>
    <t>TXN503086</t>
  </si>
  <si>
    <t>TXN503087</t>
  </si>
  <si>
    <t>TXN503088</t>
  </si>
  <si>
    <t>TXN503089</t>
  </si>
  <si>
    <t>TXN503090</t>
  </si>
  <si>
    <t>TXN503091</t>
  </si>
  <si>
    <t>TXN503092</t>
  </si>
  <si>
    <t>TXN503093</t>
  </si>
  <si>
    <t>TXN503094</t>
  </si>
  <si>
    <t>TXN503095</t>
  </si>
  <si>
    <t>TXN503096</t>
  </si>
  <si>
    <t>TXN503097</t>
  </si>
  <si>
    <t>TXN503098</t>
  </si>
  <si>
    <t>TXN503099</t>
  </si>
  <si>
    <t>TXN503100</t>
  </si>
  <si>
    <t>TXN503101</t>
  </si>
  <si>
    <t>TXN503102</t>
  </si>
  <si>
    <t>TXN503103</t>
  </si>
  <si>
    <t>TXN503104</t>
  </si>
  <si>
    <t>TXN503105</t>
  </si>
  <si>
    <t>TXN503106</t>
  </si>
  <si>
    <t>TXN503107</t>
  </si>
  <si>
    <t>TXN503108</t>
  </si>
  <si>
    <t>TXN503109</t>
  </si>
  <si>
    <t>TXN503110</t>
  </si>
  <si>
    <t>TXN503111</t>
  </si>
  <si>
    <t>TXN503112</t>
  </si>
  <si>
    <t>TXN503113</t>
  </si>
  <si>
    <t>TXN503114</t>
  </si>
  <si>
    <t>TXN503115</t>
  </si>
  <si>
    <t>TXN503116</t>
  </si>
  <si>
    <t>TXN503117</t>
  </si>
  <si>
    <t>TXN503118</t>
  </si>
  <si>
    <t>TXN503119</t>
  </si>
  <si>
    <t>TXN503120</t>
  </si>
  <si>
    <t>TXN503121</t>
  </si>
  <si>
    <t>TXN503122</t>
  </si>
  <si>
    <t>TXN503123</t>
  </si>
  <si>
    <t>TXN503124</t>
  </si>
  <si>
    <t>TXN503125</t>
  </si>
  <si>
    <t>TXN503126</t>
  </si>
  <si>
    <t>TXN503127</t>
  </si>
  <si>
    <t>TXN503128</t>
  </si>
  <si>
    <t>TXN503129</t>
  </si>
  <si>
    <t>TXN503130</t>
  </si>
  <si>
    <t>TXN503131</t>
  </si>
  <si>
    <t>TXN503132</t>
  </si>
  <si>
    <t>TXN503133</t>
  </si>
  <si>
    <t>TXN503134</t>
  </si>
  <si>
    <t>TXN503135</t>
  </si>
  <si>
    <t>TXN503136</t>
  </si>
  <si>
    <t>TXN503137</t>
  </si>
  <si>
    <t>TXN503138</t>
  </si>
  <si>
    <t>TXN503139</t>
  </si>
  <si>
    <t>TXN503140</t>
  </si>
  <si>
    <t>TXN503141</t>
  </si>
  <si>
    <t>TXN503142</t>
  </si>
  <si>
    <t>TXN503143</t>
  </si>
  <si>
    <t>TXN503144</t>
  </si>
  <si>
    <t>TXN503145</t>
  </si>
  <si>
    <t>TXN503146</t>
  </si>
  <si>
    <t>TXN503147</t>
  </si>
  <si>
    <t>TXN503148</t>
  </si>
  <si>
    <t>TXN503149</t>
  </si>
  <si>
    <t>TXN503150</t>
  </si>
  <si>
    <t>TXN503151</t>
  </si>
  <si>
    <t>TXN503152</t>
  </si>
  <si>
    <t>TXN503153</t>
  </si>
  <si>
    <t>TXN503154</t>
  </si>
  <si>
    <t>TXN503155</t>
  </si>
  <si>
    <t>TXN503156</t>
  </si>
  <si>
    <t>TXN503157</t>
  </si>
  <si>
    <t>TXN503158</t>
  </si>
  <si>
    <t>TXN503159</t>
  </si>
  <si>
    <t>TXN503160</t>
  </si>
  <si>
    <t>TXN503161</t>
  </si>
  <si>
    <t>TXN503162</t>
  </si>
  <si>
    <t>TXN503163</t>
  </si>
  <si>
    <t>TXN503164</t>
  </si>
  <si>
    <t>TXN503165</t>
  </si>
  <si>
    <t>TXN503166</t>
  </si>
  <si>
    <t>TXN503167</t>
  </si>
  <si>
    <t>TXN503168</t>
  </si>
  <si>
    <t>TXN503169</t>
  </si>
  <si>
    <t>TXN503170</t>
  </si>
  <si>
    <t>TXN503171</t>
  </si>
  <si>
    <t>TXN503172</t>
  </si>
  <si>
    <t>TXN503173</t>
  </si>
  <si>
    <t>TXN503174</t>
  </si>
  <si>
    <t>TXN503175</t>
  </si>
  <si>
    <t>TXN503176</t>
  </si>
  <si>
    <t>TXN503177</t>
  </si>
  <si>
    <t>TXN503178</t>
  </si>
  <si>
    <t>TXN503179</t>
  </si>
  <si>
    <t>TXN503180</t>
  </si>
  <si>
    <t>TXN503181</t>
  </si>
  <si>
    <t>TXN503182</t>
  </si>
  <si>
    <t>TXN503183</t>
  </si>
  <si>
    <t>TXN503184</t>
  </si>
  <si>
    <t>TXN503185</t>
  </si>
  <si>
    <t>TXN503186</t>
  </si>
  <si>
    <t>TXN503187</t>
  </si>
  <si>
    <t>TXN503188</t>
  </si>
  <si>
    <t>TXN503189</t>
  </si>
  <si>
    <t>TXN503190</t>
  </si>
  <si>
    <t>TXN503191</t>
  </si>
  <si>
    <t>TXN503192</t>
  </si>
  <si>
    <t>TXN503193</t>
  </si>
  <si>
    <t>TXN503194</t>
  </si>
  <si>
    <t>TXN503195</t>
  </si>
  <si>
    <t>TXN503196</t>
  </si>
  <si>
    <t>TXN503197</t>
  </si>
  <si>
    <t>TXN503198</t>
  </si>
  <si>
    <t>TXN503199</t>
  </si>
  <si>
    <t>TXN503200</t>
  </si>
  <si>
    <t>TXN503201</t>
  </si>
  <si>
    <t>TXN503202</t>
  </si>
  <si>
    <t>TXN503203</t>
  </si>
  <si>
    <t>TXN503204</t>
  </si>
  <si>
    <t>TXN503205</t>
  </si>
  <si>
    <t>TXN503206</t>
  </si>
  <si>
    <t>TXN503207</t>
  </si>
  <si>
    <t>TXN503208</t>
  </si>
  <si>
    <t>TXN503209</t>
  </si>
  <si>
    <t>TXN503210</t>
  </si>
  <si>
    <t>TXN503211</t>
  </si>
  <si>
    <t>TXN503212</t>
  </si>
  <si>
    <t>TXN503213</t>
  </si>
  <si>
    <t>TXN503214</t>
  </si>
  <si>
    <t>TXN503215</t>
  </si>
  <si>
    <t>TXN503216</t>
  </si>
  <si>
    <t>TXN503217</t>
  </si>
  <si>
    <t>TXN503218</t>
  </si>
  <si>
    <t>TXN503219</t>
  </si>
  <si>
    <t>TXN503220</t>
  </si>
  <si>
    <t>TXN503221</t>
  </si>
  <si>
    <t>TXN503222</t>
  </si>
  <si>
    <t>TXN503223</t>
  </si>
  <si>
    <t>TXN503224</t>
  </si>
  <si>
    <t>TXN503225</t>
  </si>
  <si>
    <t>TXN503226</t>
  </si>
  <si>
    <t>TXN503227</t>
  </si>
  <si>
    <t>TXN503228</t>
  </si>
  <si>
    <t>TXN503229</t>
  </si>
  <si>
    <t>TXN503230</t>
  </si>
  <si>
    <t>TXN503231</t>
  </si>
  <si>
    <t>TXN503232</t>
  </si>
  <si>
    <t>TXN503233</t>
  </si>
  <si>
    <t>TXN503234</t>
  </si>
  <si>
    <t>TXN503235</t>
  </si>
  <si>
    <t>TXN503236</t>
  </si>
  <si>
    <t>TXN503237</t>
  </si>
  <si>
    <t>TXN503238</t>
  </si>
  <si>
    <t>TXN503239</t>
  </si>
  <si>
    <t>TXN503240</t>
  </si>
  <si>
    <t>TXN503241</t>
  </si>
  <si>
    <t>TXN503242</t>
  </si>
  <si>
    <t>TXN503243</t>
  </si>
  <si>
    <t>TXN503244</t>
  </si>
  <si>
    <t>TXN503245</t>
  </si>
  <si>
    <t>TXN503246</t>
  </si>
  <si>
    <t>TXN503247</t>
  </si>
  <si>
    <t>TXN503248</t>
  </si>
  <si>
    <t>TXN503249</t>
  </si>
  <si>
    <t>TXN503250</t>
  </si>
  <si>
    <t>TXN503251</t>
  </si>
  <si>
    <t>TXN503252</t>
  </si>
  <si>
    <t>TXN503253</t>
  </si>
  <si>
    <t>TXN503254</t>
  </si>
  <si>
    <t>TXN503255</t>
  </si>
  <si>
    <t>TXN503256</t>
  </si>
  <si>
    <t>TXN503257</t>
  </si>
  <si>
    <t>TXN503258</t>
  </si>
  <si>
    <t>TXN503259</t>
  </si>
  <si>
    <t>TXN503260</t>
  </si>
  <si>
    <t>TXN503261</t>
  </si>
  <si>
    <t>TXN503262</t>
  </si>
  <si>
    <t>TXN503263</t>
  </si>
  <si>
    <t>TXN503264</t>
  </si>
  <si>
    <t>TXN503265</t>
  </si>
  <si>
    <t>TXN503266</t>
  </si>
  <si>
    <t>TXN503267</t>
  </si>
  <si>
    <t>TXN503268</t>
  </si>
  <si>
    <t>TXN503269</t>
  </si>
  <si>
    <t>TXN503270</t>
  </si>
  <si>
    <t>TXN503271</t>
  </si>
  <si>
    <t>TXN503272</t>
  </si>
  <si>
    <t>TXN503273</t>
  </si>
  <si>
    <t>TXN503274</t>
  </si>
  <si>
    <t>TXN503275</t>
  </si>
  <si>
    <t>TXN503276</t>
  </si>
  <si>
    <t>TXN503277</t>
  </si>
  <si>
    <t>TXN503278</t>
  </si>
  <si>
    <t>TXN503279</t>
  </si>
  <si>
    <t>TXN503280</t>
  </si>
  <si>
    <t>TXN503281</t>
  </si>
  <si>
    <t>TXN503282</t>
  </si>
  <si>
    <t>TXN503283</t>
  </si>
  <si>
    <t>TXN503284</t>
  </si>
  <si>
    <t>TXN503285</t>
  </si>
  <si>
    <t>TXN503286</t>
  </si>
  <si>
    <t>TXN503287</t>
  </si>
  <si>
    <t>TXN503288</t>
  </si>
  <si>
    <t>TXN503289</t>
  </si>
  <si>
    <t>TXN503290</t>
  </si>
  <si>
    <t>TXN503291</t>
  </si>
  <si>
    <t>TXN503292</t>
  </si>
  <si>
    <t>TXN503293</t>
  </si>
  <si>
    <t>TXN503294</t>
  </si>
  <si>
    <t>TXN503295</t>
  </si>
  <si>
    <t>TXN503296</t>
  </si>
  <si>
    <t>TXN503297</t>
  </si>
  <si>
    <t>TXN503298</t>
  </si>
  <si>
    <t>TXN503299</t>
  </si>
  <si>
    <t>TXN503300</t>
  </si>
  <si>
    <t>TXN503301</t>
  </si>
  <si>
    <t>TXN503302</t>
  </si>
  <si>
    <t>TXN503303</t>
  </si>
  <si>
    <t>TXN503304</t>
  </si>
  <si>
    <t>TXN503305</t>
  </si>
  <si>
    <t>TXN503306</t>
  </si>
  <si>
    <t>TXN503307</t>
  </si>
  <si>
    <t>TXN503308</t>
  </si>
  <si>
    <t>TXN503309</t>
  </si>
  <si>
    <t>TXN503310</t>
  </si>
  <si>
    <t>TXN503311</t>
  </si>
  <si>
    <t>TXN503312</t>
  </si>
  <si>
    <t>TXN503313</t>
  </si>
  <si>
    <t>TXN503314</t>
  </si>
  <si>
    <t>TXN503315</t>
  </si>
  <si>
    <t>TXN503316</t>
  </si>
  <si>
    <t>TXN503317</t>
  </si>
  <si>
    <t>TXN503318</t>
  </si>
  <si>
    <t>TXN503319</t>
  </si>
  <si>
    <t>TXN503320</t>
  </si>
  <si>
    <t>TXN503321</t>
  </si>
  <si>
    <t>TXN503322</t>
  </si>
  <si>
    <t>TXN503323</t>
  </si>
  <si>
    <t>TXN503324</t>
  </si>
  <si>
    <t>TXN503325</t>
  </si>
  <si>
    <t>TXN503326</t>
  </si>
  <si>
    <t>TXN503327</t>
  </si>
  <si>
    <t>TXN503328</t>
  </si>
  <si>
    <t>TXN503329</t>
  </si>
  <si>
    <t>TXN503330</t>
  </si>
  <si>
    <t>TXN503331</t>
  </si>
  <si>
    <t>TXN503332</t>
  </si>
  <si>
    <t>TXN503333</t>
  </si>
  <si>
    <t>TXN503334</t>
  </si>
  <si>
    <t>TXN503335</t>
  </si>
  <si>
    <t>TXN503336</t>
  </si>
  <si>
    <t>TXN503337</t>
  </si>
  <si>
    <t>TXN503338</t>
  </si>
  <si>
    <t>TXN503339</t>
  </si>
  <si>
    <t>TXN503340</t>
  </si>
  <si>
    <t>TXN503341</t>
  </si>
  <si>
    <t>TXN503342</t>
  </si>
  <si>
    <t>TXN503343</t>
  </si>
  <si>
    <t>TXN503344</t>
  </si>
  <si>
    <t>TXN503345</t>
  </si>
  <si>
    <t>TXN503346</t>
  </si>
  <si>
    <t>TXN503347</t>
  </si>
  <si>
    <t>TXN503348</t>
  </si>
  <si>
    <t>TXN503349</t>
  </si>
  <si>
    <t>TXN503350</t>
  </si>
  <si>
    <t>TXN503351</t>
  </si>
  <si>
    <t>TXN503352</t>
  </si>
  <si>
    <t>TXN503353</t>
  </si>
  <si>
    <t>TXN503354</t>
  </si>
  <si>
    <t>TXN503355</t>
  </si>
  <si>
    <t>TXN503356</t>
  </si>
  <si>
    <t>TXN503357</t>
  </si>
  <si>
    <t>TXN503358</t>
  </si>
  <si>
    <t>TXN503359</t>
  </si>
  <si>
    <t>TXN503360</t>
  </si>
  <si>
    <t>TXN503361</t>
  </si>
  <si>
    <t>TXN503362</t>
  </si>
  <si>
    <t>TXN503363</t>
  </si>
  <si>
    <t>TXN503364</t>
  </si>
  <si>
    <t>TXN503365</t>
  </si>
  <si>
    <t>TXN503366</t>
  </si>
  <si>
    <t>TXN503367</t>
  </si>
  <si>
    <t>TXN503368</t>
  </si>
  <si>
    <t>TXN503369</t>
  </si>
  <si>
    <t>TXN503370</t>
  </si>
  <si>
    <t>TXN503371</t>
  </si>
  <si>
    <t>TXN503372</t>
  </si>
  <si>
    <t>TXN503373</t>
  </si>
  <si>
    <t>TXN503374</t>
  </si>
  <si>
    <t>TXN503375</t>
  </si>
  <si>
    <t>TXN503376</t>
  </si>
  <si>
    <t>TXN503377</t>
  </si>
  <si>
    <t>TXN503378</t>
  </si>
  <si>
    <t>TXN503379</t>
  </si>
  <si>
    <t>TXN503380</t>
  </si>
  <si>
    <t>TXN503381</t>
  </si>
  <si>
    <t>TXN503382</t>
  </si>
  <si>
    <t>TXN503383</t>
  </si>
  <si>
    <t>TXN503384</t>
  </si>
  <si>
    <t>TXN503385</t>
  </si>
  <si>
    <t>TXN503386</t>
  </si>
  <si>
    <t>TXN503387</t>
  </si>
  <si>
    <t>TXN503388</t>
  </si>
  <si>
    <t>TXN503389</t>
  </si>
  <si>
    <t>TXN503390</t>
  </si>
  <si>
    <t>TXN503391</t>
  </si>
  <si>
    <t>TXN503392</t>
  </si>
  <si>
    <t>TXN503393</t>
  </si>
  <si>
    <t>TXN503394</t>
  </si>
  <si>
    <t>TXN503395</t>
  </si>
  <si>
    <t>TXN503396</t>
  </si>
  <si>
    <t>TXN503397</t>
  </si>
  <si>
    <t>TXN503398</t>
  </si>
  <si>
    <t>TXN503399</t>
  </si>
  <si>
    <t>TXN503400</t>
  </si>
  <si>
    <t>TXN503401</t>
  </si>
  <si>
    <t>TXN503402</t>
  </si>
  <si>
    <t>TXN503403</t>
  </si>
  <si>
    <t>TXN503404</t>
  </si>
  <si>
    <t>TXN503405</t>
  </si>
  <si>
    <t>TXN503406</t>
  </si>
  <si>
    <t>TXN503407</t>
  </si>
  <si>
    <t>TXN503408</t>
  </si>
  <si>
    <t>TXN503409</t>
  </si>
  <si>
    <t>TXN503410</t>
  </si>
  <si>
    <t>TXN503411</t>
  </si>
  <si>
    <t>TXN503412</t>
  </si>
  <si>
    <t>TXN503413</t>
  </si>
  <si>
    <t>TXN503414</t>
  </si>
  <si>
    <t>TXN503415</t>
  </si>
  <si>
    <t>TXN503416</t>
  </si>
  <si>
    <t>TXN503417</t>
  </si>
  <si>
    <t>TXN503418</t>
  </si>
  <si>
    <t>TXN503419</t>
  </si>
  <si>
    <t>TXN503420</t>
  </si>
  <si>
    <t>TXN503421</t>
  </si>
  <si>
    <t>TXN503422</t>
  </si>
  <si>
    <t>TXN503423</t>
  </si>
  <si>
    <t>TXN503424</t>
  </si>
  <si>
    <t>TXN503425</t>
  </si>
  <si>
    <t>TXN503426</t>
  </si>
  <si>
    <t>TXN503427</t>
  </si>
  <si>
    <t>TXN503428</t>
  </si>
  <si>
    <t>TXN503429</t>
  </si>
  <si>
    <t>TXN503430</t>
  </si>
  <si>
    <t>TXN503431</t>
  </si>
  <si>
    <t>TXN503432</t>
  </si>
  <si>
    <t>TXN503433</t>
  </si>
  <si>
    <t>TXN503434</t>
  </si>
  <si>
    <t>TXN503435</t>
  </si>
  <si>
    <t>TXN503436</t>
  </si>
  <si>
    <t>TXN503437</t>
  </si>
  <si>
    <t>TXN503438</t>
  </si>
  <si>
    <t>TXN503439</t>
  </si>
  <si>
    <t>TXN503440</t>
  </si>
  <si>
    <t>TXN503441</t>
  </si>
  <si>
    <t>TXN503442</t>
  </si>
  <si>
    <t>TXN503443</t>
  </si>
  <si>
    <t>TXN503444</t>
  </si>
  <si>
    <t>TXN503445</t>
  </si>
  <si>
    <t>TXN503446</t>
  </si>
  <si>
    <t>TXN503447</t>
  </si>
  <si>
    <t>TXN503448</t>
  </si>
  <si>
    <t>TXN503449</t>
  </si>
  <si>
    <t>TXN503450</t>
  </si>
  <si>
    <t>TXN503451</t>
  </si>
  <si>
    <t>TXN503452</t>
  </si>
  <si>
    <t>TXN503453</t>
  </si>
  <si>
    <t>TXN503454</t>
  </si>
  <si>
    <t>TXN503455</t>
  </si>
  <si>
    <t>TXN503456</t>
  </si>
  <si>
    <t>TXN503457</t>
  </si>
  <si>
    <t>TXN503458</t>
  </si>
  <si>
    <t>TXN503459</t>
  </si>
  <si>
    <t>TXN503460</t>
  </si>
  <si>
    <t>TXN503461</t>
  </si>
  <si>
    <t>TXN503462</t>
  </si>
  <si>
    <t>TXN503463</t>
  </si>
  <si>
    <t>TXN503464</t>
  </si>
  <si>
    <t>TXN503465</t>
  </si>
  <si>
    <t>TXN503466</t>
  </si>
  <si>
    <t>TXN503467</t>
  </si>
  <si>
    <t>TXN503468</t>
  </si>
  <si>
    <t>TXN503469</t>
  </si>
  <si>
    <t>TXN503470</t>
  </si>
  <si>
    <t>TXN503471</t>
  </si>
  <si>
    <t>TXN503472</t>
  </si>
  <si>
    <t>TXN503473</t>
  </si>
  <si>
    <t>TXN503474</t>
  </si>
  <si>
    <t>TXN503475</t>
  </si>
  <si>
    <t>TXN503476</t>
  </si>
  <si>
    <t>TXN503477</t>
  </si>
  <si>
    <t>TXN503478</t>
  </si>
  <si>
    <t>TXN503479</t>
  </si>
  <si>
    <t>TXN503480</t>
  </si>
  <si>
    <t>TXN503481</t>
  </si>
  <si>
    <t>TXN503482</t>
  </si>
  <si>
    <t>TXN503483</t>
  </si>
  <si>
    <t>TXN503484</t>
  </si>
  <si>
    <t>TXN503485</t>
  </si>
  <si>
    <t>TXN503486</t>
  </si>
  <si>
    <t>TXN503487</t>
  </si>
  <si>
    <t>TXN503488</t>
  </si>
  <si>
    <t>TXN503489</t>
  </si>
  <si>
    <t>TXN503490</t>
  </si>
  <si>
    <t>TXN503491</t>
  </si>
  <si>
    <t>TXN503492</t>
  </si>
  <si>
    <t>TXN503493</t>
  </si>
  <si>
    <t>TXN503494</t>
  </si>
  <si>
    <t>TXN503495</t>
  </si>
  <si>
    <t>TXN503496</t>
  </si>
  <si>
    <t>TXN503497</t>
  </si>
  <si>
    <t>TXN503498</t>
  </si>
  <si>
    <t>TXN503499</t>
  </si>
  <si>
    <t>TXN503500</t>
  </si>
  <si>
    <t>TXN503501</t>
  </si>
  <si>
    <t>TXN503502</t>
  </si>
  <si>
    <t>TXN503503</t>
  </si>
  <si>
    <t>TXN503504</t>
  </si>
  <si>
    <t>TXN503505</t>
  </si>
  <si>
    <t>TXN503506</t>
  </si>
  <si>
    <t>TXN503507</t>
  </si>
  <si>
    <t>TXN503508</t>
  </si>
  <si>
    <t>TXN503509</t>
  </si>
  <si>
    <t>TXN503510</t>
  </si>
  <si>
    <t>TXN503511</t>
  </si>
  <si>
    <t>TXN503512</t>
  </si>
  <si>
    <t>TXN503513</t>
  </si>
  <si>
    <t>TXN503514</t>
  </si>
  <si>
    <t>TXN503515</t>
  </si>
  <si>
    <t>TXN503516</t>
  </si>
  <si>
    <t>TXN503517</t>
  </si>
  <si>
    <t>TXN503518</t>
  </si>
  <si>
    <t>TXN503519</t>
  </si>
  <si>
    <t>TXN503520</t>
  </si>
  <si>
    <t>TXN503521</t>
  </si>
  <si>
    <t>TXN503522</t>
  </si>
  <si>
    <t>TXN503523</t>
  </si>
  <si>
    <t>TXN503524</t>
  </si>
  <si>
    <t>TXN503525</t>
  </si>
  <si>
    <t>TXN503526</t>
  </si>
  <si>
    <t>TXN503527</t>
  </si>
  <si>
    <t>TXN503528</t>
  </si>
  <si>
    <t>TXN503529</t>
  </si>
  <si>
    <t>TXN503530</t>
  </si>
  <si>
    <t>TXN503531</t>
  </si>
  <si>
    <t>TXN503532</t>
  </si>
  <si>
    <t>TXN503533</t>
  </si>
  <si>
    <t>TXN503534</t>
  </si>
  <si>
    <t>TXN503535</t>
  </si>
  <si>
    <t>TXN503536</t>
  </si>
  <si>
    <t>TXN503537</t>
  </si>
  <si>
    <t>TXN503538</t>
  </si>
  <si>
    <t>TXN503539</t>
  </si>
  <si>
    <t>TXN503540</t>
  </si>
  <si>
    <t>TXN503541</t>
  </si>
  <si>
    <t>TXN503542</t>
  </si>
  <si>
    <t>TXN503543</t>
  </si>
  <si>
    <t>TXN503544</t>
  </si>
  <si>
    <t>TXN503545</t>
  </si>
  <si>
    <t>TXN503546</t>
  </si>
  <si>
    <t>TXN503547</t>
  </si>
  <si>
    <t>TXN503548</t>
  </si>
  <si>
    <t>TXN503549</t>
  </si>
  <si>
    <t>TXN503550</t>
  </si>
  <si>
    <t>TXN503551</t>
  </si>
  <si>
    <t>TXN503552</t>
  </si>
  <si>
    <t>TXN503553</t>
  </si>
  <si>
    <t>TXN503554</t>
  </si>
  <si>
    <t>TXN503555</t>
  </si>
  <si>
    <t>TXN503556</t>
  </si>
  <si>
    <t>TXN503557</t>
  </si>
  <si>
    <t>TXN503558</t>
  </si>
  <si>
    <t>TXN503559</t>
  </si>
  <si>
    <t>TXN503560</t>
  </si>
  <si>
    <t>TXN503561</t>
  </si>
  <si>
    <t>TXN503562</t>
  </si>
  <si>
    <t>TXN503563</t>
  </si>
  <si>
    <t>TXN503564</t>
  </si>
  <si>
    <t>TXN503565</t>
  </si>
  <si>
    <t>TXN503566</t>
  </si>
  <si>
    <t>TXN503567</t>
  </si>
  <si>
    <t>TXN503568</t>
  </si>
  <si>
    <t>TXN503569</t>
  </si>
  <si>
    <t>TXN503570</t>
  </si>
  <si>
    <t>TXN503571</t>
  </si>
  <si>
    <t>TXN503572</t>
  </si>
  <si>
    <t>TXN503573</t>
  </si>
  <si>
    <t>TXN503574</t>
  </si>
  <si>
    <t>TXN503575</t>
  </si>
  <si>
    <t>TXN503576</t>
  </si>
  <si>
    <t>TXN503577</t>
  </si>
  <si>
    <t>TXN503578</t>
  </si>
  <si>
    <t>TXN503579</t>
  </si>
  <si>
    <t>TXN503580</t>
  </si>
  <si>
    <t>TXN503581</t>
  </si>
  <si>
    <t>TXN503582</t>
  </si>
  <si>
    <t>TXN503583</t>
  </si>
  <si>
    <t>TXN503584</t>
  </si>
  <si>
    <t>TXN503585</t>
  </si>
  <si>
    <t>TXN503586</t>
  </si>
  <si>
    <t>TXN503587</t>
  </si>
  <si>
    <t>TXN503588</t>
  </si>
  <si>
    <t>TXN503589</t>
  </si>
  <si>
    <t>TXN503590</t>
  </si>
  <si>
    <t>TXN503591</t>
  </si>
  <si>
    <t>TXN503592</t>
  </si>
  <si>
    <t>TXN503593</t>
  </si>
  <si>
    <t>TXN503594</t>
  </si>
  <si>
    <t>TXN503595</t>
  </si>
  <si>
    <t>TXN503596</t>
  </si>
  <si>
    <t>TXN503597</t>
  </si>
  <si>
    <t>TXN503598</t>
  </si>
  <si>
    <t>TXN503599</t>
  </si>
  <si>
    <t>TXN503600</t>
  </si>
  <si>
    <t>TXN503601</t>
  </si>
  <si>
    <t>TXN503602</t>
  </si>
  <si>
    <t>TXN503603</t>
  </si>
  <si>
    <t>TXN503604</t>
  </si>
  <si>
    <t>TXN503605</t>
  </si>
  <si>
    <t>TXN503606</t>
  </si>
  <si>
    <t>TXN503607</t>
  </si>
  <si>
    <t>TXN503608</t>
  </si>
  <si>
    <t>TXN503609</t>
  </si>
  <si>
    <t>TXN503610</t>
  </si>
  <si>
    <t>TXN503611</t>
  </si>
  <si>
    <t>TXN503612</t>
  </si>
  <si>
    <t>TXN503613</t>
  </si>
  <si>
    <t>TXN503614</t>
  </si>
  <si>
    <t>TXN503615</t>
  </si>
  <si>
    <t>TXN503616</t>
  </si>
  <si>
    <t>TXN503617</t>
  </si>
  <si>
    <t>TXN503618</t>
  </si>
  <si>
    <t>TXN503619</t>
  </si>
  <si>
    <t>TXN503620</t>
  </si>
  <si>
    <t>TXN503621</t>
  </si>
  <si>
    <t>TXN503622</t>
  </si>
  <si>
    <t>TXN503623</t>
  </si>
  <si>
    <t>TXN503624</t>
  </si>
  <si>
    <t>TXN503625</t>
  </si>
  <si>
    <t>TXN503626</t>
  </si>
  <si>
    <t>TXN503627</t>
  </si>
  <si>
    <t>TXN503628</t>
  </si>
  <si>
    <t>TXN503629</t>
  </si>
  <si>
    <t>TXN503630</t>
  </si>
  <si>
    <t>TXN503631</t>
  </si>
  <si>
    <t>TXN503632</t>
  </si>
  <si>
    <t>TXN503633</t>
  </si>
  <si>
    <t>TXN503634</t>
  </si>
  <si>
    <t>TXN503635</t>
  </si>
  <si>
    <t>TXN503636</t>
  </si>
  <si>
    <t>TXN503637</t>
  </si>
  <si>
    <t>TXN503638</t>
  </si>
  <si>
    <t>TXN503639</t>
  </si>
  <si>
    <t>TXN503640</t>
  </si>
  <si>
    <t>TXN503641</t>
  </si>
  <si>
    <t>TXN503642</t>
  </si>
  <si>
    <t>TXN503643</t>
  </si>
  <si>
    <t>TXN503644</t>
  </si>
  <si>
    <t>TXN503645</t>
  </si>
  <si>
    <t>TXN503646</t>
  </si>
  <si>
    <t>TXN503647</t>
  </si>
  <si>
    <t>TXN503648</t>
  </si>
  <si>
    <t>TXN503649</t>
  </si>
  <si>
    <t>TXN503650</t>
  </si>
  <si>
    <t>TXN503651</t>
  </si>
  <si>
    <t>TXN503652</t>
  </si>
  <si>
    <t>TXN503653</t>
  </si>
  <si>
    <t>TXN503654</t>
  </si>
  <si>
    <t>TXN503655</t>
  </si>
  <si>
    <t>TXN503656</t>
  </si>
  <si>
    <t>TXN503657</t>
  </si>
  <si>
    <t>TXN503658</t>
  </si>
  <si>
    <t>TXN503659</t>
  </si>
  <si>
    <t>TXN503660</t>
  </si>
  <si>
    <t>TXN503661</t>
  </si>
  <si>
    <t>TXN503662</t>
  </si>
  <si>
    <t>TXN503663</t>
  </si>
  <si>
    <t>TXN503664</t>
  </si>
  <si>
    <t>TXN503665</t>
  </si>
  <si>
    <t>TXN503666</t>
  </si>
  <si>
    <t>TXN503667</t>
  </si>
  <si>
    <t>TXN503668</t>
  </si>
  <si>
    <t>TXN503669</t>
  </si>
  <si>
    <t>TXN503670</t>
  </si>
  <si>
    <t>TXN503671</t>
  </si>
  <si>
    <t>TXN503672</t>
  </si>
  <si>
    <t>TXN503673</t>
  </si>
  <si>
    <t>TXN503674</t>
  </si>
  <si>
    <t>TXN503675</t>
  </si>
  <si>
    <t>TXN503676</t>
  </si>
  <si>
    <t>TXN503677</t>
  </si>
  <si>
    <t>TXN503678</t>
  </si>
  <si>
    <t>TXN503679</t>
  </si>
  <si>
    <t>TXN503680</t>
  </si>
  <si>
    <t>TXN503681</t>
  </si>
  <si>
    <t>TXN503682</t>
  </si>
  <si>
    <t>TXN503683</t>
  </si>
  <si>
    <t>TXN503684</t>
  </si>
  <si>
    <t>TXN503685</t>
  </si>
  <si>
    <t>TXN503686</t>
  </si>
  <si>
    <t>TXN503687</t>
  </si>
  <si>
    <t>TXN503688</t>
  </si>
  <si>
    <t>TXN503689</t>
  </si>
  <si>
    <t>TXN503690</t>
  </si>
  <si>
    <t>TXN503691</t>
  </si>
  <si>
    <t>TXN503692</t>
  </si>
  <si>
    <t>TXN503693</t>
  </si>
  <si>
    <t>TXN503694</t>
  </si>
  <si>
    <t>TXN503695</t>
  </si>
  <si>
    <t>TXN503696</t>
  </si>
  <si>
    <t>TXN503697</t>
  </si>
  <si>
    <t>TXN503698</t>
  </si>
  <si>
    <t>TXN503699</t>
  </si>
  <si>
    <t>TXN503700</t>
  </si>
  <si>
    <t>TXN503701</t>
  </si>
  <si>
    <t>TXN503702</t>
  </si>
  <si>
    <t>TXN503703</t>
  </si>
  <si>
    <t>TXN503704</t>
  </si>
  <si>
    <t>TXN503705</t>
  </si>
  <si>
    <t>TXN503706</t>
  </si>
  <si>
    <t>TXN503707</t>
  </si>
  <si>
    <t>TXN503708</t>
  </si>
  <si>
    <t>TXN503709</t>
  </si>
  <si>
    <t>TXN503710</t>
  </si>
  <si>
    <t>TXN503711</t>
  </si>
  <si>
    <t>TXN503712</t>
  </si>
  <si>
    <t>TXN503713</t>
  </si>
  <si>
    <t>TXN503714</t>
  </si>
  <si>
    <t>TXN503715</t>
  </si>
  <si>
    <t>TXN503716</t>
  </si>
  <si>
    <t>TXN503717</t>
  </si>
  <si>
    <t>TXN503718</t>
  </si>
  <si>
    <t>TXN503719</t>
  </si>
  <si>
    <t>TXN503720</t>
  </si>
  <si>
    <t>TXN503721</t>
  </si>
  <si>
    <t>TXN503722</t>
  </si>
  <si>
    <t>TXN503723</t>
  </si>
  <si>
    <t>TXN503724</t>
  </si>
  <si>
    <t>TXN503725</t>
  </si>
  <si>
    <t>TXN503726</t>
  </si>
  <si>
    <t>TXN503727</t>
  </si>
  <si>
    <t>TXN503728</t>
  </si>
  <si>
    <t>TXN503729</t>
  </si>
  <si>
    <t>TXN503730</t>
  </si>
  <si>
    <t>TXN503731</t>
  </si>
  <si>
    <t>TXN503732</t>
  </si>
  <si>
    <t>TXN503733</t>
  </si>
  <si>
    <t>TXN503734</t>
  </si>
  <si>
    <t>TXN503735</t>
  </si>
  <si>
    <t>TXN503736</t>
  </si>
  <si>
    <t>TXN503737</t>
  </si>
  <si>
    <t>TXN503738</t>
  </si>
  <si>
    <t>TXN503739</t>
  </si>
  <si>
    <t>TXN503740</t>
  </si>
  <si>
    <t>TXN503741</t>
  </si>
  <si>
    <t>TXN503742</t>
  </si>
  <si>
    <t>TXN503743</t>
  </si>
  <si>
    <t>TXN503744</t>
  </si>
  <si>
    <t>TXN503745</t>
  </si>
  <si>
    <t>TXN503746</t>
  </si>
  <si>
    <t>TXN503747</t>
  </si>
  <si>
    <t>TXN503748</t>
  </si>
  <si>
    <t>TXN503749</t>
  </si>
  <si>
    <t>TXN503750</t>
  </si>
  <si>
    <t>TXN503751</t>
  </si>
  <si>
    <t>TXN503752</t>
  </si>
  <si>
    <t>TXN503753</t>
  </si>
  <si>
    <t>TXN503754</t>
  </si>
  <si>
    <t>TXN503755</t>
  </si>
  <si>
    <t>TXN503756</t>
  </si>
  <si>
    <t>TXN503757</t>
  </si>
  <si>
    <t>TXN503758</t>
  </si>
  <si>
    <t>TXN503759</t>
  </si>
  <si>
    <t>TXN503760</t>
  </si>
  <si>
    <t>TXN503761</t>
  </si>
  <si>
    <t>TXN503762</t>
  </si>
  <si>
    <t>TXN503763</t>
  </si>
  <si>
    <t>TXN503764</t>
  </si>
  <si>
    <t>TXN503765</t>
  </si>
  <si>
    <t>TXN503766</t>
  </si>
  <si>
    <t>TXN503767</t>
  </si>
  <si>
    <t>TXN503768</t>
  </si>
  <si>
    <t>TXN503769</t>
  </si>
  <si>
    <t>TXN503770</t>
  </si>
  <si>
    <t>TXN503771</t>
  </si>
  <si>
    <t>TXN503772</t>
  </si>
  <si>
    <t>TXN503773</t>
  </si>
  <si>
    <t>TXN503774</t>
  </si>
  <si>
    <t>TXN503775</t>
  </si>
  <si>
    <t>TXN503776</t>
  </si>
  <si>
    <t>TXN503777</t>
  </si>
  <si>
    <t>TXN503778</t>
  </si>
  <si>
    <t>TXN503779</t>
  </si>
  <si>
    <t>TXN503780</t>
  </si>
  <si>
    <t>TXN503781</t>
  </si>
  <si>
    <t>TXN503782</t>
  </si>
  <si>
    <t>TXN503783</t>
  </si>
  <si>
    <t>TXN503784</t>
  </si>
  <si>
    <t>TXN503785</t>
  </si>
  <si>
    <t>TXN503786</t>
  </si>
  <si>
    <t>TXN503787</t>
  </si>
  <si>
    <t>TXN503788</t>
  </si>
  <si>
    <t>TXN503789</t>
  </si>
  <si>
    <t>TXN503790</t>
  </si>
  <si>
    <t>TXN503791</t>
  </si>
  <si>
    <t>TXN503792</t>
  </si>
  <si>
    <t>TXN503793</t>
  </si>
  <si>
    <t>TXN503794</t>
  </si>
  <si>
    <t>TXN503795</t>
  </si>
  <si>
    <t>TXN503796</t>
  </si>
  <si>
    <t>TXN503797</t>
  </si>
  <si>
    <t>TXN503798</t>
  </si>
  <si>
    <t>TXN503799</t>
  </si>
  <si>
    <t>TXN503800</t>
  </si>
  <si>
    <t>TXN503801</t>
  </si>
  <si>
    <t>TXN503802</t>
  </si>
  <si>
    <t>TXN503803</t>
  </si>
  <si>
    <t>TXN503804</t>
  </si>
  <si>
    <t>TXN503805</t>
  </si>
  <si>
    <t>TXN503806</t>
  </si>
  <si>
    <t>TXN503807</t>
  </si>
  <si>
    <t>TXN503808</t>
  </si>
  <si>
    <t>TXN503809</t>
  </si>
  <si>
    <t>TXN503810</t>
  </si>
  <si>
    <t>TXN503811</t>
  </si>
  <si>
    <t>TXN503812</t>
  </si>
  <si>
    <t>TXN503813</t>
  </si>
  <si>
    <t>TXN503814</t>
  </si>
  <si>
    <t>TXN503815</t>
  </si>
  <si>
    <t>TXN503816</t>
  </si>
  <si>
    <t>TXN503817</t>
  </si>
  <si>
    <t>TXN503818</t>
  </si>
  <si>
    <t>TXN503819</t>
  </si>
  <si>
    <t>TXN503820</t>
  </si>
  <si>
    <t>TXN503821</t>
  </si>
  <si>
    <t>TXN503822</t>
  </si>
  <si>
    <t>TXN503823</t>
  </si>
  <si>
    <t>TXN503824</t>
  </si>
  <si>
    <t>TXN503825</t>
  </si>
  <si>
    <t>TXN503826</t>
  </si>
  <si>
    <t>TXN503827</t>
  </si>
  <si>
    <t>TXN503828</t>
  </si>
  <si>
    <t>TXN503829</t>
  </si>
  <si>
    <t>TXN503830</t>
  </si>
  <si>
    <t>TXN503831</t>
  </si>
  <si>
    <t>TXN503832</t>
  </si>
  <si>
    <t>TXN503833</t>
  </si>
  <si>
    <t>TXN503834</t>
  </si>
  <si>
    <t>TXN503835</t>
  </si>
  <si>
    <t>TXN503836</t>
  </si>
  <si>
    <t>TXN503837</t>
  </si>
  <si>
    <t>TXN503838</t>
  </si>
  <si>
    <t>TXN503839</t>
  </si>
  <si>
    <t>TXN503840</t>
  </si>
  <si>
    <t>TXN503841</t>
  </si>
  <si>
    <t>TXN503842</t>
  </si>
  <si>
    <t>TXN503843</t>
  </si>
  <si>
    <t>TXN503844</t>
  </si>
  <si>
    <t>TXN503845</t>
  </si>
  <si>
    <t>TXN503846</t>
  </si>
  <si>
    <t>TXN503847</t>
  </si>
  <si>
    <t>TXN503848</t>
  </si>
  <si>
    <t>TXN503849</t>
  </si>
  <si>
    <t>TXN503850</t>
  </si>
  <si>
    <t>TXN503851</t>
  </si>
  <si>
    <t>TXN503852</t>
  </si>
  <si>
    <t>TXN503853</t>
  </si>
  <si>
    <t>TXN503854</t>
  </si>
  <si>
    <t>TXN503855</t>
  </si>
  <si>
    <t>TXN503856</t>
  </si>
  <si>
    <t>TXN503857</t>
  </si>
  <si>
    <t>TXN503858</t>
  </si>
  <si>
    <t>TXN503859</t>
  </si>
  <si>
    <t>TXN503860</t>
  </si>
  <si>
    <t>TXN503861</t>
  </si>
  <si>
    <t>TXN503862</t>
  </si>
  <si>
    <t>TXN503863</t>
  </si>
  <si>
    <t>TXN503864</t>
  </si>
  <si>
    <t>TXN503865</t>
  </si>
  <si>
    <t>TXN503866</t>
  </si>
  <si>
    <t>TXN503867</t>
  </si>
  <si>
    <t>TXN503868</t>
  </si>
  <si>
    <t>TXN503869</t>
  </si>
  <si>
    <t>TXN503870</t>
  </si>
  <si>
    <t>TXN503871</t>
  </si>
  <si>
    <t>TXN503872</t>
  </si>
  <si>
    <t>TXN503873</t>
  </si>
  <si>
    <t>TXN503874</t>
  </si>
  <si>
    <t>TXN503875</t>
  </si>
  <si>
    <t>TXN503876</t>
  </si>
  <si>
    <t>TXN503877</t>
  </si>
  <si>
    <t>TXN503878</t>
  </si>
  <si>
    <t>TXN503879</t>
  </si>
  <si>
    <t>TXN503880</t>
  </si>
  <si>
    <t>TXN503881</t>
  </si>
  <si>
    <t>TXN503882</t>
  </si>
  <si>
    <t>TXN503883</t>
  </si>
  <si>
    <t>TXN503884</t>
  </si>
  <si>
    <t>TXN503885</t>
  </si>
  <si>
    <t>TXN503886</t>
  </si>
  <si>
    <t>TXN503887</t>
  </si>
  <si>
    <t>TXN503888</t>
  </si>
  <si>
    <t>TXN503889</t>
  </si>
  <si>
    <t>TXN503890</t>
  </si>
  <si>
    <t>TXN503891</t>
  </si>
  <si>
    <t>TXN503892</t>
  </si>
  <si>
    <t>TXN503893</t>
  </si>
  <si>
    <t>TXN503894</t>
  </si>
  <si>
    <t>TXN503895</t>
  </si>
  <si>
    <t>TXN503896</t>
  </si>
  <si>
    <t>TXN503897</t>
  </si>
  <si>
    <t>TXN503898</t>
  </si>
  <si>
    <t>TXN503899</t>
  </si>
  <si>
    <t>TXN503900</t>
  </si>
  <si>
    <t>TXN503901</t>
  </si>
  <si>
    <t>TXN503902</t>
  </si>
  <si>
    <t>TXN503903</t>
  </si>
  <si>
    <t>TXN503904</t>
  </si>
  <si>
    <t>TXN503905</t>
  </si>
  <si>
    <t>TXN503906</t>
  </si>
  <si>
    <t>TXN503907</t>
  </si>
  <si>
    <t>TXN503908</t>
  </si>
  <si>
    <t>TXN503909</t>
  </si>
  <si>
    <t>TXN503910</t>
  </si>
  <si>
    <t>TXN503911</t>
  </si>
  <si>
    <t>TXN503912</t>
  </si>
  <si>
    <t>TXN503913</t>
  </si>
  <si>
    <t>TXN503914</t>
  </si>
  <si>
    <t>TXN503915</t>
  </si>
  <si>
    <t>TXN503916</t>
  </si>
  <si>
    <t>TXN503917</t>
  </si>
  <si>
    <t>TXN503918</t>
  </si>
  <si>
    <t>TXN503919</t>
  </si>
  <si>
    <t>TXN503920</t>
  </si>
  <si>
    <t>TXN503921</t>
  </si>
  <si>
    <t>TXN503922</t>
  </si>
  <si>
    <t>TXN503923</t>
  </si>
  <si>
    <t>TXN503924</t>
  </si>
  <si>
    <t>TXN503925</t>
  </si>
  <si>
    <t>TXN503926</t>
  </si>
  <si>
    <t>TXN503927</t>
  </si>
  <si>
    <t>TXN503928</t>
  </si>
  <si>
    <t>TXN503929</t>
  </si>
  <si>
    <t>TXN503930</t>
  </si>
  <si>
    <t>TXN503931</t>
  </si>
  <si>
    <t>TXN503932</t>
  </si>
  <si>
    <t>TXN503933</t>
  </si>
  <si>
    <t>TXN503934</t>
  </si>
  <si>
    <t>TXN503935</t>
  </si>
  <si>
    <t>TXN503936</t>
  </si>
  <si>
    <t>TXN503937</t>
  </si>
  <si>
    <t>TXN503938</t>
  </si>
  <si>
    <t>TXN503939</t>
  </si>
  <si>
    <t>TXN503940</t>
  </si>
  <si>
    <t>TXN503941</t>
  </si>
  <si>
    <t>TXN503942</t>
  </si>
  <si>
    <t>TXN503943</t>
  </si>
  <si>
    <t>TXN503944</t>
  </si>
  <si>
    <t>TXN503945</t>
  </si>
  <si>
    <t>TXN503946</t>
  </si>
  <si>
    <t>TXN503947</t>
  </si>
  <si>
    <t>TXN503948</t>
  </si>
  <si>
    <t>TXN503949</t>
  </si>
  <si>
    <t>TXN503950</t>
  </si>
  <si>
    <t>TXN503951</t>
  </si>
  <si>
    <t>TXN503952</t>
  </si>
  <si>
    <t>TXN503953</t>
  </si>
  <si>
    <t>TXN503954</t>
  </si>
  <si>
    <t>TXN503955</t>
  </si>
  <si>
    <t>TXN503956</t>
  </si>
  <si>
    <t>TXN503957</t>
  </si>
  <si>
    <t>TXN503958</t>
  </si>
  <si>
    <t>TXN503959</t>
  </si>
  <si>
    <t>TXN503960</t>
  </si>
  <si>
    <t>TXN503961</t>
  </si>
  <si>
    <t>TXN503962</t>
  </si>
  <si>
    <t>TXN503963</t>
  </si>
  <si>
    <t>TXN503964</t>
  </si>
  <si>
    <t>TXN503965</t>
  </si>
  <si>
    <t>TXN503966</t>
  </si>
  <si>
    <t>TXN503967</t>
  </si>
  <si>
    <t>TXN503968</t>
  </si>
  <si>
    <t>TXN503969</t>
  </si>
  <si>
    <t>TXN503970</t>
  </si>
  <si>
    <t>TXN503971</t>
  </si>
  <si>
    <t>TXN503972</t>
  </si>
  <si>
    <t>TXN503973</t>
  </si>
  <si>
    <t>TXN503974</t>
  </si>
  <si>
    <t>TXN503975</t>
  </si>
  <si>
    <t>TXN503976</t>
  </si>
  <si>
    <t>TXN503977</t>
  </si>
  <si>
    <t>TXN503978</t>
  </si>
  <si>
    <t>TXN503979</t>
  </si>
  <si>
    <t>TXN503980</t>
  </si>
  <si>
    <t>TXN503981</t>
  </si>
  <si>
    <t>TXN503982</t>
  </si>
  <si>
    <t>TXN503983</t>
  </si>
  <si>
    <t>TXN503984</t>
  </si>
  <si>
    <t>TXN503985</t>
  </si>
  <si>
    <t>TXN503986</t>
  </si>
  <si>
    <t>TXN503987</t>
  </si>
  <si>
    <t>TXN503988</t>
  </si>
  <si>
    <t>TXN503989</t>
  </si>
  <si>
    <t>TXN503990</t>
  </si>
  <si>
    <t>TXN503991</t>
  </si>
  <si>
    <t>TXN503992</t>
  </si>
  <si>
    <t>TXN503993</t>
  </si>
  <si>
    <t>TXN503994</t>
  </si>
  <si>
    <t>TXN503995</t>
  </si>
  <si>
    <t>TXN503996</t>
  </si>
  <si>
    <t>TXN503997</t>
  </si>
  <si>
    <t>TXN503998</t>
  </si>
  <si>
    <t>TXN503999</t>
  </si>
  <si>
    <t>TXN504000</t>
  </si>
  <si>
    <t>TXN504001</t>
  </si>
  <si>
    <t>TXN504002</t>
  </si>
  <si>
    <t>TXN504003</t>
  </si>
  <si>
    <t>TXN504004</t>
  </si>
  <si>
    <t>TXN504005</t>
  </si>
  <si>
    <t>TXN504006</t>
  </si>
  <si>
    <t>TXN504007</t>
  </si>
  <si>
    <t>TXN504008</t>
  </si>
  <si>
    <t>TXN504009</t>
  </si>
  <si>
    <t>TXN504010</t>
  </si>
  <si>
    <t>TXN504011</t>
  </si>
  <si>
    <t>TXN504012</t>
  </si>
  <si>
    <t>TXN504013</t>
  </si>
  <si>
    <t>TXN504014</t>
  </si>
  <si>
    <t>TXN504015</t>
  </si>
  <si>
    <t>TXN504016</t>
  </si>
  <si>
    <t>TXN504017</t>
  </si>
  <si>
    <t>TXN504018</t>
  </si>
  <si>
    <t>TXN504019</t>
  </si>
  <si>
    <t>TXN504020</t>
  </si>
  <si>
    <t>TXN504021</t>
  </si>
  <si>
    <t>TXN504022</t>
  </si>
  <si>
    <t>TXN504023</t>
  </si>
  <si>
    <t>TXN504024</t>
  </si>
  <si>
    <t>TXN504025</t>
  </si>
  <si>
    <t>TXN504026</t>
  </si>
  <si>
    <t>TXN504027</t>
  </si>
  <si>
    <t>TXN504028</t>
  </si>
  <si>
    <t>TXN504029</t>
  </si>
  <si>
    <t>TXN504030</t>
  </si>
  <si>
    <t>TXN504031</t>
  </si>
  <si>
    <t>TXN504032</t>
  </si>
  <si>
    <t>TXN504033</t>
  </si>
  <si>
    <t>TXN504034</t>
  </si>
  <si>
    <t>TXN504035</t>
  </si>
  <si>
    <t>TXN504036</t>
  </si>
  <si>
    <t>TXN504037</t>
  </si>
  <si>
    <t>TXN504038</t>
  </si>
  <si>
    <t>TXN504039</t>
  </si>
  <si>
    <t>TXN504040</t>
  </si>
  <si>
    <t>TXN504041</t>
  </si>
  <si>
    <t>TXN504042</t>
  </si>
  <si>
    <t>TXN504043</t>
  </si>
  <si>
    <t>TXN504044</t>
  </si>
  <si>
    <t>TXN504045</t>
  </si>
  <si>
    <t>TXN504046</t>
  </si>
  <si>
    <t>TXN504047</t>
  </si>
  <si>
    <t>TXN504048</t>
  </si>
  <si>
    <t>TXN504049</t>
  </si>
  <si>
    <t>TXN504050</t>
  </si>
  <si>
    <t>TXN504051</t>
  </si>
  <si>
    <t>TXN504052</t>
  </si>
  <si>
    <t>TXN504053</t>
  </si>
  <si>
    <t>TXN504054</t>
  </si>
  <si>
    <t>TXN504055</t>
  </si>
  <si>
    <t>TXN504056</t>
  </si>
  <si>
    <t>TXN504057</t>
  </si>
  <si>
    <t>TXN504058</t>
  </si>
  <si>
    <t>TXN504059</t>
  </si>
  <si>
    <t>TXN504060</t>
  </si>
  <si>
    <t>TXN504061</t>
  </si>
  <si>
    <t>TXN504062</t>
  </si>
  <si>
    <t>TXN504063</t>
  </si>
  <si>
    <t>TXN504064</t>
  </si>
  <si>
    <t>TXN504065</t>
  </si>
  <si>
    <t>TXN504066</t>
  </si>
  <si>
    <t>TXN504067</t>
  </si>
  <si>
    <t>TXN504068</t>
  </si>
  <si>
    <t>TXN504069</t>
  </si>
  <si>
    <t>TXN504070</t>
  </si>
  <si>
    <t>TXN504071</t>
  </si>
  <si>
    <t>TXN504072</t>
  </si>
  <si>
    <t>TXN504073</t>
  </si>
  <si>
    <t>TXN504074</t>
  </si>
  <si>
    <t>TXN504075</t>
  </si>
  <si>
    <t>TXN504076</t>
  </si>
  <si>
    <t>TXN504077</t>
  </si>
  <si>
    <t>TXN504078</t>
  </si>
  <si>
    <t>TXN504079</t>
  </si>
  <si>
    <t>TXN504080</t>
  </si>
  <si>
    <t>TXN504081</t>
  </si>
  <si>
    <t>TXN504082</t>
  </si>
  <si>
    <t>TXN504083</t>
  </si>
  <si>
    <t>TXN504084</t>
  </si>
  <si>
    <t>TXN504085</t>
  </si>
  <si>
    <t>TXN504086</t>
  </si>
  <si>
    <t>TXN504087</t>
  </si>
  <si>
    <t>TXN504088</t>
  </si>
  <si>
    <t>TXN504089</t>
  </si>
  <si>
    <t>TXN504090</t>
  </si>
  <si>
    <t>TXN504091</t>
  </si>
  <si>
    <t>TXN504092</t>
  </si>
  <si>
    <t>TXN504093</t>
  </si>
  <si>
    <t>TXN504094</t>
  </si>
  <si>
    <t>TXN504095</t>
  </si>
  <si>
    <t>TXN504096</t>
  </si>
  <si>
    <t>TXN504097</t>
  </si>
  <si>
    <t>TXN504098</t>
  </si>
  <si>
    <t>TXN504099</t>
  </si>
  <si>
    <t>TXN504100</t>
  </si>
  <si>
    <t>TXN504101</t>
  </si>
  <si>
    <t>TXN504102</t>
  </si>
  <si>
    <t>TXN504103</t>
  </si>
  <si>
    <t>TXN504104</t>
  </si>
  <si>
    <t>TXN504105</t>
  </si>
  <si>
    <t>TXN504106</t>
  </si>
  <si>
    <t>TXN504107</t>
  </si>
  <si>
    <t>TXN504108</t>
  </si>
  <si>
    <t>TXN504109</t>
  </si>
  <si>
    <t>TXN504110</t>
  </si>
  <si>
    <t>TXN504111</t>
  </si>
  <si>
    <t>TXN504112</t>
  </si>
  <si>
    <t>TXN504113</t>
  </si>
  <si>
    <t>TXN504114</t>
  </si>
  <si>
    <t>TXN504115</t>
  </si>
  <si>
    <t>TXN504116</t>
  </si>
  <si>
    <t>TXN504117</t>
  </si>
  <si>
    <t>TXN504118</t>
  </si>
  <si>
    <t>TXN504119</t>
  </si>
  <si>
    <t>TXN504120</t>
  </si>
  <si>
    <t>TXN504121</t>
  </si>
  <si>
    <t>TXN504122</t>
  </si>
  <si>
    <t>TXN504123</t>
  </si>
  <si>
    <t>TXN504124</t>
  </si>
  <si>
    <t>TXN504125</t>
  </si>
  <si>
    <t>TXN504126</t>
  </si>
  <si>
    <t>TXN504127</t>
  </si>
  <si>
    <t>TXN504128</t>
  </si>
  <si>
    <t>TXN504129</t>
  </si>
  <si>
    <t>TXN504130</t>
  </si>
  <si>
    <t>TXN504131</t>
  </si>
  <si>
    <t>TXN504132</t>
  </si>
  <si>
    <t>TXN504133</t>
  </si>
  <si>
    <t>TXN504134</t>
  </si>
  <si>
    <t>TXN504135</t>
  </si>
  <si>
    <t>TXN504136</t>
  </si>
  <si>
    <t>TXN504137</t>
  </si>
  <si>
    <t>TXN504138</t>
  </si>
  <si>
    <t>TXN504139</t>
  </si>
  <si>
    <t>TXN504140</t>
  </si>
  <si>
    <t>TXN504141</t>
  </si>
  <si>
    <t>TXN504142</t>
  </si>
  <si>
    <t>TXN504143</t>
  </si>
  <si>
    <t>TXN504144</t>
  </si>
  <si>
    <t>TXN504145</t>
  </si>
  <si>
    <t>TXN504146</t>
  </si>
  <si>
    <t>TXN504147</t>
  </si>
  <si>
    <t>TXN504148</t>
  </si>
  <si>
    <t>TXN504149</t>
  </si>
  <si>
    <t>TXN504150</t>
  </si>
  <si>
    <t>TXN504151</t>
  </si>
  <si>
    <t>TXN504152</t>
  </si>
  <si>
    <t>TXN504153</t>
  </si>
  <si>
    <t>TXN504154</t>
  </si>
  <si>
    <t>TXN504155</t>
  </si>
  <si>
    <t>TXN504156</t>
  </si>
  <si>
    <t>TXN504157</t>
  </si>
  <si>
    <t>TXN504158</t>
  </si>
  <si>
    <t>TXN504159</t>
  </si>
  <si>
    <t>TXN504160</t>
  </si>
  <si>
    <t>TXN504161</t>
  </si>
  <si>
    <t>TXN504162</t>
  </si>
  <si>
    <t>TXN504163</t>
  </si>
  <si>
    <t>TXN504164</t>
  </si>
  <si>
    <t>TXN504165</t>
  </si>
  <si>
    <t>TXN504166</t>
  </si>
  <si>
    <t>TXN504167</t>
  </si>
  <si>
    <t>TXN504168</t>
  </si>
  <si>
    <t>TXN504169</t>
  </si>
  <si>
    <t>TXN504170</t>
  </si>
  <si>
    <t>TXN504171</t>
  </si>
  <si>
    <t>TXN504172</t>
  </si>
  <si>
    <t>TXN504173</t>
  </si>
  <si>
    <t>TXN504174</t>
  </si>
  <si>
    <t>TXN504175</t>
  </si>
  <si>
    <t>TXN504176</t>
  </si>
  <si>
    <t>TXN504177</t>
  </si>
  <si>
    <t>TXN504178</t>
  </si>
  <si>
    <t>TXN504179</t>
  </si>
  <si>
    <t>TXN504180</t>
  </si>
  <si>
    <t>TXN504181</t>
  </si>
  <si>
    <t>TXN504182</t>
  </si>
  <si>
    <t>TXN504183</t>
  </si>
  <si>
    <t>TXN504184</t>
  </si>
  <si>
    <t>TXN504185</t>
  </si>
  <si>
    <t>TXN504186</t>
  </si>
  <si>
    <t>TXN504187</t>
  </si>
  <si>
    <t>TXN504188</t>
  </si>
  <si>
    <t>TXN504189</t>
  </si>
  <si>
    <t>TXN504190</t>
  </si>
  <si>
    <t>TXN504191</t>
  </si>
  <si>
    <t>TXN504192</t>
  </si>
  <si>
    <t>TXN504193</t>
  </si>
  <si>
    <t>TXN504194</t>
  </si>
  <si>
    <t>TXN504195</t>
  </si>
  <si>
    <t>TXN504196</t>
  </si>
  <si>
    <t>TXN504197</t>
  </si>
  <si>
    <t>TXN504198</t>
  </si>
  <si>
    <t>TXN504199</t>
  </si>
  <si>
    <t>TXN504200</t>
  </si>
  <si>
    <t>TXN504201</t>
  </si>
  <si>
    <t>TXN504202</t>
  </si>
  <si>
    <t>TXN504203</t>
  </si>
  <si>
    <t>TXN504204</t>
  </si>
  <si>
    <t>TXN504205</t>
  </si>
  <si>
    <t>TXN504206</t>
  </si>
  <si>
    <t>TXN504207</t>
  </si>
  <si>
    <t>TXN504208</t>
  </si>
  <si>
    <t>TXN504209</t>
  </si>
  <si>
    <t>TXN504210</t>
  </si>
  <si>
    <t>TXN504211</t>
  </si>
  <si>
    <t>TXN504212</t>
  </si>
  <si>
    <t>TXN504213</t>
  </si>
  <si>
    <t>TXN504214</t>
  </si>
  <si>
    <t>TXN504215</t>
  </si>
  <si>
    <t>TXN504216</t>
  </si>
  <si>
    <t>TXN504217</t>
  </si>
  <si>
    <t>TXN504218</t>
  </si>
  <si>
    <t>TXN504219</t>
  </si>
  <si>
    <t>TXN504220</t>
  </si>
  <si>
    <t>TXN504221</t>
  </si>
  <si>
    <t>TXN504222</t>
  </si>
  <si>
    <t>TXN504223</t>
  </si>
  <si>
    <t>TXN504224</t>
  </si>
  <si>
    <t>TXN504225</t>
  </si>
  <si>
    <t>TXN504226</t>
  </si>
  <si>
    <t>TXN504227</t>
  </si>
  <si>
    <t>TXN504228</t>
  </si>
  <si>
    <t>TXN504229</t>
  </si>
  <si>
    <t>TXN504230</t>
  </si>
  <si>
    <t>TXN504231</t>
  </si>
  <si>
    <t>TXN504232</t>
  </si>
  <si>
    <t>TXN504233</t>
  </si>
  <si>
    <t>TXN504234</t>
  </si>
  <si>
    <t>TXN504235</t>
  </si>
  <si>
    <t>TXN504236</t>
  </si>
  <si>
    <t>TXN504237</t>
  </si>
  <si>
    <t>TXN504238</t>
  </si>
  <si>
    <t>TXN504239</t>
  </si>
  <si>
    <t>TXN504240</t>
  </si>
  <si>
    <t>TXN504241</t>
  </si>
  <si>
    <t>TXN504242</t>
  </si>
  <si>
    <t>TXN504243</t>
  </si>
  <si>
    <t>TXN504244</t>
  </si>
  <si>
    <t>TXN504245</t>
  </si>
  <si>
    <t>TXN504246</t>
  </si>
  <si>
    <t>TXN504247</t>
  </si>
  <si>
    <t>TXN504248</t>
  </si>
  <si>
    <t>TXN504249</t>
  </si>
  <si>
    <t>TXN504250</t>
  </si>
  <si>
    <t>TXN504251</t>
  </si>
  <si>
    <t>TXN504252</t>
  </si>
  <si>
    <t>TXN504253</t>
  </si>
  <si>
    <t>TXN504254</t>
  </si>
  <si>
    <t>TXN504255</t>
  </si>
  <si>
    <t>TXN504256</t>
  </si>
  <si>
    <t>TXN504257</t>
  </si>
  <si>
    <t>TXN504258</t>
  </si>
  <si>
    <t>TXN504259</t>
  </si>
  <si>
    <t>TXN504260</t>
  </si>
  <si>
    <t>TXN504261</t>
  </si>
  <si>
    <t>TXN504262</t>
  </si>
  <si>
    <t>TXN504263</t>
  </si>
  <si>
    <t>TXN504264</t>
  </si>
  <si>
    <t>TXN504265</t>
  </si>
  <si>
    <t>TXN504266</t>
  </si>
  <si>
    <t>TXN504267</t>
  </si>
  <si>
    <t>TXN504268</t>
  </si>
  <si>
    <t>TXN504269</t>
  </si>
  <si>
    <t>TXN504270</t>
  </si>
  <si>
    <t>TXN504271</t>
  </si>
  <si>
    <t>TXN504272</t>
  </si>
  <si>
    <t>TXN504273</t>
  </si>
  <si>
    <t>TXN504274</t>
  </si>
  <si>
    <t>TXN504275</t>
  </si>
  <si>
    <t>TXN504276</t>
  </si>
  <si>
    <t>TXN504277</t>
  </si>
  <si>
    <t>TXN504278</t>
  </si>
  <si>
    <t>TXN504279</t>
  </si>
  <si>
    <t>TXN504280</t>
  </si>
  <si>
    <t>TXN504281</t>
  </si>
  <si>
    <t>TXN504282</t>
  </si>
  <si>
    <t>TXN504283</t>
  </si>
  <si>
    <t>TXN504284</t>
  </si>
  <si>
    <t>TXN504285</t>
  </si>
  <si>
    <t>TXN504286</t>
  </si>
  <si>
    <t>TXN504287</t>
  </si>
  <si>
    <t>TXN504288</t>
  </si>
  <si>
    <t>TXN504289</t>
  </si>
  <si>
    <t>TXN504290</t>
  </si>
  <si>
    <t>TXN504291</t>
  </si>
  <si>
    <t>TXN504292</t>
  </si>
  <si>
    <t>TXN504293</t>
  </si>
  <si>
    <t>TXN504294</t>
  </si>
  <si>
    <t>TXN504295</t>
  </si>
  <si>
    <t>TXN504296</t>
  </si>
  <si>
    <t>TXN504297</t>
  </si>
  <si>
    <t>TXN504298</t>
  </si>
  <si>
    <t>TXN504299</t>
  </si>
  <si>
    <t>TXN504300</t>
  </si>
  <si>
    <t>TXN504301</t>
  </si>
  <si>
    <t>TXN504302</t>
  </si>
  <si>
    <t>TXN504303</t>
  </si>
  <si>
    <t>TXN504304</t>
  </si>
  <si>
    <t>TXN504305</t>
  </si>
  <si>
    <t>TXN504306</t>
  </si>
  <si>
    <t>TXN504307</t>
  </si>
  <si>
    <t>TXN504308</t>
  </si>
  <si>
    <t>TXN504309</t>
  </si>
  <si>
    <t>TXN504310</t>
  </si>
  <si>
    <t>TXN504311</t>
  </si>
  <si>
    <t>TXN504312</t>
  </si>
  <si>
    <t>TXN504313</t>
  </si>
  <si>
    <t>TXN504314</t>
  </si>
  <si>
    <t>TXN504315</t>
  </si>
  <si>
    <t>TXN504316</t>
  </si>
  <si>
    <t>TXN504317</t>
  </si>
  <si>
    <t>TXN504318</t>
  </si>
  <si>
    <t>TXN504319</t>
  </si>
  <si>
    <t>TXN504320</t>
  </si>
  <si>
    <t>TXN504321</t>
  </si>
  <si>
    <t>TXN504322</t>
  </si>
  <si>
    <t>TXN504323</t>
  </si>
  <si>
    <t>TXN504324</t>
  </si>
  <si>
    <t>TXN504325</t>
  </si>
  <si>
    <t>TXN504326</t>
  </si>
  <si>
    <t>TXN504327</t>
  </si>
  <si>
    <t>TXN504328</t>
  </si>
  <si>
    <t>TXN504329</t>
  </si>
  <si>
    <t>TXN504330</t>
  </si>
  <si>
    <t>TXN504331</t>
  </si>
  <si>
    <t>TXN504332</t>
  </si>
  <si>
    <t>TXN504333</t>
  </si>
  <si>
    <t>TXN504334</t>
  </si>
  <si>
    <t>TXN504335</t>
  </si>
  <si>
    <t>TXN504336</t>
  </si>
  <si>
    <t>TXN504337</t>
  </si>
  <si>
    <t>TXN504338</t>
  </si>
  <si>
    <t>TXN504339</t>
  </si>
  <si>
    <t>TXN504340</t>
  </si>
  <si>
    <t>TXN504341</t>
  </si>
  <si>
    <t>TXN504342</t>
  </si>
  <si>
    <t>TXN504343</t>
  </si>
  <si>
    <t>TXN504344</t>
  </si>
  <si>
    <t>TXN504345</t>
  </si>
  <si>
    <t>TXN504346</t>
  </si>
  <si>
    <t>TXN504347</t>
  </si>
  <si>
    <t>TXN504348</t>
  </si>
  <si>
    <t>TXN504349</t>
  </si>
  <si>
    <t>TXN504350</t>
  </si>
  <si>
    <t>TXN504351</t>
  </si>
  <si>
    <t>TXN504352</t>
  </si>
  <si>
    <t>TXN504353</t>
  </si>
  <si>
    <t>TXN504354</t>
  </si>
  <si>
    <t>TXN504355</t>
  </si>
  <si>
    <t>TXN504356</t>
  </si>
  <si>
    <t>TXN504357</t>
  </si>
  <si>
    <t>TXN504358</t>
  </si>
  <si>
    <t>TXN504359</t>
  </si>
  <si>
    <t>TXN504360</t>
  </si>
  <si>
    <t>TXN504361</t>
  </si>
  <si>
    <t>TXN504362</t>
  </si>
  <si>
    <t>TXN504363</t>
  </si>
  <si>
    <t>TXN504364</t>
  </si>
  <si>
    <t>TXN504365</t>
  </si>
  <si>
    <t>TXN504366</t>
  </si>
  <si>
    <t>TXN504367</t>
  </si>
  <si>
    <t>TXN504368</t>
  </si>
  <si>
    <t>TXN504369</t>
  </si>
  <si>
    <t>TXN504370</t>
  </si>
  <si>
    <t>TXN504371</t>
  </si>
  <si>
    <t>TXN504372</t>
  </si>
  <si>
    <t>TXN504373</t>
  </si>
  <si>
    <t>TXN504374</t>
  </si>
  <si>
    <t>TXN504375</t>
  </si>
  <si>
    <t>TXN504376</t>
  </si>
  <si>
    <t>TXN504377</t>
  </si>
  <si>
    <t>TXN504378</t>
  </si>
  <si>
    <t>TXN504379</t>
  </si>
  <si>
    <t>TXN504380</t>
  </si>
  <si>
    <t>TXN504381</t>
  </si>
  <si>
    <t>TXN504382</t>
  </si>
  <si>
    <t>TXN504383</t>
  </si>
  <si>
    <t>TXN504384</t>
  </si>
  <si>
    <t>TXN504385</t>
  </si>
  <si>
    <t>TXN504386</t>
  </si>
  <si>
    <t>TXN504387</t>
  </si>
  <si>
    <t>TXN504388</t>
  </si>
  <si>
    <t>TXN504389</t>
  </si>
  <si>
    <t>TXN504390</t>
  </si>
  <si>
    <t>TXN504391</t>
  </si>
  <si>
    <t>TXN504392</t>
  </si>
  <si>
    <t>TXN504393</t>
  </si>
  <si>
    <t>TXN504394</t>
  </si>
  <si>
    <t>TXN504395</t>
  </si>
  <si>
    <t>TXN504396</t>
  </si>
  <si>
    <t>TXN504397</t>
  </si>
  <si>
    <t>TXN504398</t>
  </si>
  <si>
    <t>TXN504399</t>
  </si>
  <si>
    <t>TXN504400</t>
  </si>
  <si>
    <t>TXN504401</t>
  </si>
  <si>
    <t>TXN504402</t>
  </si>
  <si>
    <t>TXN504403</t>
  </si>
  <si>
    <t>TXN504404</t>
  </si>
  <si>
    <t>TXN504405</t>
  </si>
  <si>
    <t>TXN504406</t>
  </si>
  <si>
    <t>TXN504407</t>
  </si>
  <si>
    <t>TXN504408</t>
  </si>
  <si>
    <t>TXN504409</t>
  </si>
  <si>
    <t>TXN504410</t>
  </si>
  <si>
    <t>TXN504411</t>
  </si>
  <si>
    <t>TXN504412</t>
  </si>
  <si>
    <t>TXN504413</t>
  </si>
  <si>
    <t>TXN504414</t>
  </si>
  <si>
    <t>TXN504415</t>
  </si>
  <si>
    <t>TXN504416</t>
  </si>
  <si>
    <t>TXN504417</t>
  </si>
  <si>
    <t>TXN504418</t>
  </si>
  <si>
    <t>TXN504419</t>
  </si>
  <si>
    <t>TXN504420</t>
  </si>
  <si>
    <t>TXN504421</t>
  </si>
  <si>
    <t>TXN504422</t>
  </si>
  <si>
    <t>TXN504423</t>
  </si>
  <si>
    <t>TXN504424</t>
  </si>
  <si>
    <t>TXN504425</t>
  </si>
  <si>
    <t>TXN504426</t>
  </si>
  <si>
    <t>TXN504427</t>
  </si>
  <si>
    <t>TXN504428</t>
  </si>
  <si>
    <t>TXN504429</t>
  </si>
  <si>
    <t>TXN504430</t>
  </si>
  <si>
    <t>TXN504431</t>
  </si>
  <si>
    <t>TXN504432</t>
  </si>
  <si>
    <t>TXN504433</t>
  </si>
  <si>
    <t>TXN504434</t>
  </si>
  <si>
    <t>TXN504435</t>
  </si>
  <si>
    <t>TXN504436</t>
  </si>
  <si>
    <t>TXN504437</t>
  </si>
  <si>
    <t>TXN504438</t>
  </si>
  <si>
    <t>TXN504439</t>
  </si>
  <si>
    <t>TXN504440</t>
  </si>
  <si>
    <t>TXN504441</t>
  </si>
  <si>
    <t>TXN504442</t>
  </si>
  <si>
    <t>TXN504443</t>
  </si>
  <si>
    <t>TXN504444</t>
  </si>
  <si>
    <t>TXN504445</t>
  </si>
  <si>
    <t>TXN504446</t>
  </si>
  <si>
    <t>TXN504447</t>
  </si>
  <si>
    <t>TXN504448</t>
  </si>
  <si>
    <t>TXN504449</t>
  </si>
  <si>
    <t>TXN504450</t>
  </si>
  <si>
    <t>TXN504451</t>
  </si>
  <si>
    <t>TXN504452</t>
  </si>
  <si>
    <t>TXN504453</t>
  </si>
  <si>
    <t>TXN504454</t>
  </si>
  <si>
    <t>TXN504455</t>
  </si>
  <si>
    <t>TXN504456</t>
  </si>
  <si>
    <t>TXN504457</t>
  </si>
  <si>
    <t>TXN504458</t>
  </si>
  <si>
    <t>TXN504459</t>
  </si>
  <si>
    <t>TXN504460</t>
  </si>
  <si>
    <t>TXN504461</t>
  </si>
  <si>
    <t>TXN504462</t>
  </si>
  <si>
    <t>TXN504463</t>
  </si>
  <si>
    <t>TXN504464</t>
  </si>
  <si>
    <t>TXN504465</t>
  </si>
  <si>
    <t>TXN504466</t>
  </si>
  <si>
    <t>TXN504467</t>
  </si>
  <si>
    <t>TXN504468</t>
  </si>
  <si>
    <t>TXN504469</t>
  </si>
  <si>
    <t>TXN504470</t>
  </si>
  <si>
    <t>TXN504471</t>
  </si>
  <si>
    <t>TXN504472</t>
  </si>
  <si>
    <t>TXN504473</t>
  </si>
  <si>
    <t>TXN504474</t>
  </si>
  <si>
    <t>TXN504475</t>
  </si>
  <si>
    <t>TXN504476</t>
  </si>
  <si>
    <t>TXN504477</t>
  </si>
  <si>
    <t>TXN504478</t>
  </si>
  <si>
    <t>TXN504479</t>
  </si>
  <si>
    <t>TXN504480</t>
  </si>
  <si>
    <t>TXN504481</t>
  </si>
  <si>
    <t>TXN504482</t>
  </si>
  <si>
    <t>TXN504483</t>
  </si>
  <si>
    <t>TXN504484</t>
  </si>
  <si>
    <t>TXN504485</t>
  </si>
  <si>
    <t>TXN504486</t>
  </si>
  <si>
    <t>TXN504487</t>
  </si>
  <si>
    <t>TXN504488</t>
  </si>
  <si>
    <t>TXN504489</t>
  </si>
  <si>
    <t>TXN504490</t>
  </si>
  <si>
    <t>TXN504491</t>
  </si>
  <si>
    <t>TXN504492</t>
  </si>
  <si>
    <t>TXN504493</t>
  </si>
  <si>
    <t>TXN504494</t>
  </si>
  <si>
    <t>TXN504495</t>
  </si>
  <si>
    <t>TXN504496</t>
  </si>
  <si>
    <t>TXN504497</t>
  </si>
  <si>
    <t>TXN504498</t>
  </si>
  <si>
    <t>TXN504499</t>
  </si>
  <si>
    <t>TXN504500</t>
  </si>
  <si>
    <t>TXN504501</t>
  </si>
  <si>
    <t>TXN504502</t>
  </si>
  <si>
    <t>TXN504503</t>
  </si>
  <si>
    <t>TXN504504</t>
  </si>
  <si>
    <t>TXN504505</t>
  </si>
  <si>
    <t>TXN504506</t>
  </si>
  <si>
    <t>TXN504507</t>
  </si>
  <si>
    <t>TXN504508</t>
  </si>
  <si>
    <t>TXN504509</t>
  </si>
  <si>
    <t>TXN504510</t>
  </si>
  <si>
    <t>TXN504511</t>
  </si>
  <si>
    <t>TXN504512</t>
  </si>
  <si>
    <t>TXN504513</t>
  </si>
  <si>
    <t>TXN504514</t>
  </si>
  <si>
    <t>TXN504515</t>
  </si>
  <si>
    <t>TXN504516</t>
  </si>
  <si>
    <t>TXN504517</t>
  </si>
  <si>
    <t>TXN504518</t>
  </si>
  <si>
    <t>TXN504519</t>
  </si>
  <si>
    <t>TXN504520</t>
  </si>
  <si>
    <t>TXN504521</t>
  </si>
  <si>
    <t>TXN504522</t>
  </si>
  <si>
    <t>TXN504523</t>
  </si>
  <si>
    <t>TXN504524</t>
  </si>
  <si>
    <t>TXN504525</t>
  </si>
  <si>
    <t>TXN504526</t>
  </si>
  <si>
    <t>TXN504527</t>
  </si>
  <si>
    <t>TXN504528</t>
  </si>
  <si>
    <t>TXN504529</t>
  </si>
  <si>
    <t>TXN504530</t>
  </si>
  <si>
    <t>TXN504531</t>
  </si>
  <si>
    <t>TXN504532</t>
  </si>
  <si>
    <t>TXN504533</t>
  </si>
  <si>
    <t>TXN504534</t>
  </si>
  <si>
    <t>TXN504535</t>
  </si>
  <si>
    <t>TXN504536</t>
  </si>
  <si>
    <t>TXN504537</t>
  </si>
  <si>
    <t>TXN504538</t>
  </si>
  <si>
    <t>TXN504539</t>
  </si>
  <si>
    <t>TXN504540</t>
  </si>
  <si>
    <t>TXN504541</t>
  </si>
  <si>
    <t>TXN504542</t>
  </si>
  <si>
    <t>TXN504543</t>
  </si>
  <si>
    <t>TXN504544</t>
  </si>
  <si>
    <t>TXN504545</t>
  </si>
  <si>
    <t>TXN504546</t>
  </si>
  <si>
    <t>TXN504547</t>
  </si>
  <si>
    <t>TXN504548</t>
  </si>
  <si>
    <t>TXN504549</t>
  </si>
  <si>
    <t>TXN504550</t>
  </si>
  <si>
    <t>TXN504551</t>
  </si>
  <si>
    <t>TXN504552</t>
  </si>
  <si>
    <t>TXN504553</t>
  </si>
  <si>
    <t>TXN504554</t>
  </si>
  <si>
    <t>TXN504555</t>
  </si>
  <si>
    <t>TXN504556</t>
  </si>
  <si>
    <t>TXN504557</t>
  </si>
  <si>
    <t>TXN504558</t>
  </si>
  <si>
    <t>TXN504559</t>
  </si>
  <si>
    <t>TXN504560</t>
  </si>
  <si>
    <t>TXN504561</t>
  </si>
  <si>
    <t>TXN504562</t>
  </si>
  <si>
    <t>TXN504563</t>
  </si>
  <si>
    <t>TXN504564</t>
  </si>
  <si>
    <t>TXN504565</t>
  </si>
  <si>
    <t>TXN504566</t>
  </si>
  <si>
    <t>TXN504567</t>
  </si>
  <si>
    <t>TXN504568</t>
  </si>
  <si>
    <t>TXN504569</t>
  </si>
  <si>
    <t>TXN504570</t>
  </si>
  <si>
    <t>TXN504571</t>
  </si>
  <si>
    <t>TXN504572</t>
  </si>
  <si>
    <t>TXN504573</t>
  </si>
  <si>
    <t>TXN504574</t>
  </si>
  <si>
    <t>TXN504575</t>
  </si>
  <si>
    <t>TXN504576</t>
  </si>
  <si>
    <t>TXN504577</t>
  </si>
  <si>
    <t>TXN504578</t>
  </si>
  <si>
    <t>TXN504579</t>
  </si>
  <si>
    <t>TXN504580</t>
  </si>
  <si>
    <t>TXN504581</t>
  </si>
  <si>
    <t>TXN504582</t>
  </si>
  <si>
    <t>TXN504583</t>
  </si>
  <si>
    <t>TXN504584</t>
  </si>
  <si>
    <t>TXN504585</t>
  </si>
  <si>
    <t>TXN504586</t>
  </si>
  <si>
    <t>TXN504587</t>
  </si>
  <si>
    <t>TXN504588</t>
  </si>
  <si>
    <t>TXN504589</t>
  </si>
  <si>
    <t>TXN504590</t>
  </si>
  <si>
    <t>TXN504591</t>
  </si>
  <si>
    <t>TXN504592</t>
  </si>
  <si>
    <t>TXN504593</t>
  </si>
  <si>
    <t>TXN504594</t>
  </si>
  <si>
    <t>TXN504595</t>
  </si>
  <si>
    <t>TXN504596</t>
  </si>
  <si>
    <t>TXN504597</t>
  </si>
  <si>
    <t>TXN504598</t>
  </si>
  <si>
    <t>TXN504599</t>
  </si>
  <si>
    <t>TXN504600</t>
  </si>
  <si>
    <t>TXN504601</t>
  </si>
  <si>
    <t>TXN504602</t>
  </si>
  <si>
    <t>TXN504603</t>
  </si>
  <si>
    <t>TXN504604</t>
  </si>
  <si>
    <t>TXN504605</t>
  </si>
  <si>
    <t>TXN504606</t>
  </si>
  <si>
    <t>TXN504607</t>
  </si>
  <si>
    <t>TXN504608</t>
  </si>
  <si>
    <t>TXN504609</t>
  </si>
  <si>
    <t>TXN504610</t>
  </si>
  <si>
    <t>TXN504611</t>
  </si>
  <si>
    <t>TXN504612</t>
  </si>
  <si>
    <t>TXN504613</t>
  </si>
  <si>
    <t>TXN504614</t>
  </si>
  <si>
    <t>TXN504615</t>
  </si>
  <si>
    <t>TXN504616</t>
  </si>
  <si>
    <t>TXN504617</t>
  </si>
  <si>
    <t>TXN504618</t>
  </si>
  <si>
    <t>TXN504619</t>
  </si>
  <si>
    <t>TXN504620</t>
  </si>
  <si>
    <t>TXN504621</t>
  </si>
  <si>
    <t>TXN504622</t>
  </si>
  <si>
    <t>TXN504623</t>
  </si>
  <si>
    <t>TXN504624</t>
  </si>
  <si>
    <t>TXN504625</t>
  </si>
  <si>
    <t>TXN504626</t>
  </si>
  <si>
    <t>TXN504627</t>
  </si>
  <si>
    <t>TXN504628</t>
  </si>
  <si>
    <t>TXN504629</t>
  </si>
  <si>
    <t>TXN504630</t>
  </si>
  <si>
    <t>TXN504631</t>
  </si>
  <si>
    <t>TXN504632</t>
  </si>
  <si>
    <t>TXN504633</t>
  </si>
  <si>
    <t>TXN504634</t>
  </si>
  <si>
    <t>TXN504635</t>
  </si>
  <si>
    <t>TXN504636</t>
  </si>
  <si>
    <t>TXN504637</t>
  </si>
  <si>
    <t>TXN504638</t>
  </si>
  <si>
    <t>TXN504639</t>
  </si>
  <si>
    <t>TXN504640</t>
  </si>
  <si>
    <t>TXN504641</t>
  </si>
  <si>
    <t>TXN504642</t>
  </si>
  <si>
    <t>TXN504643</t>
  </si>
  <si>
    <t>TXN504644</t>
  </si>
  <si>
    <t>TXN504645</t>
  </si>
  <si>
    <t>TXN504646</t>
  </si>
  <si>
    <t>TXN504647</t>
  </si>
  <si>
    <t>TXN504648</t>
  </si>
  <si>
    <t>TXN504649</t>
  </si>
  <si>
    <t>TXN504650</t>
  </si>
  <si>
    <t>TXN504651</t>
  </si>
  <si>
    <t>TXN504652</t>
  </si>
  <si>
    <t>TXN504653</t>
  </si>
  <si>
    <t>TXN504654</t>
  </si>
  <si>
    <t>TXN504655</t>
  </si>
  <si>
    <t>TXN504656</t>
  </si>
  <si>
    <t>TXN504657</t>
  </si>
  <si>
    <t>TXN504658</t>
  </si>
  <si>
    <t>TXN504659</t>
  </si>
  <si>
    <t>TXN504660</t>
  </si>
  <si>
    <t>TXN504661</t>
  </si>
  <si>
    <t>TXN504662</t>
  </si>
  <si>
    <t>TXN504663</t>
  </si>
  <si>
    <t>TXN504664</t>
  </si>
  <si>
    <t>TXN504665</t>
  </si>
  <si>
    <t>TXN504666</t>
  </si>
  <si>
    <t>TXN504667</t>
  </si>
  <si>
    <t>TXN504668</t>
  </si>
  <si>
    <t>TXN504669</t>
  </si>
  <si>
    <t>TXN504670</t>
  </si>
  <si>
    <t>TXN504671</t>
  </si>
  <si>
    <t>TXN504672</t>
  </si>
  <si>
    <t>TXN504673</t>
  </si>
  <si>
    <t>TXN504674</t>
  </si>
  <si>
    <t>TXN504675</t>
  </si>
  <si>
    <t>TXN504676</t>
  </si>
  <si>
    <t>TXN504677</t>
  </si>
  <si>
    <t>TXN504678</t>
  </si>
  <si>
    <t>TXN504679</t>
  </si>
  <si>
    <t>TXN504680</t>
  </si>
  <si>
    <t>TXN504681</t>
  </si>
  <si>
    <t>TXN504682</t>
  </si>
  <si>
    <t>TXN504683</t>
  </si>
  <si>
    <t>TXN504684</t>
  </si>
  <si>
    <t>TXN504685</t>
  </si>
  <si>
    <t>TXN504686</t>
  </si>
  <si>
    <t>TXN504687</t>
  </si>
  <si>
    <t>TXN504688</t>
  </si>
  <si>
    <t>TXN504689</t>
  </si>
  <si>
    <t>TXN504690</t>
  </si>
  <si>
    <t>TXN504691</t>
  </si>
  <si>
    <t>TXN504692</t>
  </si>
  <si>
    <t>TXN504693</t>
  </si>
  <si>
    <t>TXN504694</t>
  </si>
  <si>
    <t>TXN504695</t>
  </si>
  <si>
    <t>TXN504696</t>
  </si>
  <si>
    <t>TXN504697</t>
  </si>
  <si>
    <t>TXN504698</t>
  </si>
  <si>
    <t>TXN504699</t>
  </si>
  <si>
    <t>TXN504700</t>
  </si>
  <si>
    <t>TXN504701</t>
  </si>
  <si>
    <t>TXN504702</t>
  </si>
  <si>
    <t>TXN504703</t>
  </si>
  <si>
    <t>TXN504704</t>
  </si>
  <si>
    <t>TXN504705</t>
  </si>
  <si>
    <t>TXN504706</t>
  </si>
  <si>
    <t>TXN504707</t>
  </si>
  <si>
    <t>TXN504708</t>
  </si>
  <si>
    <t>TXN504709</t>
  </si>
  <si>
    <t>TXN504710</t>
  </si>
  <si>
    <t>TXN504711</t>
  </si>
  <si>
    <t>TXN504712</t>
  </si>
  <si>
    <t>TXN504713</t>
  </si>
  <si>
    <t>TXN504714</t>
  </si>
  <si>
    <t>TXN504715</t>
  </si>
  <si>
    <t>TXN504716</t>
  </si>
  <si>
    <t>TXN504717</t>
  </si>
  <si>
    <t>TXN504718</t>
  </si>
  <si>
    <t>TXN504719</t>
  </si>
  <si>
    <t>TXN504720</t>
  </si>
  <si>
    <t>TXN504721</t>
  </si>
  <si>
    <t>TXN504722</t>
  </si>
  <si>
    <t>TXN504723</t>
  </si>
  <si>
    <t>TXN504724</t>
  </si>
  <si>
    <t>TXN504725</t>
  </si>
  <si>
    <t>TXN504726</t>
  </si>
  <si>
    <t>TXN504727</t>
  </si>
  <si>
    <t>TXN504728</t>
  </si>
  <si>
    <t>TXN504729</t>
  </si>
  <si>
    <t>TXN504730</t>
  </si>
  <si>
    <t>TXN504731</t>
  </si>
  <si>
    <t>TXN504732</t>
  </si>
  <si>
    <t>TXN504733</t>
  </si>
  <si>
    <t>TXN504734</t>
  </si>
  <si>
    <t>TXN504735</t>
  </si>
  <si>
    <t>TXN504736</t>
  </si>
  <si>
    <t>TXN504737</t>
  </si>
  <si>
    <t>TXN504738</t>
  </si>
  <si>
    <t>TXN504739</t>
  </si>
  <si>
    <t>TXN504740</t>
  </si>
  <si>
    <t>TXN504741</t>
  </si>
  <si>
    <t>TXN504742</t>
  </si>
  <si>
    <t>TXN504743</t>
  </si>
  <si>
    <t>TXN504744</t>
  </si>
  <si>
    <t>TXN504745</t>
  </si>
  <si>
    <t>TXN504746</t>
  </si>
  <si>
    <t>TXN504747</t>
  </si>
  <si>
    <t>TXN504748</t>
  </si>
  <si>
    <t>TXN504749</t>
  </si>
  <si>
    <t>TXN504750</t>
  </si>
  <si>
    <t>TXN504751</t>
  </si>
  <si>
    <t>TXN504752</t>
  </si>
  <si>
    <t>TXN504753</t>
  </si>
  <si>
    <t>TXN504754</t>
  </si>
  <si>
    <t>TXN504755</t>
  </si>
  <si>
    <t>TXN504756</t>
  </si>
  <si>
    <t>TXN504757</t>
  </si>
  <si>
    <t>TXN504758</t>
  </si>
  <si>
    <t>TXN504759</t>
  </si>
  <si>
    <t>TXN504760</t>
  </si>
  <si>
    <t>TXN504761</t>
  </si>
  <si>
    <t>TXN504762</t>
  </si>
  <si>
    <t>TXN504763</t>
  </si>
  <si>
    <t>TXN504764</t>
  </si>
  <si>
    <t>TXN504765</t>
  </si>
  <si>
    <t>TXN504766</t>
  </si>
  <si>
    <t>TXN504767</t>
  </si>
  <si>
    <t>TXN504768</t>
  </si>
  <si>
    <t>TXN504769</t>
  </si>
  <si>
    <t>TXN504770</t>
  </si>
  <si>
    <t>TXN504771</t>
  </si>
  <si>
    <t>TXN504772</t>
  </si>
  <si>
    <t>TXN504773</t>
  </si>
  <si>
    <t>TXN504774</t>
  </si>
  <si>
    <t>TXN504775</t>
  </si>
  <si>
    <t>TXN504776</t>
  </si>
  <si>
    <t>TXN504777</t>
  </si>
  <si>
    <t>TXN504778</t>
  </si>
  <si>
    <t>TXN504779</t>
  </si>
  <si>
    <t>TXN504780</t>
  </si>
  <si>
    <t>TXN504781</t>
  </si>
  <si>
    <t>TXN504782</t>
  </si>
  <si>
    <t>TXN504783</t>
  </si>
  <si>
    <t>TXN504784</t>
  </si>
  <si>
    <t>TXN504785</t>
  </si>
  <si>
    <t>TXN504786</t>
  </si>
  <si>
    <t>TXN504787</t>
  </si>
  <si>
    <t>TXN504788</t>
  </si>
  <si>
    <t>TXN504789</t>
  </si>
  <si>
    <t>TXN504790</t>
  </si>
  <si>
    <t>TXN504791</t>
  </si>
  <si>
    <t>TXN504792</t>
  </si>
  <si>
    <t>TXN504793</t>
  </si>
  <si>
    <t>TXN504794</t>
  </si>
  <si>
    <t>TXN504795</t>
  </si>
  <si>
    <t>TXN504796</t>
  </si>
  <si>
    <t>TXN504797</t>
  </si>
  <si>
    <t>TXN504798</t>
  </si>
  <si>
    <t>TXN504799</t>
  </si>
  <si>
    <t>TXN504800</t>
  </si>
  <si>
    <t>TXN504801</t>
  </si>
  <si>
    <t>TXN504802</t>
  </si>
  <si>
    <t>TXN504803</t>
  </si>
  <si>
    <t>TXN504804</t>
  </si>
  <si>
    <t>TXN504805</t>
  </si>
  <si>
    <t>TXN504806</t>
  </si>
  <si>
    <t>TXN504807</t>
  </si>
  <si>
    <t>TXN504808</t>
  </si>
  <si>
    <t>TXN504809</t>
  </si>
  <si>
    <t>TXN504810</t>
  </si>
  <si>
    <t>TXN504811</t>
  </si>
  <si>
    <t>TXN504812</t>
  </si>
  <si>
    <t>TXN504813</t>
  </si>
  <si>
    <t>TXN504814</t>
  </si>
  <si>
    <t>TXN504815</t>
  </si>
  <si>
    <t>TXN504816</t>
  </si>
  <si>
    <t>TXN504817</t>
  </si>
  <si>
    <t>TXN504818</t>
  </si>
  <si>
    <t>TXN504819</t>
  </si>
  <si>
    <t>TXN504820</t>
  </si>
  <si>
    <t>TXN504821</t>
  </si>
  <si>
    <t>TXN504822</t>
  </si>
  <si>
    <t>TXN504823</t>
  </si>
  <si>
    <t>TXN504824</t>
  </si>
  <si>
    <t>TXN504825</t>
  </si>
  <si>
    <t>TXN504826</t>
  </si>
  <si>
    <t>TXN504827</t>
  </si>
  <si>
    <t>TXN504828</t>
  </si>
  <si>
    <t>TXN504829</t>
  </si>
  <si>
    <t>TXN504830</t>
  </si>
  <si>
    <t>TXN504831</t>
  </si>
  <si>
    <t>TXN504832</t>
  </si>
  <si>
    <t>TXN504833</t>
  </si>
  <si>
    <t>TXN504834</t>
  </si>
  <si>
    <t>TXN504835</t>
  </si>
  <si>
    <t>TXN504836</t>
  </si>
  <si>
    <t>TXN504837</t>
  </si>
  <si>
    <t>TXN504838</t>
  </si>
  <si>
    <t>TXN504839</t>
  </si>
  <si>
    <t>TXN504840</t>
  </si>
  <si>
    <t>TXN504841</t>
  </si>
  <si>
    <t>TXN504842</t>
  </si>
  <si>
    <t>TXN504843</t>
  </si>
  <si>
    <t>TXN504844</t>
  </si>
  <si>
    <t>TXN504845</t>
  </si>
  <si>
    <t>TXN504846</t>
  </si>
  <si>
    <t>TXN504847</t>
  </si>
  <si>
    <t>TXN504848</t>
  </si>
  <si>
    <t>TXN504849</t>
  </si>
  <si>
    <t>TXN504850</t>
  </si>
  <si>
    <t>TXN504851</t>
  </si>
  <si>
    <t>TXN504852</t>
  </si>
  <si>
    <t>TXN504853</t>
  </si>
  <si>
    <t>TXN504854</t>
  </si>
  <si>
    <t>TXN504855</t>
  </si>
  <si>
    <t>TXN504856</t>
  </si>
  <si>
    <t>TXN504857</t>
  </si>
  <si>
    <t>TXN504858</t>
  </si>
  <si>
    <t>TXN504859</t>
  </si>
  <si>
    <t>TXN504860</t>
  </si>
  <si>
    <t>TXN504861</t>
  </si>
  <si>
    <t>TXN504862</t>
  </si>
  <si>
    <t>TXN504863</t>
  </si>
  <si>
    <t>TXN504864</t>
  </si>
  <si>
    <t>TXN504865</t>
  </si>
  <si>
    <t>TXN504866</t>
  </si>
  <si>
    <t>TXN504867</t>
  </si>
  <si>
    <t>TXN504868</t>
  </si>
  <si>
    <t>TXN504869</t>
  </si>
  <si>
    <t>TXN504870</t>
  </si>
  <si>
    <t>TXN504871</t>
  </si>
  <si>
    <t>TXN504872</t>
  </si>
  <si>
    <t>TXN504873</t>
  </si>
  <si>
    <t>TXN504874</t>
  </si>
  <si>
    <t>TXN504875</t>
  </si>
  <si>
    <t>TXN504876</t>
  </si>
  <si>
    <t>TXN504877</t>
  </si>
  <si>
    <t>TXN504878</t>
  </si>
  <si>
    <t>TXN504879</t>
  </si>
  <si>
    <t>TXN504880</t>
  </si>
  <si>
    <t>TXN504881</t>
  </si>
  <si>
    <t>TXN504882</t>
  </si>
  <si>
    <t>TXN504883</t>
  </si>
  <si>
    <t>TXN504884</t>
  </si>
  <si>
    <t>TXN504885</t>
  </si>
  <si>
    <t>TXN504886</t>
  </si>
  <si>
    <t>TXN504887</t>
  </si>
  <si>
    <t>TXN504888</t>
  </si>
  <si>
    <t>TXN504889</t>
  </si>
  <si>
    <t>TXN504890</t>
  </si>
  <si>
    <t>TXN504891</t>
  </si>
  <si>
    <t>TXN504892</t>
  </si>
  <si>
    <t>TXN504893</t>
  </si>
  <si>
    <t>TXN504894</t>
  </si>
  <si>
    <t>TXN504895</t>
  </si>
  <si>
    <t>TXN504896</t>
  </si>
  <si>
    <t>TXN504897</t>
  </si>
  <si>
    <t>TXN504898</t>
  </si>
  <si>
    <t>TXN504899</t>
  </si>
  <si>
    <t>TXN504900</t>
  </si>
  <si>
    <t>TXN504901</t>
  </si>
  <si>
    <t>TXN504902</t>
  </si>
  <si>
    <t>TXN504903</t>
  </si>
  <si>
    <t>TXN504904</t>
  </si>
  <si>
    <t>TXN504905</t>
  </si>
  <si>
    <t>TXN504906</t>
  </si>
  <si>
    <t>TXN504907</t>
  </si>
  <si>
    <t>TXN504908</t>
  </si>
  <si>
    <t>TXN504909</t>
  </si>
  <si>
    <t>TXN504910</t>
  </si>
  <si>
    <t>TXN504911</t>
  </si>
  <si>
    <t>TXN504912</t>
  </si>
  <si>
    <t>TXN504913</t>
  </si>
  <si>
    <t>TXN504914</t>
  </si>
  <si>
    <t>TXN504915</t>
  </si>
  <si>
    <t>TXN504916</t>
  </si>
  <si>
    <t>TXN504917</t>
  </si>
  <si>
    <t>TXN504918</t>
  </si>
  <si>
    <t>TXN504919</t>
  </si>
  <si>
    <t>TXN504920</t>
  </si>
  <si>
    <t>TXN504921</t>
  </si>
  <si>
    <t>TXN504922</t>
  </si>
  <si>
    <t>TXN504923</t>
  </si>
  <si>
    <t>TXN504924</t>
  </si>
  <si>
    <t>TXN504925</t>
  </si>
  <si>
    <t>TXN504926</t>
  </si>
  <si>
    <t>TXN504927</t>
  </si>
  <si>
    <t>TXN504928</t>
  </si>
  <si>
    <t>TXN504929</t>
  </si>
  <si>
    <t>TXN504930</t>
  </si>
  <si>
    <t>TXN504931</t>
  </si>
  <si>
    <t>TXN504932</t>
  </si>
  <si>
    <t>TXN504933</t>
  </si>
  <si>
    <t>TXN504934</t>
  </si>
  <si>
    <t>TXN504935</t>
  </si>
  <si>
    <t>TXN504936</t>
  </si>
  <si>
    <t>TXN504937</t>
  </si>
  <si>
    <t>TXN504938</t>
  </si>
  <si>
    <t>TXN504939</t>
  </si>
  <si>
    <t>TXN504940</t>
  </si>
  <si>
    <t>TXN504941</t>
  </si>
  <si>
    <t>TXN504942</t>
  </si>
  <si>
    <t>TXN504943</t>
  </si>
  <si>
    <t>TXN504944</t>
  </si>
  <si>
    <t>TXN504945</t>
  </si>
  <si>
    <t>TXN504946</t>
  </si>
  <si>
    <t>TXN504947</t>
  </si>
  <si>
    <t>TXN504948</t>
  </si>
  <si>
    <t>TXN504949</t>
  </si>
  <si>
    <t>TXN504950</t>
  </si>
  <si>
    <t>TXN504951</t>
  </si>
  <si>
    <t>TXN504952</t>
  </si>
  <si>
    <t>TXN504953</t>
  </si>
  <si>
    <t>TXN504954</t>
  </si>
  <si>
    <t>TXN504955</t>
  </si>
  <si>
    <t>TXN504956</t>
  </si>
  <si>
    <t>TXN504957</t>
  </si>
  <si>
    <t>TXN504958</t>
  </si>
  <si>
    <t>TXN504959</t>
  </si>
  <si>
    <t>TXN504960</t>
  </si>
  <si>
    <t>TXN504961</t>
  </si>
  <si>
    <t>TXN504962</t>
  </si>
  <si>
    <t>TXN504963</t>
  </si>
  <si>
    <t>TXN504964</t>
  </si>
  <si>
    <t>TXN504965</t>
  </si>
  <si>
    <t>TXN504966</t>
  </si>
  <si>
    <t>TXN504967</t>
  </si>
  <si>
    <t>TXN504968</t>
  </si>
  <si>
    <t>TXN504969</t>
  </si>
  <si>
    <t>TXN504970</t>
  </si>
  <si>
    <t>TXN504971</t>
  </si>
  <si>
    <t>TXN504972</t>
  </si>
  <si>
    <t>TXN504973</t>
  </si>
  <si>
    <t>TXN504974</t>
  </si>
  <si>
    <t>TXN504975</t>
  </si>
  <si>
    <t>TXN504976</t>
  </si>
  <si>
    <t>TXN504977</t>
  </si>
  <si>
    <t>TXN504978</t>
  </si>
  <si>
    <t>TXN504979</t>
  </si>
  <si>
    <t>TXN504980</t>
  </si>
  <si>
    <t>TXN504981</t>
  </si>
  <si>
    <t>TXN504982</t>
  </si>
  <si>
    <t>TXN504983</t>
  </si>
  <si>
    <t>TXN504984</t>
  </si>
  <si>
    <t>TXN504985</t>
  </si>
  <si>
    <t>TXN504986</t>
  </si>
  <si>
    <t>TXN504987</t>
  </si>
  <si>
    <t>TXN504988</t>
  </si>
  <si>
    <t>TXN504989</t>
  </si>
  <si>
    <t>TXN504990</t>
  </si>
  <si>
    <t>TXN504991</t>
  </si>
  <si>
    <t>TXN504992</t>
  </si>
  <si>
    <t>TXN504993</t>
  </si>
  <si>
    <t>TXN504994</t>
  </si>
  <si>
    <t>TXN504995</t>
  </si>
  <si>
    <t>TXN504996</t>
  </si>
  <si>
    <t>TXN504997</t>
  </si>
  <si>
    <t>TXN504998</t>
  </si>
  <si>
    <t>TXN504999</t>
  </si>
  <si>
    <t>TXN505000</t>
  </si>
  <si>
    <t>TXN505001</t>
  </si>
  <si>
    <t>TXN505002</t>
  </si>
  <si>
    <t>TXN505003</t>
  </si>
  <si>
    <t>TXN505004</t>
  </si>
  <si>
    <t>TXN505005</t>
  </si>
  <si>
    <t>TXN505006</t>
  </si>
  <si>
    <t>TXN505007</t>
  </si>
  <si>
    <t>TXN505008</t>
  </si>
  <si>
    <t>TXN505009</t>
  </si>
  <si>
    <t>TXN505010</t>
  </si>
  <si>
    <t>TXN505011</t>
  </si>
  <si>
    <t>TXN505012</t>
  </si>
  <si>
    <t>TXN505013</t>
  </si>
  <si>
    <t>TXN505014</t>
  </si>
  <si>
    <t>TXN505015</t>
  </si>
  <si>
    <t>TXN505016</t>
  </si>
  <si>
    <t>TXN505017</t>
  </si>
  <si>
    <t>TXN505018</t>
  </si>
  <si>
    <t>TXN505019</t>
  </si>
  <si>
    <t>TXN505020</t>
  </si>
  <si>
    <t>TXN505021</t>
  </si>
  <si>
    <t>TXN505022</t>
  </si>
  <si>
    <t>TXN505023</t>
  </si>
  <si>
    <t>TXN505024</t>
  </si>
  <si>
    <t>TXN505025</t>
  </si>
  <si>
    <t>TXN505026</t>
  </si>
  <si>
    <t>TXN505027</t>
  </si>
  <si>
    <t>TXN505028</t>
  </si>
  <si>
    <t>TXN505029</t>
  </si>
  <si>
    <t>TXN505030</t>
  </si>
  <si>
    <t>TXN505031</t>
  </si>
  <si>
    <t>TXN505032</t>
  </si>
  <si>
    <t>TXN505033</t>
  </si>
  <si>
    <t>TXN505034</t>
  </si>
  <si>
    <t>TXN505035</t>
  </si>
  <si>
    <t>TXN505036</t>
  </si>
  <si>
    <t>TXN505037</t>
  </si>
  <si>
    <t>TXN505038</t>
  </si>
  <si>
    <t>TXN505039</t>
  </si>
  <si>
    <t>TXN505040</t>
  </si>
  <si>
    <t>TXN505041</t>
  </si>
  <si>
    <t>TXN505042</t>
  </si>
  <si>
    <t>TXN505043</t>
  </si>
  <si>
    <t>TXN505044</t>
  </si>
  <si>
    <t>TXN505045</t>
  </si>
  <si>
    <t>TXN505046</t>
  </si>
  <si>
    <t>TXN505047</t>
  </si>
  <si>
    <t>TXN505048</t>
  </si>
  <si>
    <t>TXN505049</t>
  </si>
  <si>
    <t>TXN505050</t>
  </si>
  <si>
    <t>TXN505051</t>
  </si>
  <si>
    <t>TXN505052</t>
  </si>
  <si>
    <t>TXN505053</t>
  </si>
  <si>
    <t>TXN505054</t>
  </si>
  <si>
    <t>TXN505055</t>
  </si>
  <si>
    <t>TXN505056</t>
  </si>
  <si>
    <t>TXN505057</t>
  </si>
  <si>
    <t>TXN505058</t>
  </si>
  <si>
    <t>TXN505059</t>
  </si>
  <si>
    <t>TXN505060</t>
  </si>
  <si>
    <t>TXN505061</t>
  </si>
  <si>
    <t>TXN505062</t>
  </si>
  <si>
    <t>TXN505063</t>
  </si>
  <si>
    <t>TXN505064</t>
  </si>
  <si>
    <t>TXN505065</t>
  </si>
  <si>
    <t>TXN505066</t>
  </si>
  <si>
    <t>TXN505067</t>
  </si>
  <si>
    <t>TXN505068</t>
  </si>
  <si>
    <t>TXN505069</t>
  </si>
  <si>
    <t>TXN505070</t>
  </si>
  <si>
    <t>TXN505071</t>
  </si>
  <si>
    <t>TXN505072</t>
  </si>
  <si>
    <t>TXN505073</t>
  </si>
  <si>
    <t>TXN505074</t>
  </si>
  <si>
    <t>TXN505075</t>
  </si>
  <si>
    <t>TXN505076</t>
  </si>
  <si>
    <t>TXN505077</t>
  </si>
  <si>
    <t>TXN505078</t>
  </si>
  <si>
    <t>TXN505079</t>
  </si>
  <si>
    <t>TXN505080</t>
  </si>
  <si>
    <t>TXN505081</t>
  </si>
  <si>
    <t>TXN505082</t>
  </si>
  <si>
    <t>TXN505083</t>
  </si>
  <si>
    <t>TXN505084</t>
  </si>
  <si>
    <t>TXN505085</t>
  </si>
  <si>
    <t>TXN505086</t>
  </si>
  <si>
    <t>TXN505087</t>
  </si>
  <si>
    <t>TXN505088</t>
  </si>
  <si>
    <t>TXN505089</t>
  </si>
  <si>
    <t>TXN505090</t>
  </si>
  <si>
    <t>TXN505091</t>
  </si>
  <si>
    <t>TXN505092</t>
  </si>
  <si>
    <t>TXN505093</t>
  </si>
  <si>
    <t>TXN505094</t>
  </si>
  <si>
    <t>TXN505095</t>
  </si>
  <si>
    <t>TXN505096</t>
  </si>
  <si>
    <t>TXN505097</t>
  </si>
  <si>
    <t>TXN505098</t>
  </si>
  <si>
    <t>TXN505099</t>
  </si>
  <si>
    <t>TXN505100</t>
  </si>
  <si>
    <t>TXN505101</t>
  </si>
  <si>
    <t>TXN505102</t>
  </si>
  <si>
    <t>TXN505103</t>
  </si>
  <si>
    <t>TXN505104</t>
  </si>
  <si>
    <t>TXN505105</t>
  </si>
  <si>
    <t>TXN505106</t>
  </si>
  <si>
    <t>TXN505107</t>
  </si>
  <si>
    <t>TXN505108</t>
  </si>
  <si>
    <t>TXN505109</t>
  </si>
  <si>
    <t>TXN505110</t>
  </si>
  <si>
    <t>TXN505111</t>
  </si>
  <si>
    <t>TXN505112</t>
  </si>
  <si>
    <t>TXN505113</t>
  </si>
  <si>
    <t>TXN505114</t>
  </si>
  <si>
    <t>TXN505115</t>
  </si>
  <si>
    <t>TXN505116</t>
  </si>
  <si>
    <t>TXN505117</t>
  </si>
  <si>
    <t>TXN505118</t>
  </si>
  <si>
    <t>TXN505119</t>
  </si>
  <si>
    <t>TXN505120</t>
  </si>
  <si>
    <t>TXN505121</t>
  </si>
  <si>
    <t>TXN505122</t>
  </si>
  <si>
    <t>TXN505123</t>
  </si>
  <si>
    <t>TXN505124</t>
  </si>
  <si>
    <t>TXN505125</t>
  </si>
  <si>
    <t>TXN505126</t>
  </si>
  <si>
    <t>TXN505127</t>
  </si>
  <si>
    <t>TXN505128</t>
  </si>
  <si>
    <t>TXN505129</t>
  </si>
  <si>
    <t>TXN505130</t>
  </si>
  <si>
    <t>TXN505131</t>
  </si>
  <si>
    <t>TXN505132</t>
  </si>
  <si>
    <t>TXN505133</t>
  </si>
  <si>
    <t>TXN505134</t>
  </si>
  <si>
    <t>TXN505135</t>
  </si>
  <si>
    <t>TXN505136</t>
  </si>
  <si>
    <t>TXN505137</t>
  </si>
  <si>
    <t>TXN505138</t>
  </si>
  <si>
    <t>TXN505139</t>
  </si>
  <si>
    <t>TXN505140</t>
  </si>
  <si>
    <t>TXN505141</t>
  </si>
  <si>
    <t>TXN505142</t>
  </si>
  <si>
    <t>TXN505143</t>
  </si>
  <si>
    <t>TXN505144</t>
  </si>
  <si>
    <t>TXN505145</t>
  </si>
  <si>
    <t>TXN505146</t>
  </si>
  <si>
    <t>TXN505147</t>
  </si>
  <si>
    <t>TXN505148</t>
  </si>
  <si>
    <t>TXN505149</t>
  </si>
  <si>
    <t>TXN505150</t>
  </si>
  <si>
    <t>TXN505151</t>
  </si>
  <si>
    <t>TXN505152</t>
  </si>
  <si>
    <t>TXN505153</t>
  </si>
  <si>
    <t>TXN505154</t>
  </si>
  <si>
    <t>TXN505155</t>
  </si>
  <si>
    <t>TXN505156</t>
  </si>
  <si>
    <t>TXN505157</t>
  </si>
  <si>
    <t>TXN505158</t>
  </si>
  <si>
    <t>TXN505159</t>
  </si>
  <si>
    <t>TXN505160</t>
  </si>
  <si>
    <t>TXN505161</t>
  </si>
  <si>
    <t>TXN505162</t>
  </si>
  <si>
    <t>TXN505163</t>
  </si>
  <si>
    <t>TXN505164</t>
  </si>
  <si>
    <t>TXN505165</t>
  </si>
  <si>
    <t>TXN505166</t>
  </si>
  <si>
    <t>TXN505167</t>
  </si>
  <si>
    <t>TXN505168</t>
  </si>
  <si>
    <t>TXN505169</t>
  </si>
  <si>
    <t>TXN505170</t>
  </si>
  <si>
    <t>TXN505171</t>
  </si>
  <si>
    <t>TXN505172</t>
  </si>
  <si>
    <t>TXN505173</t>
  </si>
  <si>
    <t>TXN505174</t>
  </si>
  <si>
    <t>TXN505175</t>
  </si>
  <si>
    <t>TXN505176</t>
  </si>
  <si>
    <t>TXN505177</t>
  </si>
  <si>
    <t>TXN505178</t>
  </si>
  <si>
    <t>TXN505179</t>
  </si>
  <si>
    <t>TXN505180</t>
  </si>
  <si>
    <t>TXN505181</t>
  </si>
  <si>
    <t>TXN505182</t>
  </si>
  <si>
    <t>TXN505183</t>
  </si>
  <si>
    <t>TXN505184</t>
  </si>
  <si>
    <t>TXN505185</t>
  </si>
  <si>
    <t>TXN505186</t>
  </si>
  <si>
    <t>TXN505187</t>
  </si>
  <si>
    <t>TXN505188</t>
  </si>
  <si>
    <t>TXN505189</t>
  </si>
  <si>
    <t>TXN505190</t>
  </si>
  <si>
    <t>TXN505191</t>
  </si>
  <si>
    <t>TXN505192</t>
  </si>
  <si>
    <t>TXN505193</t>
  </si>
  <si>
    <t>TXN505194</t>
  </si>
  <si>
    <t>TXN505195</t>
  </si>
  <si>
    <t>TXN505196</t>
  </si>
  <si>
    <t>TXN505197</t>
  </si>
  <si>
    <t>TXN505198</t>
  </si>
  <si>
    <t>TXN505199</t>
  </si>
  <si>
    <t>TXN505200</t>
  </si>
  <si>
    <t>TXN505201</t>
  </si>
  <si>
    <t>TXN505202</t>
  </si>
  <si>
    <t>TXN505203</t>
  </si>
  <si>
    <t>TXN505204</t>
  </si>
  <si>
    <t>TXN505205</t>
  </si>
  <si>
    <t>TXN505206</t>
  </si>
  <si>
    <t>TXN505207</t>
  </si>
  <si>
    <t>TXN505208</t>
  </si>
  <si>
    <t>TXN505209</t>
  </si>
  <si>
    <t>TXN505210</t>
  </si>
  <si>
    <t>TXN505211</t>
  </si>
  <si>
    <t>TXN505212</t>
  </si>
  <si>
    <t>TXN505213</t>
  </si>
  <si>
    <t>TXN505214</t>
  </si>
  <si>
    <t>TXN505215</t>
  </si>
  <si>
    <t>TXN505216</t>
  </si>
  <si>
    <t>TXN505217</t>
  </si>
  <si>
    <t>TXN505218</t>
  </si>
  <si>
    <t>TXN505219</t>
  </si>
  <si>
    <t>TXN505220</t>
  </si>
  <si>
    <t>TXN505221</t>
  </si>
  <si>
    <t>TXN505222</t>
  </si>
  <si>
    <t>TXN505223</t>
  </si>
  <si>
    <t>TXN505224</t>
  </si>
  <si>
    <t>TXN505225</t>
  </si>
  <si>
    <t>TXN505226</t>
  </si>
  <si>
    <t>TXN505227</t>
  </si>
  <si>
    <t>TXN505228</t>
  </si>
  <si>
    <t>TXN505229</t>
  </si>
  <si>
    <t>TXN505230</t>
  </si>
  <si>
    <t>TXN505231</t>
  </si>
  <si>
    <t>TXN505232</t>
  </si>
  <si>
    <t>TXN505233</t>
  </si>
  <si>
    <t>TXN505234</t>
  </si>
  <si>
    <t>TXN505235</t>
  </si>
  <si>
    <t>TXN505236</t>
  </si>
  <si>
    <t>TXN505237</t>
  </si>
  <si>
    <t>TXN505238</t>
  </si>
  <si>
    <t>TXN505239</t>
  </si>
  <si>
    <t>TXN505240</t>
  </si>
  <si>
    <t>TXN505241</t>
  </si>
  <si>
    <t>TXN505242</t>
  </si>
  <si>
    <t>TXN505243</t>
  </si>
  <si>
    <t>TXN505244</t>
  </si>
  <si>
    <t>TXN505245</t>
  </si>
  <si>
    <t>TXN505246</t>
  </si>
  <si>
    <t>TXN505247</t>
  </si>
  <si>
    <t>TXN505248</t>
  </si>
  <si>
    <t>TXN505249</t>
  </si>
  <si>
    <t>TXN505250</t>
  </si>
  <si>
    <t>TXN505251</t>
  </si>
  <si>
    <t>TXN505252</t>
  </si>
  <si>
    <t>TXN505253</t>
  </si>
  <si>
    <t>TXN505254</t>
  </si>
  <si>
    <t>TXN505255</t>
  </si>
  <si>
    <t>TXN505256</t>
  </si>
  <si>
    <t>TXN505257</t>
  </si>
  <si>
    <t>TXN505258</t>
  </si>
  <si>
    <t>TXN505259</t>
  </si>
  <si>
    <t>TXN505260</t>
  </si>
  <si>
    <t>TXN505261</t>
  </si>
  <si>
    <t>TXN505262</t>
  </si>
  <si>
    <t>TXN505263</t>
  </si>
  <si>
    <t>TXN505264</t>
  </si>
  <si>
    <t>TXN505265</t>
  </si>
  <si>
    <t>TXN505266</t>
  </si>
  <si>
    <t>TXN505267</t>
  </si>
  <si>
    <t>TXN505268</t>
  </si>
  <si>
    <t>TXN505269</t>
  </si>
  <si>
    <t>TXN505270</t>
  </si>
  <si>
    <t>TXN505271</t>
  </si>
  <si>
    <t>TXN505272</t>
  </si>
  <si>
    <t>TXN505273</t>
  </si>
  <si>
    <t>TXN505274</t>
  </si>
  <si>
    <t>TXN505275</t>
  </si>
  <si>
    <t>TXN505276</t>
  </si>
  <si>
    <t>TXN505277</t>
  </si>
  <si>
    <t>TXN505278</t>
  </si>
  <si>
    <t>TXN505279</t>
  </si>
  <si>
    <t>TXN505280</t>
  </si>
  <si>
    <t>TXN505281</t>
  </si>
  <si>
    <t>TXN505282</t>
  </si>
  <si>
    <t>TXN505283</t>
  </si>
  <si>
    <t>TXN505284</t>
  </si>
  <si>
    <t>TXN505285</t>
  </si>
  <si>
    <t>TXN505286</t>
  </si>
  <si>
    <t>TXN505287</t>
  </si>
  <si>
    <t>TXN505288</t>
  </si>
  <si>
    <t>TXN505289</t>
  </si>
  <si>
    <t>TXN505290</t>
  </si>
  <si>
    <t>TXN505291</t>
  </si>
  <si>
    <t>TXN505292</t>
  </si>
  <si>
    <t>TXN505293</t>
  </si>
  <si>
    <t>TXN505294</t>
  </si>
  <si>
    <t>TXN505295</t>
  </si>
  <si>
    <t>TXN505296</t>
  </si>
  <si>
    <t>TXN505297</t>
  </si>
  <si>
    <t>TXN505298</t>
  </si>
  <si>
    <t>TXN505299</t>
  </si>
  <si>
    <t>TXN505300</t>
  </si>
  <si>
    <t>TXN505301</t>
  </si>
  <si>
    <t>TXN505302</t>
  </si>
  <si>
    <t>TXN505303</t>
  </si>
  <si>
    <t>TXN505304</t>
  </si>
  <si>
    <t>TXN505305</t>
  </si>
  <si>
    <t>TXN505306</t>
  </si>
  <si>
    <t>TXN505307</t>
  </si>
  <si>
    <t>TXN505308</t>
  </si>
  <si>
    <t>TXN505309</t>
  </si>
  <si>
    <t>TXN505310</t>
  </si>
  <si>
    <t>TXN505311</t>
  </si>
  <si>
    <t>TXN505312</t>
  </si>
  <si>
    <t>TXN505313</t>
  </si>
  <si>
    <t>TXN505314</t>
  </si>
  <si>
    <t>TXN505315</t>
  </si>
  <si>
    <t>TXN505316</t>
  </si>
  <si>
    <t>TXN505317</t>
  </si>
  <si>
    <t>TXN505318</t>
  </si>
  <si>
    <t>TXN505319</t>
  </si>
  <si>
    <t>TXN505320</t>
  </si>
  <si>
    <t>TXN505321</t>
  </si>
  <si>
    <t>TXN505322</t>
  </si>
  <si>
    <t>TXN505323</t>
  </si>
  <si>
    <t>TXN505324</t>
  </si>
  <si>
    <t>TXN505325</t>
  </si>
  <si>
    <t>TXN505326</t>
  </si>
  <si>
    <t>TXN505327</t>
  </si>
  <si>
    <t>TXN505328</t>
  </si>
  <si>
    <t>TXN505329</t>
  </si>
  <si>
    <t>TXN505330</t>
  </si>
  <si>
    <t>TXN505331</t>
  </si>
  <si>
    <t>TXN505332</t>
  </si>
  <si>
    <t>TXN505333</t>
  </si>
  <si>
    <t>TXN505334</t>
  </si>
  <si>
    <t>TXN505335</t>
  </si>
  <si>
    <t>TXN505336</t>
  </si>
  <si>
    <t>TXN505337</t>
  </si>
  <si>
    <t>TXN505338</t>
  </si>
  <si>
    <t>TXN505339</t>
  </si>
  <si>
    <t>TXN505340</t>
  </si>
  <si>
    <t>TXN505341</t>
  </si>
  <si>
    <t>TXN505342</t>
  </si>
  <si>
    <t>TXN505343</t>
  </si>
  <si>
    <t>TXN505344</t>
  </si>
  <si>
    <t>TXN505345</t>
  </si>
  <si>
    <t>TXN505346</t>
  </si>
  <si>
    <t>TXN505347</t>
  </si>
  <si>
    <t>TXN505348</t>
  </si>
  <si>
    <t>TXN505349</t>
  </si>
  <si>
    <t>TXN505350</t>
  </si>
  <si>
    <t>TXN505351</t>
  </si>
  <si>
    <t>TXN505352</t>
  </si>
  <si>
    <t>TXN505353</t>
  </si>
  <si>
    <t>TXN505354</t>
  </si>
  <si>
    <t>TXN505355</t>
  </si>
  <si>
    <t>TXN505356</t>
  </si>
  <si>
    <t>TXN505357</t>
  </si>
  <si>
    <t>TXN505358</t>
  </si>
  <si>
    <t>TXN505359</t>
  </si>
  <si>
    <t>TXN505360</t>
  </si>
  <si>
    <t>TXN505361</t>
  </si>
  <si>
    <t>TXN505362</t>
  </si>
  <si>
    <t>TXN505363</t>
  </si>
  <si>
    <t>TXN505364</t>
  </si>
  <si>
    <t>TXN505365</t>
  </si>
  <si>
    <t>TXN505366</t>
  </si>
  <si>
    <t>TXN505367</t>
  </si>
  <si>
    <t>TXN505368</t>
  </si>
  <si>
    <t>TXN505369</t>
  </si>
  <si>
    <t>TXN505370</t>
  </si>
  <si>
    <t>TXN505371</t>
  </si>
  <si>
    <t>TXN505372</t>
  </si>
  <si>
    <t>TXN505373</t>
  </si>
  <si>
    <t>TXN505374</t>
  </si>
  <si>
    <t>TXN505375</t>
  </si>
  <si>
    <t>TXN505376</t>
  </si>
  <si>
    <t>TXN505377</t>
  </si>
  <si>
    <t>TXN505378</t>
  </si>
  <si>
    <t>TXN505379</t>
  </si>
  <si>
    <t>TXN505380</t>
  </si>
  <si>
    <t>TXN505381</t>
  </si>
  <si>
    <t>TXN505382</t>
  </si>
  <si>
    <t>TXN505383</t>
  </si>
  <si>
    <t>TXN505384</t>
  </si>
  <si>
    <t>TXN505385</t>
  </si>
  <si>
    <t>TXN505386</t>
  </si>
  <si>
    <t>TXN505387</t>
  </si>
  <si>
    <t>TXN505388</t>
  </si>
  <si>
    <t>TXN505389</t>
  </si>
  <si>
    <t>TXN505390</t>
  </si>
  <si>
    <t>TXN505391</t>
  </si>
  <si>
    <t>TXN505392</t>
  </si>
  <si>
    <t>TXN505393</t>
  </si>
  <si>
    <t>TXN505394</t>
  </si>
  <si>
    <t>TXN505395</t>
  </si>
  <si>
    <t>TXN505396</t>
  </si>
  <si>
    <t>TXN505397</t>
  </si>
  <si>
    <t>TXN505398</t>
  </si>
  <si>
    <t>TXN505399</t>
  </si>
  <si>
    <t>TXN505400</t>
  </si>
  <si>
    <t>TXN505401</t>
  </si>
  <si>
    <t>TXN505402</t>
  </si>
  <si>
    <t>TXN505403</t>
  </si>
  <si>
    <t>TXN505404</t>
  </si>
  <si>
    <t>TXN505405</t>
  </si>
  <si>
    <t>TXN505406</t>
  </si>
  <si>
    <t>TXN505407</t>
  </si>
  <si>
    <t>TXN505408</t>
  </si>
  <si>
    <t>TXN505409</t>
  </si>
  <si>
    <t>TXN505410</t>
  </si>
  <si>
    <t>TXN505411</t>
  </si>
  <si>
    <t>TXN505412</t>
  </si>
  <si>
    <t>TXN505413</t>
  </si>
  <si>
    <t>TXN505414</t>
  </si>
  <si>
    <t>TXN505415</t>
  </si>
  <si>
    <t>TXN505416</t>
  </si>
  <si>
    <t>TXN505417</t>
  </si>
  <si>
    <t>TXN505418</t>
  </si>
  <si>
    <t>TXN505419</t>
  </si>
  <si>
    <t>TXN505420</t>
  </si>
  <si>
    <t>TXN505421</t>
  </si>
  <si>
    <t>TXN505422</t>
  </si>
  <si>
    <t>TXN505423</t>
  </si>
  <si>
    <t>TXN505424</t>
  </si>
  <si>
    <t>TXN505425</t>
  </si>
  <si>
    <t>TXN505426</t>
  </si>
  <si>
    <t>TXN505427</t>
  </si>
  <si>
    <t>TXN505428</t>
  </si>
  <si>
    <t>TXN505429</t>
  </si>
  <si>
    <t>TXN505430</t>
  </si>
  <si>
    <t>TXN505431</t>
  </si>
  <si>
    <t>TXN505432</t>
  </si>
  <si>
    <t>TXN505433</t>
  </si>
  <si>
    <t>TXN505434</t>
  </si>
  <si>
    <t>TXN505435</t>
  </si>
  <si>
    <t>TXN505436</t>
  </si>
  <si>
    <t>TXN505437</t>
  </si>
  <si>
    <t>TXN505438</t>
  </si>
  <si>
    <t>TXN505439</t>
  </si>
  <si>
    <t>TXN505440</t>
  </si>
  <si>
    <t>TXN505441</t>
  </si>
  <si>
    <t>TXN505442</t>
  </si>
  <si>
    <t>TXN505443</t>
  </si>
  <si>
    <t>TXN505444</t>
  </si>
  <si>
    <t>TXN505445</t>
  </si>
  <si>
    <t>TXN505446</t>
  </si>
  <si>
    <t>TXN505447</t>
  </si>
  <si>
    <t>TXN505448</t>
  </si>
  <si>
    <t>TXN505449</t>
  </si>
  <si>
    <t>TXN505450</t>
  </si>
  <si>
    <t>TXN505451</t>
  </si>
  <si>
    <t>TXN505452</t>
  </si>
  <si>
    <t>TXN505453</t>
  </si>
  <si>
    <t>TXN505454</t>
  </si>
  <si>
    <t>TXN505455</t>
  </si>
  <si>
    <t>TXN505456</t>
  </si>
  <si>
    <t>TXN505457</t>
  </si>
  <si>
    <t>TXN505458</t>
  </si>
  <si>
    <t>TXN505459</t>
  </si>
  <si>
    <t>TXN505460</t>
  </si>
  <si>
    <t>TXN505461</t>
  </si>
  <si>
    <t>TXN505462</t>
  </si>
  <si>
    <t>TXN505463</t>
  </si>
  <si>
    <t>TXN505464</t>
  </si>
  <si>
    <t>TXN505465</t>
  </si>
  <si>
    <t>TXN505466</t>
  </si>
  <si>
    <t>TXN505467</t>
  </si>
  <si>
    <t>TXN505468</t>
  </si>
  <si>
    <t>TXN505469</t>
  </si>
  <si>
    <t>TXN505470</t>
  </si>
  <si>
    <t>TXN505471</t>
  </si>
  <si>
    <t>TXN505472</t>
  </si>
  <si>
    <t>TXN505473</t>
  </si>
  <si>
    <t>TXN505474</t>
  </si>
  <si>
    <t>TXN505475</t>
  </si>
  <si>
    <t>TXN505476</t>
  </si>
  <si>
    <t>TXN505477</t>
  </si>
  <si>
    <t>TXN505478</t>
  </si>
  <si>
    <t>TXN505479</t>
  </si>
  <si>
    <t>TXN505480</t>
  </si>
  <si>
    <t>TXN505481</t>
  </si>
  <si>
    <t>TXN505482</t>
  </si>
  <si>
    <t>TXN505483</t>
  </si>
  <si>
    <t>TXN505484</t>
  </si>
  <si>
    <t>TXN505485</t>
  </si>
  <si>
    <t>TXN505486</t>
  </si>
  <si>
    <t>TXN505487</t>
  </si>
  <si>
    <t>TXN505488</t>
  </si>
  <si>
    <t>TXN505489</t>
  </si>
  <si>
    <t>TXN505490</t>
  </si>
  <si>
    <t>TXN505491</t>
  </si>
  <si>
    <t>TXN505492</t>
  </si>
  <si>
    <t>TXN505493</t>
  </si>
  <si>
    <t>TXN505494</t>
  </si>
  <si>
    <t>TXN505495</t>
  </si>
  <si>
    <t>TXN505496</t>
  </si>
  <si>
    <t>TXN505497</t>
  </si>
  <si>
    <t>TXN505498</t>
  </si>
  <si>
    <t>TXN505499</t>
  </si>
  <si>
    <t>TXN505500</t>
  </si>
  <si>
    <t>TXN505501</t>
  </si>
  <si>
    <t>TXN505502</t>
  </si>
  <si>
    <t>TXN505503</t>
  </si>
  <si>
    <t>TXN505504</t>
  </si>
  <si>
    <t>TXN505505</t>
  </si>
  <si>
    <t>TXN505506</t>
  </si>
  <si>
    <t>TXN505507</t>
  </si>
  <si>
    <t>TXN505508</t>
  </si>
  <si>
    <t>TXN505509</t>
  </si>
  <si>
    <t>TXN505510</t>
  </si>
  <si>
    <t>TXN505511</t>
  </si>
  <si>
    <t>TXN505512</t>
  </si>
  <si>
    <t>TXN505513</t>
  </si>
  <si>
    <t>TXN505514</t>
  </si>
  <si>
    <t>TXN505515</t>
  </si>
  <si>
    <t>TXN505516</t>
  </si>
  <si>
    <t>TXN505517</t>
  </si>
  <si>
    <t>TXN505518</t>
  </si>
  <si>
    <t>TXN505519</t>
  </si>
  <si>
    <t>TXN505520</t>
  </si>
  <si>
    <t>TXN505521</t>
  </si>
  <si>
    <t>TXN505522</t>
  </si>
  <si>
    <t>TXN505523</t>
  </si>
  <si>
    <t>TXN505524</t>
  </si>
  <si>
    <t>TXN505525</t>
  </si>
  <si>
    <t>TXN505526</t>
  </si>
  <si>
    <t>TXN505527</t>
  </si>
  <si>
    <t>TXN505528</t>
  </si>
  <si>
    <t>TXN505529</t>
  </si>
  <si>
    <t>TXN505530</t>
  </si>
  <si>
    <t>TXN505531</t>
  </si>
  <si>
    <t>TXN505532</t>
  </si>
  <si>
    <t>TXN505533</t>
  </si>
  <si>
    <t>TXN505534</t>
  </si>
  <si>
    <t>TXN505535</t>
  </si>
  <si>
    <t>TXN505536</t>
  </si>
  <si>
    <t>TXN505537</t>
  </si>
  <si>
    <t>TXN505538</t>
  </si>
  <si>
    <t>TXN505539</t>
  </si>
  <si>
    <t>TXN505540</t>
  </si>
  <si>
    <t>TXN505541</t>
  </si>
  <si>
    <t>TXN505542</t>
  </si>
  <si>
    <t>TXN505543</t>
  </si>
  <si>
    <t>TXN505544</t>
  </si>
  <si>
    <t>TXN505545</t>
  </si>
  <si>
    <t>TXN505546</t>
  </si>
  <si>
    <t>TXN505547</t>
  </si>
  <si>
    <t>TXN505548</t>
  </si>
  <si>
    <t>TXN505549</t>
  </si>
  <si>
    <t>TXN505550</t>
  </si>
  <si>
    <t>TXN505551</t>
  </si>
  <si>
    <t>TXN505552</t>
  </si>
  <si>
    <t>TXN505553</t>
  </si>
  <si>
    <t>TXN505554</t>
  </si>
  <si>
    <t>TXN505555</t>
  </si>
  <si>
    <t>TXN505556</t>
  </si>
  <si>
    <t>TXN505557</t>
  </si>
  <si>
    <t>TXN505558</t>
  </si>
  <si>
    <t>TXN505559</t>
  </si>
  <si>
    <t>TXN505560</t>
  </si>
  <si>
    <t>TXN505561</t>
  </si>
  <si>
    <t>TXN505562</t>
  </si>
  <si>
    <t>TXN505563</t>
  </si>
  <si>
    <t>TXN505564</t>
  </si>
  <si>
    <t>TXN505565</t>
  </si>
  <si>
    <t>TXN505566</t>
  </si>
  <si>
    <t>TXN505567</t>
  </si>
  <si>
    <t>TXN505568</t>
  </si>
  <si>
    <t>TXN505569</t>
  </si>
  <si>
    <t>TXN505570</t>
  </si>
  <si>
    <t>TXN505571</t>
  </si>
  <si>
    <t>TXN505572</t>
  </si>
  <si>
    <t>TXN505573</t>
  </si>
  <si>
    <t>TXN505574</t>
  </si>
  <si>
    <t>TXN505575</t>
  </si>
  <si>
    <t>TXN505576</t>
  </si>
  <si>
    <t>TXN505577</t>
  </si>
  <si>
    <t>TXN505578</t>
  </si>
  <si>
    <t>TXN505579</t>
  </si>
  <si>
    <t>TXN505580</t>
  </si>
  <si>
    <t>TXN505581</t>
  </si>
  <si>
    <t>TXN505582</t>
  </si>
  <si>
    <t>TXN505583</t>
  </si>
  <si>
    <t>TXN505584</t>
  </si>
  <si>
    <t>TXN505585</t>
  </si>
  <si>
    <t>TXN505586</t>
  </si>
  <si>
    <t>TXN505587</t>
  </si>
  <si>
    <t>TXN505588</t>
  </si>
  <si>
    <t>TXN505589</t>
  </si>
  <si>
    <t>TXN505590</t>
  </si>
  <si>
    <t>TXN505591</t>
  </si>
  <si>
    <t>TXN505592</t>
  </si>
  <si>
    <t>TXN505593</t>
  </si>
  <si>
    <t>TXN505594</t>
  </si>
  <si>
    <t>TXN505595</t>
  </si>
  <si>
    <t>TXN505596</t>
  </si>
  <si>
    <t>TXN505597</t>
  </si>
  <si>
    <t>TXN505598</t>
  </si>
  <si>
    <t>TXN505599</t>
  </si>
  <si>
    <t>TXN505600</t>
  </si>
  <si>
    <t>TXN505601</t>
  </si>
  <si>
    <t>TXN505602</t>
  </si>
  <si>
    <t>TXN505603</t>
  </si>
  <si>
    <t>TXN505604</t>
  </si>
  <si>
    <t>TXN505605</t>
  </si>
  <si>
    <t>TXN505606</t>
  </si>
  <si>
    <t>TXN505607</t>
  </si>
  <si>
    <t>TXN505608</t>
  </si>
  <si>
    <t>TXN505609</t>
  </si>
  <si>
    <t>TXN505610</t>
  </si>
  <si>
    <t>TXN505611</t>
  </si>
  <si>
    <t>TXN505612</t>
  </si>
  <si>
    <t>TXN505613</t>
  </si>
  <si>
    <t>TXN505614</t>
  </si>
  <si>
    <t>TXN505615</t>
  </si>
  <si>
    <t>TXN505616</t>
  </si>
  <si>
    <t>TXN505617</t>
  </si>
  <si>
    <t>TXN505618</t>
  </si>
  <si>
    <t>TXN505619</t>
  </si>
  <si>
    <t>TXN505620</t>
  </si>
  <si>
    <t>TXN505621</t>
  </si>
  <si>
    <t>TXN505622</t>
  </si>
  <si>
    <t>TXN505623</t>
  </si>
  <si>
    <t>TXN505624</t>
  </si>
  <si>
    <t>TXN505625</t>
  </si>
  <si>
    <t>TXN505626</t>
  </si>
  <si>
    <t>TXN505627</t>
  </si>
  <si>
    <t>TXN505628</t>
  </si>
  <si>
    <t>TXN505629</t>
  </si>
  <si>
    <t>TXN505630</t>
  </si>
  <si>
    <t>TXN505631</t>
  </si>
  <si>
    <t>TXN505632</t>
  </si>
  <si>
    <t>TXN505633</t>
  </si>
  <si>
    <t>TXN505634</t>
  </si>
  <si>
    <t>TXN505635</t>
  </si>
  <si>
    <t>TXN505636</t>
  </si>
  <si>
    <t>TXN505637</t>
  </si>
  <si>
    <t>TXN505638</t>
  </si>
  <si>
    <t>TXN505639</t>
  </si>
  <si>
    <t>TXN505640</t>
  </si>
  <si>
    <t>TXN505641</t>
  </si>
  <si>
    <t>TXN505642</t>
  </si>
  <si>
    <t>TXN505643</t>
  </si>
  <si>
    <t>TXN505644</t>
  </si>
  <si>
    <t>TXN505645</t>
  </si>
  <si>
    <t>TXN505646</t>
  </si>
  <si>
    <t>TXN505647</t>
  </si>
  <si>
    <t>TXN505648</t>
  </si>
  <si>
    <t>TXN505649</t>
  </si>
  <si>
    <t>TXN505650</t>
  </si>
  <si>
    <t>TXN505651</t>
  </si>
  <si>
    <t>TXN505652</t>
  </si>
  <si>
    <t>TXN505653</t>
  </si>
  <si>
    <t>TXN505654</t>
  </si>
  <si>
    <t>TXN505655</t>
  </si>
  <si>
    <t>TXN505656</t>
  </si>
  <si>
    <t>TXN505657</t>
  </si>
  <si>
    <t>TXN505658</t>
  </si>
  <si>
    <t>TXN505659</t>
  </si>
  <si>
    <t>TXN505660</t>
  </si>
  <si>
    <t>TXN505661</t>
  </si>
  <si>
    <t>TXN505662</t>
  </si>
  <si>
    <t>TXN505663</t>
  </si>
  <si>
    <t>TXN505664</t>
  </si>
  <si>
    <t>TXN505665</t>
  </si>
  <si>
    <t>TXN505666</t>
  </si>
  <si>
    <t>TXN505667</t>
  </si>
  <si>
    <t>TXN505668</t>
  </si>
  <si>
    <t>TXN505669</t>
  </si>
  <si>
    <t>TXN505670</t>
  </si>
  <si>
    <t>TXN505671</t>
  </si>
  <si>
    <t>TXN505672</t>
  </si>
  <si>
    <t>TXN505673</t>
  </si>
  <si>
    <t>TXN505674</t>
  </si>
  <si>
    <t>TXN505675</t>
  </si>
  <si>
    <t>TXN505676</t>
  </si>
  <si>
    <t>TXN505677</t>
  </si>
  <si>
    <t>TXN505678</t>
  </si>
  <si>
    <t>TXN505679</t>
  </si>
  <si>
    <t>TXN505680</t>
  </si>
  <si>
    <t>TXN505681</t>
  </si>
  <si>
    <t>TXN505682</t>
  </si>
  <si>
    <t>TXN505683</t>
  </si>
  <si>
    <t>TXN505684</t>
  </si>
  <si>
    <t>TXN505685</t>
  </si>
  <si>
    <t>TXN505686</t>
  </si>
  <si>
    <t>TXN505687</t>
  </si>
  <si>
    <t>TXN505688</t>
  </si>
  <si>
    <t>TXN505689</t>
  </si>
  <si>
    <t>TXN505690</t>
  </si>
  <si>
    <t>TXN505691</t>
  </si>
  <si>
    <t>TXN505692</t>
  </si>
  <si>
    <t>TXN505693</t>
  </si>
  <si>
    <t>TXN505694</t>
  </si>
  <si>
    <t>TXN505695</t>
  </si>
  <si>
    <t>TXN505696</t>
  </si>
  <si>
    <t>TXN505697</t>
  </si>
  <si>
    <t>TXN505698</t>
  </si>
  <si>
    <t>TXN505699</t>
  </si>
  <si>
    <t>TXN505700</t>
  </si>
  <si>
    <t>TXN505701</t>
  </si>
  <si>
    <t>TXN505702</t>
  </si>
  <si>
    <t>TXN505703</t>
  </si>
  <si>
    <t>TXN505704</t>
  </si>
  <si>
    <t>TXN505705</t>
  </si>
  <si>
    <t>TXN505706</t>
  </si>
  <si>
    <t>TXN505707</t>
  </si>
  <si>
    <t>TXN505708</t>
  </si>
  <si>
    <t>TXN505709</t>
  </si>
  <si>
    <t>TXN505710</t>
  </si>
  <si>
    <t>TXN505711</t>
  </si>
  <si>
    <t>TXN505712</t>
  </si>
  <si>
    <t>TXN505713</t>
  </si>
  <si>
    <t>TXN505714</t>
  </si>
  <si>
    <t>TXN505715</t>
  </si>
  <si>
    <t>TXN505716</t>
  </si>
  <si>
    <t>TXN505717</t>
  </si>
  <si>
    <t>TXN505718</t>
  </si>
  <si>
    <t>TXN505719</t>
  </si>
  <si>
    <t>TXN505720</t>
  </si>
  <si>
    <t>TXN505721</t>
  </si>
  <si>
    <t>TXN505722</t>
  </si>
  <si>
    <t>TXN505723</t>
  </si>
  <si>
    <t>TXN505724</t>
  </si>
  <si>
    <t>TXN505725</t>
  </si>
  <si>
    <t>TXN505726</t>
  </si>
  <si>
    <t>TXN505727</t>
  </si>
  <si>
    <t>TXN505728</t>
  </si>
  <si>
    <t>TXN505729</t>
  </si>
  <si>
    <t>TXN505730</t>
  </si>
  <si>
    <t>TXN505731</t>
  </si>
  <si>
    <t>TXN505732</t>
  </si>
  <si>
    <t>TXN505733</t>
  </si>
  <si>
    <t>TXN505734</t>
  </si>
  <si>
    <t>TXN505735</t>
  </si>
  <si>
    <t>TXN505736</t>
  </si>
  <si>
    <t>TXN505737</t>
  </si>
  <si>
    <t>TXN505738</t>
  </si>
  <si>
    <t>TXN505739</t>
  </si>
  <si>
    <t>TXN505740</t>
  </si>
  <si>
    <t>TXN505741</t>
  </si>
  <si>
    <t>TXN505742</t>
  </si>
  <si>
    <t>TXN505743</t>
  </si>
  <si>
    <t>TXN505744</t>
  </si>
  <si>
    <t>TXN505745</t>
  </si>
  <si>
    <t>TXN505746</t>
  </si>
  <si>
    <t>TXN505747</t>
  </si>
  <si>
    <t>TXN505748</t>
  </si>
  <si>
    <t>TXN505749</t>
  </si>
  <si>
    <t>TXN505750</t>
  </si>
  <si>
    <t>TXN505751</t>
  </si>
  <si>
    <t>TXN505752</t>
  </si>
  <si>
    <t>TXN505753</t>
  </si>
  <si>
    <t>TXN505754</t>
  </si>
  <si>
    <t>TXN505755</t>
  </si>
  <si>
    <t>TXN505756</t>
  </si>
  <si>
    <t>TXN505757</t>
  </si>
  <si>
    <t>TXN505758</t>
  </si>
  <si>
    <t>TXN505759</t>
  </si>
  <si>
    <t>TXN505760</t>
  </si>
  <si>
    <t>TXN505761</t>
  </si>
  <si>
    <t>TXN505762</t>
  </si>
  <si>
    <t>TXN505763</t>
  </si>
  <si>
    <t>TXN505764</t>
  </si>
  <si>
    <t>TXN505765</t>
  </si>
  <si>
    <t>TXN505766</t>
  </si>
  <si>
    <t>TXN505767</t>
  </si>
  <si>
    <t>TXN505768</t>
  </si>
  <si>
    <t>TXN505769</t>
  </si>
  <si>
    <t>TXN505770</t>
  </si>
  <si>
    <t>TXN505771</t>
  </si>
  <si>
    <t>TXN505772</t>
  </si>
  <si>
    <t>TXN505773</t>
  </si>
  <si>
    <t>TXN505774</t>
  </si>
  <si>
    <t>TXN505775</t>
  </si>
  <si>
    <t>TXN505776</t>
  </si>
  <si>
    <t>TXN505777</t>
  </si>
  <si>
    <t>TXN505778</t>
  </si>
  <si>
    <t>TXN505779</t>
  </si>
  <si>
    <t>TXN505780</t>
  </si>
  <si>
    <t>TXN505781</t>
  </si>
  <si>
    <t>TXN505782</t>
  </si>
  <si>
    <t>TXN505783</t>
  </si>
  <si>
    <t>TXN505784</t>
  </si>
  <si>
    <t>TXN505785</t>
  </si>
  <si>
    <t>TXN505786</t>
  </si>
  <si>
    <t>TXN505787</t>
  </si>
  <si>
    <t>TXN505788</t>
  </si>
  <si>
    <t>TXN505789</t>
  </si>
  <si>
    <t>TXN505790</t>
  </si>
  <si>
    <t>TXN505791</t>
  </si>
  <si>
    <t>TXN505792</t>
  </si>
  <si>
    <t>TXN505793</t>
  </si>
  <si>
    <t>TXN505794</t>
  </si>
  <si>
    <t>TXN505795</t>
  </si>
  <si>
    <t>TXN505796</t>
  </si>
  <si>
    <t>TXN505797</t>
  </si>
  <si>
    <t>TXN505798</t>
  </si>
  <si>
    <t>TXN505799</t>
  </si>
  <si>
    <t>TXN505800</t>
  </si>
  <si>
    <t>TXN505801</t>
  </si>
  <si>
    <t>TXN505802</t>
  </si>
  <si>
    <t>TXN505803</t>
  </si>
  <si>
    <t>TXN505804</t>
  </si>
  <si>
    <t>TXN505805</t>
  </si>
  <si>
    <t>TXN505806</t>
  </si>
  <si>
    <t>TXN505807</t>
  </si>
  <si>
    <t>TXN505808</t>
  </si>
  <si>
    <t>TXN505809</t>
  </si>
  <si>
    <t>TXN505810</t>
  </si>
  <si>
    <t>TXN505811</t>
  </si>
  <si>
    <t>TXN505812</t>
  </si>
  <si>
    <t>TXN505813</t>
  </si>
  <si>
    <t>TXN505814</t>
  </si>
  <si>
    <t>TXN505815</t>
  </si>
  <si>
    <t>TXN505816</t>
  </si>
  <si>
    <t>TXN505817</t>
  </si>
  <si>
    <t>TXN505818</t>
  </si>
  <si>
    <t>TXN505819</t>
  </si>
  <si>
    <t>TXN505820</t>
  </si>
  <si>
    <t>TXN505821</t>
  </si>
  <si>
    <t>TXN505822</t>
  </si>
  <si>
    <t>TXN505823</t>
  </si>
  <si>
    <t>TXN505824</t>
  </si>
  <si>
    <t>TXN505825</t>
  </si>
  <si>
    <t>TXN505826</t>
  </si>
  <si>
    <t>TXN505827</t>
  </si>
  <si>
    <t>TXN505828</t>
  </si>
  <si>
    <t>TXN505829</t>
  </si>
  <si>
    <t>TXN505830</t>
  </si>
  <si>
    <t>TXN505831</t>
  </si>
  <si>
    <t>TXN505832</t>
  </si>
  <si>
    <t>TXN505833</t>
  </si>
  <si>
    <t>TXN505834</t>
  </si>
  <si>
    <t>TXN505835</t>
  </si>
  <si>
    <t>TXN505836</t>
  </si>
  <si>
    <t>TXN505837</t>
  </si>
  <si>
    <t>TXN505838</t>
  </si>
  <si>
    <t>TXN505839</t>
  </si>
  <si>
    <t>TXN505840</t>
  </si>
  <si>
    <t>TXN505841</t>
  </si>
  <si>
    <t>TXN505842</t>
  </si>
  <si>
    <t>TXN505843</t>
  </si>
  <si>
    <t>TXN505844</t>
  </si>
  <si>
    <t>TXN505845</t>
  </si>
  <si>
    <t>TXN505846</t>
  </si>
  <si>
    <t>TXN505847</t>
  </si>
  <si>
    <t>TXN505848</t>
  </si>
  <si>
    <t>TXN505849</t>
  </si>
  <si>
    <t>TXN505850</t>
  </si>
  <si>
    <t>TXN505851</t>
  </si>
  <si>
    <t>TXN505852</t>
  </si>
  <si>
    <t>TXN505853</t>
  </si>
  <si>
    <t>TXN505854</t>
  </si>
  <si>
    <t>TXN505855</t>
  </si>
  <si>
    <t>TXN505856</t>
  </si>
  <si>
    <t>TXN505857</t>
  </si>
  <si>
    <t>TXN505858</t>
  </si>
  <si>
    <t>TXN505859</t>
  </si>
  <si>
    <t>TXN505860</t>
  </si>
  <si>
    <t>TXN505861</t>
  </si>
  <si>
    <t>TXN505862</t>
  </si>
  <si>
    <t>TXN505863</t>
  </si>
  <si>
    <t>TXN505864</t>
  </si>
  <si>
    <t>TXN505865</t>
  </si>
  <si>
    <t>TXN505866</t>
  </si>
  <si>
    <t>TXN505867</t>
  </si>
  <si>
    <t>TXN505868</t>
  </si>
  <si>
    <t>TXN505869</t>
  </si>
  <si>
    <t>TXN505870</t>
  </si>
  <si>
    <t>TXN505871</t>
  </si>
  <si>
    <t>TXN505872</t>
  </si>
  <si>
    <t>TXN505873</t>
  </si>
  <si>
    <t>TXN505874</t>
  </si>
  <si>
    <t>TXN505875</t>
  </si>
  <si>
    <t>TXN505876</t>
  </si>
  <si>
    <t>TXN505877</t>
  </si>
  <si>
    <t>TXN505878</t>
  </si>
  <si>
    <t>TXN505879</t>
  </si>
  <si>
    <t>TXN505880</t>
  </si>
  <si>
    <t>TXN505881</t>
  </si>
  <si>
    <t>TXN505882</t>
  </si>
  <si>
    <t>TXN505883</t>
  </si>
  <si>
    <t>TXN505884</t>
  </si>
  <si>
    <t>TXN505885</t>
  </si>
  <si>
    <t>TXN505886</t>
  </si>
  <si>
    <t>TXN505887</t>
  </si>
  <si>
    <t>TXN505888</t>
  </si>
  <si>
    <t>TXN505889</t>
  </si>
  <si>
    <t>TXN505890</t>
  </si>
  <si>
    <t>TXN505891</t>
  </si>
  <si>
    <t>TXN505892</t>
  </si>
  <si>
    <t>TXN505893</t>
  </si>
  <si>
    <t>TXN505894</t>
  </si>
  <si>
    <t>TXN505895</t>
  </si>
  <si>
    <t>TXN505896</t>
  </si>
  <si>
    <t>TXN505897</t>
  </si>
  <si>
    <t>TXN505898</t>
  </si>
  <si>
    <t>TXN505899</t>
  </si>
  <si>
    <t>TXN505900</t>
  </si>
  <si>
    <t>TXN505901</t>
  </si>
  <si>
    <t>TXN505902</t>
  </si>
  <si>
    <t>TXN505903</t>
  </si>
  <si>
    <t>TXN505904</t>
  </si>
  <si>
    <t>TXN505905</t>
  </si>
  <si>
    <t>TXN505906</t>
  </si>
  <si>
    <t>TXN505907</t>
  </si>
  <si>
    <t>TXN505908</t>
  </si>
  <si>
    <t>TXN505909</t>
  </si>
  <si>
    <t>TXN505910</t>
  </si>
  <si>
    <t>TXN505911</t>
  </si>
  <si>
    <t>TXN505912</t>
  </si>
  <si>
    <t>TXN505913</t>
  </si>
  <si>
    <t>TXN505914</t>
  </si>
  <si>
    <t>TXN505915</t>
  </si>
  <si>
    <t>TXN505916</t>
  </si>
  <si>
    <t>TXN505917</t>
  </si>
  <si>
    <t>TXN505918</t>
  </si>
  <si>
    <t>TXN505919</t>
  </si>
  <si>
    <t>TXN505920</t>
  </si>
  <si>
    <t>TXN505921</t>
  </si>
  <si>
    <t>TXN505922</t>
  </si>
  <si>
    <t>TXN505923</t>
  </si>
  <si>
    <t>TXN505924</t>
  </si>
  <si>
    <t>TXN505925</t>
  </si>
  <si>
    <t>TXN505926</t>
  </si>
  <si>
    <t>TXN505927</t>
  </si>
  <si>
    <t>TXN505928</t>
  </si>
  <si>
    <t>TXN505929</t>
  </si>
  <si>
    <t>TXN505930</t>
  </si>
  <si>
    <t>TXN505931</t>
  </si>
  <si>
    <t>TXN505932</t>
  </si>
  <si>
    <t>TXN505933</t>
  </si>
  <si>
    <t>TXN505934</t>
  </si>
  <si>
    <t>TXN505935</t>
  </si>
  <si>
    <t>TXN505936</t>
  </si>
  <si>
    <t>TXN505937</t>
  </si>
  <si>
    <t>TXN505938</t>
  </si>
  <si>
    <t>TXN505939</t>
  </si>
  <si>
    <t>TXN505940</t>
  </si>
  <si>
    <t>TXN505941</t>
  </si>
  <si>
    <t>TXN505942</t>
  </si>
  <si>
    <t>TXN505943</t>
  </si>
  <si>
    <t>TXN505944</t>
  </si>
  <si>
    <t>TXN505945</t>
  </si>
  <si>
    <t>TXN505946</t>
  </si>
  <si>
    <t>TXN505947</t>
  </si>
  <si>
    <t>TXN505948</t>
  </si>
  <si>
    <t>TXN505949</t>
  </si>
  <si>
    <t>TXN505950</t>
  </si>
  <si>
    <t>TXN505951</t>
  </si>
  <si>
    <t>TXN505952</t>
  </si>
  <si>
    <t>TXN505953</t>
  </si>
  <si>
    <t>TXN505954</t>
  </si>
  <si>
    <t>TXN505955</t>
  </si>
  <si>
    <t>TXN505956</t>
  </si>
  <si>
    <t>TXN505957</t>
  </si>
  <si>
    <t>TXN505958</t>
  </si>
  <si>
    <t>TXN505959</t>
  </si>
  <si>
    <t>TXN505960</t>
  </si>
  <si>
    <t>TXN505961</t>
  </si>
  <si>
    <t>TXN505962</t>
  </si>
  <si>
    <t>TXN505963</t>
  </si>
  <si>
    <t>TXN505964</t>
  </si>
  <si>
    <t>TXN505965</t>
  </si>
  <si>
    <t>TXN505966</t>
  </si>
  <si>
    <t>TXN505967</t>
  </si>
  <si>
    <t>TXN505968</t>
  </si>
  <si>
    <t>TXN505969</t>
  </si>
  <si>
    <t>TXN505970</t>
  </si>
  <si>
    <t>TXN505971</t>
  </si>
  <si>
    <t>TXN505972</t>
  </si>
  <si>
    <t>TXN505973</t>
  </si>
  <si>
    <t>TXN505974</t>
  </si>
  <si>
    <t>TXN505975</t>
  </si>
  <si>
    <t>TXN505976</t>
  </si>
  <si>
    <t>TXN505977</t>
  </si>
  <si>
    <t>TXN505978</t>
  </si>
  <si>
    <t>TXN505979</t>
  </si>
  <si>
    <t>TXN505980</t>
  </si>
  <si>
    <t>TXN505981</t>
  </si>
  <si>
    <t>TXN505982</t>
  </si>
  <si>
    <t>TXN505983</t>
  </si>
  <si>
    <t>TXN505984</t>
  </si>
  <si>
    <t>TXN505985</t>
  </si>
  <si>
    <t>TXN505986</t>
  </si>
  <si>
    <t>TXN505987</t>
  </si>
  <si>
    <t>TXN505988</t>
  </si>
  <si>
    <t>TXN505989</t>
  </si>
  <si>
    <t>TXN505990</t>
  </si>
  <si>
    <t>TXN505991</t>
  </si>
  <si>
    <t>TXN505992</t>
  </si>
  <si>
    <t>TXN505993</t>
  </si>
  <si>
    <t>TXN505994</t>
  </si>
  <si>
    <t>TXN505995</t>
  </si>
  <si>
    <t>TXN505996</t>
  </si>
  <si>
    <t>TXN505997</t>
  </si>
  <si>
    <t>TXN505998</t>
  </si>
  <si>
    <t>TXN505999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</si>
</sst>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0.0%"/>
  </numFmts>
  <fonts count="19">
    <font>
      <sz val="11.0"/>
      <color theme="1"/>
      <name val="Calibri"/>
      <scheme val="minor"/>
    </font>
    <font>
      <b/>
      <sz val="14.0"/>
      <color rgb="FF1F3864"/>
      <name val="Arial"/>
    </font>
    <font>
      <i/>
      <sz val="10.0"/>
      <color rgb="FF595959"/>
      <name val="Arial"/>
    </font>
    <font>
      <b/>
      <sz val="12.0"/>
      <color rgb="FF1F3864"/>
      <name val="Arial"/>
    </font>
    <font>
      <b/>
      <sz val="10.0"/>
      <color rgb="FFFFFFFF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theme="1"/>
      <name val="Arial"/>
    </font>
    <font>
      <sz val="9.0"/>
      <color theme="1"/>
      <name val="Arial"/>
    </font>
    <font>
      <sz val="9.0"/>
      <color rgb="FF595959"/>
      <name val="Arial"/>
    </font>
    <font>
      <b/>
      <sz val="9.0"/>
      <color theme="1"/>
      <name val="Arial"/>
    </font>
    <font>
      <b/>
      <sz val="10.0"/>
      <color rgb="FF1F3864"/>
      <name val="Arial"/>
    </font>
    <font>
      <b/>
      <sz val="12.0"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sz val="16.0"/>
      <color rgb="FF1F3864"/>
      <name val="Arial"/>
    </font>
    <font>
      <sz val="8.0"/>
      <color rgb="FF808080"/>
      <name val="Arial"/>
    </font>
    <font>
      <b/>
      <sz val="11.0"/>
      <color rgb="FFC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shrinkToFit="0" vertical="top" wrapText="1"/>
    </xf>
    <xf borderId="0" fillId="0" fontId="6" numFmtId="0" xfId="0" applyAlignment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0" fillId="0" fontId="7" numFmtId="0" xfId="0" applyAlignment="1" applyFont="1">
      <alignment shrinkToFit="0" vertical="top" wrapText="1"/>
    </xf>
    <xf borderId="2" fillId="0" fontId="7" numFmtId="0" xfId="0" applyAlignment="1" applyBorder="1" applyFont="1">
      <alignment shrinkToFit="0" vertical="bottom" wrapText="0"/>
    </xf>
    <xf borderId="0" fillId="0" fontId="8" numFmtId="164" xfId="0" applyAlignment="1" applyFont="1" applyNumberFormat="1">
      <alignment shrinkToFit="0" vertical="bottom" wrapText="0"/>
    </xf>
    <xf borderId="2" fillId="0" fontId="9" numFmtId="0" xfId="0" applyAlignment="1" applyBorder="1" applyFont="1">
      <alignment shrinkToFit="0" vertical="top" wrapText="1"/>
    </xf>
    <xf borderId="2" fillId="0" fontId="10" numFmtId="0" xfId="0" applyAlignment="1" applyBorder="1" applyFont="1">
      <alignment shrinkToFit="0" vertical="top" wrapText="1"/>
    </xf>
    <xf borderId="1" fillId="2" fontId="4" numFmtId="0" xfId="0" applyAlignment="1" applyBorder="1" applyFill="1" applyFont="1">
      <alignment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3" fontId="11" numFmtId="0" xfId="0" applyAlignment="1" applyBorder="1" applyFill="1" applyFont="1">
      <alignment horizontal="center" shrinkToFit="0" vertical="bottom" wrapText="0"/>
    </xf>
    <xf borderId="2" fillId="0" fontId="7" numFmtId="0" xfId="0" applyAlignment="1" applyBorder="1" applyFont="1">
      <alignment shrinkToFit="0" vertical="top" wrapText="1"/>
    </xf>
    <xf borderId="2" fillId="0" fontId="12" numFmtId="3" xfId="0" applyAlignment="1" applyBorder="1" applyFont="1" applyNumberFormat="1">
      <alignment shrinkToFit="0" vertical="bottom" wrapText="0"/>
    </xf>
    <xf borderId="2" fillId="4" fontId="11" numFmtId="0" xfId="0" applyAlignment="1" applyBorder="1" applyFill="1" applyFont="1">
      <alignment horizontal="center" shrinkToFit="0" vertical="bottom" wrapText="0"/>
    </xf>
    <xf borderId="2" fillId="0" fontId="10" numFmtId="0" xfId="0" applyAlignment="1" applyBorder="1" applyFont="1">
      <alignment shrinkToFit="0" vertical="bottom" wrapText="0"/>
    </xf>
    <xf borderId="2" fillId="0" fontId="13" numFmtId="0" xfId="0" applyAlignment="1" applyBorder="1" applyFont="1">
      <alignment shrinkToFit="0" vertical="bottom" wrapText="0"/>
    </xf>
    <xf borderId="2" fillId="0" fontId="7" numFmtId="165" xfId="0" applyAlignment="1" applyBorder="1" applyFont="1" applyNumberFormat="1">
      <alignment shrinkToFit="0" vertical="bottom" wrapText="0"/>
    </xf>
    <xf borderId="2" fillId="4" fontId="6" numFmtId="0" xfId="0" applyAlignment="1" applyBorder="1" applyFill="1" applyFont="1">
      <alignment horizontal="center"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2" numFmtId="165" xfId="0" applyAlignment="1" applyBorder="1" applyFont="1" applyNumberFormat="1">
      <alignment shrinkToFit="0" vertical="bottom" wrapText="0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right" readingOrder="0"/>
    </xf>
    <xf borderId="0" fillId="0" fontId="15" numFmtId="0" xfId="0" applyAlignment="1" applyFont="1">
      <alignment readingOrder="0"/>
    </xf>
    <xf borderId="0" fillId="0" fontId="15" numFmtId="0" xfId="0" applyAlignment="1" applyFont="1">
      <alignment horizontal="right" readingOrder="0"/>
    </xf>
    <xf borderId="0" fillId="0" fontId="15" numFmtId="10" xfId="0" applyAlignment="1" applyFont="1" applyNumberFormat="1">
      <alignment horizontal="right" readingOrder="0"/>
    </xf>
    <xf borderId="2" fillId="3" fontId="6" numFmtId="0" xfId="0" applyAlignment="1" applyBorder="1" applyFill="1" applyFont="1">
      <alignment horizontal="center" shrinkToFit="0" vertical="bottom" wrapText="0"/>
    </xf>
    <xf borderId="0" fillId="0" fontId="15" numFmtId="0" xfId="0" applyFont="1"/>
    <xf borderId="0" fillId="0" fontId="5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16" numFmtId="3" xfId="0" applyAlignment="1" applyFont="1" applyNumberFormat="1">
      <alignment shrinkToFit="0" vertical="bottom" wrapText="0"/>
    </xf>
    <xf borderId="0" fillId="0" fontId="17" numFmtId="0" xfId="0" applyAlignment="1" applyFont="1">
      <alignment shrinkToFit="0" vertical="bottom" wrapText="0"/>
    </xf>
    <xf borderId="0" fillId="0" fontId="8" numFmtId="165" xfId="0" applyAlignment="1" applyFont="1" applyNumberFormat="1">
      <alignment shrinkToFit="0" vertical="bottom" wrapText="0"/>
    </xf>
    <xf borderId="1" fillId="2" fontId="4" numFmtId="0" xfId="0" applyAlignment="1" applyBorder="1" applyFill="1" applyFont="1">
      <alignment horizontal="center" shrinkToFit="0" vertical="bottom" wrapText="0"/>
    </xf>
    <xf borderId="0" fillId="0" fontId="7" numFmtId="164" xfId="0" applyAlignment="1" applyFont="1" applyNumberFormat="1">
      <alignment shrinkToFit="0" vertical="bottom" wrapText="0"/>
    </xf>
    <xf borderId="0" fillId="0" fontId="7" numFmtId="4" xfId="0" applyAlignment="1" applyFont="1" applyNumberFormat="1">
      <alignment shrinkToFit="0" vertical="bottom" wrapText="0"/>
    </xf>
    <xf borderId="0" fillId="0" fontId="16" numFmtId="165" xfId="0" applyAlignment="1" applyFont="1" applyNumberFormat="1">
      <alignment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17" numFmtId="165" xfId="0" applyAlignment="1" applyFont="1" applyNumberFormat="1">
      <alignment shrinkToFit="0" vertical="bottom" wrapText="0"/>
    </xf>
    <xf borderId="0" fillId="0" fontId="17" numFmtId="3" xfId="0" applyAlignment="1" applyFont="1" applyNumberFormat="1">
      <alignment shrinkToFit="0" vertical="bottom" wrapText="0"/>
    </xf>
    <xf borderId="0" fillId="0" fontId="18" numFmtId="165" xfId="0" applyAlignment="1" applyFont="1" applyNumberFormat="1">
      <alignment shrinkToFit="0" vertical="bottom" wrapText="0"/>
    </xf>
    <xf borderId="0" fillId="0" fontId="7" numFmtId="165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6" width="22.0"/>
    <col customWidth="1" min="7" max="26" width="8.71"/>
  </cols>
  <sheetData>
    <row r="1">
      <c r="A1" s="1" t="s">
        <v>1</v>
      </c>
    </row>
    <row r="3">
      <c r="A3" s="3" t="s">
        <v>3</v>
      </c>
    </row>
    <row r="4" ht="15.0" customHeight="1">
      <c r="A4" s="5" t="s">
        <v>5</v>
      </c>
    </row>
    <row r="7">
      <c r="A7" s="3" t="s">
        <v>13</v>
      </c>
    </row>
    <row r="8" ht="31.5" customHeight="1">
      <c r="A8" s="6" t="s">
        <v>15</v>
      </c>
      <c r="B8" s="8" t="s">
        <v>18</v>
      </c>
    </row>
    <row r="9" ht="31.5" customHeight="1">
      <c r="A9" s="6" t="s">
        <v>21</v>
      </c>
      <c r="B9" s="8" t="s">
        <v>22</v>
      </c>
    </row>
    <row r="10" ht="31.5" customHeight="1">
      <c r="A10" s="6" t="s">
        <v>24</v>
      </c>
      <c r="B10" s="8" t="s">
        <v>25</v>
      </c>
    </row>
    <row r="11" ht="31.5" customHeight="1">
      <c r="A11" s="6" t="s">
        <v>26</v>
      </c>
      <c r="B11" s="8" t="s">
        <v>27</v>
      </c>
    </row>
    <row r="12" ht="31.5" customHeight="1">
      <c r="A12" s="6" t="s">
        <v>28</v>
      </c>
      <c r="B12" s="8" t="s">
        <v>29</v>
      </c>
    </row>
    <row r="13" ht="31.5" customHeight="1">
      <c r="A13" s="6" t="s">
        <v>32</v>
      </c>
      <c r="B13" s="8" t="s">
        <v>33</v>
      </c>
    </row>
    <row r="14" ht="31.5" customHeight="1">
      <c r="A14" s="6" t="s">
        <v>35</v>
      </c>
      <c r="B14" s="8" t="s">
        <v>36</v>
      </c>
    </row>
    <row r="15" ht="31.5" customHeight="1">
      <c r="A15" s="6" t="s">
        <v>37</v>
      </c>
      <c r="B15" s="8" t="s">
        <v>39</v>
      </c>
    </row>
    <row r="16" ht="31.5" customHeight="1">
      <c r="A16" s="6" t="s">
        <v>40</v>
      </c>
      <c r="B16" s="8" t="s">
        <v>41</v>
      </c>
    </row>
    <row r="17" ht="31.5" customHeight="1">
      <c r="A17" s="6" t="s">
        <v>44</v>
      </c>
      <c r="B17" s="8" t="s">
        <v>45</v>
      </c>
    </row>
    <row r="19">
      <c r="A19" s="3" t="s">
        <v>48</v>
      </c>
    </row>
    <row r="20" ht="30.0" customHeight="1">
      <c r="A20" s="8" t="s">
        <v>50</v>
      </c>
    </row>
    <row r="21" ht="30.0" customHeight="1">
      <c r="A21" s="8" t="s">
        <v>51</v>
      </c>
    </row>
    <row r="22" ht="30.0" customHeight="1">
      <c r="A22" s="8" t="s">
        <v>52</v>
      </c>
    </row>
    <row r="23" ht="30.0" customHeight="1">
      <c r="A23" s="8" t="s">
        <v>53</v>
      </c>
    </row>
    <row r="24" ht="30.0" customHeight="1">
      <c r="A24" s="8" t="s">
        <v>54</v>
      </c>
    </row>
    <row r="25" ht="15.75" customHeight="1"/>
    <row r="26" ht="15.75" customHeight="1">
      <c r="A26" s="3" t="s">
        <v>55</v>
      </c>
    </row>
    <row r="27" ht="15.0" customHeight="1">
      <c r="A27" s="8" t="s">
        <v>57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1:F1"/>
    <mergeCell ref="A4:F5"/>
    <mergeCell ref="B8:F8"/>
    <mergeCell ref="B9:F9"/>
    <mergeCell ref="B10:F10"/>
    <mergeCell ref="B11:F11"/>
    <mergeCell ref="B12:F12"/>
    <mergeCell ref="A22:F22"/>
    <mergeCell ref="A23:F23"/>
    <mergeCell ref="A24:F24"/>
    <mergeCell ref="A27:F29"/>
    <mergeCell ref="B13:F13"/>
    <mergeCell ref="B14:F14"/>
    <mergeCell ref="B15:F15"/>
    <mergeCell ref="B16:F16"/>
    <mergeCell ref="B17:F17"/>
    <mergeCell ref="A20:F20"/>
    <mergeCell ref="A21:F2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30.0"/>
    <col customWidth="1" min="2" max="2" width="20.0"/>
    <col customWidth="1" min="3" max="3" width="46.0"/>
    <col customWidth="1" min="4" max="4" width="38.0"/>
    <col customWidth="1" min="5" max="5" width="22.0"/>
    <col customWidth="1" min="6" max="6" width="14.0"/>
    <col customWidth="1" min="7" max="7" width="12.0"/>
    <col customWidth="1" min="8" max="8" width="16.0"/>
    <col customWidth="1" min="9" max="26" width="8.71"/>
  </cols>
  <sheetData>
    <row r="1">
      <c r="A1" s="1" t="s">
        <v>0</v>
      </c>
    </row>
    <row r="2">
      <c r="A2" s="2" t="s">
        <v>2</v>
      </c>
    </row>
    <row r="4">
      <c r="A4" s="4" t="s">
        <v>4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12</v>
      </c>
      <c r="H4" s="4" t="s">
        <v>14</v>
      </c>
    </row>
    <row r="5" ht="43.5" customHeight="1">
      <c r="A5" s="7" t="s">
        <v>16</v>
      </c>
      <c r="B5" s="9" t="s">
        <v>20</v>
      </c>
      <c r="C5" s="11" t="s">
        <v>23</v>
      </c>
      <c r="D5" s="12" t="s">
        <v>30</v>
      </c>
      <c r="E5" s="14" t="s">
        <v>34</v>
      </c>
      <c r="F5" s="14" t="s">
        <v>43</v>
      </c>
      <c r="G5" s="15" t="s">
        <v>47</v>
      </c>
      <c r="H5" s="17">
        <f>Metric_Conflict_ActiveCust!D10</f>
        <v>699</v>
      </c>
    </row>
    <row r="6" ht="43.5" customHeight="1">
      <c r="A6" s="7" t="s">
        <v>58</v>
      </c>
      <c r="B6" s="9" t="s">
        <v>59</v>
      </c>
      <c r="C6" s="11" t="s">
        <v>60</v>
      </c>
      <c r="D6" s="12" t="s">
        <v>61</v>
      </c>
      <c r="E6" s="14" t="s">
        <v>28</v>
      </c>
      <c r="F6" s="14" t="s">
        <v>43</v>
      </c>
      <c r="G6" s="18" t="s">
        <v>62</v>
      </c>
      <c r="H6" s="17">
        <f>Metric_Conflict_ActiveCust!D7</f>
        <v>249</v>
      </c>
    </row>
    <row r="7" ht="43.5" customHeight="1">
      <c r="A7" s="7" t="s">
        <v>63</v>
      </c>
      <c r="B7" s="9" t="s">
        <v>64</v>
      </c>
      <c r="C7" s="11" t="s">
        <v>65</v>
      </c>
      <c r="D7" s="12" t="s">
        <v>66</v>
      </c>
      <c r="E7" s="14" t="s">
        <v>67</v>
      </c>
      <c r="F7" s="14" t="s">
        <v>43</v>
      </c>
      <c r="G7" s="18" t="s">
        <v>62</v>
      </c>
      <c r="H7" s="17">
        <f>Metric_Conflict_ActiveCust!D8</f>
        <v>116</v>
      </c>
    </row>
    <row r="8" ht="43.5" customHeight="1">
      <c r="A8" s="7" t="s">
        <v>68</v>
      </c>
      <c r="B8" s="9" t="s">
        <v>69</v>
      </c>
      <c r="C8" s="11" t="s">
        <v>70</v>
      </c>
      <c r="D8" s="12" t="s">
        <v>71</v>
      </c>
      <c r="E8" s="14" t="s">
        <v>72</v>
      </c>
      <c r="F8" s="14" t="s">
        <v>43</v>
      </c>
      <c r="G8" s="18" t="s">
        <v>62</v>
      </c>
      <c r="H8" s="17">
        <f>Metric_Conflict_ActiveCust!D9</f>
        <v>817</v>
      </c>
    </row>
    <row r="9" ht="43.5" customHeight="1">
      <c r="A9" s="7" t="s">
        <v>73</v>
      </c>
      <c r="B9" s="9" t="s">
        <v>74</v>
      </c>
      <c r="C9" s="11" t="s">
        <v>75</v>
      </c>
      <c r="D9" s="12" t="s">
        <v>76</v>
      </c>
      <c r="E9" s="14" t="s">
        <v>28</v>
      </c>
      <c r="F9" s="14" t="s">
        <v>43</v>
      </c>
      <c r="G9" s="15" t="s">
        <v>47</v>
      </c>
      <c r="H9" s="17">
        <f>Exec_KPI_Summary!C7</f>
        <v>900</v>
      </c>
    </row>
    <row r="10" ht="43.5" customHeight="1">
      <c r="A10" s="7" t="s">
        <v>77</v>
      </c>
      <c r="B10" s="9" t="s">
        <v>59</v>
      </c>
      <c r="C10" s="11" t="s">
        <v>78</v>
      </c>
      <c r="D10" s="12" t="s">
        <v>79</v>
      </c>
      <c r="E10" s="14" t="s">
        <v>28</v>
      </c>
      <c r="F10" s="14" t="s">
        <v>43</v>
      </c>
      <c r="G10" s="15" t="s">
        <v>47</v>
      </c>
      <c r="H10" s="17">
        <f>Exec_KPI_Summary!C9</f>
        <v>46</v>
      </c>
    </row>
    <row r="11" ht="43.5" customHeight="1">
      <c r="A11" s="7" t="s">
        <v>80</v>
      </c>
      <c r="B11" s="9" t="s">
        <v>64</v>
      </c>
      <c r="C11" s="11" t="s">
        <v>81</v>
      </c>
      <c r="D11" s="12" t="s">
        <v>82</v>
      </c>
      <c r="E11" s="14" t="s">
        <v>83</v>
      </c>
      <c r="F11" s="14" t="s">
        <v>85</v>
      </c>
      <c r="G11" s="15" t="s">
        <v>47</v>
      </c>
      <c r="H11" s="17">
        <f>Exec_KPI_Summary!C10</f>
        <v>13009419.87</v>
      </c>
    </row>
    <row r="12" ht="43.5" customHeight="1">
      <c r="A12" s="7" t="s">
        <v>88</v>
      </c>
      <c r="B12" s="9" t="s">
        <v>64</v>
      </c>
      <c r="C12" s="11" t="s">
        <v>89</v>
      </c>
      <c r="D12" s="12" t="s">
        <v>90</v>
      </c>
      <c r="E12" s="14" t="s">
        <v>44</v>
      </c>
      <c r="F12" s="14" t="s">
        <v>85</v>
      </c>
      <c r="G12" s="15" t="s">
        <v>47</v>
      </c>
      <c r="H12" s="23" t="s">
        <v>91</v>
      </c>
    </row>
    <row r="13" ht="43.5" customHeight="1">
      <c r="A13" s="7" t="s">
        <v>92</v>
      </c>
      <c r="B13" s="9" t="s">
        <v>69</v>
      </c>
      <c r="C13" s="11" t="s">
        <v>93</v>
      </c>
      <c r="D13" s="12" t="s">
        <v>94</v>
      </c>
      <c r="E13" s="14" t="s">
        <v>32</v>
      </c>
      <c r="F13" s="14" t="s">
        <v>43</v>
      </c>
      <c r="G13" s="15" t="s">
        <v>47</v>
      </c>
      <c r="H13" s="24">
        <f>Domain_Credit_Summary!B12</f>
        <v>0.5135714286</v>
      </c>
    </row>
    <row r="14" ht="43.5" customHeight="1">
      <c r="A14" s="7" t="s">
        <v>95</v>
      </c>
      <c r="B14" s="9" t="s">
        <v>69</v>
      </c>
      <c r="C14" s="11" t="s">
        <v>96</v>
      </c>
      <c r="D14" s="12" t="s">
        <v>97</v>
      </c>
      <c r="E14" s="14" t="s">
        <v>32</v>
      </c>
      <c r="F14" s="14" t="s">
        <v>43</v>
      </c>
      <c r="G14" s="15" t="s">
        <v>47</v>
      </c>
      <c r="H14" s="24">
        <f>Domain_Credit_Summary!B10</f>
        <v>0.7614285714</v>
      </c>
    </row>
    <row r="15" ht="43.5" customHeight="1">
      <c r="A15" s="7" t="s">
        <v>98</v>
      </c>
      <c r="B15" s="9" t="s">
        <v>69</v>
      </c>
      <c r="C15" s="11" t="s">
        <v>99</v>
      </c>
      <c r="D15" s="12" t="s">
        <v>100</v>
      </c>
      <c r="E15" s="14" t="s">
        <v>32</v>
      </c>
      <c r="F15" s="14" t="s">
        <v>43</v>
      </c>
      <c r="G15" s="15" t="s">
        <v>47</v>
      </c>
      <c r="H15" s="24">
        <f>Domain_Credit_Summary!B11</f>
        <v>0.6744840525</v>
      </c>
    </row>
    <row r="16" ht="43.5" customHeight="1">
      <c r="A16" s="7" t="s">
        <v>103</v>
      </c>
      <c r="B16" s="9" t="s">
        <v>69</v>
      </c>
      <c r="C16" s="11" t="s">
        <v>104</v>
      </c>
      <c r="D16" s="12" t="s">
        <v>105</v>
      </c>
      <c r="E16" s="14" t="s">
        <v>32</v>
      </c>
      <c r="F16" s="14" t="s">
        <v>43</v>
      </c>
      <c r="G16" s="15" t="s">
        <v>47</v>
      </c>
      <c r="H16" s="24">
        <f>Domain_Credit_Summary!B13</f>
        <v>0.9179415855</v>
      </c>
    </row>
    <row r="17" ht="43.5" customHeight="1">
      <c r="A17" s="7" t="s">
        <v>106</v>
      </c>
      <c r="B17" s="9" t="s">
        <v>69</v>
      </c>
      <c r="C17" s="11" t="s">
        <v>107</v>
      </c>
      <c r="D17" s="12" t="s">
        <v>108</v>
      </c>
      <c r="E17" s="14" t="s">
        <v>35</v>
      </c>
      <c r="F17" s="14" t="s">
        <v>43</v>
      </c>
      <c r="G17" s="15" t="s">
        <v>47</v>
      </c>
      <c r="H17" s="17">
        <f>Exec_KPI_Summary!C12</f>
        <v>8594565.04</v>
      </c>
    </row>
    <row r="18" ht="43.5" customHeight="1">
      <c r="A18" s="7" t="s">
        <v>109</v>
      </c>
      <c r="B18" s="9" t="s">
        <v>110</v>
      </c>
      <c r="C18" s="11" t="s">
        <v>111</v>
      </c>
      <c r="D18" s="12" t="s">
        <v>112</v>
      </c>
      <c r="E18" s="14" t="s">
        <v>35</v>
      </c>
      <c r="F18" s="14" t="s">
        <v>43</v>
      </c>
      <c r="G18" s="15" t="s">
        <v>47</v>
      </c>
      <c r="H18" s="24">
        <f>Exec_KPI_Summary!C13</f>
        <v>0.0345499823</v>
      </c>
    </row>
    <row r="19" ht="43.5" customHeight="1">
      <c r="A19" s="7" t="s">
        <v>113</v>
      </c>
      <c r="B19" s="9" t="s">
        <v>110</v>
      </c>
      <c r="C19" s="11" t="s">
        <v>114</v>
      </c>
      <c r="D19" s="12" t="s">
        <v>115</v>
      </c>
      <c r="E19" s="14" t="s">
        <v>35</v>
      </c>
      <c r="F19" s="14" t="s">
        <v>43</v>
      </c>
      <c r="G19" s="15" t="s">
        <v>47</v>
      </c>
      <c r="H19" s="24">
        <f>Domain_Credit_Summary!B26</f>
        <v>0.1010327348</v>
      </c>
    </row>
    <row r="20" ht="43.5" customHeight="1">
      <c r="A20" s="7" t="s">
        <v>116</v>
      </c>
      <c r="B20" s="9" t="s">
        <v>69</v>
      </c>
      <c r="C20" s="11" t="s">
        <v>117</v>
      </c>
      <c r="D20" s="12" t="s">
        <v>118</v>
      </c>
      <c r="E20" s="14" t="s">
        <v>35</v>
      </c>
      <c r="F20" s="14" t="s">
        <v>85</v>
      </c>
      <c r="G20" s="15" t="s">
        <v>47</v>
      </c>
      <c r="H20" s="17">
        <f>Domain_Credit_Summary!B22</f>
        <v>23602.92424</v>
      </c>
    </row>
    <row r="21" ht="43.5" customHeight="1">
      <c r="A21" s="7" t="s">
        <v>121</v>
      </c>
      <c r="B21" s="9" t="s">
        <v>122</v>
      </c>
      <c r="C21" s="11" t="s">
        <v>123</v>
      </c>
      <c r="D21" s="12" t="s">
        <v>124</v>
      </c>
      <c r="E21" s="14" t="s">
        <v>37</v>
      </c>
      <c r="F21" s="14" t="s">
        <v>43</v>
      </c>
      <c r="G21" s="15" t="s">
        <v>47</v>
      </c>
      <c r="H21" s="17">
        <f>Exec_KPI_Summary!C14</f>
        <v>17836.95</v>
      </c>
    </row>
    <row r="22" ht="43.5" customHeight="1">
      <c r="A22" s="7" t="s">
        <v>125</v>
      </c>
      <c r="B22" s="9" t="s">
        <v>126</v>
      </c>
      <c r="C22" s="11" t="s">
        <v>127</v>
      </c>
      <c r="D22" s="12" t="s">
        <v>128</v>
      </c>
      <c r="E22" s="14" t="s">
        <v>37</v>
      </c>
      <c r="F22" s="14" t="s">
        <v>85</v>
      </c>
      <c r="G22" s="15" t="s">
        <v>47</v>
      </c>
      <c r="H22" s="24">
        <f>SUMIF(Transactions!$G$2:$G$6001,"Completed",Transactions!$F$2:$F$6001)/SUMIF(Transactions!$G$2:$G$6001,"Completed",Transactions!$E$2:$E$6001)</f>
        <v>0.005077443667</v>
      </c>
    </row>
    <row r="23" ht="43.5" customHeight="1">
      <c r="A23" s="7" t="s">
        <v>130</v>
      </c>
      <c r="B23" s="9" t="s">
        <v>131</v>
      </c>
      <c r="C23" s="11" t="s">
        <v>132</v>
      </c>
      <c r="D23" s="12" t="s">
        <v>134</v>
      </c>
      <c r="E23" s="14" t="s">
        <v>28</v>
      </c>
      <c r="F23" s="14" t="s">
        <v>135</v>
      </c>
      <c r="G23" s="15" t="s">
        <v>47</v>
      </c>
      <c r="H23" s="24">
        <f>COUNTIF(Customers!$F$2:$F$901,"Y")/COUNTA(Customers!$A$2:$A$901)</f>
        <v>0.8477777778</v>
      </c>
    </row>
    <row r="24" ht="43.5" customHeight="1">
      <c r="A24" s="7" t="s">
        <v>138</v>
      </c>
      <c r="B24" s="9" t="s">
        <v>139</v>
      </c>
      <c r="C24" s="11" t="s">
        <v>140</v>
      </c>
      <c r="D24" s="12" t="s">
        <v>141</v>
      </c>
      <c r="E24" s="14" t="s">
        <v>40</v>
      </c>
      <c r="F24" s="14" t="s">
        <v>43</v>
      </c>
      <c r="G24" s="15" t="s">
        <v>47</v>
      </c>
      <c r="H24" s="17">
        <f>Exec_KPI_Summary!C15</f>
        <v>1431078.93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I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9</v>
      </c>
      <c r="F1" s="4" t="s">
        <v>10</v>
      </c>
      <c r="G1" s="4" t="s">
        <v>12</v>
      </c>
      <c r="H1" s="4" t="s">
        <v>14</v>
      </c>
    </row>
    <row r="2">
      <c r="A2" s="7" t="s">
        <v>16</v>
      </c>
      <c r="B2" s="9" t="s">
        <v>20</v>
      </c>
      <c r="C2" s="11" t="s">
        <v>23</v>
      </c>
      <c r="D2" s="12" t="s">
        <v>30</v>
      </c>
      <c r="E2" s="14" t="s">
        <v>34</v>
      </c>
      <c r="F2" s="14" t="s">
        <v>43</v>
      </c>
      <c r="G2" s="15" t="s">
        <v>47</v>
      </c>
      <c r="H2" s="17">
        <f>Metric_Conflict_ActiveCust!D7</f>
        <v>249</v>
      </c>
    </row>
    <row r="3">
      <c r="A3" s="7" t="s">
        <v>58</v>
      </c>
      <c r="B3" s="9" t="s">
        <v>59</v>
      </c>
      <c r="C3" s="11" t="s">
        <v>60</v>
      </c>
      <c r="D3" s="12" t="s">
        <v>61</v>
      </c>
      <c r="E3" s="14" t="s">
        <v>28</v>
      </c>
      <c r="F3" s="14" t="s">
        <v>43</v>
      </c>
      <c r="G3" s="18" t="s">
        <v>62</v>
      </c>
      <c r="H3" s="17" t="str">
        <f>Metric_Conflict_ActiveCust!D4</f>
        <v/>
      </c>
    </row>
    <row r="4">
      <c r="A4" s="7" t="s">
        <v>63</v>
      </c>
      <c r="B4" s="9" t="s">
        <v>64</v>
      </c>
      <c r="C4" s="11" t="s">
        <v>65</v>
      </c>
      <c r="D4" s="12" t="s">
        <v>66</v>
      </c>
      <c r="E4" s="14" t="s">
        <v>67</v>
      </c>
      <c r="F4" s="14" t="s">
        <v>43</v>
      </c>
      <c r="G4" s="18" t="s">
        <v>62</v>
      </c>
      <c r="H4" s="17" t="str">
        <f>Metric_Conflict_ActiveCust!D5</f>
        <v/>
      </c>
    </row>
    <row r="5">
      <c r="A5" s="7" t="s">
        <v>68</v>
      </c>
      <c r="B5" s="9" t="s">
        <v>69</v>
      </c>
      <c r="C5" s="11" t="s">
        <v>70</v>
      </c>
      <c r="D5" s="12" t="s">
        <v>71</v>
      </c>
      <c r="E5" s="14" t="s">
        <v>72</v>
      </c>
      <c r="F5" s="14" t="s">
        <v>43</v>
      </c>
      <c r="G5" s="18" t="s">
        <v>62</v>
      </c>
      <c r="H5" s="17" t="str">
        <f>Metric_Conflict_ActiveCust!D6</f>
        <v>Result (count)</v>
      </c>
    </row>
    <row r="6">
      <c r="A6" s="7" t="s">
        <v>73</v>
      </c>
      <c r="B6" s="9" t="s">
        <v>74</v>
      </c>
      <c r="C6" s="11" t="s">
        <v>75</v>
      </c>
      <c r="D6" s="12" t="s">
        <v>76</v>
      </c>
      <c r="E6" s="14" t="s">
        <v>28</v>
      </c>
      <c r="F6" s="14" t="s">
        <v>43</v>
      </c>
      <c r="G6" s="15" t="s">
        <v>47</v>
      </c>
      <c r="H6" s="17" t="str">
        <f>Exec_KPI_Summary!C4</f>
        <v/>
      </c>
    </row>
    <row r="7">
      <c r="A7" s="7" t="s">
        <v>77</v>
      </c>
      <c r="B7" s="9" t="s">
        <v>59</v>
      </c>
      <c r="C7" s="11" t="s">
        <v>78</v>
      </c>
      <c r="D7" s="12" t="s">
        <v>79</v>
      </c>
      <c r="E7" s="14" t="s">
        <v>28</v>
      </c>
      <c r="F7" s="14" t="s">
        <v>43</v>
      </c>
      <c r="G7" s="15" t="s">
        <v>47</v>
      </c>
      <c r="H7" s="17" t="str">
        <f>Exec_KPI_Summary!C6</f>
        <v>Value</v>
      </c>
    </row>
    <row r="8">
      <c r="A8" s="7" t="s">
        <v>80</v>
      </c>
      <c r="B8" s="9" t="s">
        <v>64</v>
      </c>
      <c r="C8" s="11" t="s">
        <v>81</v>
      </c>
      <c r="D8" s="12" t="s">
        <v>82</v>
      </c>
      <c r="E8" s="14" t="s">
        <v>83</v>
      </c>
      <c r="F8" s="14" t="s">
        <v>85</v>
      </c>
      <c r="G8" s="15" t="s">
        <v>47</v>
      </c>
      <c r="H8" s="17">
        <f>Exec_KPI_Summary!C7</f>
        <v>900</v>
      </c>
    </row>
    <row r="9">
      <c r="A9" s="7" t="s">
        <v>88</v>
      </c>
      <c r="B9" s="9" t="s">
        <v>64</v>
      </c>
      <c r="C9" s="11" t="s">
        <v>89</v>
      </c>
      <c r="D9" s="12" t="s">
        <v>90</v>
      </c>
      <c r="E9" s="14" t="s">
        <v>44</v>
      </c>
      <c r="F9" s="14" t="s">
        <v>85</v>
      </c>
      <c r="G9" s="15" t="s">
        <v>47</v>
      </c>
      <c r="H9" s="23" t="s">
        <v>91</v>
      </c>
    </row>
    <row r="10">
      <c r="A10" s="7" t="s">
        <v>92</v>
      </c>
      <c r="B10" s="9" t="s">
        <v>69</v>
      </c>
      <c r="C10" s="11" t="s">
        <v>93</v>
      </c>
      <c r="D10" s="12" t="s">
        <v>94</v>
      </c>
      <c r="E10" s="14" t="s">
        <v>32</v>
      </c>
      <c r="F10" s="14" t="s">
        <v>43</v>
      </c>
      <c r="G10" s="15" t="s">
        <v>47</v>
      </c>
      <c r="H10" s="24">
        <f>Domain_Credit_Summary!B9</f>
        <v>660</v>
      </c>
    </row>
    <row r="11">
      <c r="A11" s="7" t="s">
        <v>95</v>
      </c>
      <c r="B11" s="9" t="s">
        <v>69</v>
      </c>
      <c r="C11" s="11" t="s">
        <v>96</v>
      </c>
      <c r="D11" s="12" t="s">
        <v>97</v>
      </c>
      <c r="E11" s="14" t="s">
        <v>32</v>
      </c>
      <c r="F11" s="14" t="s">
        <v>43</v>
      </c>
      <c r="G11" s="15" t="s">
        <v>47</v>
      </c>
      <c r="H11" s="24">
        <f>Domain_Credit_Summary!B7</f>
        <v>719</v>
      </c>
    </row>
    <row r="12">
      <c r="A12" s="7" t="s">
        <v>98</v>
      </c>
      <c r="B12" s="9" t="s">
        <v>69</v>
      </c>
      <c r="C12" s="11" t="s">
        <v>99</v>
      </c>
      <c r="D12" s="12" t="s">
        <v>100</v>
      </c>
      <c r="E12" s="14" t="s">
        <v>32</v>
      </c>
      <c r="F12" s="14" t="s">
        <v>43</v>
      </c>
      <c r="G12" s="15" t="s">
        <v>47</v>
      </c>
      <c r="H12" s="24">
        <f>Domain_Credit_Summary!B8</f>
        <v>719</v>
      </c>
    </row>
    <row r="13">
      <c r="A13" s="7" t="s">
        <v>103</v>
      </c>
      <c r="B13" s="9" t="s">
        <v>69</v>
      </c>
      <c r="C13" s="11" t="s">
        <v>104</v>
      </c>
      <c r="D13" s="12" t="s">
        <v>105</v>
      </c>
      <c r="E13" s="14" t="s">
        <v>32</v>
      </c>
      <c r="F13" s="14" t="s">
        <v>43</v>
      </c>
      <c r="G13" s="15" t="s">
        <v>47</v>
      </c>
      <c r="H13" s="24">
        <f>Domain_Credit_Summary!B10</f>
        <v>0.7614285714</v>
      </c>
    </row>
    <row r="14">
      <c r="A14" s="7" t="s">
        <v>106</v>
      </c>
      <c r="B14" s="9" t="s">
        <v>69</v>
      </c>
      <c r="C14" s="11" t="s">
        <v>107</v>
      </c>
      <c r="D14" s="12" t="s">
        <v>108</v>
      </c>
      <c r="E14" s="14" t="s">
        <v>35</v>
      </c>
      <c r="F14" s="14" t="s">
        <v>43</v>
      </c>
      <c r="G14" s="15" t="s">
        <v>47</v>
      </c>
      <c r="H14" s="17">
        <f>Exec_KPI_Summary!C9</f>
        <v>46</v>
      </c>
    </row>
    <row r="15">
      <c r="A15" s="7" t="s">
        <v>109</v>
      </c>
      <c r="B15" s="9" t="s">
        <v>110</v>
      </c>
      <c r="C15" s="11" t="s">
        <v>111</v>
      </c>
      <c r="D15" s="12" t="s">
        <v>112</v>
      </c>
      <c r="E15" s="14" t="s">
        <v>35</v>
      </c>
      <c r="F15" s="14" t="s">
        <v>43</v>
      </c>
      <c r="G15" s="15" t="s">
        <v>47</v>
      </c>
      <c r="H15" s="24">
        <f>Exec_KPI_Summary!C10</f>
        <v>13009419.87</v>
      </c>
    </row>
    <row r="16">
      <c r="A16" s="7" t="s">
        <v>113</v>
      </c>
      <c r="B16" s="9" t="s">
        <v>110</v>
      </c>
      <c r="C16" s="11" t="s">
        <v>114</v>
      </c>
      <c r="D16" s="12" t="s">
        <v>115</v>
      </c>
      <c r="E16" s="14" t="s">
        <v>35</v>
      </c>
      <c r="F16" s="14" t="s">
        <v>43</v>
      </c>
      <c r="G16" s="15" t="s">
        <v>47</v>
      </c>
      <c r="H16" s="24" t="str">
        <f>Domain_Credit_Summary!B23</f>
        <v/>
      </c>
    </row>
    <row r="17">
      <c r="A17" s="7" t="s">
        <v>116</v>
      </c>
      <c r="B17" s="9" t="s">
        <v>69</v>
      </c>
      <c r="C17" s="11" t="s">
        <v>117</v>
      </c>
      <c r="D17" s="12" t="s">
        <v>118</v>
      </c>
      <c r="E17" s="14" t="s">
        <v>35</v>
      </c>
      <c r="F17" s="14" t="s">
        <v>85</v>
      </c>
      <c r="G17" s="15" t="s">
        <v>47</v>
      </c>
      <c r="H17" s="17">
        <f>Domain_Credit_Summary!B19</f>
        <v>20</v>
      </c>
    </row>
    <row r="18">
      <c r="A18" s="7" t="s">
        <v>121</v>
      </c>
      <c r="B18" s="9" t="s">
        <v>122</v>
      </c>
      <c r="C18" s="11" t="s">
        <v>123</v>
      </c>
      <c r="D18" s="12" t="s">
        <v>124</v>
      </c>
      <c r="E18" s="14" t="s">
        <v>37</v>
      </c>
      <c r="F18" s="14" t="s">
        <v>43</v>
      </c>
      <c r="G18" s="15" t="s">
        <v>47</v>
      </c>
      <c r="H18" s="17">
        <f>Exec_KPI_Summary!C11</f>
        <v>0.5135714286</v>
      </c>
    </row>
    <row r="19">
      <c r="A19" s="7" t="s">
        <v>125</v>
      </c>
      <c r="B19" s="9" t="s">
        <v>126</v>
      </c>
      <c r="C19" s="11" t="s">
        <v>127</v>
      </c>
      <c r="D19" s="12" t="s">
        <v>128</v>
      </c>
      <c r="E19" s="14" t="s">
        <v>37</v>
      </c>
      <c r="F19" s="14" t="s">
        <v>85</v>
      </c>
      <c r="G19" s="15" t="s">
        <v>47</v>
      </c>
      <c r="H19" s="24">
        <f>SUMIF(Transactions!$G$2:$G$6001,"Completed",Transactions!$F$2:$F$6001)/SUMIF(Transactions!$G$2:$G$6001,"Completed",Transactions!$E$2:$E$6001)</f>
        <v>0.005077443667</v>
      </c>
    </row>
    <row r="20">
      <c r="A20" s="7" t="s">
        <v>130</v>
      </c>
      <c r="B20" s="9" t="s">
        <v>131</v>
      </c>
      <c r="C20" s="11" t="s">
        <v>132</v>
      </c>
      <c r="D20" s="12" t="s">
        <v>134</v>
      </c>
      <c r="E20" s="14" t="s">
        <v>28</v>
      </c>
      <c r="F20" s="14" t="s">
        <v>135</v>
      </c>
      <c r="G20" s="15" t="s">
        <v>47</v>
      </c>
      <c r="H20" s="24">
        <f>COUNTIF(Customers!$F$2:$F$901,"Y")/COUNTA(Customers!$A$2:$A$901)</f>
        <v>0.8477777778</v>
      </c>
    </row>
    <row r="21">
      <c r="A21" s="7" t="s">
        <v>138</v>
      </c>
      <c r="B21" s="9" t="s">
        <v>139</v>
      </c>
      <c r="C21" s="11" t="s">
        <v>140</v>
      </c>
      <c r="D21" s="12" t="s">
        <v>141</v>
      </c>
      <c r="E21" s="14" t="s">
        <v>40</v>
      </c>
      <c r="F21" s="14" t="s">
        <v>43</v>
      </c>
      <c r="G21" s="15" t="s">
        <v>47</v>
      </c>
      <c r="H21" s="17">
        <f>Exec_KPI_Summary!C12</f>
        <v>8594565.04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55.0"/>
    <col customWidth="1" min="3" max="3" width="40.0"/>
    <col customWidth="1" min="4" max="4" width="12.0"/>
    <col customWidth="1" min="5" max="6" width="14.0"/>
    <col customWidth="1" min="7" max="26" width="8.71"/>
  </cols>
  <sheetData>
    <row r="1">
      <c r="A1" s="1" t="s">
        <v>11</v>
      </c>
    </row>
    <row r="2">
      <c r="A2" s="2" t="s">
        <v>17</v>
      </c>
    </row>
    <row r="4">
      <c r="A4" s="6" t="s">
        <v>19</v>
      </c>
      <c r="B4" s="10">
        <v>46265.0</v>
      </c>
    </row>
    <row r="6">
      <c r="A6" s="13" t="s">
        <v>31</v>
      </c>
      <c r="B6" s="13" t="s">
        <v>38</v>
      </c>
      <c r="C6" s="13" t="s">
        <v>8</v>
      </c>
      <c r="D6" s="13" t="s">
        <v>42</v>
      </c>
      <c r="E6" s="13" t="s">
        <v>46</v>
      </c>
      <c r="F6" s="13" t="s">
        <v>12</v>
      </c>
    </row>
    <row r="7" ht="45.75" customHeight="1">
      <c r="A7" s="7" t="s">
        <v>49</v>
      </c>
      <c r="B7" s="16" t="s">
        <v>56</v>
      </c>
      <c r="C7" s="19">
        <f>SUMPRODUCT((Customers!$I$2:$I$901&gt;=($B$4-30))*(Customers!$E$2:$E$901="Active"))</f>
        <v>249</v>
      </c>
      <c r="D7" s="20">
        <f>SUMPRODUCT((Customers!$I$2:$I$901&gt;=($B$4-30))*(Customers!$E$2:$E$901="Active"))</f>
        <v>249</v>
      </c>
      <c r="E7" s="21">
        <f>D7/COUNTA(Customers!$A$2:$A$901)</f>
        <v>0.2766666667</v>
      </c>
      <c r="F7" s="22" t="s">
        <v>84</v>
      </c>
    </row>
    <row r="8" ht="45.75" customHeight="1">
      <c r="A8" s="7" t="s">
        <v>86</v>
      </c>
      <c r="B8" s="16" t="s">
        <v>87</v>
      </c>
      <c r="C8" s="19">
        <f>SUMPRODUCT((Customers!$K$2:$K$901&lt;&gt;"")*(Customers!$K$2:$K$901&gt;=($B$4-30)))</f>
        <v>116</v>
      </c>
      <c r="D8" s="20">
        <f>SUMPRODUCT((Customers!$K$2:$K$901&lt;&gt;"")*(Customers!$K$2:$K$901&gt;=($B$4-30)))</f>
        <v>116</v>
      </c>
      <c r="E8" s="21">
        <f>D8/COUNTA(Customers!$A$2:$A$901)</f>
        <v>0.1288888889</v>
      </c>
      <c r="F8" s="22" t="s">
        <v>84</v>
      </c>
    </row>
    <row r="9" ht="45.75" customHeight="1">
      <c r="A9" s="7" t="s">
        <v>101</v>
      </c>
      <c r="B9" s="16" t="s">
        <v>102</v>
      </c>
      <c r="C9" s="19">
        <f>SUMPRODUCT((((Customers!$L$2:$L$901&gt;0)+(Customers!$M$2:$M$901&gt;0))&gt;0)*1)</f>
        <v>817</v>
      </c>
      <c r="D9" s="20">
        <f>SUMPRODUCT((((Customers!$L$2:$L$901&gt;0)+(Customers!$M$2:$M$901&gt;0))&gt;0)*1)</f>
        <v>817</v>
      </c>
      <c r="E9" s="21">
        <f>D9/COUNTA(Customers!$A$2:$A$901)</f>
        <v>0.9077777778</v>
      </c>
      <c r="F9" s="22" t="s">
        <v>84</v>
      </c>
    </row>
    <row r="10" ht="45.75" customHeight="1">
      <c r="A10" s="7" t="s">
        <v>119</v>
      </c>
      <c r="B10" s="16" t="s">
        <v>120</v>
      </c>
      <c r="C10" s="19">
        <f>SUMPRODUCT((Customers!$E$2:$E$901="Active")*((((Customers!$K$2:$K$901&lt;&gt;"")*(Customers!$K$2:$K$901&gt;=($B$4-30)))+(Customers!$L$2:$L$901&gt;0)+(Customers!$M$2:$M$901&gt;0))&gt;0))</f>
        <v>699</v>
      </c>
      <c r="D10" s="20">
        <f>SUMPRODUCT((Customers!$E$2:$E$901="Active")*((((Customers!$K$2:$K$901&lt;&gt;"")*(Customers!$K$2:$K$901&gt;=($B$4-30)))+(Customers!$L$2:$L$901&gt;0)+(Customers!$M$2:$M$901&gt;0))&gt;0))</f>
        <v>699</v>
      </c>
      <c r="E10" s="21">
        <f>D10/COUNTA(Customers!$A$2:$A$901)</f>
        <v>0.7766666667</v>
      </c>
      <c r="F10" s="30" t="s">
        <v>47</v>
      </c>
    </row>
    <row r="12">
      <c r="A12" s="6" t="s">
        <v>143</v>
      </c>
    </row>
    <row r="13" ht="15.0" customHeight="1">
      <c r="A13" s="8" t="s">
        <v>144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3:F1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5" t="s">
        <v>129</v>
      </c>
      <c r="B1" s="25" t="s">
        <v>133</v>
      </c>
      <c r="C1" s="26" t="s">
        <v>136</v>
      </c>
      <c r="D1" s="26" t="s">
        <v>137</v>
      </c>
      <c r="E1" s="25" t="s">
        <v>12</v>
      </c>
    </row>
    <row r="2">
      <c r="A2" s="27" t="s">
        <v>49</v>
      </c>
      <c r="B2" s="27" t="s">
        <v>56</v>
      </c>
      <c r="C2" s="28">
        <v>249.0</v>
      </c>
      <c r="D2" s="29">
        <v>0.277</v>
      </c>
      <c r="E2" s="27" t="s">
        <v>62</v>
      </c>
    </row>
    <row r="3">
      <c r="A3" s="27" t="s">
        <v>86</v>
      </c>
      <c r="B3" s="27" t="s">
        <v>87</v>
      </c>
      <c r="C3" s="28">
        <v>116.0</v>
      </c>
      <c r="D3" s="29">
        <v>0.129</v>
      </c>
      <c r="E3" s="27" t="s">
        <v>62</v>
      </c>
    </row>
    <row r="4">
      <c r="A4" s="27" t="s">
        <v>101</v>
      </c>
      <c r="B4" s="27" t="s">
        <v>102</v>
      </c>
      <c r="C4" s="28">
        <v>817.0</v>
      </c>
      <c r="D4" s="29">
        <v>0.908</v>
      </c>
      <c r="E4" s="27" t="s">
        <v>62</v>
      </c>
    </row>
    <row r="5">
      <c r="A5" s="27" t="s">
        <v>119</v>
      </c>
      <c r="B5" s="27" t="s">
        <v>142</v>
      </c>
      <c r="C5" s="28">
        <v>699.0</v>
      </c>
      <c r="D5" s="29">
        <v>0.777</v>
      </c>
      <c r="E5" s="27" t="s">
        <v>47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14.0"/>
    <col customWidth="1" min="3" max="3" width="16.0"/>
    <col customWidth="1" min="4" max="4" width="70.0"/>
    <col customWidth="1" min="5" max="26" width="8.71"/>
  </cols>
  <sheetData>
    <row r="1">
      <c r="A1" s="1" t="s">
        <v>145</v>
      </c>
    </row>
    <row r="2">
      <c r="A2" s="2" t="s">
        <v>146</v>
      </c>
    </row>
    <row r="4">
      <c r="A4" s="31" t="s">
        <v>19</v>
      </c>
      <c r="B4" s="32">
        <v>46265.0</v>
      </c>
    </row>
    <row r="6">
      <c r="A6" s="13" t="s">
        <v>148</v>
      </c>
      <c r="B6" s="13" t="s">
        <v>149</v>
      </c>
      <c r="C6" s="13" t="s">
        <v>151</v>
      </c>
      <c r="D6" s="13" t="s">
        <v>8</v>
      </c>
    </row>
    <row r="7">
      <c r="A7" s="6" t="s">
        <v>73</v>
      </c>
      <c r="B7" s="33" t="s">
        <v>74</v>
      </c>
      <c r="C7" s="35">
        <f>COUNTA(Customers!$A$2:$A$901)</f>
        <v>900</v>
      </c>
      <c r="D7" s="36">
        <f>COUNTA(Customers!$A$2:$A$901)</f>
        <v>900</v>
      </c>
    </row>
    <row r="8">
      <c r="A8" s="6" t="s">
        <v>16</v>
      </c>
      <c r="B8" s="33" t="s">
        <v>74</v>
      </c>
      <c r="C8" s="35">
        <f>Metric_Conflict_ActiveCust!D10</f>
        <v>699</v>
      </c>
      <c r="D8" s="36">
        <f>Metric_Conflict_ActiveCust!D10</f>
        <v>699</v>
      </c>
    </row>
    <row r="9">
      <c r="A9" s="6" t="s">
        <v>77</v>
      </c>
      <c r="B9" s="33" t="s">
        <v>59</v>
      </c>
      <c r="C9" s="35">
        <f>SUMPRODUCT((Customers!$B$2:$B$901&gt;=($B$4-30))*1)</f>
        <v>46</v>
      </c>
      <c r="D9" s="36">
        <f>SUMPRODUCT((Customers!$B$2:$B$901&gt;=($B$4-30))*1)</f>
        <v>46</v>
      </c>
    </row>
    <row r="10">
      <c r="A10" s="6" t="s">
        <v>166</v>
      </c>
      <c r="B10" s="33" t="s">
        <v>64</v>
      </c>
      <c r="C10" s="35">
        <f>SUMIFS(Finance_Revenue!$D$2:$D$121,Finance_Revenue!$A$2:$A$121,"&gt;="&amp;EDATE($B$4,-12))</f>
        <v>13009419.87</v>
      </c>
      <c r="D10" s="36">
        <f>SUMIFS(Finance_Revenue!$D$2:$D$121,Finance_Revenue!$A$2:$A$121,"&gt;="&amp;EDATE($B$4,-12))</f>
        <v>13009419.87</v>
      </c>
    </row>
    <row r="11">
      <c r="A11" s="6" t="s">
        <v>92</v>
      </c>
      <c r="B11" s="33" t="s">
        <v>197</v>
      </c>
      <c r="C11" s="41">
        <f>Domain_Credit_Summary!B12</f>
        <v>0.5135714286</v>
      </c>
      <c r="D11" s="43">
        <f>Domain_Credit_Summary!B12</f>
        <v>0.5135714286</v>
      </c>
    </row>
    <row r="12">
      <c r="A12" s="6" t="s">
        <v>210</v>
      </c>
      <c r="B12" s="33" t="s">
        <v>197</v>
      </c>
      <c r="C12" s="35">
        <f>Domain_Credit_Summary!B21</f>
        <v>8594565.04</v>
      </c>
      <c r="D12" s="44">
        <f>Domain_Credit_Summary!B21</f>
        <v>8594565.04</v>
      </c>
    </row>
    <row r="13">
      <c r="A13" s="6" t="s">
        <v>229</v>
      </c>
      <c r="B13" s="33" t="s">
        <v>197</v>
      </c>
      <c r="C13" s="41">
        <f>Domain_Credit_Summary!B25</f>
        <v>0.0345499823</v>
      </c>
      <c r="D13" s="43">
        <f>Domain_Credit_Summary!B25</f>
        <v>0.0345499823</v>
      </c>
    </row>
    <row r="14">
      <c r="A14" s="6" t="s">
        <v>242</v>
      </c>
      <c r="B14" s="33" t="s">
        <v>243</v>
      </c>
      <c r="C14" s="35">
        <f>SUMIFS(Transactions!$E$2:$E$6001,Transactions!$C$2:$C$6001,"&gt;="&amp;($B$4-30),Transactions!$G$2:$G$6001,"Completed")</f>
        <v>17836.95</v>
      </c>
      <c r="D14" s="36">
        <f>SUMIFS(Transactions!$E$2:$E$6001,Transactions!$C$2:$C$6001,"&gt;="&amp;($B$4-30),Transactions!$G$2:$G$6001,"Completed")</f>
        <v>17836.95</v>
      </c>
    </row>
    <row r="15">
      <c r="A15" s="6" t="s">
        <v>272</v>
      </c>
      <c r="B15" s="33" t="s">
        <v>40</v>
      </c>
      <c r="C15" s="35">
        <f>SUMIF(Savings!$E$2:$E$764,"Active",Savings!$D$2:$D$764)</f>
        <v>1431078.93</v>
      </c>
      <c r="D15" s="36">
        <f>SUMIF(Savings!$E$2:$E$764,"Active",Savings!$D$2:$D$764)</f>
        <v>1431078.93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0"/>
    <col customWidth="1" min="2" max="2" width="16.0"/>
    <col customWidth="1" min="3" max="26" width="8.71"/>
  </cols>
  <sheetData>
    <row r="1">
      <c r="A1" s="1" t="s">
        <v>147</v>
      </c>
    </row>
    <row r="2">
      <c r="A2" s="2" t="s">
        <v>150</v>
      </c>
    </row>
    <row r="4">
      <c r="A4" s="3" t="s">
        <v>152</v>
      </c>
    </row>
    <row r="5">
      <c r="A5" s="33" t="s">
        <v>153</v>
      </c>
      <c r="B5" s="34">
        <f>COUNTA(Credit_Applications!$A$2:$A$1401)</f>
        <v>1400</v>
      </c>
    </row>
    <row r="6">
      <c r="A6" s="33" t="s">
        <v>154</v>
      </c>
      <c r="B6" s="34">
        <f>COUNTIF(Credit_Applications!$G$2:$G$1401,"Y")</f>
        <v>1066</v>
      </c>
    </row>
    <row r="7">
      <c r="A7" s="33" t="s">
        <v>155</v>
      </c>
      <c r="B7" s="34">
        <f>COUNTIF(Credit_Applications!$H$2:$H$1401,"Y")</f>
        <v>719</v>
      </c>
    </row>
    <row r="8">
      <c r="A8" s="33" t="s">
        <v>156</v>
      </c>
      <c r="B8" s="34">
        <f>COUNTIF(Credit_Applications!$I$2:$I$1401,"Y")</f>
        <v>719</v>
      </c>
    </row>
    <row r="9">
      <c r="A9" s="33" t="s">
        <v>157</v>
      </c>
      <c r="B9" s="34">
        <f>COUNTIF(Credit_Applications!$J$2:$J$1401,"Y")</f>
        <v>660</v>
      </c>
    </row>
    <row r="10">
      <c r="A10" s="33" t="s">
        <v>95</v>
      </c>
      <c r="B10" s="37">
        <f t="shared" ref="B10:B11" si="1">B6/B5</f>
        <v>0.7614285714</v>
      </c>
    </row>
    <row r="11">
      <c r="A11" s="33" t="s">
        <v>158</v>
      </c>
      <c r="B11" s="37">
        <f t="shared" si="1"/>
        <v>0.6744840525</v>
      </c>
    </row>
    <row r="12">
      <c r="A12" s="33" t="s">
        <v>159</v>
      </c>
      <c r="B12" s="37">
        <f>B8/B5</f>
        <v>0.5135714286</v>
      </c>
    </row>
    <row r="13">
      <c r="A13" s="33" t="s">
        <v>162</v>
      </c>
      <c r="B13" s="37">
        <f>B9/B8</f>
        <v>0.9179415855</v>
      </c>
    </row>
    <row r="15">
      <c r="A15" s="3" t="s">
        <v>172</v>
      </c>
    </row>
    <row r="16">
      <c r="A16" s="33" t="s">
        <v>174</v>
      </c>
      <c r="B16" s="34">
        <f>COUNTA(Loans!$A$2:$A$661)</f>
        <v>660</v>
      </c>
    </row>
    <row r="17">
      <c r="A17" s="33" t="s">
        <v>182</v>
      </c>
      <c r="B17" s="34">
        <f>COUNTIF(Loans!$K$2:$K$661,"Performing")</f>
        <v>561</v>
      </c>
    </row>
    <row r="18">
      <c r="A18" s="33" t="s">
        <v>190</v>
      </c>
      <c r="B18" s="34">
        <f>COUNTIF(Loans!$K$2:$K$661,"Delinquent")</f>
        <v>34</v>
      </c>
    </row>
    <row r="19">
      <c r="A19" s="33" t="s">
        <v>193</v>
      </c>
      <c r="B19" s="34">
        <f>COUNTIF(Loans!$K$2:$K$661,"Default")</f>
        <v>20</v>
      </c>
    </row>
    <row r="20">
      <c r="A20" s="33" t="s">
        <v>198</v>
      </c>
      <c r="B20" s="34">
        <f>COUNTIF(Loans!$K$2:$K$661,"Closed - Repaid")</f>
        <v>45</v>
      </c>
    </row>
    <row r="21" ht="15.75" customHeight="1">
      <c r="A21" s="33" t="s">
        <v>203</v>
      </c>
      <c r="B21" s="42">
        <f>SUM(Loans!$I$2:$I$661)</f>
        <v>8594565.04</v>
      </c>
    </row>
    <row r="22" ht="15.75" customHeight="1">
      <c r="A22" s="33" t="s">
        <v>207</v>
      </c>
      <c r="B22" s="42">
        <f>AVERAGE(Loans!$G$2:$G$661)</f>
        <v>23602.92424</v>
      </c>
    </row>
    <row r="23" ht="15.75" customHeight="1"/>
    <row r="24" ht="15.75" customHeight="1">
      <c r="A24" s="3" t="s">
        <v>216</v>
      </c>
    </row>
    <row r="25" ht="15.75" customHeight="1">
      <c r="A25" s="33" t="s">
        <v>218</v>
      </c>
      <c r="B25" s="45">
        <f>SUMIF(Loans!$K$2:$K$661,"Default",Loans!$I$2:$I$661)/B21</f>
        <v>0.0345499823</v>
      </c>
    </row>
    <row r="26" ht="15.75" customHeight="1">
      <c r="A26" s="33" t="s">
        <v>232</v>
      </c>
      <c r="B26" s="45">
        <f>SUMPRODUCT(((Loans!$K$2:$K$661="Delinquent")+(Loans!$K$2:$K$661="Default")),Loans!$I$2:$I$661)/B21</f>
        <v>0.1010327348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20.0"/>
    <col customWidth="1" min="4" max="4" width="14.0"/>
    <col customWidth="1" min="5" max="5" width="16.0"/>
    <col customWidth="1" min="6" max="6" width="21.0"/>
    <col customWidth="1" min="7" max="7" width="22.0"/>
    <col customWidth="1" min="8" max="8" width="20.0"/>
    <col customWidth="1" min="9" max="9" width="17.0"/>
    <col customWidth="1" min="10" max="10" width="23.0"/>
    <col customWidth="1" min="11" max="11" width="31.0"/>
    <col customWidth="1" min="12" max="12" width="23.0"/>
    <col customWidth="1" min="13" max="13" width="26.0"/>
    <col customWidth="1" min="14" max="26" width="8.71"/>
  </cols>
  <sheetData>
    <row r="1">
      <c r="A1" s="38" t="s">
        <v>160</v>
      </c>
      <c r="B1" s="38" t="s">
        <v>161</v>
      </c>
      <c r="C1" s="38" t="s">
        <v>163</v>
      </c>
      <c r="D1" s="38" t="s">
        <v>164</v>
      </c>
      <c r="E1" s="38" t="s">
        <v>165</v>
      </c>
      <c r="F1" s="38" t="s">
        <v>167</v>
      </c>
      <c r="G1" s="38" t="s">
        <v>168</v>
      </c>
      <c r="H1" s="38" t="s">
        <v>169</v>
      </c>
      <c r="I1" s="38" t="s">
        <v>170</v>
      </c>
      <c r="J1" s="38" t="s">
        <v>171</v>
      </c>
      <c r="K1" s="38" t="s">
        <v>173</v>
      </c>
      <c r="L1" s="38" t="s">
        <v>175</v>
      </c>
      <c r="M1" s="38" t="s">
        <v>176</v>
      </c>
    </row>
    <row r="2">
      <c r="A2" s="33" t="s">
        <v>177</v>
      </c>
      <c r="B2" s="39">
        <v>45712.0</v>
      </c>
      <c r="C2" s="33" t="s">
        <v>178</v>
      </c>
      <c r="D2" s="33" t="s">
        <v>179</v>
      </c>
      <c r="E2" s="33" t="s">
        <v>180</v>
      </c>
      <c r="F2" s="33" t="s">
        <v>181</v>
      </c>
      <c r="G2" s="33" t="s">
        <v>181</v>
      </c>
      <c r="H2" s="33" t="s">
        <v>181</v>
      </c>
      <c r="I2" s="39">
        <v>46219.0</v>
      </c>
      <c r="J2" s="39">
        <v>46185.0</v>
      </c>
      <c r="K2" s="39">
        <v>46181.0</v>
      </c>
      <c r="L2" s="40">
        <v>2664.63</v>
      </c>
      <c r="M2" s="40">
        <v>6461.33</v>
      </c>
    </row>
    <row r="3">
      <c r="A3" s="33" t="s">
        <v>183</v>
      </c>
      <c r="B3" s="39">
        <v>46127.0</v>
      </c>
      <c r="C3" s="33" t="s">
        <v>184</v>
      </c>
      <c r="D3" s="33" t="s">
        <v>185</v>
      </c>
      <c r="E3" s="33" t="s">
        <v>180</v>
      </c>
      <c r="F3" s="33" t="s">
        <v>181</v>
      </c>
      <c r="G3" s="33" t="s">
        <v>181</v>
      </c>
      <c r="H3" s="33" t="s">
        <v>181</v>
      </c>
      <c r="I3" s="39">
        <v>46204.0</v>
      </c>
      <c r="J3" s="39">
        <v>46249.0</v>
      </c>
      <c r="K3" s="39">
        <v>46249.0</v>
      </c>
      <c r="L3" s="40">
        <v>0.0</v>
      </c>
      <c r="M3" s="40">
        <v>2662.1</v>
      </c>
    </row>
    <row r="4">
      <c r="A4" s="33" t="s">
        <v>186</v>
      </c>
      <c r="B4" s="39">
        <v>46055.0</v>
      </c>
      <c r="C4" s="33" t="s">
        <v>187</v>
      </c>
      <c r="D4" s="33" t="s">
        <v>188</v>
      </c>
      <c r="E4" s="33" t="s">
        <v>180</v>
      </c>
      <c r="F4" s="33" t="s">
        <v>181</v>
      </c>
      <c r="G4" s="33" t="s">
        <v>181</v>
      </c>
      <c r="H4" s="33" t="s">
        <v>189</v>
      </c>
      <c r="I4" s="39">
        <v>46242.0</v>
      </c>
      <c r="J4" s="39">
        <v>46250.0</v>
      </c>
      <c r="K4" s="39">
        <v>46201.0</v>
      </c>
      <c r="L4" s="40">
        <v>19643.45</v>
      </c>
      <c r="M4" s="40">
        <v>1292.8</v>
      </c>
    </row>
    <row r="5">
      <c r="A5" s="33" t="s">
        <v>191</v>
      </c>
      <c r="B5" s="39">
        <v>45924.0</v>
      </c>
      <c r="C5" s="33" t="s">
        <v>178</v>
      </c>
      <c r="D5" s="33" t="s">
        <v>185</v>
      </c>
      <c r="E5" s="33" t="s">
        <v>180</v>
      </c>
      <c r="F5" s="33" t="s">
        <v>181</v>
      </c>
      <c r="G5" s="33" t="s">
        <v>189</v>
      </c>
      <c r="H5" s="33" t="s">
        <v>181</v>
      </c>
      <c r="I5" s="39">
        <v>46247.0</v>
      </c>
      <c r="J5" s="33"/>
      <c r="K5" s="33"/>
      <c r="L5" s="40">
        <v>360.39</v>
      </c>
      <c r="M5" s="40">
        <v>805.81</v>
      </c>
    </row>
    <row r="6">
      <c r="A6" s="33" t="s">
        <v>192</v>
      </c>
      <c r="B6" s="39">
        <v>45920.0</v>
      </c>
      <c r="C6" s="33" t="s">
        <v>178</v>
      </c>
      <c r="D6" s="33" t="s">
        <v>194</v>
      </c>
      <c r="E6" s="33" t="s">
        <v>180</v>
      </c>
      <c r="F6" s="33" t="s">
        <v>181</v>
      </c>
      <c r="G6" s="33" t="s">
        <v>189</v>
      </c>
      <c r="H6" s="33" t="s">
        <v>189</v>
      </c>
      <c r="I6" s="39">
        <v>46209.0</v>
      </c>
      <c r="J6" s="33"/>
      <c r="K6" s="33"/>
      <c r="L6" s="40">
        <v>0.0</v>
      </c>
      <c r="M6" s="40">
        <v>1529.63</v>
      </c>
    </row>
    <row r="7">
      <c r="A7" s="33" t="s">
        <v>195</v>
      </c>
      <c r="B7" s="39">
        <v>46179.0</v>
      </c>
      <c r="C7" s="33" t="s">
        <v>178</v>
      </c>
      <c r="D7" s="33" t="s">
        <v>196</v>
      </c>
      <c r="E7" s="33" t="s">
        <v>180</v>
      </c>
      <c r="F7" s="33" t="s">
        <v>181</v>
      </c>
      <c r="G7" s="33" t="s">
        <v>181</v>
      </c>
      <c r="H7" s="33" t="s">
        <v>181</v>
      </c>
      <c r="I7" s="39">
        <v>46231.0</v>
      </c>
      <c r="J7" s="39">
        <v>46186.0</v>
      </c>
      <c r="K7" s="39">
        <v>46129.0</v>
      </c>
      <c r="L7" s="40">
        <v>17078.45</v>
      </c>
      <c r="M7" s="40">
        <v>3355.08</v>
      </c>
    </row>
    <row r="8">
      <c r="A8" s="33" t="s">
        <v>199</v>
      </c>
      <c r="B8" s="39">
        <v>45710.0</v>
      </c>
      <c r="C8" s="33" t="s">
        <v>184</v>
      </c>
      <c r="D8" s="33" t="s">
        <v>200</v>
      </c>
      <c r="E8" s="33" t="s">
        <v>180</v>
      </c>
      <c r="F8" s="33" t="s">
        <v>181</v>
      </c>
      <c r="G8" s="33" t="s">
        <v>189</v>
      </c>
      <c r="H8" s="33" t="s">
        <v>181</v>
      </c>
      <c r="I8" s="39">
        <v>46199.0</v>
      </c>
      <c r="J8" s="33"/>
      <c r="K8" s="33"/>
      <c r="L8" s="40">
        <v>0.0</v>
      </c>
      <c r="M8" s="40">
        <v>2409.75</v>
      </c>
    </row>
    <row r="9">
      <c r="A9" s="33" t="s">
        <v>201</v>
      </c>
      <c r="B9" s="39">
        <v>46081.0</v>
      </c>
      <c r="C9" s="33" t="s">
        <v>202</v>
      </c>
      <c r="D9" s="33" t="s">
        <v>196</v>
      </c>
      <c r="E9" s="33" t="s">
        <v>180</v>
      </c>
      <c r="F9" s="33" t="s">
        <v>181</v>
      </c>
      <c r="G9" s="33" t="s">
        <v>181</v>
      </c>
      <c r="H9" s="33" t="s">
        <v>181</v>
      </c>
      <c r="I9" s="39">
        <v>46252.0</v>
      </c>
      <c r="J9" s="39">
        <v>46168.0</v>
      </c>
      <c r="K9" s="39">
        <v>45794.0</v>
      </c>
      <c r="L9" s="40">
        <v>0.0</v>
      </c>
      <c r="M9" s="40">
        <v>2109.01</v>
      </c>
    </row>
    <row r="10">
      <c r="A10" s="33" t="s">
        <v>204</v>
      </c>
      <c r="B10" s="39">
        <v>45780.0</v>
      </c>
      <c r="C10" s="33" t="s">
        <v>184</v>
      </c>
      <c r="D10" s="33" t="s">
        <v>200</v>
      </c>
      <c r="E10" s="33" t="s">
        <v>180</v>
      </c>
      <c r="F10" s="33" t="s">
        <v>181</v>
      </c>
      <c r="G10" s="33" t="s">
        <v>181</v>
      </c>
      <c r="H10" s="33" t="s">
        <v>181</v>
      </c>
      <c r="I10" s="39">
        <v>46255.0</v>
      </c>
      <c r="J10" s="39">
        <v>46154.0</v>
      </c>
      <c r="K10" s="39">
        <v>46154.0</v>
      </c>
      <c r="L10" s="40">
        <v>0.0</v>
      </c>
      <c r="M10" s="40">
        <v>1651.33</v>
      </c>
    </row>
    <row r="11">
      <c r="A11" s="33" t="s">
        <v>206</v>
      </c>
      <c r="B11" s="39">
        <v>45715.0</v>
      </c>
      <c r="C11" s="33" t="s">
        <v>187</v>
      </c>
      <c r="D11" s="33" t="s">
        <v>185</v>
      </c>
      <c r="E11" s="33" t="s">
        <v>180</v>
      </c>
      <c r="F11" s="33" t="s">
        <v>181</v>
      </c>
      <c r="G11" s="33" t="s">
        <v>181</v>
      </c>
      <c r="H11" s="33" t="s">
        <v>181</v>
      </c>
      <c r="I11" s="39">
        <v>46216.0</v>
      </c>
      <c r="J11" s="39">
        <v>46231.0</v>
      </c>
      <c r="K11" s="39">
        <v>46048.0</v>
      </c>
      <c r="L11" s="40">
        <v>0.0</v>
      </c>
      <c r="M11" s="40">
        <v>2296.73</v>
      </c>
    </row>
    <row r="12">
      <c r="A12" s="33" t="s">
        <v>208</v>
      </c>
      <c r="B12" s="39">
        <v>45977.0</v>
      </c>
      <c r="C12" s="33" t="s">
        <v>202</v>
      </c>
      <c r="D12" s="33" t="s">
        <v>194</v>
      </c>
      <c r="E12" s="33" t="s">
        <v>180</v>
      </c>
      <c r="F12" s="33" t="s">
        <v>181</v>
      </c>
      <c r="G12" s="33" t="s">
        <v>189</v>
      </c>
      <c r="H12" s="33" t="s">
        <v>189</v>
      </c>
      <c r="I12" s="39">
        <v>46230.0</v>
      </c>
      <c r="J12" s="33"/>
      <c r="K12" s="33"/>
      <c r="L12" s="40">
        <v>0.0</v>
      </c>
      <c r="M12" s="40">
        <v>504.91</v>
      </c>
    </row>
    <row r="13">
      <c r="A13" s="33" t="s">
        <v>213</v>
      </c>
      <c r="B13" s="39">
        <v>46250.0</v>
      </c>
      <c r="C13" s="33" t="s">
        <v>178</v>
      </c>
      <c r="D13" s="33" t="s">
        <v>194</v>
      </c>
      <c r="E13" s="33" t="s">
        <v>180</v>
      </c>
      <c r="F13" s="33" t="s">
        <v>181</v>
      </c>
      <c r="G13" s="33" t="s">
        <v>181</v>
      </c>
      <c r="H13" s="33" t="s">
        <v>181</v>
      </c>
      <c r="I13" s="39">
        <v>46200.0</v>
      </c>
      <c r="J13" s="39">
        <v>46253.0</v>
      </c>
      <c r="K13" s="39">
        <v>46218.0</v>
      </c>
      <c r="L13" s="40">
        <v>0.0</v>
      </c>
      <c r="M13" s="40">
        <v>1381.27</v>
      </c>
    </row>
    <row r="14">
      <c r="A14" s="33" t="s">
        <v>220</v>
      </c>
      <c r="B14" s="39">
        <v>46104.0</v>
      </c>
      <c r="C14" s="33" t="s">
        <v>184</v>
      </c>
      <c r="D14" s="33" t="s">
        <v>179</v>
      </c>
      <c r="E14" s="33" t="s">
        <v>222</v>
      </c>
      <c r="F14" s="33" t="s">
        <v>181</v>
      </c>
      <c r="G14" s="33" t="s">
        <v>181</v>
      </c>
      <c r="H14" s="33" t="s">
        <v>189</v>
      </c>
      <c r="I14" s="39">
        <v>46159.0</v>
      </c>
      <c r="J14" s="39">
        <v>46224.0</v>
      </c>
      <c r="K14" s="39">
        <v>46141.0</v>
      </c>
      <c r="L14" s="40">
        <v>10224.1</v>
      </c>
      <c r="M14" s="40">
        <v>1320.1</v>
      </c>
    </row>
    <row r="15">
      <c r="A15" s="33" t="s">
        <v>225</v>
      </c>
      <c r="B15" s="39">
        <v>46120.0</v>
      </c>
      <c r="C15" s="33" t="s">
        <v>178</v>
      </c>
      <c r="D15" s="33" t="s">
        <v>228</v>
      </c>
      <c r="E15" s="33" t="s">
        <v>180</v>
      </c>
      <c r="F15" s="33" t="s">
        <v>181</v>
      </c>
      <c r="G15" s="33" t="s">
        <v>181</v>
      </c>
      <c r="H15" s="33" t="s">
        <v>189</v>
      </c>
      <c r="I15" s="39">
        <v>46234.0</v>
      </c>
      <c r="J15" s="39">
        <v>46247.0</v>
      </c>
      <c r="K15" s="39">
        <v>46221.0</v>
      </c>
      <c r="L15" s="40">
        <v>26086.71</v>
      </c>
      <c r="M15" s="40">
        <v>1365.17</v>
      </c>
    </row>
    <row r="16">
      <c r="A16" s="33" t="s">
        <v>231</v>
      </c>
      <c r="B16" s="39">
        <v>46093.0</v>
      </c>
      <c r="C16" s="33" t="s">
        <v>202</v>
      </c>
      <c r="D16" s="33" t="s">
        <v>228</v>
      </c>
      <c r="E16" s="33" t="s">
        <v>180</v>
      </c>
      <c r="F16" s="33" t="s">
        <v>181</v>
      </c>
      <c r="G16" s="33" t="s">
        <v>189</v>
      </c>
      <c r="H16" s="33" t="s">
        <v>189</v>
      </c>
      <c r="I16" s="39">
        <v>46251.0</v>
      </c>
      <c r="J16" s="33"/>
      <c r="K16" s="33"/>
      <c r="L16" s="40">
        <v>0.0</v>
      </c>
      <c r="M16" s="40">
        <v>2992.15</v>
      </c>
    </row>
    <row r="17">
      <c r="A17" s="33" t="s">
        <v>236</v>
      </c>
      <c r="B17" s="39">
        <v>46135.0</v>
      </c>
      <c r="C17" s="33" t="s">
        <v>187</v>
      </c>
      <c r="D17" s="33" t="s">
        <v>237</v>
      </c>
      <c r="E17" s="33" t="s">
        <v>180</v>
      </c>
      <c r="F17" s="33" t="s">
        <v>181</v>
      </c>
      <c r="G17" s="33" t="s">
        <v>181</v>
      </c>
      <c r="H17" s="33" t="s">
        <v>189</v>
      </c>
      <c r="I17" s="39">
        <v>46251.0</v>
      </c>
      <c r="J17" s="39">
        <v>46238.0</v>
      </c>
      <c r="K17" s="39">
        <v>46217.0</v>
      </c>
      <c r="L17" s="40">
        <v>0.0</v>
      </c>
      <c r="M17" s="40">
        <v>462.11</v>
      </c>
    </row>
    <row r="18">
      <c r="A18" s="33" t="s">
        <v>240</v>
      </c>
      <c r="B18" s="39">
        <v>45969.0</v>
      </c>
      <c r="C18" s="33" t="s">
        <v>187</v>
      </c>
      <c r="D18" s="33" t="s">
        <v>237</v>
      </c>
      <c r="E18" s="33" t="s">
        <v>180</v>
      </c>
      <c r="F18" s="33" t="s">
        <v>181</v>
      </c>
      <c r="G18" s="33" t="s">
        <v>181</v>
      </c>
      <c r="H18" s="33" t="s">
        <v>189</v>
      </c>
      <c r="I18" s="39">
        <v>46197.0</v>
      </c>
      <c r="J18" s="39">
        <v>46137.0</v>
      </c>
      <c r="K18" s="39">
        <v>45942.0</v>
      </c>
      <c r="L18" s="40">
        <v>0.0</v>
      </c>
      <c r="M18" s="40">
        <v>1365.3</v>
      </c>
    </row>
    <row r="19">
      <c r="A19" s="33" t="s">
        <v>246</v>
      </c>
      <c r="B19" s="39">
        <v>45735.0</v>
      </c>
      <c r="C19" s="33" t="s">
        <v>184</v>
      </c>
      <c r="D19" s="33" t="s">
        <v>200</v>
      </c>
      <c r="E19" s="33" t="s">
        <v>180</v>
      </c>
      <c r="F19" s="33" t="s">
        <v>181</v>
      </c>
      <c r="G19" s="33" t="s">
        <v>189</v>
      </c>
      <c r="H19" s="33" t="s">
        <v>181</v>
      </c>
      <c r="I19" s="39">
        <v>46245.0</v>
      </c>
      <c r="J19" s="33"/>
      <c r="K19" s="33"/>
      <c r="L19" s="40">
        <v>0.0</v>
      </c>
      <c r="M19" s="40">
        <v>1872.57</v>
      </c>
    </row>
    <row r="20">
      <c r="A20" s="33" t="s">
        <v>251</v>
      </c>
      <c r="B20" s="39">
        <v>46167.0</v>
      </c>
      <c r="C20" s="33" t="s">
        <v>178</v>
      </c>
      <c r="D20" s="33" t="s">
        <v>228</v>
      </c>
      <c r="E20" s="33" t="s">
        <v>180</v>
      </c>
      <c r="F20" s="33" t="s">
        <v>181</v>
      </c>
      <c r="G20" s="33" t="s">
        <v>181</v>
      </c>
      <c r="H20" s="33" t="s">
        <v>181</v>
      </c>
      <c r="I20" s="39">
        <v>46220.0</v>
      </c>
      <c r="J20" s="39">
        <v>46238.0</v>
      </c>
      <c r="K20" s="39">
        <v>46235.0</v>
      </c>
      <c r="L20" s="40">
        <v>9052.99</v>
      </c>
      <c r="M20" s="40">
        <v>1627.99</v>
      </c>
    </row>
    <row r="21" ht="15.75" customHeight="1">
      <c r="A21" s="33" t="s">
        <v>255</v>
      </c>
      <c r="B21" s="39">
        <v>45931.0</v>
      </c>
      <c r="C21" s="33" t="s">
        <v>202</v>
      </c>
      <c r="D21" s="33" t="s">
        <v>188</v>
      </c>
      <c r="E21" s="33" t="s">
        <v>180</v>
      </c>
      <c r="F21" s="33" t="s">
        <v>181</v>
      </c>
      <c r="G21" s="33" t="s">
        <v>181</v>
      </c>
      <c r="H21" s="33" t="s">
        <v>189</v>
      </c>
      <c r="I21" s="39">
        <v>46192.0</v>
      </c>
      <c r="J21" s="39">
        <v>46257.0</v>
      </c>
      <c r="K21" s="39">
        <v>46191.0</v>
      </c>
      <c r="L21" s="40">
        <v>10118.29</v>
      </c>
      <c r="M21" s="40">
        <v>1674.7</v>
      </c>
    </row>
    <row r="22" ht="15.75" customHeight="1">
      <c r="A22" s="33" t="s">
        <v>258</v>
      </c>
      <c r="B22" s="39">
        <v>45961.0</v>
      </c>
      <c r="C22" s="33" t="s">
        <v>178</v>
      </c>
      <c r="D22" s="33" t="s">
        <v>200</v>
      </c>
      <c r="E22" s="33" t="s">
        <v>180</v>
      </c>
      <c r="F22" s="33" t="s">
        <v>189</v>
      </c>
      <c r="G22" s="33" t="s">
        <v>181</v>
      </c>
      <c r="H22" s="33" t="s">
        <v>189</v>
      </c>
      <c r="I22" s="39">
        <v>46185.0</v>
      </c>
      <c r="J22" s="39">
        <v>46203.0</v>
      </c>
      <c r="K22" s="39">
        <v>46203.0</v>
      </c>
      <c r="L22" s="40">
        <v>28476.98</v>
      </c>
      <c r="M22" s="40">
        <v>0.0</v>
      </c>
    </row>
    <row r="23" ht="15.75" customHeight="1">
      <c r="A23" s="33" t="s">
        <v>261</v>
      </c>
      <c r="B23" s="39">
        <v>45883.0</v>
      </c>
      <c r="C23" s="33" t="s">
        <v>202</v>
      </c>
      <c r="D23" s="33" t="s">
        <v>200</v>
      </c>
      <c r="E23" s="33" t="s">
        <v>180</v>
      </c>
      <c r="F23" s="33" t="s">
        <v>181</v>
      </c>
      <c r="G23" s="33" t="s">
        <v>189</v>
      </c>
      <c r="H23" s="33" t="s">
        <v>181</v>
      </c>
      <c r="I23" s="39">
        <v>46241.0</v>
      </c>
      <c r="J23" s="33"/>
      <c r="K23" s="33"/>
      <c r="L23" s="40">
        <v>0.0</v>
      </c>
      <c r="M23" s="40">
        <v>439.5</v>
      </c>
    </row>
    <row r="24" ht="15.75" customHeight="1">
      <c r="A24" s="33" t="s">
        <v>265</v>
      </c>
      <c r="B24" s="39">
        <v>45768.0</v>
      </c>
      <c r="C24" s="33" t="s">
        <v>178</v>
      </c>
      <c r="D24" s="33" t="s">
        <v>194</v>
      </c>
      <c r="E24" s="33" t="s">
        <v>180</v>
      </c>
      <c r="F24" s="33" t="s">
        <v>181</v>
      </c>
      <c r="G24" s="33" t="s">
        <v>181</v>
      </c>
      <c r="H24" s="33" t="s">
        <v>189</v>
      </c>
      <c r="I24" s="39">
        <v>46256.0</v>
      </c>
      <c r="J24" s="39">
        <v>46249.0</v>
      </c>
      <c r="K24" s="39">
        <v>46126.0</v>
      </c>
      <c r="L24" s="40">
        <v>0.0</v>
      </c>
      <c r="M24" s="40">
        <v>2258.01</v>
      </c>
    </row>
    <row r="25" ht="15.75" customHeight="1">
      <c r="A25" s="33" t="s">
        <v>268</v>
      </c>
      <c r="B25" s="39">
        <v>46220.0</v>
      </c>
      <c r="C25" s="33" t="s">
        <v>178</v>
      </c>
      <c r="D25" s="33" t="s">
        <v>237</v>
      </c>
      <c r="E25" s="33" t="s">
        <v>222</v>
      </c>
      <c r="F25" s="33" t="s">
        <v>181</v>
      </c>
      <c r="G25" s="33" t="s">
        <v>181</v>
      </c>
      <c r="H25" s="33" t="s">
        <v>189</v>
      </c>
      <c r="I25" s="39">
        <v>46119.0</v>
      </c>
      <c r="J25" s="39">
        <v>46245.0</v>
      </c>
      <c r="K25" s="39">
        <v>46160.0</v>
      </c>
      <c r="L25" s="40">
        <v>0.0</v>
      </c>
      <c r="M25" s="40">
        <v>571.79</v>
      </c>
    </row>
    <row r="26" ht="15.75" customHeight="1">
      <c r="A26" s="33" t="s">
        <v>273</v>
      </c>
      <c r="B26" s="39">
        <v>46132.0</v>
      </c>
      <c r="C26" s="33" t="s">
        <v>178</v>
      </c>
      <c r="D26" s="33" t="s">
        <v>185</v>
      </c>
      <c r="E26" s="33" t="s">
        <v>180</v>
      </c>
      <c r="F26" s="33" t="s">
        <v>181</v>
      </c>
      <c r="G26" s="33" t="s">
        <v>181</v>
      </c>
      <c r="H26" s="33" t="s">
        <v>189</v>
      </c>
      <c r="I26" s="39">
        <v>46204.0</v>
      </c>
      <c r="J26" s="39">
        <v>46212.0</v>
      </c>
      <c r="K26" s="39">
        <v>46212.0</v>
      </c>
      <c r="L26" s="40">
        <v>17579.7</v>
      </c>
      <c r="M26" s="40">
        <v>771.91</v>
      </c>
    </row>
    <row r="27" ht="15.75" customHeight="1">
      <c r="A27" s="33" t="s">
        <v>276</v>
      </c>
      <c r="B27" s="39">
        <v>46048.0</v>
      </c>
      <c r="C27" s="33" t="s">
        <v>178</v>
      </c>
      <c r="D27" s="33" t="s">
        <v>228</v>
      </c>
      <c r="E27" s="33" t="s">
        <v>180</v>
      </c>
      <c r="F27" s="33" t="s">
        <v>181</v>
      </c>
      <c r="G27" s="33" t="s">
        <v>189</v>
      </c>
      <c r="H27" s="33" t="s">
        <v>189</v>
      </c>
      <c r="I27" s="39">
        <v>46236.0</v>
      </c>
      <c r="J27" s="33"/>
      <c r="K27" s="33"/>
      <c r="L27" s="40">
        <v>0.0</v>
      </c>
      <c r="M27" s="40">
        <v>2973.0</v>
      </c>
    </row>
    <row r="28" ht="15.75" customHeight="1">
      <c r="A28" s="33" t="s">
        <v>279</v>
      </c>
      <c r="B28" s="39">
        <v>45902.0</v>
      </c>
      <c r="C28" s="33" t="s">
        <v>178</v>
      </c>
      <c r="D28" s="33" t="s">
        <v>188</v>
      </c>
      <c r="E28" s="33" t="s">
        <v>180</v>
      </c>
      <c r="F28" s="33" t="s">
        <v>181</v>
      </c>
      <c r="G28" s="33" t="s">
        <v>189</v>
      </c>
      <c r="H28" s="33" t="s">
        <v>189</v>
      </c>
      <c r="I28" s="39">
        <v>46212.0</v>
      </c>
      <c r="J28" s="33"/>
      <c r="K28" s="33"/>
      <c r="L28" s="40">
        <v>5088.09</v>
      </c>
      <c r="M28" s="40">
        <v>1862.86</v>
      </c>
    </row>
    <row r="29" ht="15.75" customHeight="1">
      <c r="A29" s="33" t="s">
        <v>282</v>
      </c>
      <c r="B29" s="39">
        <v>46157.0</v>
      </c>
      <c r="C29" s="33" t="s">
        <v>187</v>
      </c>
      <c r="D29" s="33" t="s">
        <v>194</v>
      </c>
      <c r="E29" s="33" t="s">
        <v>180</v>
      </c>
      <c r="F29" s="33" t="s">
        <v>181</v>
      </c>
      <c r="G29" s="33" t="s">
        <v>181</v>
      </c>
      <c r="H29" s="33" t="s">
        <v>189</v>
      </c>
      <c r="I29" s="39">
        <v>46249.0</v>
      </c>
      <c r="J29" s="39">
        <v>46209.0</v>
      </c>
      <c r="K29" s="39">
        <v>46116.0</v>
      </c>
      <c r="L29" s="40">
        <v>2856.21</v>
      </c>
      <c r="M29" s="40">
        <v>1176.03</v>
      </c>
    </row>
    <row r="30" ht="15.75" customHeight="1">
      <c r="A30" s="33" t="s">
        <v>285</v>
      </c>
      <c r="B30" s="39">
        <v>45989.0</v>
      </c>
      <c r="C30" s="33" t="s">
        <v>187</v>
      </c>
      <c r="D30" s="33" t="s">
        <v>228</v>
      </c>
      <c r="E30" s="33" t="s">
        <v>180</v>
      </c>
      <c r="F30" s="33" t="s">
        <v>189</v>
      </c>
      <c r="G30" s="33" t="s">
        <v>181</v>
      </c>
      <c r="H30" s="33" t="s">
        <v>189</v>
      </c>
      <c r="I30" s="39">
        <v>46202.0</v>
      </c>
      <c r="J30" s="39">
        <v>46225.0</v>
      </c>
      <c r="K30" s="39">
        <v>46098.0</v>
      </c>
      <c r="L30" s="40">
        <v>18584.31</v>
      </c>
      <c r="M30" s="40">
        <v>0.0</v>
      </c>
    </row>
    <row r="31" ht="15.75" customHeight="1">
      <c r="A31" s="33" t="s">
        <v>288</v>
      </c>
      <c r="B31" s="39">
        <v>45927.0</v>
      </c>
      <c r="C31" s="33" t="s">
        <v>178</v>
      </c>
      <c r="D31" s="33" t="s">
        <v>237</v>
      </c>
      <c r="E31" s="33" t="s">
        <v>180</v>
      </c>
      <c r="F31" s="33" t="s">
        <v>181</v>
      </c>
      <c r="G31" s="33" t="s">
        <v>189</v>
      </c>
      <c r="H31" s="33" t="s">
        <v>181</v>
      </c>
      <c r="I31" s="39">
        <v>46200.0</v>
      </c>
      <c r="J31" s="33"/>
      <c r="K31" s="33"/>
      <c r="L31" s="40">
        <v>0.0</v>
      </c>
      <c r="M31" s="40">
        <v>5493.76</v>
      </c>
    </row>
    <row r="32" ht="15.75" customHeight="1">
      <c r="A32" s="33" t="s">
        <v>291</v>
      </c>
      <c r="B32" s="39">
        <v>45931.0</v>
      </c>
      <c r="C32" s="33" t="s">
        <v>178</v>
      </c>
      <c r="D32" s="33" t="s">
        <v>179</v>
      </c>
      <c r="E32" s="33" t="s">
        <v>180</v>
      </c>
      <c r="F32" s="33" t="s">
        <v>181</v>
      </c>
      <c r="G32" s="33" t="s">
        <v>181</v>
      </c>
      <c r="H32" s="33" t="s">
        <v>181</v>
      </c>
      <c r="I32" s="39">
        <v>46239.0</v>
      </c>
      <c r="J32" s="39">
        <v>46231.0</v>
      </c>
      <c r="K32" s="39">
        <v>46231.0</v>
      </c>
      <c r="L32" s="40">
        <v>13541.45</v>
      </c>
      <c r="M32" s="40">
        <v>1386.56</v>
      </c>
    </row>
    <row r="33" ht="15.75" customHeight="1">
      <c r="A33" s="33" t="s">
        <v>294</v>
      </c>
      <c r="B33" s="39">
        <v>45795.0</v>
      </c>
      <c r="C33" s="33" t="s">
        <v>178</v>
      </c>
      <c r="D33" s="33" t="s">
        <v>228</v>
      </c>
      <c r="E33" s="33" t="s">
        <v>180</v>
      </c>
      <c r="F33" s="33" t="s">
        <v>189</v>
      </c>
      <c r="G33" s="33" t="s">
        <v>181</v>
      </c>
      <c r="H33" s="33" t="s">
        <v>189</v>
      </c>
      <c r="I33" s="39">
        <v>46223.0</v>
      </c>
      <c r="J33" s="39">
        <v>46182.0</v>
      </c>
      <c r="K33" s="39">
        <v>46106.0</v>
      </c>
      <c r="L33" s="40">
        <v>0.0</v>
      </c>
      <c r="M33" s="40">
        <v>0.0</v>
      </c>
    </row>
    <row r="34" ht="15.75" customHeight="1">
      <c r="A34" s="33" t="s">
        <v>297</v>
      </c>
      <c r="B34" s="39">
        <v>45713.0</v>
      </c>
      <c r="C34" s="33" t="s">
        <v>202</v>
      </c>
      <c r="D34" s="33" t="s">
        <v>179</v>
      </c>
      <c r="E34" s="33" t="s">
        <v>180</v>
      </c>
      <c r="F34" s="33" t="s">
        <v>181</v>
      </c>
      <c r="G34" s="33" t="s">
        <v>181</v>
      </c>
      <c r="H34" s="33" t="s">
        <v>189</v>
      </c>
      <c r="I34" s="39">
        <v>46235.0</v>
      </c>
      <c r="J34" s="39">
        <v>46218.0</v>
      </c>
      <c r="K34" s="39">
        <v>46218.0</v>
      </c>
      <c r="L34" s="40">
        <v>0.0</v>
      </c>
      <c r="M34" s="40">
        <v>750.72</v>
      </c>
    </row>
    <row r="35" ht="15.75" customHeight="1">
      <c r="A35" s="33" t="s">
        <v>300</v>
      </c>
      <c r="B35" s="39">
        <v>45994.0</v>
      </c>
      <c r="C35" s="33" t="s">
        <v>178</v>
      </c>
      <c r="D35" s="33" t="s">
        <v>188</v>
      </c>
      <c r="E35" s="33" t="s">
        <v>180</v>
      </c>
      <c r="F35" s="33" t="s">
        <v>181</v>
      </c>
      <c r="G35" s="33" t="s">
        <v>181</v>
      </c>
      <c r="H35" s="33" t="s">
        <v>189</v>
      </c>
      <c r="I35" s="39">
        <v>46263.0</v>
      </c>
      <c r="J35" s="39">
        <v>46216.0</v>
      </c>
      <c r="K35" s="39">
        <v>46167.0</v>
      </c>
      <c r="L35" s="40">
        <v>0.0</v>
      </c>
      <c r="M35" s="40">
        <v>342.85</v>
      </c>
    </row>
    <row r="36" ht="15.75" customHeight="1">
      <c r="A36" s="33" t="s">
        <v>303</v>
      </c>
      <c r="B36" s="39">
        <v>46196.0</v>
      </c>
      <c r="C36" s="33" t="s">
        <v>178</v>
      </c>
      <c r="D36" s="33" t="s">
        <v>237</v>
      </c>
      <c r="E36" s="33" t="s">
        <v>180</v>
      </c>
      <c r="F36" s="33" t="s">
        <v>181</v>
      </c>
      <c r="G36" s="33" t="s">
        <v>181</v>
      </c>
      <c r="H36" s="33" t="s">
        <v>189</v>
      </c>
      <c r="I36" s="39">
        <v>46254.0</v>
      </c>
      <c r="J36" s="39">
        <v>46221.0</v>
      </c>
      <c r="K36" s="39">
        <v>46221.0</v>
      </c>
      <c r="L36" s="40">
        <v>0.0</v>
      </c>
      <c r="M36" s="40">
        <v>3337.16</v>
      </c>
    </row>
    <row r="37" ht="15.75" customHeight="1">
      <c r="A37" s="33" t="s">
        <v>306</v>
      </c>
      <c r="B37" s="39">
        <v>45696.0</v>
      </c>
      <c r="C37" s="33" t="s">
        <v>178</v>
      </c>
      <c r="D37" s="33" t="s">
        <v>188</v>
      </c>
      <c r="E37" s="33" t="s">
        <v>180</v>
      </c>
      <c r="F37" s="33" t="s">
        <v>181</v>
      </c>
      <c r="G37" s="33" t="s">
        <v>181</v>
      </c>
      <c r="H37" s="33" t="s">
        <v>181</v>
      </c>
      <c r="I37" s="39">
        <v>46179.0</v>
      </c>
      <c r="J37" s="39">
        <v>46254.0</v>
      </c>
      <c r="K37" s="39">
        <v>46148.0</v>
      </c>
      <c r="L37" s="40">
        <v>32506.53</v>
      </c>
      <c r="M37" s="40">
        <v>2812.36</v>
      </c>
    </row>
    <row r="38" ht="15.75" customHeight="1">
      <c r="A38" s="33" t="s">
        <v>309</v>
      </c>
      <c r="B38" s="39">
        <v>46178.0</v>
      </c>
      <c r="C38" s="33" t="s">
        <v>202</v>
      </c>
      <c r="D38" s="33" t="s">
        <v>228</v>
      </c>
      <c r="E38" s="33" t="s">
        <v>180</v>
      </c>
      <c r="F38" s="33" t="s">
        <v>181</v>
      </c>
      <c r="G38" s="33" t="s">
        <v>181</v>
      </c>
      <c r="H38" s="33" t="s">
        <v>189</v>
      </c>
      <c r="I38" s="39">
        <v>46224.0</v>
      </c>
      <c r="J38" s="39">
        <v>46133.0</v>
      </c>
      <c r="K38" s="39">
        <v>45890.0</v>
      </c>
      <c r="L38" s="40">
        <v>0.0</v>
      </c>
      <c r="M38" s="40">
        <v>1764.66</v>
      </c>
    </row>
    <row r="39" ht="15.75" customHeight="1">
      <c r="A39" s="33" t="s">
        <v>312</v>
      </c>
      <c r="B39" s="39">
        <v>46160.0</v>
      </c>
      <c r="C39" s="33" t="s">
        <v>178</v>
      </c>
      <c r="D39" s="33" t="s">
        <v>188</v>
      </c>
      <c r="E39" s="33" t="s">
        <v>222</v>
      </c>
      <c r="F39" s="33" t="s">
        <v>181</v>
      </c>
      <c r="G39" s="33" t="s">
        <v>181</v>
      </c>
      <c r="H39" s="33" t="s">
        <v>181</v>
      </c>
      <c r="I39" s="39">
        <v>46212.0</v>
      </c>
      <c r="J39" s="39">
        <v>46226.0</v>
      </c>
      <c r="K39" s="39">
        <v>46226.0</v>
      </c>
      <c r="L39" s="40">
        <v>0.0</v>
      </c>
      <c r="M39" s="40">
        <v>990.47</v>
      </c>
    </row>
    <row r="40" ht="15.75" customHeight="1">
      <c r="A40" s="33" t="s">
        <v>315</v>
      </c>
      <c r="B40" s="39">
        <v>45825.0</v>
      </c>
      <c r="C40" s="33" t="s">
        <v>202</v>
      </c>
      <c r="D40" s="33" t="s">
        <v>237</v>
      </c>
      <c r="E40" s="33" t="s">
        <v>180</v>
      </c>
      <c r="F40" s="33" t="s">
        <v>181</v>
      </c>
      <c r="G40" s="33" t="s">
        <v>189</v>
      </c>
      <c r="H40" s="33" t="s">
        <v>189</v>
      </c>
      <c r="I40" s="39">
        <v>46262.0</v>
      </c>
      <c r="J40" s="33"/>
      <c r="K40" s="33"/>
      <c r="L40" s="40">
        <v>28359.62</v>
      </c>
      <c r="M40" s="40">
        <v>2501.59</v>
      </c>
    </row>
    <row r="41" ht="15.75" customHeight="1">
      <c r="A41" s="33" t="s">
        <v>318</v>
      </c>
      <c r="B41" s="39">
        <v>46041.0</v>
      </c>
      <c r="C41" s="33" t="s">
        <v>202</v>
      </c>
      <c r="D41" s="33" t="s">
        <v>196</v>
      </c>
      <c r="E41" s="33" t="s">
        <v>180</v>
      </c>
      <c r="F41" s="33" t="s">
        <v>181</v>
      </c>
      <c r="G41" s="33" t="s">
        <v>181</v>
      </c>
      <c r="H41" s="33" t="s">
        <v>189</v>
      </c>
      <c r="I41" s="39">
        <v>46234.0</v>
      </c>
      <c r="J41" s="39">
        <v>46249.0</v>
      </c>
      <c r="K41" s="39">
        <v>46249.0</v>
      </c>
      <c r="L41" s="40">
        <v>13606.97</v>
      </c>
      <c r="M41" s="40">
        <v>2725.3</v>
      </c>
    </row>
    <row r="42" ht="15.75" customHeight="1">
      <c r="A42" s="33" t="s">
        <v>322</v>
      </c>
      <c r="B42" s="39">
        <v>45758.0</v>
      </c>
      <c r="C42" s="33" t="s">
        <v>187</v>
      </c>
      <c r="D42" s="33" t="s">
        <v>188</v>
      </c>
      <c r="E42" s="33" t="s">
        <v>180</v>
      </c>
      <c r="F42" s="33" t="s">
        <v>181</v>
      </c>
      <c r="G42" s="33" t="s">
        <v>181</v>
      </c>
      <c r="H42" s="33" t="s">
        <v>181</v>
      </c>
      <c r="I42" s="39">
        <v>46177.0</v>
      </c>
      <c r="J42" s="39">
        <v>46148.0</v>
      </c>
      <c r="K42" s="39">
        <v>45914.0</v>
      </c>
      <c r="L42" s="40">
        <v>13627.99</v>
      </c>
      <c r="M42" s="40">
        <v>114.27</v>
      </c>
    </row>
    <row r="43" ht="15.75" customHeight="1">
      <c r="A43" s="33" t="s">
        <v>324</v>
      </c>
      <c r="B43" s="39">
        <v>46118.0</v>
      </c>
      <c r="C43" s="33" t="s">
        <v>187</v>
      </c>
      <c r="D43" s="33" t="s">
        <v>194</v>
      </c>
      <c r="E43" s="33" t="s">
        <v>180</v>
      </c>
      <c r="F43" s="33" t="s">
        <v>181</v>
      </c>
      <c r="G43" s="33" t="s">
        <v>189</v>
      </c>
      <c r="H43" s="33" t="s">
        <v>181</v>
      </c>
      <c r="I43" s="39">
        <v>46231.0</v>
      </c>
      <c r="J43" s="33"/>
      <c r="K43" s="33"/>
      <c r="L43" s="40">
        <v>12564.71</v>
      </c>
      <c r="M43" s="40">
        <v>740.24</v>
      </c>
    </row>
    <row r="44" ht="15.75" customHeight="1">
      <c r="A44" s="33" t="s">
        <v>327</v>
      </c>
      <c r="B44" s="39">
        <v>46083.0</v>
      </c>
      <c r="C44" s="33" t="s">
        <v>187</v>
      </c>
      <c r="D44" s="33" t="s">
        <v>228</v>
      </c>
      <c r="E44" s="33" t="s">
        <v>330</v>
      </c>
      <c r="F44" s="33" t="s">
        <v>181</v>
      </c>
      <c r="G44" s="33" t="s">
        <v>181</v>
      </c>
      <c r="H44" s="33" t="s">
        <v>189</v>
      </c>
      <c r="I44" s="39">
        <v>46264.0</v>
      </c>
      <c r="J44" s="39">
        <v>46192.0</v>
      </c>
      <c r="K44" s="39">
        <v>46122.0</v>
      </c>
      <c r="L44" s="40">
        <v>8885.51</v>
      </c>
      <c r="M44" s="40">
        <v>0.0</v>
      </c>
    </row>
    <row r="45" ht="15.75" customHeight="1">
      <c r="A45" s="33" t="s">
        <v>333</v>
      </c>
      <c r="B45" s="39">
        <v>45873.0</v>
      </c>
      <c r="C45" s="33" t="s">
        <v>178</v>
      </c>
      <c r="D45" s="33" t="s">
        <v>179</v>
      </c>
      <c r="E45" s="33" t="s">
        <v>180</v>
      </c>
      <c r="F45" s="33" t="s">
        <v>189</v>
      </c>
      <c r="G45" s="33" t="s">
        <v>189</v>
      </c>
      <c r="H45" s="33" t="s">
        <v>181</v>
      </c>
      <c r="I45" s="39">
        <v>46221.0</v>
      </c>
      <c r="J45" s="33"/>
      <c r="K45" s="33"/>
      <c r="L45" s="40">
        <v>15702.34</v>
      </c>
      <c r="M45" s="40">
        <v>0.0</v>
      </c>
    </row>
    <row r="46" ht="15.75" customHeight="1">
      <c r="A46" s="33" t="s">
        <v>337</v>
      </c>
      <c r="B46" s="39">
        <v>45699.0</v>
      </c>
      <c r="C46" s="33" t="s">
        <v>184</v>
      </c>
      <c r="D46" s="33" t="s">
        <v>188</v>
      </c>
      <c r="E46" s="33" t="s">
        <v>180</v>
      </c>
      <c r="F46" s="33" t="s">
        <v>181</v>
      </c>
      <c r="G46" s="33" t="s">
        <v>181</v>
      </c>
      <c r="H46" s="33" t="s">
        <v>181</v>
      </c>
      <c r="I46" s="39">
        <v>46197.0</v>
      </c>
      <c r="J46" s="39">
        <v>46123.0</v>
      </c>
      <c r="K46" s="39">
        <v>45957.0</v>
      </c>
      <c r="L46" s="40">
        <v>44083.11</v>
      </c>
      <c r="M46" s="40">
        <v>577.64</v>
      </c>
    </row>
    <row r="47" ht="15.75" customHeight="1">
      <c r="A47" s="33" t="s">
        <v>344</v>
      </c>
      <c r="B47" s="39">
        <v>46247.0</v>
      </c>
      <c r="C47" s="33" t="s">
        <v>202</v>
      </c>
      <c r="D47" s="33" t="s">
        <v>237</v>
      </c>
      <c r="E47" s="33" t="s">
        <v>180</v>
      </c>
      <c r="F47" s="33" t="s">
        <v>181</v>
      </c>
      <c r="G47" s="33" t="s">
        <v>189</v>
      </c>
      <c r="H47" s="33" t="s">
        <v>189</v>
      </c>
      <c r="I47" s="39">
        <v>46195.0</v>
      </c>
      <c r="J47" s="33"/>
      <c r="K47" s="33"/>
      <c r="L47" s="40">
        <v>401.87</v>
      </c>
      <c r="M47" s="40">
        <v>1337.23</v>
      </c>
    </row>
    <row r="48" ht="15.75" customHeight="1">
      <c r="A48" s="33" t="s">
        <v>350</v>
      </c>
      <c r="B48" s="39">
        <v>45928.0</v>
      </c>
      <c r="C48" s="33" t="s">
        <v>178</v>
      </c>
      <c r="D48" s="33" t="s">
        <v>188</v>
      </c>
      <c r="E48" s="33" t="s">
        <v>330</v>
      </c>
      <c r="F48" s="33" t="s">
        <v>181</v>
      </c>
      <c r="G48" s="33" t="s">
        <v>181</v>
      </c>
      <c r="H48" s="33" t="s">
        <v>189</v>
      </c>
      <c r="I48" s="39">
        <v>45933.0</v>
      </c>
      <c r="J48" s="39">
        <v>46244.0</v>
      </c>
      <c r="K48" s="39">
        <v>46203.0</v>
      </c>
      <c r="L48" s="40">
        <v>28313.32</v>
      </c>
      <c r="M48" s="40">
        <v>0.0</v>
      </c>
    </row>
    <row r="49" ht="15.75" customHeight="1">
      <c r="A49" s="33" t="s">
        <v>352</v>
      </c>
      <c r="B49" s="39">
        <v>46200.0</v>
      </c>
      <c r="C49" s="33" t="s">
        <v>187</v>
      </c>
      <c r="D49" s="33" t="s">
        <v>185</v>
      </c>
      <c r="E49" s="33" t="s">
        <v>180</v>
      </c>
      <c r="F49" s="33" t="s">
        <v>181</v>
      </c>
      <c r="G49" s="33" t="s">
        <v>181</v>
      </c>
      <c r="H49" s="33" t="s">
        <v>189</v>
      </c>
      <c r="I49" s="39">
        <v>46265.0</v>
      </c>
      <c r="J49" s="39">
        <v>46252.0</v>
      </c>
      <c r="K49" s="39">
        <v>46252.0</v>
      </c>
      <c r="L49" s="40">
        <v>1181.08</v>
      </c>
      <c r="M49" s="40">
        <v>946.83</v>
      </c>
    </row>
    <row r="50" ht="15.75" customHeight="1">
      <c r="A50" s="33" t="s">
        <v>356</v>
      </c>
      <c r="B50" s="39">
        <v>46069.0</v>
      </c>
      <c r="C50" s="33" t="s">
        <v>178</v>
      </c>
      <c r="D50" s="33" t="s">
        <v>237</v>
      </c>
      <c r="E50" s="33" t="s">
        <v>180</v>
      </c>
      <c r="F50" s="33" t="s">
        <v>181</v>
      </c>
      <c r="G50" s="33" t="s">
        <v>181</v>
      </c>
      <c r="H50" s="33" t="s">
        <v>181</v>
      </c>
      <c r="I50" s="39">
        <v>46182.0</v>
      </c>
      <c r="J50" s="39">
        <v>46236.0</v>
      </c>
      <c r="K50" s="39">
        <v>46086.0</v>
      </c>
      <c r="L50" s="40">
        <v>0.0</v>
      </c>
      <c r="M50" s="40">
        <v>1918.14</v>
      </c>
    </row>
    <row r="51" ht="15.75" customHeight="1">
      <c r="A51" s="33" t="s">
        <v>360</v>
      </c>
      <c r="B51" s="39">
        <v>46130.0</v>
      </c>
      <c r="C51" s="33" t="s">
        <v>202</v>
      </c>
      <c r="D51" s="33" t="s">
        <v>179</v>
      </c>
      <c r="E51" s="33" t="s">
        <v>180</v>
      </c>
      <c r="F51" s="33" t="s">
        <v>181</v>
      </c>
      <c r="G51" s="33" t="s">
        <v>181</v>
      </c>
      <c r="H51" s="33" t="s">
        <v>189</v>
      </c>
      <c r="I51" s="39">
        <v>46182.0</v>
      </c>
      <c r="J51" s="39">
        <v>46172.0</v>
      </c>
      <c r="K51" s="39">
        <v>46094.0</v>
      </c>
      <c r="L51" s="40">
        <v>17596.56</v>
      </c>
      <c r="M51" s="40">
        <v>954.15</v>
      </c>
    </row>
    <row r="52" ht="15.75" customHeight="1">
      <c r="A52" s="33" t="s">
        <v>364</v>
      </c>
      <c r="B52" s="39">
        <v>46119.0</v>
      </c>
      <c r="C52" s="33" t="s">
        <v>187</v>
      </c>
      <c r="D52" s="33" t="s">
        <v>188</v>
      </c>
      <c r="E52" s="33" t="s">
        <v>180</v>
      </c>
      <c r="F52" s="33" t="s">
        <v>181</v>
      </c>
      <c r="G52" s="33" t="s">
        <v>181</v>
      </c>
      <c r="H52" s="33" t="s">
        <v>181</v>
      </c>
      <c r="I52" s="39">
        <v>46254.0</v>
      </c>
      <c r="J52" s="39">
        <v>46191.0</v>
      </c>
      <c r="K52" s="39">
        <v>46191.0</v>
      </c>
      <c r="L52" s="40">
        <v>27471.37</v>
      </c>
      <c r="M52" s="40">
        <v>744.35</v>
      </c>
    </row>
    <row r="53" ht="15.75" customHeight="1">
      <c r="A53" s="33" t="s">
        <v>369</v>
      </c>
      <c r="B53" s="39">
        <v>45776.0</v>
      </c>
      <c r="C53" s="33" t="s">
        <v>184</v>
      </c>
      <c r="D53" s="33" t="s">
        <v>194</v>
      </c>
      <c r="E53" s="33" t="s">
        <v>180</v>
      </c>
      <c r="F53" s="33" t="s">
        <v>189</v>
      </c>
      <c r="G53" s="33" t="s">
        <v>189</v>
      </c>
      <c r="H53" s="33" t="s">
        <v>181</v>
      </c>
      <c r="I53" s="39">
        <v>46207.0</v>
      </c>
      <c r="J53" s="33"/>
      <c r="K53" s="33"/>
      <c r="L53" s="40">
        <v>54704.63</v>
      </c>
      <c r="M53" s="40">
        <v>0.0</v>
      </c>
    </row>
    <row r="54" ht="15.75" customHeight="1">
      <c r="A54" s="33" t="s">
        <v>374</v>
      </c>
      <c r="B54" s="39">
        <v>45878.0</v>
      </c>
      <c r="C54" s="33" t="s">
        <v>184</v>
      </c>
      <c r="D54" s="33" t="s">
        <v>228</v>
      </c>
      <c r="E54" s="33" t="s">
        <v>180</v>
      </c>
      <c r="F54" s="33" t="s">
        <v>181</v>
      </c>
      <c r="G54" s="33" t="s">
        <v>189</v>
      </c>
      <c r="H54" s="33" t="s">
        <v>181</v>
      </c>
      <c r="I54" s="39">
        <v>46182.0</v>
      </c>
      <c r="J54" s="33"/>
      <c r="K54" s="33"/>
      <c r="L54" s="40">
        <v>14778.57</v>
      </c>
      <c r="M54" s="40">
        <v>542.97</v>
      </c>
    </row>
    <row r="55" ht="15.75" customHeight="1">
      <c r="A55" s="33" t="s">
        <v>382</v>
      </c>
      <c r="B55" s="39">
        <v>45941.0</v>
      </c>
      <c r="C55" s="33" t="s">
        <v>202</v>
      </c>
      <c r="D55" s="33" t="s">
        <v>200</v>
      </c>
      <c r="E55" s="33" t="s">
        <v>180</v>
      </c>
      <c r="F55" s="33" t="s">
        <v>181</v>
      </c>
      <c r="G55" s="33" t="s">
        <v>181</v>
      </c>
      <c r="H55" s="33" t="s">
        <v>181</v>
      </c>
      <c r="I55" s="39">
        <v>46180.0</v>
      </c>
      <c r="J55" s="39">
        <v>46219.0</v>
      </c>
      <c r="K55" s="39">
        <v>46219.0</v>
      </c>
      <c r="L55" s="40">
        <v>0.0</v>
      </c>
      <c r="M55" s="40">
        <v>535.87</v>
      </c>
    </row>
    <row r="56" ht="15.75" customHeight="1">
      <c r="A56" s="33" t="s">
        <v>391</v>
      </c>
      <c r="B56" s="39">
        <v>45960.0</v>
      </c>
      <c r="C56" s="33" t="s">
        <v>202</v>
      </c>
      <c r="D56" s="33" t="s">
        <v>179</v>
      </c>
      <c r="E56" s="33" t="s">
        <v>180</v>
      </c>
      <c r="F56" s="33" t="s">
        <v>181</v>
      </c>
      <c r="G56" s="33" t="s">
        <v>189</v>
      </c>
      <c r="H56" s="33" t="s">
        <v>181</v>
      </c>
      <c r="I56" s="39">
        <v>46239.0</v>
      </c>
      <c r="J56" s="33"/>
      <c r="K56" s="33"/>
      <c r="L56" s="40">
        <v>34795.59</v>
      </c>
      <c r="M56" s="40">
        <v>3307.27</v>
      </c>
    </row>
    <row r="57" ht="15.75" customHeight="1">
      <c r="A57" s="33" t="s">
        <v>394</v>
      </c>
      <c r="B57" s="39">
        <v>45684.0</v>
      </c>
      <c r="C57" s="33" t="s">
        <v>184</v>
      </c>
      <c r="D57" s="33" t="s">
        <v>185</v>
      </c>
      <c r="E57" s="33" t="s">
        <v>180</v>
      </c>
      <c r="F57" s="33" t="s">
        <v>189</v>
      </c>
      <c r="G57" s="33" t="s">
        <v>189</v>
      </c>
      <c r="H57" s="33" t="s">
        <v>181</v>
      </c>
      <c r="I57" s="39">
        <v>46192.0</v>
      </c>
      <c r="J57" s="33"/>
      <c r="K57" s="33"/>
      <c r="L57" s="40">
        <v>56070.55</v>
      </c>
      <c r="M57" s="40">
        <v>0.0</v>
      </c>
    </row>
    <row r="58" ht="15.75" customHeight="1">
      <c r="A58" s="33" t="s">
        <v>398</v>
      </c>
      <c r="B58" s="39">
        <v>45989.0</v>
      </c>
      <c r="C58" s="33" t="s">
        <v>178</v>
      </c>
      <c r="D58" s="33" t="s">
        <v>179</v>
      </c>
      <c r="E58" s="33" t="s">
        <v>180</v>
      </c>
      <c r="F58" s="33" t="s">
        <v>181</v>
      </c>
      <c r="G58" s="33" t="s">
        <v>189</v>
      </c>
      <c r="H58" s="33" t="s">
        <v>181</v>
      </c>
      <c r="I58" s="39">
        <v>46207.0</v>
      </c>
      <c r="J58" s="33"/>
      <c r="K58" s="33"/>
      <c r="L58" s="40">
        <v>0.0</v>
      </c>
      <c r="M58" s="40">
        <v>2619.35</v>
      </c>
    </row>
    <row r="59" ht="15.75" customHeight="1">
      <c r="A59" s="33" t="s">
        <v>402</v>
      </c>
      <c r="B59" s="39">
        <v>45751.0</v>
      </c>
      <c r="C59" s="33" t="s">
        <v>184</v>
      </c>
      <c r="D59" s="33" t="s">
        <v>200</v>
      </c>
      <c r="E59" s="33" t="s">
        <v>180</v>
      </c>
      <c r="F59" s="33" t="s">
        <v>181</v>
      </c>
      <c r="G59" s="33" t="s">
        <v>181</v>
      </c>
      <c r="H59" s="33" t="s">
        <v>189</v>
      </c>
      <c r="I59" s="39">
        <v>46182.0</v>
      </c>
      <c r="J59" s="39">
        <v>46245.0</v>
      </c>
      <c r="K59" s="39">
        <v>46245.0</v>
      </c>
      <c r="L59" s="40">
        <v>43.04</v>
      </c>
      <c r="M59" s="40">
        <v>1843.62</v>
      </c>
    </row>
    <row r="60" ht="15.75" customHeight="1">
      <c r="A60" s="33" t="s">
        <v>408</v>
      </c>
      <c r="B60" s="39">
        <v>46109.0</v>
      </c>
      <c r="C60" s="33" t="s">
        <v>202</v>
      </c>
      <c r="D60" s="33" t="s">
        <v>196</v>
      </c>
      <c r="E60" s="33" t="s">
        <v>180</v>
      </c>
      <c r="F60" s="33" t="s">
        <v>181</v>
      </c>
      <c r="G60" s="33" t="s">
        <v>181</v>
      </c>
      <c r="H60" s="33" t="s">
        <v>189</v>
      </c>
      <c r="I60" s="39">
        <v>46252.0</v>
      </c>
      <c r="J60" s="39">
        <v>46257.0</v>
      </c>
      <c r="K60" s="39">
        <v>46257.0</v>
      </c>
      <c r="L60" s="40">
        <v>0.0</v>
      </c>
      <c r="M60" s="40">
        <v>1633.61</v>
      </c>
    </row>
    <row r="61" ht="15.75" customHeight="1">
      <c r="A61" s="33" t="s">
        <v>411</v>
      </c>
      <c r="B61" s="39">
        <v>46072.0</v>
      </c>
      <c r="C61" s="33" t="s">
        <v>178</v>
      </c>
      <c r="D61" s="33" t="s">
        <v>237</v>
      </c>
      <c r="E61" s="33" t="s">
        <v>180</v>
      </c>
      <c r="F61" s="33" t="s">
        <v>181</v>
      </c>
      <c r="G61" s="33" t="s">
        <v>181</v>
      </c>
      <c r="H61" s="33" t="s">
        <v>181</v>
      </c>
      <c r="I61" s="39">
        <v>46211.0</v>
      </c>
      <c r="J61" s="39">
        <v>46186.0</v>
      </c>
      <c r="K61" s="39">
        <v>45960.0</v>
      </c>
      <c r="L61" s="40">
        <v>0.0</v>
      </c>
      <c r="M61" s="40">
        <v>5437.82</v>
      </c>
    </row>
    <row r="62" ht="15.75" customHeight="1">
      <c r="A62" s="33" t="s">
        <v>349</v>
      </c>
      <c r="B62" s="39">
        <v>46217.0</v>
      </c>
      <c r="C62" s="33" t="s">
        <v>178</v>
      </c>
      <c r="D62" s="33" t="s">
        <v>188</v>
      </c>
      <c r="E62" s="33" t="s">
        <v>330</v>
      </c>
      <c r="F62" s="33" t="s">
        <v>181</v>
      </c>
      <c r="G62" s="33" t="s">
        <v>181</v>
      </c>
      <c r="H62" s="33" t="s">
        <v>181</v>
      </c>
      <c r="I62" s="39">
        <v>46218.0</v>
      </c>
      <c r="J62" s="39">
        <v>46224.0</v>
      </c>
      <c r="K62" s="39">
        <v>46059.0</v>
      </c>
      <c r="L62" s="40">
        <v>0.0</v>
      </c>
      <c r="M62" s="40">
        <v>0.0</v>
      </c>
    </row>
    <row r="63" ht="15.75" customHeight="1">
      <c r="A63" s="33" t="s">
        <v>427</v>
      </c>
      <c r="B63" s="39">
        <v>46110.0</v>
      </c>
      <c r="C63" s="33" t="s">
        <v>184</v>
      </c>
      <c r="D63" s="33" t="s">
        <v>237</v>
      </c>
      <c r="E63" s="33" t="s">
        <v>180</v>
      </c>
      <c r="F63" s="33" t="s">
        <v>189</v>
      </c>
      <c r="G63" s="33" t="s">
        <v>189</v>
      </c>
      <c r="H63" s="33" t="s">
        <v>189</v>
      </c>
      <c r="I63" s="39">
        <v>46233.0</v>
      </c>
      <c r="J63" s="33"/>
      <c r="K63" s="33"/>
      <c r="L63" s="40">
        <v>0.0</v>
      </c>
      <c r="M63" s="40">
        <v>0.0</v>
      </c>
    </row>
    <row r="64" ht="15.75" customHeight="1">
      <c r="A64" s="33" t="s">
        <v>381</v>
      </c>
      <c r="B64" s="39">
        <v>45880.0</v>
      </c>
      <c r="C64" s="33" t="s">
        <v>178</v>
      </c>
      <c r="D64" s="33" t="s">
        <v>196</v>
      </c>
      <c r="E64" s="33" t="s">
        <v>180</v>
      </c>
      <c r="F64" s="33" t="s">
        <v>189</v>
      </c>
      <c r="G64" s="33" t="s">
        <v>181</v>
      </c>
      <c r="H64" s="33" t="s">
        <v>189</v>
      </c>
      <c r="I64" s="39">
        <v>46264.0</v>
      </c>
      <c r="J64" s="39">
        <v>46212.0</v>
      </c>
      <c r="K64" s="39">
        <v>46212.0</v>
      </c>
      <c r="L64" s="40">
        <v>13891.78</v>
      </c>
      <c r="M64" s="40">
        <v>0.0</v>
      </c>
    </row>
    <row r="65" ht="15.75" customHeight="1">
      <c r="A65" s="33" t="s">
        <v>441</v>
      </c>
      <c r="B65" s="39">
        <v>46245.0</v>
      </c>
      <c r="C65" s="33" t="s">
        <v>178</v>
      </c>
      <c r="D65" s="33" t="s">
        <v>194</v>
      </c>
      <c r="E65" s="33" t="s">
        <v>222</v>
      </c>
      <c r="F65" s="33" t="s">
        <v>181</v>
      </c>
      <c r="G65" s="33" t="s">
        <v>181</v>
      </c>
      <c r="H65" s="33" t="s">
        <v>189</v>
      </c>
      <c r="I65" s="39">
        <v>46169.0</v>
      </c>
      <c r="J65" s="39">
        <v>46235.0</v>
      </c>
      <c r="K65" s="39">
        <v>46189.0</v>
      </c>
      <c r="L65" s="40">
        <v>0.0</v>
      </c>
      <c r="M65" s="40">
        <v>3934.94</v>
      </c>
    </row>
    <row r="66" ht="15.75" customHeight="1">
      <c r="A66" s="33" t="s">
        <v>448</v>
      </c>
      <c r="B66" s="39">
        <v>45907.0</v>
      </c>
      <c r="C66" s="33" t="s">
        <v>178</v>
      </c>
      <c r="D66" s="33" t="s">
        <v>188</v>
      </c>
      <c r="E66" s="33" t="s">
        <v>180</v>
      </c>
      <c r="F66" s="33" t="s">
        <v>181</v>
      </c>
      <c r="G66" s="33" t="s">
        <v>181</v>
      </c>
      <c r="H66" s="33" t="s">
        <v>181</v>
      </c>
      <c r="I66" s="39">
        <v>46193.0</v>
      </c>
      <c r="J66" s="39">
        <v>46212.0</v>
      </c>
      <c r="K66" s="39">
        <v>46212.0</v>
      </c>
      <c r="L66" s="40">
        <v>0.0</v>
      </c>
      <c r="M66" s="40">
        <v>1711.38</v>
      </c>
    </row>
    <row r="67" ht="15.75" customHeight="1">
      <c r="A67" s="33" t="s">
        <v>455</v>
      </c>
      <c r="B67" s="39">
        <v>45855.0</v>
      </c>
      <c r="C67" s="33" t="s">
        <v>178</v>
      </c>
      <c r="D67" s="33" t="s">
        <v>228</v>
      </c>
      <c r="E67" s="33" t="s">
        <v>180</v>
      </c>
      <c r="F67" s="33" t="s">
        <v>189</v>
      </c>
      <c r="G67" s="33" t="s">
        <v>189</v>
      </c>
      <c r="H67" s="33" t="s">
        <v>189</v>
      </c>
      <c r="I67" s="39">
        <v>46206.0</v>
      </c>
      <c r="J67" s="33"/>
      <c r="K67" s="33"/>
      <c r="L67" s="40">
        <v>0.0</v>
      </c>
      <c r="M67" s="40">
        <v>0.0</v>
      </c>
    </row>
    <row r="68" ht="15.75" customHeight="1">
      <c r="A68" s="33" t="s">
        <v>462</v>
      </c>
      <c r="B68" s="39">
        <v>46207.0</v>
      </c>
      <c r="C68" s="33" t="s">
        <v>178</v>
      </c>
      <c r="D68" s="33" t="s">
        <v>196</v>
      </c>
      <c r="E68" s="33" t="s">
        <v>180</v>
      </c>
      <c r="F68" s="33" t="s">
        <v>189</v>
      </c>
      <c r="G68" s="33" t="s">
        <v>181</v>
      </c>
      <c r="H68" s="33" t="s">
        <v>181</v>
      </c>
      <c r="I68" s="39">
        <v>46237.0</v>
      </c>
      <c r="J68" s="39">
        <v>46263.0</v>
      </c>
      <c r="K68" s="39">
        <v>46263.0</v>
      </c>
      <c r="L68" s="40">
        <v>0.0</v>
      </c>
      <c r="M68" s="40">
        <v>0.0</v>
      </c>
    </row>
    <row r="69" ht="15.75" customHeight="1">
      <c r="A69" s="33" t="s">
        <v>470</v>
      </c>
      <c r="B69" s="39">
        <v>45882.0</v>
      </c>
      <c r="C69" s="33" t="s">
        <v>187</v>
      </c>
      <c r="D69" s="33" t="s">
        <v>179</v>
      </c>
      <c r="E69" s="33" t="s">
        <v>180</v>
      </c>
      <c r="F69" s="33" t="s">
        <v>181</v>
      </c>
      <c r="G69" s="33" t="s">
        <v>181</v>
      </c>
      <c r="H69" s="33" t="s">
        <v>181</v>
      </c>
      <c r="I69" s="39">
        <v>46227.0</v>
      </c>
      <c r="J69" s="39">
        <v>46232.0</v>
      </c>
      <c r="K69" s="39">
        <v>46232.0</v>
      </c>
      <c r="L69" s="40">
        <v>45053.92</v>
      </c>
      <c r="M69" s="40">
        <v>925.05</v>
      </c>
    </row>
    <row r="70" ht="15.75" customHeight="1">
      <c r="A70" s="33" t="s">
        <v>475</v>
      </c>
      <c r="B70" s="39">
        <v>45704.0</v>
      </c>
      <c r="C70" s="33" t="s">
        <v>178</v>
      </c>
      <c r="D70" s="33" t="s">
        <v>237</v>
      </c>
      <c r="E70" s="33" t="s">
        <v>180</v>
      </c>
      <c r="F70" s="33" t="s">
        <v>181</v>
      </c>
      <c r="G70" s="33" t="s">
        <v>189</v>
      </c>
      <c r="H70" s="33" t="s">
        <v>189</v>
      </c>
      <c r="I70" s="39">
        <v>46232.0</v>
      </c>
      <c r="J70" s="33"/>
      <c r="K70" s="33"/>
      <c r="L70" s="40">
        <v>13631.05</v>
      </c>
      <c r="M70" s="40">
        <v>716.93</v>
      </c>
    </row>
    <row r="71" ht="15.75" customHeight="1">
      <c r="A71" s="33" t="s">
        <v>484</v>
      </c>
      <c r="B71" s="39">
        <v>45943.0</v>
      </c>
      <c r="C71" s="33" t="s">
        <v>184</v>
      </c>
      <c r="D71" s="33" t="s">
        <v>179</v>
      </c>
      <c r="E71" s="33" t="s">
        <v>180</v>
      </c>
      <c r="F71" s="33" t="s">
        <v>181</v>
      </c>
      <c r="G71" s="33" t="s">
        <v>189</v>
      </c>
      <c r="H71" s="33" t="s">
        <v>189</v>
      </c>
      <c r="I71" s="39">
        <v>46200.0</v>
      </c>
      <c r="J71" s="33"/>
      <c r="K71" s="33"/>
      <c r="L71" s="40">
        <v>44932.89</v>
      </c>
      <c r="M71" s="40">
        <v>813.8</v>
      </c>
    </row>
    <row r="72" ht="15.75" customHeight="1">
      <c r="A72" s="33" t="s">
        <v>492</v>
      </c>
      <c r="B72" s="39">
        <v>46140.0</v>
      </c>
      <c r="C72" s="33" t="s">
        <v>184</v>
      </c>
      <c r="D72" s="33" t="s">
        <v>200</v>
      </c>
      <c r="E72" s="33" t="s">
        <v>180</v>
      </c>
      <c r="F72" s="33" t="s">
        <v>181</v>
      </c>
      <c r="G72" s="33" t="s">
        <v>181</v>
      </c>
      <c r="H72" s="33" t="s">
        <v>189</v>
      </c>
      <c r="I72" s="39">
        <v>46242.0</v>
      </c>
      <c r="J72" s="39">
        <v>46228.0</v>
      </c>
      <c r="K72" s="39">
        <v>45943.0</v>
      </c>
      <c r="L72" s="40">
        <v>11084.34</v>
      </c>
      <c r="M72" s="40">
        <v>1022.62</v>
      </c>
    </row>
    <row r="73" ht="15.75" customHeight="1">
      <c r="A73" s="33" t="s">
        <v>499</v>
      </c>
      <c r="B73" s="39">
        <v>45773.0</v>
      </c>
      <c r="C73" s="33" t="s">
        <v>178</v>
      </c>
      <c r="D73" s="33" t="s">
        <v>194</v>
      </c>
      <c r="E73" s="33" t="s">
        <v>222</v>
      </c>
      <c r="F73" s="33" t="s">
        <v>181</v>
      </c>
      <c r="G73" s="33" t="s">
        <v>189</v>
      </c>
      <c r="H73" s="33" t="s">
        <v>189</v>
      </c>
      <c r="I73" s="39">
        <v>46221.0</v>
      </c>
      <c r="J73" s="33"/>
      <c r="K73" s="33"/>
      <c r="L73" s="40">
        <v>74263.88</v>
      </c>
      <c r="M73" s="40">
        <v>1665.42</v>
      </c>
    </row>
    <row r="74" ht="15.75" customHeight="1">
      <c r="A74" s="33" t="s">
        <v>506</v>
      </c>
      <c r="B74" s="39">
        <v>45939.0</v>
      </c>
      <c r="C74" s="33" t="s">
        <v>178</v>
      </c>
      <c r="D74" s="33" t="s">
        <v>188</v>
      </c>
      <c r="E74" s="33" t="s">
        <v>180</v>
      </c>
      <c r="F74" s="33" t="s">
        <v>189</v>
      </c>
      <c r="G74" s="33" t="s">
        <v>189</v>
      </c>
      <c r="H74" s="33" t="s">
        <v>181</v>
      </c>
      <c r="I74" s="39">
        <v>46220.0</v>
      </c>
      <c r="J74" s="33"/>
      <c r="K74" s="33"/>
      <c r="L74" s="40">
        <v>0.0</v>
      </c>
      <c r="M74" s="40">
        <v>0.0</v>
      </c>
    </row>
    <row r="75" ht="15.75" customHeight="1">
      <c r="A75" s="33" t="s">
        <v>513</v>
      </c>
      <c r="B75" s="39">
        <v>45736.0</v>
      </c>
      <c r="C75" s="33" t="s">
        <v>187</v>
      </c>
      <c r="D75" s="33" t="s">
        <v>200</v>
      </c>
      <c r="E75" s="33" t="s">
        <v>180</v>
      </c>
      <c r="F75" s="33" t="s">
        <v>189</v>
      </c>
      <c r="G75" s="33" t="s">
        <v>181</v>
      </c>
      <c r="H75" s="33" t="s">
        <v>181</v>
      </c>
      <c r="I75" s="39">
        <v>46191.0</v>
      </c>
      <c r="J75" s="39">
        <v>46173.0</v>
      </c>
      <c r="K75" s="39">
        <v>46126.0</v>
      </c>
      <c r="L75" s="40">
        <v>0.0</v>
      </c>
      <c r="M75" s="40">
        <v>0.0</v>
      </c>
    </row>
    <row r="76" ht="15.75" customHeight="1">
      <c r="A76" s="33" t="s">
        <v>519</v>
      </c>
      <c r="B76" s="39">
        <v>46074.0</v>
      </c>
      <c r="C76" s="33" t="s">
        <v>178</v>
      </c>
      <c r="D76" s="33" t="s">
        <v>228</v>
      </c>
      <c r="E76" s="33" t="s">
        <v>222</v>
      </c>
      <c r="F76" s="33" t="s">
        <v>189</v>
      </c>
      <c r="G76" s="33" t="s">
        <v>189</v>
      </c>
      <c r="H76" s="33" t="s">
        <v>189</v>
      </c>
      <c r="I76" s="39">
        <v>46163.0</v>
      </c>
      <c r="J76" s="33"/>
      <c r="K76" s="33"/>
      <c r="L76" s="40">
        <v>26092.67</v>
      </c>
      <c r="M76" s="40">
        <v>0.0</v>
      </c>
    </row>
    <row r="77" ht="15.75" customHeight="1">
      <c r="A77" s="33" t="s">
        <v>527</v>
      </c>
      <c r="B77" s="39">
        <v>45946.0</v>
      </c>
      <c r="C77" s="33" t="s">
        <v>178</v>
      </c>
      <c r="D77" s="33" t="s">
        <v>196</v>
      </c>
      <c r="E77" s="33" t="s">
        <v>180</v>
      </c>
      <c r="F77" s="33" t="s">
        <v>181</v>
      </c>
      <c r="G77" s="33" t="s">
        <v>181</v>
      </c>
      <c r="H77" s="33" t="s">
        <v>189</v>
      </c>
      <c r="I77" s="39">
        <v>46247.0</v>
      </c>
      <c r="J77" s="39">
        <v>46239.0</v>
      </c>
      <c r="K77" s="39">
        <v>46239.0</v>
      </c>
      <c r="L77" s="40">
        <v>14549.74</v>
      </c>
      <c r="M77" s="40">
        <v>1872.55</v>
      </c>
    </row>
    <row r="78" ht="15.75" customHeight="1">
      <c r="A78" s="33" t="s">
        <v>536</v>
      </c>
      <c r="B78" s="39">
        <v>45858.0</v>
      </c>
      <c r="C78" s="33" t="s">
        <v>184</v>
      </c>
      <c r="D78" s="33" t="s">
        <v>228</v>
      </c>
      <c r="E78" s="33" t="s">
        <v>222</v>
      </c>
      <c r="F78" s="33" t="s">
        <v>181</v>
      </c>
      <c r="G78" s="33" t="s">
        <v>181</v>
      </c>
      <c r="H78" s="33" t="s">
        <v>181</v>
      </c>
      <c r="I78" s="39">
        <v>46228.0</v>
      </c>
      <c r="J78" s="39">
        <v>46252.0</v>
      </c>
      <c r="K78" s="39">
        <v>46121.0</v>
      </c>
      <c r="L78" s="40">
        <v>9520.52</v>
      </c>
      <c r="M78" s="40">
        <v>1346.61</v>
      </c>
    </row>
    <row r="79" ht="15.75" customHeight="1">
      <c r="A79" s="33" t="s">
        <v>540</v>
      </c>
      <c r="B79" s="39">
        <v>45795.0</v>
      </c>
      <c r="C79" s="33" t="s">
        <v>184</v>
      </c>
      <c r="D79" s="33" t="s">
        <v>179</v>
      </c>
      <c r="E79" s="33" t="s">
        <v>180</v>
      </c>
      <c r="F79" s="33" t="s">
        <v>181</v>
      </c>
      <c r="G79" s="33" t="s">
        <v>181</v>
      </c>
      <c r="H79" s="33" t="s">
        <v>189</v>
      </c>
      <c r="I79" s="39">
        <v>46181.0</v>
      </c>
      <c r="J79" s="39">
        <v>46180.0</v>
      </c>
      <c r="K79" s="39">
        <v>45971.0</v>
      </c>
      <c r="L79" s="40">
        <v>0.0</v>
      </c>
      <c r="M79" s="40">
        <v>1211.32</v>
      </c>
    </row>
    <row r="80" ht="15.75" customHeight="1">
      <c r="A80" s="33" t="s">
        <v>546</v>
      </c>
      <c r="B80" s="39">
        <v>46000.0</v>
      </c>
      <c r="C80" s="33" t="s">
        <v>184</v>
      </c>
      <c r="D80" s="33" t="s">
        <v>237</v>
      </c>
      <c r="E80" s="33" t="s">
        <v>180</v>
      </c>
      <c r="F80" s="33" t="s">
        <v>181</v>
      </c>
      <c r="G80" s="33" t="s">
        <v>181</v>
      </c>
      <c r="H80" s="33" t="s">
        <v>181</v>
      </c>
      <c r="I80" s="39">
        <v>46197.0</v>
      </c>
      <c r="J80" s="39">
        <v>46191.0</v>
      </c>
      <c r="K80" s="39">
        <v>46191.0</v>
      </c>
      <c r="L80" s="40">
        <v>0.0</v>
      </c>
      <c r="M80" s="40">
        <v>605.29</v>
      </c>
    </row>
    <row r="81" ht="15.75" customHeight="1">
      <c r="A81" s="33" t="s">
        <v>287</v>
      </c>
      <c r="B81" s="39">
        <v>46064.0</v>
      </c>
      <c r="C81" s="33" t="s">
        <v>178</v>
      </c>
      <c r="D81" s="33" t="s">
        <v>194</v>
      </c>
      <c r="E81" s="33" t="s">
        <v>180</v>
      </c>
      <c r="F81" s="33" t="s">
        <v>181</v>
      </c>
      <c r="G81" s="33" t="s">
        <v>181</v>
      </c>
      <c r="H81" s="33" t="s">
        <v>181</v>
      </c>
      <c r="I81" s="39">
        <v>46252.0</v>
      </c>
      <c r="J81" s="39">
        <v>46255.0</v>
      </c>
      <c r="K81" s="39">
        <v>46255.0</v>
      </c>
      <c r="L81" s="40">
        <v>10433.03</v>
      </c>
      <c r="M81" s="40">
        <v>5555.08</v>
      </c>
    </row>
    <row r="82" ht="15.75" customHeight="1">
      <c r="A82" s="33" t="s">
        <v>563</v>
      </c>
      <c r="B82" s="39">
        <v>46228.0</v>
      </c>
      <c r="C82" s="33" t="s">
        <v>187</v>
      </c>
      <c r="D82" s="33" t="s">
        <v>196</v>
      </c>
      <c r="E82" s="33" t="s">
        <v>180</v>
      </c>
      <c r="F82" s="33" t="s">
        <v>181</v>
      </c>
      <c r="G82" s="33" t="s">
        <v>181</v>
      </c>
      <c r="H82" s="33" t="s">
        <v>189</v>
      </c>
      <c r="I82" s="39">
        <v>46259.0</v>
      </c>
      <c r="J82" s="39">
        <v>46201.0</v>
      </c>
      <c r="K82" s="39">
        <v>46124.0</v>
      </c>
      <c r="L82" s="40">
        <v>21165.38</v>
      </c>
      <c r="M82" s="40">
        <v>479.72</v>
      </c>
    </row>
    <row r="83" ht="15.75" customHeight="1">
      <c r="A83" s="33" t="s">
        <v>566</v>
      </c>
      <c r="B83" s="39">
        <v>45923.0</v>
      </c>
      <c r="C83" s="33" t="s">
        <v>187</v>
      </c>
      <c r="D83" s="33" t="s">
        <v>179</v>
      </c>
      <c r="E83" s="33" t="s">
        <v>180</v>
      </c>
      <c r="F83" s="33" t="s">
        <v>181</v>
      </c>
      <c r="G83" s="33" t="s">
        <v>181</v>
      </c>
      <c r="H83" s="33" t="s">
        <v>181</v>
      </c>
      <c r="I83" s="39">
        <v>46254.0</v>
      </c>
      <c r="J83" s="39">
        <v>46255.0</v>
      </c>
      <c r="K83" s="39">
        <v>45914.0</v>
      </c>
      <c r="L83" s="40">
        <v>2423.14</v>
      </c>
      <c r="M83" s="40">
        <v>4520.42</v>
      </c>
    </row>
    <row r="84" ht="15.75" customHeight="1">
      <c r="A84" s="33" t="s">
        <v>572</v>
      </c>
      <c r="B84" s="39">
        <v>45755.0</v>
      </c>
      <c r="C84" s="33" t="s">
        <v>178</v>
      </c>
      <c r="D84" s="33" t="s">
        <v>185</v>
      </c>
      <c r="E84" s="33" t="s">
        <v>222</v>
      </c>
      <c r="F84" s="33" t="s">
        <v>181</v>
      </c>
      <c r="G84" s="33" t="s">
        <v>181</v>
      </c>
      <c r="H84" s="33" t="s">
        <v>189</v>
      </c>
      <c r="I84" s="39">
        <v>46178.0</v>
      </c>
      <c r="J84" s="39">
        <v>46232.0</v>
      </c>
      <c r="K84" s="39">
        <v>46035.0</v>
      </c>
      <c r="L84" s="40">
        <v>27849.29</v>
      </c>
      <c r="M84" s="40">
        <v>1363.77</v>
      </c>
    </row>
    <row r="85" ht="15.75" customHeight="1">
      <c r="A85" s="33" t="s">
        <v>576</v>
      </c>
      <c r="B85" s="39">
        <v>46163.0</v>
      </c>
      <c r="C85" s="33" t="s">
        <v>187</v>
      </c>
      <c r="D85" s="33" t="s">
        <v>185</v>
      </c>
      <c r="E85" s="33" t="s">
        <v>330</v>
      </c>
      <c r="F85" s="33" t="s">
        <v>181</v>
      </c>
      <c r="G85" s="33" t="s">
        <v>181</v>
      </c>
      <c r="H85" s="33" t="s">
        <v>189</v>
      </c>
      <c r="I85" s="39">
        <v>46245.0</v>
      </c>
      <c r="J85" s="39">
        <v>46240.0</v>
      </c>
      <c r="K85" s="39">
        <v>46075.0</v>
      </c>
      <c r="L85" s="40">
        <v>7744.37</v>
      </c>
      <c r="M85" s="40">
        <v>0.0</v>
      </c>
    </row>
    <row r="86" ht="15.75" customHeight="1">
      <c r="A86" s="33" t="s">
        <v>583</v>
      </c>
      <c r="B86" s="39">
        <v>46040.0</v>
      </c>
      <c r="C86" s="33" t="s">
        <v>178</v>
      </c>
      <c r="D86" s="33" t="s">
        <v>179</v>
      </c>
      <c r="E86" s="33" t="s">
        <v>180</v>
      </c>
      <c r="F86" s="33" t="s">
        <v>181</v>
      </c>
      <c r="G86" s="33" t="s">
        <v>181</v>
      </c>
      <c r="H86" s="33" t="s">
        <v>181</v>
      </c>
      <c r="I86" s="39">
        <v>46251.0</v>
      </c>
      <c r="J86" s="39">
        <v>46123.0</v>
      </c>
      <c r="K86" s="39">
        <v>46123.0</v>
      </c>
      <c r="L86" s="40">
        <v>7552.27</v>
      </c>
      <c r="M86" s="40">
        <v>957.87</v>
      </c>
    </row>
    <row r="87" ht="15.75" customHeight="1">
      <c r="A87" s="33" t="s">
        <v>342</v>
      </c>
      <c r="B87" s="39">
        <v>46083.0</v>
      </c>
      <c r="C87" s="33" t="s">
        <v>178</v>
      </c>
      <c r="D87" s="33" t="s">
        <v>194</v>
      </c>
      <c r="E87" s="33" t="s">
        <v>180</v>
      </c>
      <c r="F87" s="33" t="s">
        <v>181</v>
      </c>
      <c r="G87" s="33" t="s">
        <v>181</v>
      </c>
      <c r="H87" s="33" t="s">
        <v>181</v>
      </c>
      <c r="I87" s="39">
        <v>46192.0</v>
      </c>
      <c r="J87" s="39">
        <v>46229.0</v>
      </c>
      <c r="K87" s="39">
        <v>45998.0</v>
      </c>
      <c r="L87" s="40">
        <v>7726.35</v>
      </c>
      <c r="M87" s="40">
        <v>2530.3</v>
      </c>
    </row>
    <row r="88" ht="15.75" customHeight="1">
      <c r="A88" s="33" t="s">
        <v>597</v>
      </c>
      <c r="B88" s="39">
        <v>45717.0</v>
      </c>
      <c r="C88" s="33" t="s">
        <v>202</v>
      </c>
      <c r="D88" s="33" t="s">
        <v>196</v>
      </c>
      <c r="E88" s="33" t="s">
        <v>180</v>
      </c>
      <c r="F88" s="33" t="s">
        <v>181</v>
      </c>
      <c r="G88" s="33" t="s">
        <v>181</v>
      </c>
      <c r="H88" s="33" t="s">
        <v>181</v>
      </c>
      <c r="I88" s="39">
        <v>46265.0</v>
      </c>
      <c r="J88" s="39">
        <v>46209.0</v>
      </c>
      <c r="K88" s="39">
        <v>46209.0</v>
      </c>
      <c r="L88" s="40">
        <v>3813.89</v>
      </c>
      <c r="M88" s="40">
        <v>772.64</v>
      </c>
    </row>
    <row r="89" ht="15.75" customHeight="1">
      <c r="A89" s="33" t="s">
        <v>605</v>
      </c>
      <c r="B89" s="39">
        <v>45847.0</v>
      </c>
      <c r="C89" s="33" t="s">
        <v>178</v>
      </c>
      <c r="D89" s="33" t="s">
        <v>194</v>
      </c>
      <c r="E89" s="33" t="s">
        <v>222</v>
      </c>
      <c r="F89" s="33" t="s">
        <v>181</v>
      </c>
      <c r="G89" s="33" t="s">
        <v>181</v>
      </c>
      <c r="H89" s="33" t="s">
        <v>189</v>
      </c>
      <c r="I89" s="39">
        <v>46124.0</v>
      </c>
      <c r="J89" s="39">
        <v>46213.0</v>
      </c>
      <c r="K89" s="33"/>
      <c r="L89" s="40">
        <v>3083.76</v>
      </c>
      <c r="M89" s="40">
        <v>1718.86</v>
      </c>
    </row>
    <row r="90" ht="15.75" customHeight="1">
      <c r="A90" s="33" t="s">
        <v>610</v>
      </c>
      <c r="B90" s="39">
        <v>46124.0</v>
      </c>
      <c r="C90" s="33" t="s">
        <v>178</v>
      </c>
      <c r="D90" s="33" t="s">
        <v>194</v>
      </c>
      <c r="E90" s="33" t="s">
        <v>180</v>
      </c>
      <c r="F90" s="33" t="s">
        <v>189</v>
      </c>
      <c r="G90" s="33" t="s">
        <v>189</v>
      </c>
      <c r="H90" s="33" t="s">
        <v>189</v>
      </c>
      <c r="I90" s="39">
        <v>46240.0</v>
      </c>
      <c r="J90" s="33"/>
      <c r="K90" s="33"/>
      <c r="L90" s="40">
        <v>0.0</v>
      </c>
      <c r="M90" s="40">
        <v>0.0</v>
      </c>
    </row>
    <row r="91" ht="15.75" customHeight="1">
      <c r="A91" s="33" t="s">
        <v>618</v>
      </c>
      <c r="B91" s="39">
        <v>46163.0</v>
      </c>
      <c r="C91" s="33" t="s">
        <v>184</v>
      </c>
      <c r="D91" s="33" t="s">
        <v>185</v>
      </c>
      <c r="E91" s="33" t="s">
        <v>222</v>
      </c>
      <c r="F91" s="33" t="s">
        <v>181</v>
      </c>
      <c r="G91" s="33" t="s">
        <v>181</v>
      </c>
      <c r="H91" s="33" t="s">
        <v>189</v>
      </c>
      <c r="I91" s="39">
        <v>46091.0</v>
      </c>
      <c r="J91" s="39">
        <v>46139.0</v>
      </c>
      <c r="K91" s="39">
        <v>45722.0</v>
      </c>
      <c r="L91" s="40">
        <v>0.0</v>
      </c>
      <c r="M91" s="40">
        <v>2331.59</v>
      </c>
    </row>
    <row r="92" ht="15.75" customHeight="1">
      <c r="A92" s="33" t="s">
        <v>625</v>
      </c>
      <c r="B92" s="39">
        <v>45922.0</v>
      </c>
      <c r="C92" s="33" t="s">
        <v>184</v>
      </c>
      <c r="D92" s="33" t="s">
        <v>179</v>
      </c>
      <c r="E92" s="33" t="s">
        <v>180</v>
      </c>
      <c r="F92" s="33" t="s">
        <v>181</v>
      </c>
      <c r="G92" s="33" t="s">
        <v>189</v>
      </c>
      <c r="H92" s="33" t="s">
        <v>181</v>
      </c>
      <c r="I92" s="39">
        <v>46223.0</v>
      </c>
      <c r="J92" s="33"/>
      <c r="K92" s="33"/>
      <c r="L92" s="40">
        <v>0.0</v>
      </c>
      <c r="M92" s="40">
        <v>234.2</v>
      </c>
    </row>
    <row r="93" ht="15.75" customHeight="1">
      <c r="A93" s="33" t="s">
        <v>311</v>
      </c>
      <c r="B93" s="39">
        <v>46146.0</v>
      </c>
      <c r="C93" s="33" t="s">
        <v>202</v>
      </c>
      <c r="D93" s="33" t="s">
        <v>188</v>
      </c>
      <c r="E93" s="33" t="s">
        <v>180</v>
      </c>
      <c r="F93" s="33" t="s">
        <v>181</v>
      </c>
      <c r="G93" s="33" t="s">
        <v>181</v>
      </c>
      <c r="H93" s="33" t="s">
        <v>189</v>
      </c>
      <c r="I93" s="39">
        <v>46241.0</v>
      </c>
      <c r="J93" s="39">
        <v>46239.0</v>
      </c>
      <c r="K93" s="39">
        <v>46132.0</v>
      </c>
      <c r="L93" s="40">
        <v>1198.41</v>
      </c>
      <c r="M93" s="40">
        <v>1072.45</v>
      </c>
    </row>
    <row r="94" ht="15.75" customHeight="1">
      <c r="A94" s="33" t="s">
        <v>638</v>
      </c>
      <c r="B94" s="39">
        <v>46168.0</v>
      </c>
      <c r="C94" s="33" t="s">
        <v>184</v>
      </c>
      <c r="D94" s="33" t="s">
        <v>200</v>
      </c>
      <c r="E94" s="33" t="s">
        <v>180</v>
      </c>
      <c r="F94" s="33" t="s">
        <v>181</v>
      </c>
      <c r="G94" s="33" t="s">
        <v>189</v>
      </c>
      <c r="H94" s="33" t="s">
        <v>181</v>
      </c>
      <c r="I94" s="39">
        <v>46244.0</v>
      </c>
      <c r="J94" s="33"/>
      <c r="K94" s="33"/>
      <c r="L94" s="40">
        <v>0.0</v>
      </c>
      <c r="M94" s="40">
        <v>5754.24</v>
      </c>
    </row>
    <row r="95" ht="15.75" customHeight="1">
      <c r="A95" s="33" t="s">
        <v>644</v>
      </c>
      <c r="B95" s="39">
        <v>45893.0</v>
      </c>
      <c r="C95" s="33" t="s">
        <v>184</v>
      </c>
      <c r="D95" s="33" t="s">
        <v>228</v>
      </c>
      <c r="E95" s="33" t="s">
        <v>180</v>
      </c>
      <c r="F95" s="33" t="s">
        <v>181</v>
      </c>
      <c r="G95" s="33" t="s">
        <v>189</v>
      </c>
      <c r="H95" s="33" t="s">
        <v>189</v>
      </c>
      <c r="I95" s="39">
        <v>46191.0</v>
      </c>
      <c r="J95" s="33"/>
      <c r="K95" s="33"/>
      <c r="L95" s="40">
        <v>2107.24</v>
      </c>
      <c r="M95" s="40">
        <v>1005.27</v>
      </c>
    </row>
    <row r="96" ht="15.75" customHeight="1">
      <c r="A96" s="33" t="s">
        <v>652</v>
      </c>
      <c r="B96" s="39">
        <v>46203.0</v>
      </c>
      <c r="C96" s="33" t="s">
        <v>178</v>
      </c>
      <c r="D96" s="33" t="s">
        <v>194</v>
      </c>
      <c r="E96" s="33" t="s">
        <v>180</v>
      </c>
      <c r="F96" s="33" t="s">
        <v>181</v>
      </c>
      <c r="G96" s="33" t="s">
        <v>189</v>
      </c>
      <c r="H96" s="33" t="s">
        <v>189</v>
      </c>
      <c r="I96" s="39">
        <v>46229.0</v>
      </c>
      <c r="J96" s="33"/>
      <c r="K96" s="33"/>
      <c r="L96" s="40">
        <v>22077.55</v>
      </c>
      <c r="M96" s="40">
        <v>845.01</v>
      </c>
    </row>
    <row r="97" ht="15.75" customHeight="1">
      <c r="A97" s="33" t="s">
        <v>658</v>
      </c>
      <c r="B97" s="39">
        <v>45833.0</v>
      </c>
      <c r="C97" s="33" t="s">
        <v>178</v>
      </c>
      <c r="D97" s="33" t="s">
        <v>179</v>
      </c>
      <c r="E97" s="33" t="s">
        <v>330</v>
      </c>
      <c r="F97" s="33" t="s">
        <v>181</v>
      </c>
      <c r="G97" s="33" t="s">
        <v>181</v>
      </c>
      <c r="H97" s="33" t="s">
        <v>189</v>
      </c>
      <c r="I97" s="39">
        <v>45903.0</v>
      </c>
      <c r="J97" s="39">
        <v>46224.0</v>
      </c>
      <c r="K97" s="39">
        <v>46191.0</v>
      </c>
      <c r="L97" s="40">
        <v>0.0</v>
      </c>
      <c r="M97" s="40">
        <v>0.0</v>
      </c>
    </row>
    <row r="98" ht="15.75" customHeight="1">
      <c r="A98" s="33" t="s">
        <v>664</v>
      </c>
      <c r="B98" s="39">
        <v>45803.0</v>
      </c>
      <c r="C98" s="33" t="s">
        <v>178</v>
      </c>
      <c r="D98" s="33" t="s">
        <v>185</v>
      </c>
      <c r="E98" s="33" t="s">
        <v>180</v>
      </c>
      <c r="F98" s="33" t="s">
        <v>181</v>
      </c>
      <c r="G98" s="33" t="s">
        <v>181</v>
      </c>
      <c r="H98" s="33" t="s">
        <v>181</v>
      </c>
      <c r="I98" s="39">
        <v>46199.0</v>
      </c>
      <c r="J98" s="39">
        <v>46186.0</v>
      </c>
      <c r="K98" s="39">
        <v>45995.0</v>
      </c>
      <c r="L98" s="40">
        <v>0.0</v>
      </c>
      <c r="M98" s="40">
        <v>6591.5</v>
      </c>
    </row>
    <row r="99" ht="15.75" customHeight="1">
      <c r="A99" s="33" t="s">
        <v>668</v>
      </c>
      <c r="B99" s="39">
        <v>46072.0</v>
      </c>
      <c r="C99" s="33" t="s">
        <v>178</v>
      </c>
      <c r="D99" s="33" t="s">
        <v>228</v>
      </c>
      <c r="E99" s="33" t="s">
        <v>180</v>
      </c>
      <c r="F99" s="33" t="s">
        <v>181</v>
      </c>
      <c r="G99" s="33" t="s">
        <v>181</v>
      </c>
      <c r="H99" s="33" t="s">
        <v>181</v>
      </c>
      <c r="I99" s="39">
        <v>46217.0</v>
      </c>
      <c r="J99" s="39">
        <v>46233.0</v>
      </c>
      <c r="K99" s="39">
        <v>46230.0</v>
      </c>
      <c r="L99" s="40">
        <v>5872.3</v>
      </c>
      <c r="M99" s="40">
        <v>4567.76</v>
      </c>
    </row>
    <row r="100" ht="15.75" customHeight="1">
      <c r="A100" s="33" t="s">
        <v>676</v>
      </c>
      <c r="B100" s="39">
        <v>46044.0</v>
      </c>
      <c r="C100" s="33" t="s">
        <v>184</v>
      </c>
      <c r="D100" s="33" t="s">
        <v>200</v>
      </c>
      <c r="E100" s="33" t="s">
        <v>180</v>
      </c>
      <c r="F100" s="33" t="s">
        <v>181</v>
      </c>
      <c r="G100" s="33" t="s">
        <v>181</v>
      </c>
      <c r="H100" s="33" t="s">
        <v>181</v>
      </c>
      <c r="I100" s="39">
        <v>46206.0</v>
      </c>
      <c r="J100" s="39">
        <v>46223.0</v>
      </c>
      <c r="K100" s="39">
        <v>46223.0</v>
      </c>
      <c r="L100" s="40">
        <v>0.0</v>
      </c>
      <c r="M100" s="40">
        <v>1563.09</v>
      </c>
    </row>
    <row r="101" ht="15.75" customHeight="1">
      <c r="A101" s="33" t="s">
        <v>680</v>
      </c>
      <c r="B101" s="39">
        <v>45742.0</v>
      </c>
      <c r="C101" s="33" t="s">
        <v>178</v>
      </c>
      <c r="D101" s="33" t="s">
        <v>237</v>
      </c>
      <c r="E101" s="33" t="s">
        <v>180</v>
      </c>
      <c r="F101" s="33" t="s">
        <v>181</v>
      </c>
      <c r="G101" s="33" t="s">
        <v>189</v>
      </c>
      <c r="H101" s="33" t="s">
        <v>189</v>
      </c>
      <c r="I101" s="39">
        <v>46225.0</v>
      </c>
      <c r="J101" s="33"/>
      <c r="K101" s="33"/>
      <c r="L101" s="40">
        <v>0.0</v>
      </c>
      <c r="M101" s="40">
        <v>3256.36</v>
      </c>
    </row>
    <row r="102" ht="15.75" customHeight="1">
      <c r="A102" s="33" t="s">
        <v>690</v>
      </c>
      <c r="B102" s="39">
        <v>46163.0</v>
      </c>
      <c r="C102" s="33" t="s">
        <v>202</v>
      </c>
      <c r="D102" s="33" t="s">
        <v>185</v>
      </c>
      <c r="E102" s="33" t="s">
        <v>180</v>
      </c>
      <c r="F102" s="33" t="s">
        <v>181</v>
      </c>
      <c r="G102" s="33" t="s">
        <v>189</v>
      </c>
      <c r="H102" s="33" t="s">
        <v>189</v>
      </c>
      <c r="I102" s="39">
        <v>46260.0</v>
      </c>
      <c r="J102" s="33"/>
      <c r="K102" s="33"/>
      <c r="L102" s="40">
        <v>24005.1</v>
      </c>
      <c r="M102" s="40">
        <v>1546.24</v>
      </c>
    </row>
    <row r="103" ht="15.75" customHeight="1">
      <c r="A103" s="33" t="s">
        <v>697</v>
      </c>
      <c r="B103" s="39">
        <v>45779.0</v>
      </c>
      <c r="C103" s="33" t="s">
        <v>178</v>
      </c>
      <c r="D103" s="33" t="s">
        <v>237</v>
      </c>
      <c r="E103" s="33" t="s">
        <v>222</v>
      </c>
      <c r="F103" s="33" t="s">
        <v>181</v>
      </c>
      <c r="G103" s="33" t="s">
        <v>181</v>
      </c>
      <c r="H103" s="33" t="s">
        <v>181</v>
      </c>
      <c r="I103" s="39">
        <v>46234.0</v>
      </c>
      <c r="J103" s="39">
        <v>46253.0</v>
      </c>
      <c r="K103" s="39">
        <v>46020.0</v>
      </c>
      <c r="L103" s="40">
        <v>33118.39</v>
      </c>
      <c r="M103" s="40">
        <v>1727.52</v>
      </c>
    </row>
    <row r="104" ht="15.75" customHeight="1">
      <c r="A104" s="33" t="s">
        <v>705</v>
      </c>
      <c r="B104" s="39">
        <v>46146.0</v>
      </c>
      <c r="C104" s="33" t="s">
        <v>178</v>
      </c>
      <c r="D104" s="33" t="s">
        <v>179</v>
      </c>
      <c r="E104" s="33" t="s">
        <v>330</v>
      </c>
      <c r="F104" s="33" t="s">
        <v>181</v>
      </c>
      <c r="G104" s="33" t="s">
        <v>181</v>
      </c>
      <c r="H104" s="33" t="s">
        <v>189</v>
      </c>
      <c r="I104" s="39">
        <v>46150.0</v>
      </c>
      <c r="J104" s="39">
        <v>46204.0</v>
      </c>
      <c r="K104" s="39">
        <v>46080.0</v>
      </c>
      <c r="L104" s="40">
        <v>9713.65</v>
      </c>
      <c r="M104" s="40">
        <v>0.0</v>
      </c>
    </row>
    <row r="105" ht="15.75" customHeight="1">
      <c r="A105" s="33" t="s">
        <v>655</v>
      </c>
      <c r="B105" s="39">
        <v>45662.0</v>
      </c>
      <c r="C105" s="33" t="s">
        <v>184</v>
      </c>
      <c r="D105" s="33" t="s">
        <v>194</v>
      </c>
      <c r="E105" s="33" t="s">
        <v>180</v>
      </c>
      <c r="F105" s="33" t="s">
        <v>181</v>
      </c>
      <c r="G105" s="33" t="s">
        <v>181</v>
      </c>
      <c r="H105" s="33" t="s">
        <v>189</v>
      </c>
      <c r="I105" s="39">
        <v>46214.0</v>
      </c>
      <c r="J105" s="39">
        <v>46191.0</v>
      </c>
      <c r="K105" s="39">
        <v>46150.0</v>
      </c>
      <c r="L105" s="40">
        <v>0.0</v>
      </c>
      <c r="M105" s="40">
        <v>2765.91</v>
      </c>
    </row>
    <row r="106" ht="15.75" customHeight="1">
      <c r="A106" s="33" t="s">
        <v>671</v>
      </c>
      <c r="B106" s="39">
        <v>46141.0</v>
      </c>
      <c r="C106" s="33" t="s">
        <v>178</v>
      </c>
      <c r="D106" s="33" t="s">
        <v>188</v>
      </c>
      <c r="E106" s="33" t="s">
        <v>180</v>
      </c>
      <c r="F106" s="33" t="s">
        <v>181</v>
      </c>
      <c r="G106" s="33" t="s">
        <v>181</v>
      </c>
      <c r="H106" s="33" t="s">
        <v>181</v>
      </c>
      <c r="I106" s="39">
        <v>46219.0</v>
      </c>
      <c r="J106" s="39">
        <v>46242.0</v>
      </c>
      <c r="K106" s="39">
        <v>46187.0</v>
      </c>
      <c r="L106" s="40">
        <v>7950.77</v>
      </c>
      <c r="M106" s="40">
        <v>1167.1</v>
      </c>
    </row>
    <row r="107" ht="15.75" customHeight="1">
      <c r="A107" s="33" t="s">
        <v>726</v>
      </c>
      <c r="B107" s="39">
        <v>46135.0</v>
      </c>
      <c r="C107" s="33" t="s">
        <v>178</v>
      </c>
      <c r="D107" s="33" t="s">
        <v>179</v>
      </c>
      <c r="E107" s="33" t="s">
        <v>180</v>
      </c>
      <c r="F107" s="33" t="s">
        <v>181</v>
      </c>
      <c r="G107" s="33" t="s">
        <v>181</v>
      </c>
      <c r="H107" s="33" t="s">
        <v>181</v>
      </c>
      <c r="I107" s="39">
        <v>46198.0</v>
      </c>
      <c r="J107" s="39">
        <v>46230.0</v>
      </c>
      <c r="K107" s="39">
        <v>46230.0</v>
      </c>
      <c r="L107" s="40">
        <v>0.0</v>
      </c>
      <c r="M107" s="40">
        <v>810.6</v>
      </c>
    </row>
    <row r="108" ht="15.75" customHeight="1">
      <c r="A108" s="33" t="s">
        <v>733</v>
      </c>
      <c r="B108" s="39">
        <v>46131.0</v>
      </c>
      <c r="C108" s="33" t="s">
        <v>178</v>
      </c>
      <c r="D108" s="33" t="s">
        <v>196</v>
      </c>
      <c r="E108" s="33" t="s">
        <v>222</v>
      </c>
      <c r="F108" s="33" t="s">
        <v>181</v>
      </c>
      <c r="G108" s="33" t="s">
        <v>181</v>
      </c>
      <c r="H108" s="33" t="s">
        <v>181</v>
      </c>
      <c r="I108" s="39">
        <v>46101.0</v>
      </c>
      <c r="J108" s="39">
        <v>46199.0</v>
      </c>
      <c r="K108" s="39">
        <v>46159.0</v>
      </c>
      <c r="L108" s="40">
        <v>0.0</v>
      </c>
      <c r="M108" s="40">
        <v>2269.01</v>
      </c>
    </row>
    <row r="109" ht="15.75" customHeight="1">
      <c r="A109" s="33" t="s">
        <v>742</v>
      </c>
      <c r="B109" s="39">
        <v>46061.0</v>
      </c>
      <c r="C109" s="33" t="s">
        <v>202</v>
      </c>
      <c r="D109" s="33" t="s">
        <v>196</v>
      </c>
      <c r="E109" s="33" t="s">
        <v>180</v>
      </c>
      <c r="F109" s="33" t="s">
        <v>181</v>
      </c>
      <c r="G109" s="33" t="s">
        <v>189</v>
      </c>
      <c r="H109" s="33" t="s">
        <v>189</v>
      </c>
      <c r="I109" s="39">
        <v>46250.0</v>
      </c>
      <c r="J109" s="33"/>
      <c r="K109" s="33"/>
      <c r="L109" s="40">
        <v>3684.35</v>
      </c>
      <c r="M109" s="40">
        <v>609.52</v>
      </c>
    </row>
    <row r="110" ht="15.75" customHeight="1">
      <c r="A110" s="33" t="s">
        <v>750</v>
      </c>
      <c r="B110" s="39">
        <v>45944.0</v>
      </c>
      <c r="C110" s="33" t="s">
        <v>202</v>
      </c>
      <c r="D110" s="33" t="s">
        <v>185</v>
      </c>
      <c r="E110" s="33" t="s">
        <v>180</v>
      </c>
      <c r="F110" s="33" t="s">
        <v>181</v>
      </c>
      <c r="G110" s="33" t="s">
        <v>181</v>
      </c>
      <c r="H110" s="33" t="s">
        <v>189</v>
      </c>
      <c r="I110" s="39">
        <v>46179.0</v>
      </c>
      <c r="J110" s="39">
        <v>46094.0</v>
      </c>
      <c r="K110" s="39">
        <v>46094.0</v>
      </c>
      <c r="L110" s="40">
        <v>0.0</v>
      </c>
      <c r="M110" s="40">
        <v>1515.77</v>
      </c>
    </row>
    <row r="111" ht="15.75" customHeight="1">
      <c r="A111" s="33" t="s">
        <v>634</v>
      </c>
      <c r="B111" s="39">
        <v>46086.0</v>
      </c>
      <c r="C111" s="33" t="s">
        <v>202</v>
      </c>
      <c r="D111" s="33" t="s">
        <v>188</v>
      </c>
      <c r="E111" s="33" t="s">
        <v>330</v>
      </c>
      <c r="F111" s="33" t="s">
        <v>189</v>
      </c>
      <c r="G111" s="33" t="s">
        <v>181</v>
      </c>
      <c r="H111" s="33" t="s">
        <v>189</v>
      </c>
      <c r="I111" s="39">
        <v>46252.0</v>
      </c>
      <c r="J111" s="39">
        <v>46167.0</v>
      </c>
      <c r="K111" s="39">
        <v>46149.0</v>
      </c>
      <c r="L111" s="40">
        <v>0.0</v>
      </c>
      <c r="M111" s="40">
        <v>0.0</v>
      </c>
    </row>
    <row r="112" ht="15.75" customHeight="1">
      <c r="A112" s="33" t="s">
        <v>765</v>
      </c>
      <c r="B112" s="39">
        <v>45826.0</v>
      </c>
      <c r="C112" s="33" t="s">
        <v>178</v>
      </c>
      <c r="D112" s="33" t="s">
        <v>228</v>
      </c>
      <c r="E112" s="33" t="s">
        <v>222</v>
      </c>
      <c r="F112" s="33" t="s">
        <v>181</v>
      </c>
      <c r="G112" s="33" t="s">
        <v>181</v>
      </c>
      <c r="H112" s="33" t="s">
        <v>189</v>
      </c>
      <c r="I112" s="39">
        <v>46143.0</v>
      </c>
      <c r="J112" s="39">
        <v>46249.0</v>
      </c>
      <c r="K112" s="39">
        <v>45681.0</v>
      </c>
      <c r="L112" s="40">
        <v>4375.25</v>
      </c>
      <c r="M112" s="40">
        <v>1423.43</v>
      </c>
    </row>
    <row r="113" ht="15.75" customHeight="1">
      <c r="A113" s="33" t="s">
        <v>386</v>
      </c>
      <c r="B113" s="39">
        <v>46131.0</v>
      </c>
      <c r="C113" s="33" t="s">
        <v>178</v>
      </c>
      <c r="D113" s="33" t="s">
        <v>196</v>
      </c>
      <c r="E113" s="33" t="s">
        <v>180</v>
      </c>
      <c r="F113" s="33" t="s">
        <v>181</v>
      </c>
      <c r="G113" s="33" t="s">
        <v>189</v>
      </c>
      <c r="H113" s="33" t="s">
        <v>189</v>
      </c>
      <c r="I113" s="39">
        <v>46218.0</v>
      </c>
      <c r="J113" s="33"/>
      <c r="K113" s="33"/>
      <c r="L113" s="40">
        <v>0.0</v>
      </c>
      <c r="M113" s="40">
        <v>318.88</v>
      </c>
    </row>
    <row r="114" ht="15.75" customHeight="1">
      <c r="A114" s="33" t="s">
        <v>804</v>
      </c>
      <c r="B114" s="39">
        <v>45995.0</v>
      </c>
      <c r="C114" s="33" t="s">
        <v>184</v>
      </c>
      <c r="D114" s="33" t="s">
        <v>188</v>
      </c>
      <c r="E114" s="33" t="s">
        <v>180</v>
      </c>
      <c r="F114" s="33" t="s">
        <v>189</v>
      </c>
      <c r="G114" s="33" t="s">
        <v>181</v>
      </c>
      <c r="H114" s="33" t="s">
        <v>189</v>
      </c>
      <c r="I114" s="39">
        <v>46250.0</v>
      </c>
      <c r="J114" s="39">
        <v>46178.0</v>
      </c>
      <c r="K114" s="39">
        <v>46036.0</v>
      </c>
      <c r="L114" s="40">
        <v>56427.65</v>
      </c>
      <c r="M114" s="40">
        <v>0.0</v>
      </c>
    </row>
    <row r="115" ht="15.75" customHeight="1">
      <c r="A115" s="33" t="s">
        <v>590</v>
      </c>
      <c r="B115" s="39">
        <v>45936.0</v>
      </c>
      <c r="C115" s="33" t="s">
        <v>187</v>
      </c>
      <c r="D115" s="33" t="s">
        <v>179</v>
      </c>
      <c r="E115" s="33" t="s">
        <v>180</v>
      </c>
      <c r="F115" s="33" t="s">
        <v>181</v>
      </c>
      <c r="G115" s="33" t="s">
        <v>181</v>
      </c>
      <c r="H115" s="33" t="s">
        <v>189</v>
      </c>
      <c r="I115" s="39">
        <v>46249.0</v>
      </c>
      <c r="J115" s="39">
        <v>46208.0</v>
      </c>
      <c r="K115" s="39">
        <v>46208.0</v>
      </c>
      <c r="L115" s="40">
        <v>0.0</v>
      </c>
      <c r="M115" s="40">
        <v>819.21</v>
      </c>
    </row>
    <row r="116" ht="15.75" customHeight="1">
      <c r="A116" s="33" t="s">
        <v>769</v>
      </c>
      <c r="B116" s="39">
        <v>45964.0</v>
      </c>
      <c r="C116" s="33" t="s">
        <v>187</v>
      </c>
      <c r="D116" s="33" t="s">
        <v>188</v>
      </c>
      <c r="E116" s="33" t="s">
        <v>180</v>
      </c>
      <c r="F116" s="33" t="s">
        <v>181</v>
      </c>
      <c r="G116" s="33" t="s">
        <v>181</v>
      </c>
      <c r="H116" s="33" t="s">
        <v>189</v>
      </c>
      <c r="I116" s="39">
        <v>46264.0</v>
      </c>
      <c r="J116" s="39">
        <v>46230.0</v>
      </c>
      <c r="K116" s="39">
        <v>45923.0</v>
      </c>
      <c r="L116" s="40">
        <v>17806.0</v>
      </c>
      <c r="M116" s="40">
        <v>1549.52</v>
      </c>
    </row>
    <row r="117" ht="15.75" customHeight="1">
      <c r="A117" s="33" t="s">
        <v>594</v>
      </c>
      <c r="B117" s="39">
        <v>46003.0</v>
      </c>
      <c r="C117" s="33" t="s">
        <v>187</v>
      </c>
      <c r="D117" s="33" t="s">
        <v>194</v>
      </c>
      <c r="E117" s="33" t="s">
        <v>180</v>
      </c>
      <c r="F117" s="33" t="s">
        <v>181</v>
      </c>
      <c r="G117" s="33" t="s">
        <v>181</v>
      </c>
      <c r="H117" s="33" t="s">
        <v>189</v>
      </c>
      <c r="I117" s="39">
        <v>46207.0</v>
      </c>
      <c r="J117" s="39">
        <v>46203.0</v>
      </c>
      <c r="K117" s="39">
        <v>46053.0</v>
      </c>
      <c r="L117" s="40">
        <v>0.0</v>
      </c>
      <c r="M117" s="40">
        <v>55.86</v>
      </c>
    </row>
    <row r="118" ht="15.75" customHeight="1">
      <c r="A118" s="33" t="s">
        <v>848</v>
      </c>
      <c r="B118" s="39">
        <v>45680.0</v>
      </c>
      <c r="C118" s="33" t="s">
        <v>184</v>
      </c>
      <c r="D118" s="33" t="s">
        <v>200</v>
      </c>
      <c r="E118" s="33" t="s">
        <v>180</v>
      </c>
      <c r="F118" s="33" t="s">
        <v>181</v>
      </c>
      <c r="G118" s="33" t="s">
        <v>181</v>
      </c>
      <c r="H118" s="33" t="s">
        <v>189</v>
      </c>
      <c r="I118" s="39">
        <v>46227.0</v>
      </c>
      <c r="J118" s="39">
        <v>46159.0</v>
      </c>
      <c r="K118" s="39">
        <v>46159.0</v>
      </c>
      <c r="L118" s="40">
        <v>8279.06</v>
      </c>
      <c r="M118" s="40">
        <v>3006.28</v>
      </c>
    </row>
    <row r="119" ht="15.75" customHeight="1">
      <c r="A119" s="33" t="s">
        <v>864</v>
      </c>
      <c r="B119" s="39">
        <v>45742.0</v>
      </c>
      <c r="C119" s="33" t="s">
        <v>178</v>
      </c>
      <c r="D119" s="33" t="s">
        <v>185</v>
      </c>
      <c r="E119" s="33" t="s">
        <v>180</v>
      </c>
      <c r="F119" s="33" t="s">
        <v>181</v>
      </c>
      <c r="G119" s="33" t="s">
        <v>181</v>
      </c>
      <c r="H119" s="33" t="s">
        <v>189</v>
      </c>
      <c r="I119" s="39">
        <v>46248.0</v>
      </c>
      <c r="J119" s="39">
        <v>46201.0</v>
      </c>
      <c r="K119" s="39">
        <v>46201.0</v>
      </c>
      <c r="L119" s="40">
        <v>0.0</v>
      </c>
      <c r="M119" s="40">
        <v>750.99</v>
      </c>
    </row>
    <row r="120" ht="15.75" customHeight="1">
      <c r="A120" s="33" t="s">
        <v>876</v>
      </c>
      <c r="B120" s="39">
        <v>45807.0</v>
      </c>
      <c r="C120" s="33" t="s">
        <v>178</v>
      </c>
      <c r="D120" s="33" t="s">
        <v>188</v>
      </c>
      <c r="E120" s="33" t="s">
        <v>180</v>
      </c>
      <c r="F120" s="33" t="s">
        <v>181</v>
      </c>
      <c r="G120" s="33" t="s">
        <v>181</v>
      </c>
      <c r="H120" s="33" t="s">
        <v>189</v>
      </c>
      <c r="I120" s="39">
        <v>46253.0</v>
      </c>
      <c r="J120" s="39">
        <v>46237.0</v>
      </c>
      <c r="K120" s="39">
        <v>46002.0</v>
      </c>
      <c r="L120" s="40">
        <v>46176.85</v>
      </c>
      <c r="M120" s="40">
        <v>2476.53</v>
      </c>
    </row>
    <row r="121" ht="15.75" customHeight="1">
      <c r="A121" s="33" t="s">
        <v>890</v>
      </c>
      <c r="B121" s="39">
        <v>45727.0</v>
      </c>
      <c r="C121" s="33" t="s">
        <v>202</v>
      </c>
      <c r="D121" s="33" t="s">
        <v>200</v>
      </c>
      <c r="E121" s="33" t="s">
        <v>180</v>
      </c>
      <c r="F121" s="33" t="s">
        <v>189</v>
      </c>
      <c r="G121" s="33" t="s">
        <v>189</v>
      </c>
      <c r="H121" s="33" t="s">
        <v>189</v>
      </c>
      <c r="I121" s="39">
        <v>46260.0</v>
      </c>
      <c r="J121" s="33"/>
      <c r="K121" s="33"/>
      <c r="L121" s="40">
        <v>3289.56</v>
      </c>
      <c r="M121" s="40">
        <v>0.0</v>
      </c>
    </row>
    <row r="122" ht="15.75" customHeight="1">
      <c r="A122" s="33" t="s">
        <v>901</v>
      </c>
      <c r="B122" s="39">
        <v>45924.0</v>
      </c>
      <c r="C122" s="33" t="s">
        <v>178</v>
      </c>
      <c r="D122" s="33" t="s">
        <v>228</v>
      </c>
      <c r="E122" s="33" t="s">
        <v>180</v>
      </c>
      <c r="F122" s="33" t="s">
        <v>181</v>
      </c>
      <c r="G122" s="33" t="s">
        <v>181</v>
      </c>
      <c r="H122" s="33" t="s">
        <v>189</v>
      </c>
      <c r="I122" s="39">
        <v>46208.0</v>
      </c>
      <c r="J122" s="39">
        <v>46044.0</v>
      </c>
      <c r="K122" s="39">
        <v>46021.0</v>
      </c>
      <c r="L122" s="40">
        <v>0.0</v>
      </c>
      <c r="M122" s="40">
        <v>1036.56</v>
      </c>
    </row>
    <row r="123" ht="15.75" customHeight="1">
      <c r="A123" s="33" t="s">
        <v>913</v>
      </c>
      <c r="B123" s="39">
        <v>46063.0</v>
      </c>
      <c r="C123" s="33" t="s">
        <v>184</v>
      </c>
      <c r="D123" s="33" t="s">
        <v>185</v>
      </c>
      <c r="E123" s="33" t="s">
        <v>330</v>
      </c>
      <c r="F123" s="33" t="s">
        <v>181</v>
      </c>
      <c r="G123" s="33" t="s">
        <v>181</v>
      </c>
      <c r="H123" s="33" t="s">
        <v>189</v>
      </c>
      <c r="I123" s="39">
        <v>46200.0</v>
      </c>
      <c r="J123" s="39">
        <v>46203.0</v>
      </c>
      <c r="K123" s="39">
        <v>46156.0</v>
      </c>
      <c r="L123" s="40">
        <v>0.0</v>
      </c>
      <c r="M123" s="40">
        <v>0.0</v>
      </c>
    </row>
    <row r="124" ht="15.75" customHeight="1">
      <c r="A124" s="33" t="s">
        <v>790</v>
      </c>
      <c r="B124" s="39">
        <v>46055.0</v>
      </c>
      <c r="C124" s="33" t="s">
        <v>202</v>
      </c>
      <c r="D124" s="33" t="s">
        <v>188</v>
      </c>
      <c r="E124" s="33" t="s">
        <v>180</v>
      </c>
      <c r="F124" s="33" t="s">
        <v>181</v>
      </c>
      <c r="G124" s="33" t="s">
        <v>181</v>
      </c>
      <c r="H124" s="33" t="s">
        <v>189</v>
      </c>
      <c r="I124" s="39">
        <v>46209.0</v>
      </c>
      <c r="J124" s="39">
        <v>46178.0</v>
      </c>
      <c r="K124" s="39">
        <v>46178.0</v>
      </c>
      <c r="L124" s="40">
        <v>12987.87</v>
      </c>
      <c r="M124" s="40">
        <v>1621.33</v>
      </c>
    </row>
    <row r="125" ht="15.75" customHeight="1">
      <c r="A125" s="33" t="s">
        <v>467</v>
      </c>
      <c r="B125" s="39">
        <v>45943.0</v>
      </c>
      <c r="C125" s="33" t="s">
        <v>184</v>
      </c>
      <c r="D125" s="33" t="s">
        <v>179</v>
      </c>
      <c r="E125" s="33" t="s">
        <v>222</v>
      </c>
      <c r="F125" s="33" t="s">
        <v>181</v>
      </c>
      <c r="G125" s="33" t="s">
        <v>189</v>
      </c>
      <c r="H125" s="33" t="s">
        <v>189</v>
      </c>
      <c r="I125" s="39">
        <v>46218.0</v>
      </c>
      <c r="J125" s="33"/>
      <c r="K125" s="33"/>
      <c r="L125" s="40">
        <v>21879.38</v>
      </c>
      <c r="M125" s="40">
        <v>2773.76</v>
      </c>
    </row>
    <row r="126" ht="15.75" customHeight="1">
      <c r="A126" s="33" t="s">
        <v>908</v>
      </c>
      <c r="B126" s="39">
        <v>46177.0</v>
      </c>
      <c r="C126" s="33" t="s">
        <v>184</v>
      </c>
      <c r="D126" s="33" t="s">
        <v>228</v>
      </c>
      <c r="E126" s="33" t="s">
        <v>180</v>
      </c>
      <c r="F126" s="33" t="s">
        <v>181</v>
      </c>
      <c r="G126" s="33" t="s">
        <v>189</v>
      </c>
      <c r="H126" s="33" t="s">
        <v>189</v>
      </c>
      <c r="I126" s="39">
        <v>46262.0</v>
      </c>
      <c r="J126" s="33"/>
      <c r="K126" s="33"/>
      <c r="L126" s="40">
        <v>14378.51</v>
      </c>
      <c r="M126" s="40">
        <v>1042.81</v>
      </c>
    </row>
    <row r="127" ht="15.75" customHeight="1">
      <c r="A127" s="33" t="s">
        <v>953</v>
      </c>
      <c r="B127" s="39">
        <v>46001.0</v>
      </c>
      <c r="C127" s="33" t="s">
        <v>202</v>
      </c>
      <c r="D127" s="33" t="s">
        <v>185</v>
      </c>
      <c r="E127" s="33" t="s">
        <v>180</v>
      </c>
      <c r="F127" s="33" t="s">
        <v>181</v>
      </c>
      <c r="G127" s="33" t="s">
        <v>189</v>
      </c>
      <c r="H127" s="33" t="s">
        <v>189</v>
      </c>
      <c r="I127" s="39">
        <v>46256.0</v>
      </c>
      <c r="J127" s="33"/>
      <c r="K127" s="33"/>
      <c r="L127" s="40">
        <v>78656.96</v>
      </c>
      <c r="M127" s="40">
        <v>4203.7</v>
      </c>
    </row>
    <row r="128" ht="15.75" customHeight="1">
      <c r="A128" s="33" t="s">
        <v>863</v>
      </c>
      <c r="B128" s="39">
        <v>45706.0</v>
      </c>
      <c r="C128" s="33" t="s">
        <v>184</v>
      </c>
      <c r="D128" s="33" t="s">
        <v>196</v>
      </c>
      <c r="E128" s="33" t="s">
        <v>222</v>
      </c>
      <c r="F128" s="33" t="s">
        <v>181</v>
      </c>
      <c r="G128" s="33" t="s">
        <v>181</v>
      </c>
      <c r="H128" s="33" t="s">
        <v>189</v>
      </c>
      <c r="I128" s="39">
        <v>46123.0</v>
      </c>
      <c r="J128" s="39">
        <v>46252.0</v>
      </c>
      <c r="K128" s="39">
        <v>46252.0</v>
      </c>
      <c r="L128" s="40">
        <v>0.0</v>
      </c>
      <c r="M128" s="40">
        <v>7438.36</v>
      </c>
    </row>
    <row r="129" ht="15.75" customHeight="1">
      <c r="A129" s="33" t="s">
        <v>825</v>
      </c>
      <c r="B129" s="39">
        <v>46122.0</v>
      </c>
      <c r="C129" s="33" t="s">
        <v>202</v>
      </c>
      <c r="D129" s="33" t="s">
        <v>179</v>
      </c>
      <c r="E129" s="33" t="s">
        <v>180</v>
      </c>
      <c r="F129" s="33" t="s">
        <v>181</v>
      </c>
      <c r="G129" s="33" t="s">
        <v>181</v>
      </c>
      <c r="H129" s="33" t="s">
        <v>181</v>
      </c>
      <c r="I129" s="39">
        <v>46199.0</v>
      </c>
      <c r="J129" s="39">
        <v>46262.0</v>
      </c>
      <c r="K129" s="39">
        <v>46262.0</v>
      </c>
      <c r="L129" s="40">
        <v>92517.36</v>
      </c>
      <c r="M129" s="40">
        <v>784.57</v>
      </c>
    </row>
    <row r="130" ht="15.75" customHeight="1">
      <c r="A130" s="33" t="s">
        <v>983</v>
      </c>
      <c r="B130" s="39">
        <v>46006.0</v>
      </c>
      <c r="C130" s="33" t="s">
        <v>184</v>
      </c>
      <c r="D130" s="33" t="s">
        <v>200</v>
      </c>
      <c r="E130" s="33" t="s">
        <v>180</v>
      </c>
      <c r="F130" s="33" t="s">
        <v>181</v>
      </c>
      <c r="G130" s="33" t="s">
        <v>189</v>
      </c>
      <c r="H130" s="33" t="s">
        <v>189</v>
      </c>
      <c r="I130" s="39">
        <v>46239.0</v>
      </c>
      <c r="J130" s="33"/>
      <c r="K130" s="33"/>
      <c r="L130" s="40">
        <v>10128.1</v>
      </c>
      <c r="M130" s="40">
        <v>949.62</v>
      </c>
    </row>
    <row r="131" ht="15.75" customHeight="1">
      <c r="A131" s="33" t="s">
        <v>993</v>
      </c>
      <c r="B131" s="39">
        <v>46043.0</v>
      </c>
      <c r="C131" s="33" t="s">
        <v>178</v>
      </c>
      <c r="D131" s="33" t="s">
        <v>188</v>
      </c>
      <c r="E131" s="33" t="s">
        <v>180</v>
      </c>
      <c r="F131" s="33" t="s">
        <v>181</v>
      </c>
      <c r="G131" s="33" t="s">
        <v>189</v>
      </c>
      <c r="H131" s="33" t="s">
        <v>189</v>
      </c>
      <c r="I131" s="39">
        <v>46261.0</v>
      </c>
      <c r="J131" s="33"/>
      <c r="K131" s="33"/>
      <c r="L131" s="40">
        <v>0.0</v>
      </c>
      <c r="M131" s="40">
        <v>1303.55</v>
      </c>
    </row>
    <row r="132" ht="15.75" customHeight="1">
      <c r="A132" s="33" t="s">
        <v>828</v>
      </c>
      <c r="B132" s="39">
        <v>46001.0</v>
      </c>
      <c r="C132" s="33" t="s">
        <v>202</v>
      </c>
      <c r="D132" s="33" t="s">
        <v>179</v>
      </c>
      <c r="E132" s="33" t="s">
        <v>180</v>
      </c>
      <c r="F132" s="33" t="s">
        <v>181</v>
      </c>
      <c r="G132" s="33" t="s">
        <v>181</v>
      </c>
      <c r="H132" s="33" t="s">
        <v>189</v>
      </c>
      <c r="I132" s="39">
        <v>46237.0</v>
      </c>
      <c r="J132" s="39">
        <v>46252.0</v>
      </c>
      <c r="K132" s="39">
        <v>46091.0</v>
      </c>
      <c r="L132" s="40">
        <v>0.0</v>
      </c>
      <c r="M132" s="40">
        <v>3797.5</v>
      </c>
    </row>
    <row r="133" ht="15.75" customHeight="1">
      <c r="A133" s="33" t="s">
        <v>1014</v>
      </c>
      <c r="B133" s="39">
        <v>45994.0</v>
      </c>
      <c r="C133" s="33" t="s">
        <v>202</v>
      </c>
      <c r="D133" s="33" t="s">
        <v>185</v>
      </c>
      <c r="E133" s="33" t="s">
        <v>180</v>
      </c>
      <c r="F133" s="33" t="s">
        <v>181</v>
      </c>
      <c r="G133" s="33" t="s">
        <v>181</v>
      </c>
      <c r="H133" s="33" t="s">
        <v>189</v>
      </c>
      <c r="I133" s="39">
        <v>46193.0</v>
      </c>
      <c r="J133" s="39">
        <v>46242.0</v>
      </c>
      <c r="K133" s="39">
        <v>46139.0</v>
      </c>
      <c r="L133" s="40">
        <v>1763.75</v>
      </c>
      <c r="M133" s="40">
        <v>575.7</v>
      </c>
    </row>
    <row r="134" ht="15.75" customHeight="1">
      <c r="A134" s="33" t="s">
        <v>1025</v>
      </c>
      <c r="B134" s="39">
        <v>45712.0</v>
      </c>
      <c r="C134" s="33" t="s">
        <v>178</v>
      </c>
      <c r="D134" s="33" t="s">
        <v>196</v>
      </c>
      <c r="E134" s="33" t="s">
        <v>180</v>
      </c>
      <c r="F134" s="33" t="s">
        <v>181</v>
      </c>
      <c r="G134" s="33" t="s">
        <v>181</v>
      </c>
      <c r="H134" s="33" t="s">
        <v>189</v>
      </c>
      <c r="I134" s="39">
        <v>46253.0</v>
      </c>
      <c r="J134" s="39">
        <v>46122.0</v>
      </c>
      <c r="K134" s="39">
        <v>46027.0</v>
      </c>
      <c r="L134" s="40">
        <v>1095.66</v>
      </c>
      <c r="M134" s="40">
        <v>598.57</v>
      </c>
    </row>
    <row r="135" ht="15.75" customHeight="1">
      <c r="A135" s="33" t="s">
        <v>1040</v>
      </c>
      <c r="B135" s="39">
        <v>45997.0</v>
      </c>
      <c r="C135" s="33" t="s">
        <v>178</v>
      </c>
      <c r="D135" s="33" t="s">
        <v>228</v>
      </c>
      <c r="E135" s="33" t="s">
        <v>180</v>
      </c>
      <c r="F135" s="33" t="s">
        <v>181</v>
      </c>
      <c r="G135" s="33" t="s">
        <v>189</v>
      </c>
      <c r="H135" s="33" t="s">
        <v>189</v>
      </c>
      <c r="I135" s="39">
        <v>46194.0</v>
      </c>
      <c r="J135" s="33"/>
      <c r="K135" s="33"/>
      <c r="L135" s="40">
        <v>0.0</v>
      </c>
      <c r="M135" s="40">
        <v>530.99</v>
      </c>
    </row>
    <row r="136" ht="15.75" customHeight="1">
      <c r="A136" s="33" t="s">
        <v>1052</v>
      </c>
      <c r="B136" s="39">
        <v>46140.0</v>
      </c>
      <c r="C136" s="33" t="s">
        <v>184</v>
      </c>
      <c r="D136" s="33" t="s">
        <v>237</v>
      </c>
      <c r="E136" s="33" t="s">
        <v>180</v>
      </c>
      <c r="F136" s="33" t="s">
        <v>181</v>
      </c>
      <c r="G136" s="33" t="s">
        <v>181</v>
      </c>
      <c r="H136" s="33" t="s">
        <v>181</v>
      </c>
      <c r="I136" s="39">
        <v>46224.0</v>
      </c>
      <c r="J136" s="39">
        <v>46195.0</v>
      </c>
      <c r="K136" s="39">
        <v>46075.0</v>
      </c>
      <c r="L136" s="40">
        <v>0.0</v>
      </c>
      <c r="M136" s="40">
        <v>453.55</v>
      </c>
    </row>
    <row r="137" ht="15.75" customHeight="1">
      <c r="A137" s="33" t="s">
        <v>1069</v>
      </c>
      <c r="B137" s="39">
        <v>45842.0</v>
      </c>
      <c r="C137" s="33" t="s">
        <v>187</v>
      </c>
      <c r="D137" s="33" t="s">
        <v>228</v>
      </c>
      <c r="E137" s="33" t="s">
        <v>180</v>
      </c>
      <c r="F137" s="33" t="s">
        <v>181</v>
      </c>
      <c r="G137" s="33" t="s">
        <v>181</v>
      </c>
      <c r="H137" s="33" t="s">
        <v>189</v>
      </c>
      <c r="I137" s="39">
        <v>46253.0</v>
      </c>
      <c r="J137" s="39">
        <v>46122.0</v>
      </c>
      <c r="K137" s="39">
        <v>46122.0</v>
      </c>
      <c r="L137" s="40">
        <v>0.0</v>
      </c>
      <c r="M137" s="40">
        <v>795.12</v>
      </c>
    </row>
    <row r="138" ht="15.75" customHeight="1">
      <c r="A138" s="33" t="s">
        <v>1118</v>
      </c>
      <c r="B138" s="39">
        <v>46023.0</v>
      </c>
      <c r="C138" s="33" t="s">
        <v>178</v>
      </c>
      <c r="D138" s="33" t="s">
        <v>179</v>
      </c>
      <c r="E138" s="33" t="s">
        <v>180</v>
      </c>
      <c r="F138" s="33" t="s">
        <v>181</v>
      </c>
      <c r="G138" s="33" t="s">
        <v>181</v>
      </c>
      <c r="H138" s="33" t="s">
        <v>181</v>
      </c>
      <c r="I138" s="39">
        <v>46181.0</v>
      </c>
      <c r="J138" s="39">
        <v>46195.0</v>
      </c>
      <c r="K138" s="39">
        <v>45939.0</v>
      </c>
      <c r="L138" s="40">
        <v>54564.12</v>
      </c>
      <c r="M138" s="40">
        <v>1722.02</v>
      </c>
    </row>
    <row r="139" ht="15.75" customHeight="1">
      <c r="A139" s="33" t="s">
        <v>754</v>
      </c>
      <c r="B139" s="39">
        <v>45676.0</v>
      </c>
      <c r="C139" s="33" t="s">
        <v>178</v>
      </c>
      <c r="D139" s="33" t="s">
        <v>179</v>
      </c>
      <c r="E139" s="33" t="s">
        <v>180</v>
      </c>
      <c r="F139" s="33" t="s">
        <v>181</v>
      </c>
      <c r="G139" s="33" t="s">
        <v>181</v>
      </c>
      <c r="H139" s="33" t="s">
        <v>189</v>
      </c>
      <c r="I139" s="39">
        <v>46219.0</v>
      </c>
      <c r="J139" s="39">
        <v>46202.0</v>
      </c>
      <c r="K139" s="39">
        <v>46127.0</v>
      </c>
      <c r="L139" s="40">
        <v>18349.09</v>
      </c>
      <c r="M139" s="40">
        <v>7808.12</v>
      </c>
    </row>
    <row r="140" ht="15.75" customHeight="1">
      <c r="A140" s="33" t="s">
        <v>1140</v>
      </c>
      <c r="B140" s="39">
        <v>45868.0</v>
      </c>
      <c r="C140" s="33" t="s">
        <v>178</v>
      </c>
      <c r="D140" s="33" t="s">
        <v>188</v>
      </c>
      <c r="E140" s="33" t="s">
        <v>180</v>
      </c>
      <c r="F140" s="33" t="s">
        <v>181</v>
      </c>
      <c r="G140" s="33" t="s">
        <v>181</v>
      </c>
      <c r="H140" s="33" t="s">
        <v>189</v>
      </c>
      <c r="I140" s="39">
        <v>46205.0</v>
      </c>
      <c r="J140" s="39">
        <v>46248.0</v>
      </c>
      <c r="K140" s="39">
        <v>46248.0</v>
      </c>
      <c r="L140" s="40">
        <v>0.0</v>
      </c>
      <c r="M140" s="40">
        <v>518.27</v>
      </c>
    </row>
    <row r="141" ht="15.75" customHeight="1">
      <c r="A141" s="33" t="s">
        <v>642</v>
      </c>
      <c r="B141" s="39">
        <v>45923.0</v>
      </c>
      <c r="C141" s="33" t="s">
        <v>178</v>
      </c>
      <c r="D141" s="33" t="s">
        <v>179</v>
      </c>
      <c r="E141" s="33" t="s">
        <v>180</v>
      </c>
      <c r="F141" s="33" t="s">
        <v>181</v>
      </c>
      <c r="G141" s="33" t="s">
        <v>181</v>
      </c>
      <c r="H141" s="33" t="s">
        <v>189</v>
      </c>
      <c r="I141" s="39">
        <v>46257.0</v>
      </c>
      <c r="J141" s="39">
        <v>46151.0</v>
      </c>
      <c r="K141" s="39">
        <v>46151.0</v>
      </c>
      <c r="L141" s="40">
        <v>3814.31</v>
      </c>
      <c r="M141" s="40">
        <v>1674.38</v>
      </c>
    </row>
    <row r="142" ht="15.75" customHeight="1">
      <c r="A142" s="33" t="s">
        <v>1165</v>
      </c>
      <c r="B142" s="39">
        <v>46254.0</v>
      </c>
      <c r="C142" s="33" t="s">
        <v>184</v>
      </c>
      <c r="D142" s="33" t="s">
        <v>237</v>
      </c>
      <c r="E142" s="33" t="s">
        <v>180</v>
      </c>
      <c r="F142" s="33" t="s">
        <v>181</v>
      </c>
      <c r="G142" s="33" t="s">
        <v>189</v>
      </c>
      <c r="H142" s="33" t="s">
        <v>181</v>
      </c>
      <c r="I142" s="39">
        <v>46232.0</v>
      </c>
      <c r="J142" s="33"/>
      <c r="K142" s="33"/>
      <c r="L142" s="40">
        <v>0.0</v>
      </c>
      <c r="M142" s="40">
        <v>2207.54</v>
      </c>
    </row>
    <row r="143" ht="15.75" customHeight="1">
      <c r="A143" s="33" t="s">
        <v>1179</v>
      </c>
      <c r="B143" s="39">
        <v>45788.0</v>
      </c>
      <c r="C143" s="33" t="s">
        <v>178</v>
      </c>
      <c r="D143" s="33" t="s">
        <v>200</v>
      </c>
      <c r="E143" s="33" t="s">
        <v>180</v>
      </c>
      <c r="F143" s="33" t="s">
        <v>181</v>
      </c>
      <c r="G143" s="33" t="s">
        <v>181</v>
      </c>
      <c r="H143" s="33" t="s">
        <v>181</v>
      </c>
      <c r="I143" s="39">
        <v>46209.0</v>
      </c>
      <c r="J143" s="39">
        <v>46230.0</v>
      </c>
      <c r="K143" s="39">
        <v>46230.0</v>
      </c>
      <c r="L143" s="40">
        <v>0.0</v>
      </c>
      <c r="M143" s="40">
        <v>1342.01</v>
      </c>
    </row>
    <row r="144" ht="15.75" customHeight="1">
      <c r="A144" s="33" t="s">
        <v>763</v>
      </c>
      <c r="B144" s="39">
        <v>45825.0</v>
      </c>
      <c r="C144" s="33" t="s">
        <v>178</v>
      </c>
      <c r="D144" s="33" t="s">
        <v>185</v>
      </c>
      <c r="E144" s="33" t="s">
        <v>180</v>
      </c>
      <c r="F144" s="33" t="s">
        <v>181</v>
      </c>
      <c r="G144" s="33" t="s">
        <v>181</v>
      </c>
      <c r="H144" s="33" t="s">
        <v>189</v>
      </c>
      <c r="I144" s="39">
        <v>46207.0</v>
      </c>
      <c r="J144" s="39">
        <v>46031.0</v>
      </c>
      <c r="K144" s="39">
        <v>45979.0</v>
      </c>
      <c r="L144" s="40">
        <v>28685.88</v>
      </c>
      <c r="M144" s="40">
        <v>1836.54</v>
      </c>
    </row>
    <row r="145" ht="15.75" customHeight="1">
      <c r="A145" s="33" t="s">
        <v>1207</v>
      </c>
      <c r="B145" s="39">
        <v>45905.0</v>
      </c>
      <c r="C145" s="33" t="s">
        <v>202</v>
      </c>
      <c r="D145" s="33" t="s">
        <v>237</v>
      </c>
      <c r="E145" s="33" t="s">
        <v>180</v>
      </c>
      <c r="F145" s="33" t="s">
        <v>181</v>
      </c>
      <c r="G145" s="33" t="s">
        <v>181</v>
      </c>
      <c r="H145" s="33" t="s">
        <v>189</v>
      </c>
      <c r="I145" s="39">
        <v>46260.0</v>
      </c>
      <c r="J145" s="39">
        <v>46231.0</v>
      </c>
      <c r="K145" s="39">
        <v>46231.0</v>
      </c>
      <c r="L145" s="40">
        <v>0.0</v>
      </c>
      <c r="M145" s="40">
        <v>1116.29</v>
      </c>
    </row>
    <row r="146" ht="15.75" customHeight="1">
      <c r="A146" s="33" t="s">
        <v>1217</v>
      </c>
      <c r="B146" s="39">
        <v>46260.0</v>
      </c>
      <c r="C146" s="33" t="s">
        <v>178</v>
      </c>
      <c r="D146" s="33" t="s">
        <v>237</v>
      </c>
      <c r="E146" s="33" t="s">
        <v>180</v>
      </c>
      <c r="F146" s="33" t="s">
        <v>181</v>
      </c>
      <c r="G146" s="33" t="s">
        <v>181</v>
      </c>
      <c r="H146" s="33" t="s">
        <v>181</v>
      </c>
      <c r="I146" s="39">
        <v>46211.0</v>
      </c>
      <c r="J146" s="39">
        <v>46261.0</v>
      </c>
      <c r="K146" s="39">
        <v>46261.0</v>
      </c>
      <c r="L146" s="40">
        <v>0.0</v>
      </c>
      <c r="M146" s="40">
        <v>899.25</v>
      </c>
    </row>
    <row r="147" ht="15.75" customHeight="1">
      <c r="A147" s="33" t="s">
        <v>633</v>
      </c>
      <c r="B147" s="39">
        <v>46176.0</v>
      </c>
      <c r="C147" s="33" t="s">
        <v>178</v>
      </c>
      <c r="D147" s="33" t="s">
        <v>237</v>
      </c>
      <c r="E147" s="33" t="s">
        <v>330</v>
      </c>
      <c r="F147" s="33" t="s">
        <v>189</v>
      </c>
      <c r="G147" s="33" t="s">
        <v>181</v>
      </c>
      <c r="H147" s="33" t="s">
        <v>189</v>
      </c>
      <c r="I147" s="39">
        <v>46260.0</v>
      </c>
      <c r="J147" s="39">
        <v>46229.0</v>
      </c>
      <c r="K147" s="39">
        <v>46229.0</v>
      </c>
      <c r="L147" s="40">
        <v>22661.56</v>
      </c>
      <c r="M147" s="40">
        <v>0.0</v>
      </c>
    </row>
    <row r="148" ht="15.75" customHeight="1">
      <c r="A148" s="33" t="s">
        <v>1249</v>
      </c>
      <c r="B148" s="39">
        <v>45679.0</v>
      </c>
      <c r="C148" s="33" t="s">
        <v>187</v>
      </c>
      <c r="D148" s="33" t="s">
        <v>185</v>
      </c>
      <c r="E148" s="33" t="s">
        <v>222</v>
      </c>
      <c r="F148" s="33" t="s">
        <v>181</v>
      </c>
      <c r="G148" s="33" t="s">
        <v>181</v>
      </c>
      <c r="H148" s="33" t="s">
        <v>181</v>
      </c>
      <c r="I148" s="39">
        <v>46117.0</v>
      </c>
      <c r="J148" s="39">
        <v>46238.0</v>
      </c>
      <c r="K148" s="39">
        <v>46029.0</v>
      </c>
      <c r="L148" s="40">
        <v>0.0</v>
      </c>
      <c r="M148" s="40">
        <v>1222.23</v>
      </c>
    </row>
    <row r="149" ht="15.75" customHeight="1">
      <c r="A149" s="33" t="s">
        <v>649</v>
      </c>
      <c r="B149" s="39">
        <v>45800.0</v>
      </c>
      <c r="C149" s="33" t="s">
        <v>187</v>
      </c>
      <c r="D149" s="33" t="s">
        <v>237</v>
      </c>
      <c r="E149" s="33" t="s">
        <v>180</v>
      </c>
      <c r="F149" s="33" t="s">
        <v>189</v>
      </c>
      <c r="G149" s="33" t="s">
        <v>181</v>
      </c>
      <c r="H149" s="33" t="s">
        <v>189</v>
      </c>
      <c r="I149" s="39">
        <v>46247.0</v>
      </c>
      <c r="J149" s="39">
        <v>46264.0</v>
      </c>
      <c r="K149" s="39">
        <v>46155.0</v>
      </c>
      <c r="L149" s="40">
        <v>16760.89</v>
      </c>
      <c r="M149" s="40">
        <v>0.0</v>
      </c>
    </row>
    <row r="150" ht="15.75" customHeight="1">
      <c r="A150" s="33" t="s">
        <v>1269</v>
      </c>
      <c r="B150" s="39">
        <v>46156.0</v>
      </c>
      <c r="C150" s="33" t="s">
        <v>184</v>
      </c>
      <c r="D150" s="33" t="s">
        <v>196</v>
      </c>
      <c r="E150" s="33" t="s">
        <v>180</v>
      </c>
      <c r="F150" s="33" t="s">
        <v>181</v>
      </c>
      <c r="G150" s="33" t="s">
        <v>189</v>
      </c>
      <c r="H150" s="33" t="s">
        <v>181</v>
      </c>
      <c r="I150" s="39">
        <v>46183.0</v>
      </c>
      <c r="J150" s="33"/>
      <c r="K150" s="33"/>
      <c r="L150" s="40">
        <v>0.0</v>
      </c>
      <c r="M150" s="40">
        <v>3306.95</v>
      </c>
    </row>
    <row r="151" ht="15.75" customHeight="1">
      <c r="A151" s="33" t="s">
        <v>1095</v>
      </c>
      <c r="B151" s="39">
        <v>45693.0</v>
      </c>
      <c r="C151" s="33" t="s">
        <v>187</v>
      </c>
      <c r="D151" s="33" t="s">
        <v>196</v>
      </c>
      <c r="E151" s="33" t="s">
        <v>180</v>
      </c>
      <c r="F151" s="33" t="s">
        <v>189</v>
      </c>
      <c r="G151" s="33" t="s">
        <v>181</v>
      </c>
      <c r="H151" s="33" t="s">
        <v>181</v>
      </c>
      <c r="I151" s="39">
        <v>46204.0</v>
      </c>
      <c r="J151" s="39">
        <v>46230.0</v>
      </c>
      <c r="K151" s="39">
        <v>46058.0</v>
      </c>
      <c r="L151" s="40">
        <v>35052.97</v>
      </c>
      <c r="M151" s="40">
        <v>0.0</v>
      </c>
    </row>
    <row r="152" ht="15.75" customHeight="1">
      <c r="A152" s="33" t="s">
        <v>1037</v>
      </c>
      <c r="B152" s="39">
        <v>46177.0</v>
      </c>
      <c r="C152" s="33" t="s">
        <v>202</v>
      </c>
      <c r="D152" s="33" t="s">
        <v>188</v>
      </c>
      <c r="E152" s="33" t="s">
        <v>222</v>
      </c>
      <c r="F152" s="33" t="s">
        <v>189</v>
      </c>
      <c r="G152" s="33" t="s">
        <v>181</v>
      </c>
      <c r="H152" s="33" t="s">
        <v>181</v>
      </c>
      <c r="I152" s="39">
        <v>46226.0</v>
      </c>
      <c r="J152" s="39">
        <v>46247.0</v>
      </c>
      <c r="K152" s="39">
        <v>46138.0</v>
      </c>
      <c r="L152" s="40">
        <v>0.0</v>
      </c>
      <c r="M152" s="40">
        <v>0.0</v>
      </c>
    </row>
    <row r="153" ht="15.75" customHeight="1">
      <c r="A153" s="33" t="s">
        <v>732</v>
      </c>
      <c r="B153" s="39">
        <v>45828.0</v>
      </c>
      <c r="C153" s="33" t="s">
        <v>184</v>
      </c>
      <c r="D153" s="33" t="s">
        <v>237</v>
      </c>
      <c r="E153" s="33" t="s">
        <v>222</v>
      </c>
      <c r="F153" s="33" t="s">
        <v>181</v>
      </c>
      <c r="G153" s="33" t="s">
        <v>181</v>
      </c>
      <c r="H153" s="33" t="s">
        <v>189</v>
      </c>
      <c r="I153" s="39">
        <v>46215.0</v>
      </c>
      <c r="J153" s="39">
        <v>46260.0</v>
      </c>
      <c r="K153" s="39">
        <v>46260.0</v>
      </c>
      <c r="L153" s="40">
        <v>0.0</v>
      </c>
      <c r="M153" s="40">
        <v>2598.1</v>
      </c>
    </row>
    <row r="154" ht="15.75" customHeight="1">
      <c r="A154" s="33" t="s">
        <v>651</v>
      </c>
      <c r="B154" s="39">
        <v>46215.0</v>
      </c>
      <c r="C154" s="33" t="s">
        <v>184</v>
      </c>
      <c r="D154" s="33" t="s">
        <v>194</v>
      </c>
      <c r="E154" s="33" t="s">
        <v>180</v>
      </c>
      <c r="F154" s="33" t="s">
        <v>181</v>
      </c>
      <c r="G154" s="33" t="s">
        <v>189</v>
      </c>
      <c r="H154" s="33" t="s">
        <v>189</v>
      </c>
      <c r="I154" s="39">
        <v>46183.0</v>
      </c>
      <c r="J154" s="33"/>
      <c r="K154" s="33"/>
      <c r="L154" s="40">
        <v>35976.58</v>
      </c>
      <c r="M154" s="40">
        <v>1478.44</v>
      </c>
    </row>
    <row r="155" ht="15.75" customHeight="1">
      <c r="A155" s="33" t="s">
        <v>1318</v>
      </c>
      <c r="B155" s="39">
        <v>45836.0</v>
      </c>
      <c r="C155" s="33" t="s">
        <v>187</v>
      </c>
      <c r="D155" s="33" t="s">
        <v>194</v>
      </c>
      <c r="E155" s="33" t="s">
        <v>180</v>
      </c>
      <c r="F155" s="33" t="s">
        <v>189</v>
      </c>
      <c r="G155" s="33" t="s">
        <v>181</v>
      </c>
      <c r="H155" s="33" t="s">
        <v>189</v>
      </c>
      <c r="I155" s="39">
        <v>46247.0</v>
      </c>
      <c r="J155" s="39">
        <v>46173.0</v>
      </c>
      <c r="K155" s="39">
        <v>46173.0</v>
      </c>
      <c r="L155" s="40">
        <v>0.0</v>
      </c>
      <c r="M155" s="40">
        <v>0.0</v>
      </c>
    </row>
    <row r="156" ht="15.75" customHeight="1">
      <c r="A156" s="33" t="s">
        <v>1325</v>
      </c>
      <c r="B156" s="39">
        <v>45921.0</v>
      </c>
      <c r="C156" s="33" t="s">
        <v>184</v>
      </c>
      <c r="D156" s="33" t="s">
        <v>200</v>
      </c>
      <c r="E156" s="33" t="s">
        <v>180</v>
      </c>
      <c r="F156" s="33" t="s">
        <v>189</v>
      </c>
      <c r="G156" s="33" t="s">
        <v>189</v>
      </c>
      <c r="H156" s="33" t="s">
        <v>189</v>
      </c>
      <c r="I156" s="39">
        <v>46257.0</v>
      </c>
      <c r="J156" s="33"/>
      <c r="K156" s="33"/>
      <c r="L156" s="40">
        <v>30651.9</v>
      </c>
      <c r="M156" s="40">
        <v>0.0</v>
      </c>
    </row>
    <row r="157" ht="15.75" customHeight="1">
      <c r="A157" s="33" t="s">
        <v>1334</v>
      </c>
      <c r="B157" s="39">
        <v>46059.0</v>
      </c>
      <c r="C157" s="33" t="s">
        <v>184</v>
      </c>
      <c r="D157" s="33" t="s">
        <v>194</v>
      </c>
      <c r="E157" s="33" t="s">
        <v>222</v>
      </c>
      <c r="F157" s="33" t="s">
        <v>189</v>
      </c>
      <c r="G157" s="33" t="s">
        <v>189</v>
      </c>
      <c r="H157" s="33" t="s">
        <v>181</v>
      </c>
      <c r="I157" s="39">
        <v>46167.0</v>
      </c>
      <c r="J157" s="33"/>
      <c r="K157" s="33"/>
      <c r="L157" s="40">
        <v>0.0</v>
      </c>
      <c r="M157" s="40">
        <v>0.0</v>
      </c>
    </row>
    <row r="158" ht="15.75" customHeight="1">
      <c r="A158" s="33" t="s">
        <v>1344</v>
      </c>
      <c r="B158" s="39">
        <v>45734.0</v>
      </c>
      <c r="C158" s="33" t="s">
        <v>184</v>
      </c>
      <c r="D158" s="33" t="s">
        <v>228</v>
      </c>
      <c r="E158" s="33" t="s">
        <v>222</v>
      </c>
      <c r="F158" s="33" t="s">
        <v>181</v>
      </c>
      <c r="G158" s="33" t="s">
        <v>181</v>
      </c>
      <c r="H158" s="33" t="s">
        <v>181</v>
      </c>
      <c r="I158" s="39">
        <v>46156.0</v>
      </c>
      <c r="J158" s="39">
        <v>46140.0</v>
      </c>
      <c r="K158" s="39">
        <v>46043.0</v>
      </c>
      <c r="L158" s="40">
        <v>0.0</v>
      </c>
      <c r="M158" s="40">
        <v>521.2</v>
      </c>
    </row>
    <row r="159" ht="15.75" customHeight="1">
      <c r="A159" s="33" t="s">
        <v>1352</v>
      </c>
      <c r="B159" s="39">
        <v>45996.0</v>
      </c>
      <c r="C159" s="33" t="s">
        <v>178</v>
      </c>
      <c r="D159" s="33" t="s">
        <v>185</v>
      </c>
      <c r="E159" s="33" t="s">
        <v>180</v>
      </c>
      <c r="F159" s="33" t="s">
        <v>181</v>
      </c>
      <c r="G159" s="33" t="s">
        <v>181</v>
      </c>
      <c r="H159" s="33" t="s">
        <v>181</v>
      </c>
      <c r="I159" s="39">
        <v>46214.0</v>
      </c>
      <c r="J159" s="39">
        <v>46131.0</v>
      </c>
      <c r="K159" s="39">
        <v>46131.0</v>
      </c>
      <c r="L159" s="40">
        <v>0.0</v>
      </c>
      <c r="M159" s="40">
        <v>368.32</v>
      </c>
    </row>
    <row r="160" ht="15.75" customHeight="1">
      <c r="A160" s="33" t="s">
        <v>239</v>
      </c>
      <c r="B160" s="39">
        <v>45964.0</v>
      </c>
      <c r="C160" s="33" t="s">
        <v>187</v>
      </c>
      <c r="D160" s="33" t="s">
        <v>200</v>
      </c>
      <c r="E160" s="33" t="s">
        <v>180</v>
      </c>
      <c r="F160" s="33" t="s">
        <v>181</v>
      </c>
      <c r="G160" s="33" t="s">
        <v>189</v>
      </c>
      <c r="H160" s="33" t="s">
        <v>189</v>
      </c>
      <c r="I160" s="39">
        <v>46206.0</v>
      </c>
      <c r="J160" s="33"/>
      <c r="K160" s="33"/>
      <c r="L160" s="40">
        <v>0.0</v>
      </c>
      <c r="M160" s="40">
        <v>1202.0</v>
      </c>
    </row>
    <row r="161" ht="15.75" customHeight="1">
      <c r="A161" s="33" t="s">
        <v>675</v>
      </c>
      <c r="B161" s="39">
        <v>46133.0</v>
      </c>
      <c r="C161" s="33" t="s">
        <v>178</v>
      </c>
      <c r="D161" s="33" t="s">
        <v>237</v>
      </c>
      <c r="E161" s="33" t="s">
        <v>180</v>
      </c>
      <c r="F161" s="33" t="s">
        <v>181</v>
      </c>
      <c r="G161" s="33" t="s">
        <v>181</v>
      </c>
      <c r="H161" s="33" t="s">
        <v>181</v>
      </c>
      <c r="I161" s="39">
        <v>46176.0</v>
      </c>
      <c r="J161" s="39">
        <v>46255.0</v>
      </c>
      <c r="K161" s="39">
        <v>46255.0</v>
      </c>
      <c r="L161" s="40">
        <v>0.0</v>
      </c>
      <c r="M161" s="40">
        <v>2424.54</v>
      </c>
    </row>
    <row r="162" ht="15.75" customHeight="1">
      <c r="A162" s="33" t="s">
        <v>1375</v>
      </c>
      <c r="B162" s="39">
        <v>46262.0</v>
      </c>
      <c r="C162" s="33" t="s">
        <v>202</v>
      </c>
      <c r="D162" s="33" t="s">
        <v>188</v>
      </c>
      <c r="E162" s="33" t="s">
        <v>180</v>
      </c>
      <c r="F162" s="33" t="s">
        <v>181</v>
      </c>
      <c r="G162" s="33" t="s">
        <v>181</v>
      </c>
      <c r="H162" s="33" t="s">
        <v>189</v>
      </c>
      <c r="I162" s="39">
        <v>46197.0</v>
      </c>
      <c r="J162" s="39">
        <v>46246.0</v>
      </c>
      <c r="K162" s="39">
        <v>46246.0</v>
      </c>
      <c r="L162" s="40">
        <v>0.0</v>
      </c>
      <c r="M162" s="40">
        <v>2241.75</v>
      </c>
    </row>
    <row r="163" ht="15.75" customHeight="1">
      <c r="A163" s="33" t="s">
        <v>1383</v>
      </c>
      <c r="B163" s="39">
        <v>46061.0</v>
      </c>
      <c r="C163" s="33" t="s">
        <v>187</v>
      </c>
      <c r="D163" s="33" t="s">
        <v>179</v>
      </c>
      <c r="E163" s="33" t="s">
        <v>222</v>
      </c>
      <c r="F163" s="33" t="s">
        <v>181</v>
      </c>
      <c r="G163" s="33" t="s">
        <v>181</v>
      </c>
      <c r="H163" s="33" t="s">
        <v>181</v>
      </c>
      <c r="I163" s="39">
        <v>46231.0</v>
      </c>
      <c r="J163" s="39">
        <v>46126.0</v>
      </c>
      <c r="K163" s="39">
        <v>46126.0</v>
      </c>
      <c r="L163" s="40">
        <v>22220.31</v>
      </c>
      <c r="M163" s="40">
        <v>2060.67</v>
      </c>
    </row>
    <row r="164" ht="15.75" customHeight="1">
      <c r="A164" s="33" t="s">
        <v>1392</v>
      </c>
      <c r="B164" s="39">
        <v>45906.0</v>
      </c>
      <c r="C164" s="33" t="s">
        <v>184</v>
      </c>
      <c r="D164" s="33" t="s">
        <v>185</v>
      </c>
      <c r="E164" s="33" t="s">
        <v>180</v>
      </c>
      <c r="F164" s="33" t="s">
        <v>181</v>
      </c>
      <c r="G164" s="33" t="s">
        <v>181</v>
      </c>
      <c r="H164" s="33" t="s">
        <v>181</v>
      </c>
      <c r="I164" s="39">
        <v>46258.0</v>
      </c>
      <c r="J164" s="39">
        <v>46253.0</v>
      </c>
      <c r="K164" s="39">
        <v>45830.0</v>
      </c>
      <c r="L164" s="40">
        <v>0.0</v>
      </c>
      <c r="M164" s="40">
        <v>461.67</v>
      </c>
    </row>
    <row r="165" ht="15.75" customHeight="1">
      <c r="A165" s="33" t="s">
        <v>1400</v>
      </c>
      <c r="B165" s="39">
        <v>45904.0</v>
      </c>
      <c r="C165" s="33" t="s">
        <v>184</v>
      </c>
      <c r="D165" s="33" t="s">
        <v>228</v>
      </c>
      <c r="E165" s="33" t="s">
        <v>180</v>
      </c>
      <c r="F165" s="33" t="s">
        <v>181</v>
      </c>
      <c r="G165" s="33" t="s">
        <v>181</v>
      </c>
      <c r="H165" s="33" t="s">
        <v>181</v>
      </c>
      <c r="I165" s="39">
        <v>46265.0</v>
      </c>
      <c r="J165" s="39">
        <v>46169.0</v>
      </c>
      <c r="K165" s="39">
        <v>46169.0</v>
      </c>
      <c r="L165" s="40">
        <v>4888.89</v>
      </c>
      <c r="M165" s="40">
        <v>2882.25</v>
      </c>
    </row>
    <row r="166" ht="15.75" customHeight="1">
      <c r="A166" s="33" t="s">
        <v>1408</v>
      </c>
      <c r="B166" s="39">
        <v>45911.0</v>
      </c>
      <c r="C166" s="33" t="s">
        <v>178</v>
      </c>
      <c r="D166" s="33" t="s">
        <v>194</v>
      </c>
      <c r="E166" s="33" t="s">
        <v>180</v>
      </c>
      <c r="F166" s="33" t="s">
        <v>181</v>
      </c>
      <c r="G166" s="33" t="s">
        <v>181</v>
      </c>
      <c r="H166" s="33" t="s">
        <v>181</v>
      </c>
      <c r="I166" s="39">
        <v>46230.0</v>
      </c>
      <c r="J166" s="39">
        <v>46199.0</v>
      </c>
      <c r="K166" s="39">
        <v>46199.0</v>
      </c>
      <c r="L166" s="40">
        <v>0.0</v>
      </c>
      <c r="M166" s="40">
        <v>1892.99</v>
      </c>
    </row>
    <row r="167" ht="15.75" customHeight="1">
      <c r="A167" s="33" t="s">
        <v>460</v>
      </c>
      <c r="B167" s="39">
        <v>46152.0</v>
      </c>
      <c r="C167" s="33" t="s">
        <v>187</v>
      </c>
      <c r="D167" s="33" t="s">
        <v>194</v>
      </c>
      <c r="E167" s="33" t="s">
        <v>180</v>
      </c>
      <c r="F167" s="33" t="s">
        <v>181</v>
      </c>
      <c r="G167" s="33" t="s">
        <v>181</v>
      </c>
      <c r="H167" s="33" t="s">
        <v>189</v>
      </c>
      <c r="I167" s="39">
        <v>46234.0</v>
      </c>
      <c r="J167" s="39">
        <v>46193.0</v>
      </c>
      <c r="K167" s="39">
        <v>45769.0</v>
      </c>
      <c r="L167" s="40">
        <v>72556.19</v>
      </c>
      <c r="M167" s="40">
        <v>742.59</v>
      </c>
    </row>
    <row r="168" ht="15.75" customHeight="1">
      <c r="A168" s="33" t="s">
        <v>1422</v>
      </c>
      <c r="B168" s="39">
        <v>45852.0</v>
      </c>
      <c r="C168" s="33" t="s">
        <v>187</v>
      </c>
      <c r="D168" s="33" t="s">
        <v>196</v>
      </c>
      <c r="E168" s="33" t="s">
        <v>222</v>
      </c>
      <c r="F168" s="33" t="s">
        <v>181</v>
      </c>
      <c r="G168" s="33" t="s">
        <v>181</v>
      </c>
      <c r="H168" s="33" t="s">
        <v>189</v>
      </c>
      <c r="I168" s="39">
        <v>46095.0</v>
      </c>
      <c r="J168" s="39">
        <v>46251.0</v>
      </c>
      <c r="K168" s="39">
        <v>46226.0</v>
      </c>
      <c r="L168" s="40">
        <v>9800.76</v>
      </c>
      <c r="M168" s="40">
        <v>3059.4</v>
      </c>
    </row>
    <row r="169" ht="15.75" customHeight="1">
      <c r="A169" s="33" t="s">
        <v>852</v>
      </c>
      <c r="B169" s="39">
        <v>45759.0</v>
      </c>
      <c r="C169" s="33" t="s">
        <v>178</v>
      </c>
      <c r="D169" s="33" t="s">
        <v>188</v>
      </c>
      <c r="E169" s="33" t="s">
        <v>180</v>
      </c>
      <c r="F169" s="33" t="s">
        <v>181</v>
      </c>
      <c r="G169" s="33" t="s">
        <v>181</v>
      </c>
      <c r="H169" s="33" t="s">
        <v>181</v>
      </c>
      <c r="I169" s="39">
        <v>46233.0</v>
      </c>
      <c r="J169" s="39">
        <v>46201.0</v>
      </c>
      <c r="K169" s="39">
        <v>45800.0</v>
      </c>
      <c r="L169" s="40">
        <v>1409.36</v>
      </c>
      <c r="M169" s="40">
        <v>662.45</v>
      </c>
    </row>
    <row r="170" ht="15.75" customHeight="1">
      <c r="A170" s="33" t="s">
        <v>1435</v>
      </c>
      <c r="B170" s="39">
        <v>45860.0</v>
      </c>
      <c r="C170" s="33" t="s">
        <v>178</v>
      </c>
      <c r="D170" s="33" t="s">
        <v>185</v>
      </c>
      <c r="E170" s="33" t="s">
        <v>222</v>
      </c>
      <c r="F170" s="33" t="s">
        <v>181</v>
      </c>
      <c r="G170" s="33" t="s">
        <v>189</v>
      </c>
      <c r="H170" s="33" t="s">
        <v>189</v>
      </c>
      <c r="I170" s="39">
        <v>46230.0</v>
      </c>
      <c r="J170" s="33"/>
      <c r="K170" s="33"/>
      <c r="L170" s="40">
        <v>0.0</v>
      </c>
      <c r="M170" s="40">
        <v>2054.67</v>
      </c>
    </row>
    <row r="171" ht="15.75" customHeight="1">
      <c r="A171" s="33" t="s">
        <v>1443</v>
      </c>
      <c r="B171" s="39">
        <v>45671.0</v>
      </c>
      <c r="C171" s="33" t="s">
        <v>178</v>
      </c>
      <c r="D171" s="33" t="s">
        <v>188</v>
      </c>
      <c r="E171" s="33" t="s">
        <v>180</v>
      </c>
      <c r="F171" s="33" t="s">
        <v>181</v>
      </c>
      <c r="G171" s="33" t="s">
        <v>181</v>
      </c>
      <c r="H171" s="33" t="s">
        <v>189</v>
      </c>
      <c r="I171" s="39">
        <v>46186.0</v>
      </c>
      <c r="J171" s="39">
        <v>46037.0</v>
      </c>
      <c r="K171" s="39">
        <v>46037.0</v>
      </c>
      <c r="L171" s="40">
        <v>0.0</v>
      </c>
      <c r="M171" s="40">
        <v>937.76</v>
      </c>
    </row>
    <row r="172" ht="15.75" customHeight="1">
      <c r="A172" s="33" t="s">
        <v>1452</v>
      </c>
      <c r="B172" s="39">
        <v>45722.0</v>
      </c>
      <c r="C172" s="33" t="s">
        <v>184</v>
      </c>
      <c r="D172" s="33" t="s">
        <v>196</v>
      </c>
      <c r="E172" s="33" t="s">
        <v>180</v>
      </c>
      <c r="F172" s="33" t="s">
        <v>181</v>
      </c>
      <c r="G172" s="33" t="s">
        <v>181</v>
      </c>
      <c r="H172" s="33" t="s">
        <v>189</v>
      </c>
      <c r="I172" s="39">
        <v>46242.0</v>
      </c>
      <c r="J172" s="39">
        <v>46218.0</v>
      </c>
      <c r="K172" s="39">
        <v>46218.0</v>
      </c>
      <c r="L172" s="40">
        <v>2111.89</v>
      </c>
      <c r="M172" s="40">
        <v>1302.68</v>
      </c>
    </row>
    <row r="173" ht="15.75" customHeight="1">
      <c r="A173" s="33" t="s">
        <v>551</v>
      </c>
      <c r="B173" s="39">
        <v>45712.0</v>
      </c>
      <c r="C173" s="33" t="s">
        <v>202</v>
      </c>
      <c r="D173" s="33" t="s">
        <v>179</v>
      </c>
      <c r="E173" s="33" t="s">
        <v>180</v>
      </c>
      <c r="F173" s="33" t="s">
        <v>189</v>
      </c>
      <c r="G173" s="33" t="s">
        <v>181</v>
      </c>
      <c r="H173" s="33" t="s">
        <v>189</v>
      </c>
      <c r="I173" s="39">
        <v>46183.0</v>
      </c>
      <c r="J173" s="39">
        <v>46200.0</v>
      </c>
      <c r="K173" s="39">
        <v>45768.0</v>
      </c>
      <c r="L173" s="40">
        <v>0.0</v>
      </c>
      <c r="M173" s="40">
        <v>0.0</v>
      </c>
    </row>
    <row r="174" ht="15.75" customHeight="1">
      <c r="A174" s="33" t="s">
        <v>606</v>
      </c>
      <c r="B174" s="39">
        <v>46126.0</v>
      </c>
      <c r="C174" s="33" t="s">
        <v>184</v>
      </c>
      <c r="D174" s="33" t="s">
        <v>185</v>
      </c>
      <c r="E174" s="33" t="s">
        <v>180</v>
      </c>
      <c r="F174" s="33" t="s">
        <v>181</v>
      </c>
      <c r="G174" s="33" t="s">
        <v>181</v>
      </c>
      <c r="H174" s="33" t="s">
        <v>189</v>
      </c>
      <c r="I174" s="39">
        <v>46196.0</v>
      </c>
      <c r="J174" s="39">
        <v>46264.0</v>
      </c>
      <c r="K174" s="39">
        <v>46264.0</v>
      </c>
      <c r="L174" s="40">
        <v>13766.73</v>
      </c>
      <c r="M174" s="40">
        <v>2213.46</v>
      </c>
    </row>
    <row r="175" ht="15.75" customHeight="1">
      <c r="A175" s="33" t="s">
        <v>1475</v>
      </c>
      <c r="B175" s="39">
        <v>46096.0</v>
      </c>
      <c r="C175" s="33" t="s">
        <v>202</v>
      </c>
      <c r="D175" s="33" t="s">
        <v>188</v>
      </c>
      <c r="E175" s="33" t="s">
        <v>180</v>
      </c>
      <c r="F175" s="33" t="s">
        <v>181</v>
      </c>
      <c r="G175" s="33" t="s">
        <v>181</v>
      </c>
      <c r="H175" s="33" t="s">
        <v>189</v>
      </c>
      <c r="I175" s="39">
        <v>46186.0</v>
      </c>
      <c r="J175" s="39">
        <v>46259.0</v>
      </c>
      <c r="K175" s="39">
        <v>46259.0</v>
      </c>
      <c r="L175" s="40">
        <v>0.0</v>
      </c>
      <c r="M175" s="40">
        <v>1715.56</v>
      </c>
    </row>
    <row r="176" ht="15.75" customHeight="1">
      <c r="A176" s="33" t="s">
        <v>1482</v>
      </c>
      <c r="B176" s="39">
        <v>46080.0</v>
      </c>
      <c r="C176" s="33" t="s">
        <v>184</v>
      </c>
      <c r="D176" s="33" t="s">
        <v>237</v>
      </c>
      <c r="E176" s="33" t="s">
        <v>180</v>
      </c>
      <c r="F176" s="33" t="s">
        <v>181</v>
      </c>
      <c r="G176" s="33" t="s">
        <v>181</v>
      </c>
      <c r="H176" s="33" t="s">
        <v>189</v>
      </c>
      <c r="I176" s="39">
        <v>46192.0</v>
      </c>
      <c r="J176" s="39">
        <v>46180.0</v>
      </c>
      <c r="K176" s="39">
        <v>46115.0</v>
      </c>
      <c r="L176" s="40">
        <v>0.0</v>
      </c>
      <c r="M176" s="40">
        <v>1516.59</v>
      </c>
    </row>
    <row r="177" ht="15.75" customHeight="1">
      <c r="A177" s="33" t="s">
        <v>1490</v>
      </c>
      <c r="B177" s="39">
        <v>45938.0</v>
      </c>
      <c r="C177" s="33" t="s">
        <v>178</v>
      </c>
      <c r="D177" s="33" t="s">
        <v>228</v>
      </c>
      <c r="E177" s="33" t="s">
        <v>180</v>
      </c>
      <c r="F177" s="33" t="s">
        <v>181</v>
      </c>
      <c r="G177" s="33" t="s">
        <v>181</v>
      </c>
      <c r="H177" s="33" t="s">
        <v>189</v>
      </c>
      <c r="I177" s="39">
        <v>46253.0</v>
      </c>
      <c r="J177" s="39">
        <v>46206.0</v>
      </c>
      <c r="K177" s="39">
        <v>46195.0</v>
      </c>
      <c r="L177" s="40">
        <v>35189.3</v>
      </c>
      <c r="M177" s="40">
        <v>788.7</v>
      </c>
    </row>
    <row r="178" ht="15.75" customHeight="1">
      <c r="A178" s="33" t="s">
        <v>1300</v>
      </c>
      <c r="B178" s="39">
        <v>46093.0</v>
      </c>
      <c r="C178" s="33" t="s">
        <v>184</v>
      </c>
      <c r="D178" s="33" t="s">
        <v>200</v>
      </c>
      <c r="E178" s="33" t="s">
        <v>180</v>
      </c>
      <c r="F178" s="33" t="s">
        <v>181</v>
      </c>
      <c r="G178" s="33" t="s">
        <v>181</v>
      </c>
      <c r="H178" s="33" t="s">
        <v>189</v>
      </c>
      <c r="I178" s="39">
        <v>46209.0</v>
      </c>
      <c r="J178" s="39">
        <v>46234.0</v>
      </c>
      <c r="K178" s="39">
        <v>46182.0</v>
      </c>
      <c r="L178" s="40">
        <v>27646.06</v>
      </c>
      <c r="M178" s="40">
        <v>885.14</v>
      </c>
    </row>
    <row r="179" ht="15.75" customHeight="1">
      <c r="A179" s="33" t="s">
        <v>1500</v>
      </c>
      <c r="B179" s="39">
        <v>45755.0</v>
      </c>
      <c r="C179" s="33" t="s">
        <v>178</v>
      </c>
      <c r="D179" s="33" t="s">
        <v>179</v>
      </c>
      <c r="E179" s="33" t="s">
        <v>180</v>
      </c>
      <c r="F179" s="33" t="s">
        <v>189</v>
      </c>
      <c r="G179" s="33" t="s">
        <v>181</v>
      </c>
      <c r="H179" s="33" t="s">
        <v>181</v>
      </c>
      <c r="I179" s="39">
        <v>46228.0</v>
      </c>
      <c r="J179" s="39">
        <v>46204.0</v>
      </c>
      <c r="K179" s="33"/>
      <c r="L179" s="40">
        <v>0.0</v>
      </c>
      <c r="M179" s="40">
        <v>0.0</v>
      </c>
    </row>
    <row r="180" ht="15.75" customHeight="1">
      <c r="A180" s="33" t="s">
        <v>700</v>
      </c>
      <c r="B180" s="39">
        <v>46204.0</v>
      </c>
      <c r="C180" s="33" t="s">
        <v>202</v>
      </c>
      <c r="D180" s="33" t="s">
        <v>185</v>
      </c>
      <c r="E180" s="33" t="s">
        <v>180</v>
      </c>
      <c r="F180" s="33" t="s">
        <v>181</v>
      </c>
      <c r="G180" s="33" t="s">
        <v>181</v>
      </c>
      <c r="H180" s="33" t="s">
        <v>189</v>
      </c>
      <c r="I180" s="39">
        <v>46209.0</v>
      </c>
      <c r="J180" s="39">
        <v>46206.0</v>
      </c>
      <c r="K180" s="39">
        <v>46206.0</v>
      </c>
      <c r="L180" s="40">
        <v>0.0</v>
      </c>
      <c r="M180" s="40">
        <v>928.61</v>
      </c>
    </row>
    <row r="181" ht="15.75" customHeight="1">
      <c r="A181" s="33" t="s">
        <v>1517</v>
      </c>
      <c r="B181" s="39">
        <v>45962.0</v>
      </c>
      <c r="C181" s="33" t="s">
        <v>184</v>
      </c>
      <c r="D181" s="33" t="s">
        <v>179</v>
      </c>
      <c r="E181" s="33" t="s">
        <v>222</v>
      </c>
      <c r="F181" s="33" t="s">
        <v>181</v>
      </c>
      <c r="G181" s="33" t="s">
        <v>181</v>
      </c>
      <c r="H181" s="33" t="s">
        <v>189</v>
      </c>
      <c r="I181" s="39">
        <v>46123.0</v>
      </c>
      <c r="J181" s="39">
        <v>46251.0</v>
      </c>
      <c r="K181" s="39">
        <v>46251.0</v>
      </c>
      <c r="L181" s="40">
        <v>0.0</v>
      </c>
      <c r="M181" s="40">
        <v>3254.19</v>
      </c>
    </row>
    <row r="182" ht="15.75" customHeight="1">
      <c r="A182" s="33" t="s">
        <v>323</v>
      </c>
      <c r="B182" s="39">
        <v>46227.0</v>
      </c>
      <c r="C182" s="33" t="s">
        <v>184</v>
      </c>
      <c r="D182" s="33" t="s">
        <v>194</v>
      </c>
      <c r="E182" s="33" t="s">
        <v>330</v>
      </c>
      <c r="F182" s="33" t="s">
        <v>189</v>
      </c>
      <c r="G182" s="33" t="s">
        <v>181</v>
      </c>
      <c r="H182" s="33" t="s">
        <v>181</v>
      </c>
      <c r="I182" s="39">
        <v>46246.0</v>
      </c>
      <c r="J182" s="39">
        <v>46261.0</v>
      </c>
      <c r="K182" s="39">
        <v>46239.0</v>
      </c>
      <c r="L182" s="40">
        <v>61554.92</v>
      </c>
      <c r="M182" s="40">
        <v>0.0</v>
      </c>
    </row>
    <row r="183" ht="15.75" customHeight="1">
      <c r="A183" s="33" t="s">
        <v>1528</v>
      </c>
      <c r="B183" s="39">
        <v>45750.0</v>
      </c>
      <c r="C183" s="33" t="s">
        <v>184</v>
      </c>
      <c r="D183" s="33" t="s">
        <v>188</v>
      </c>
      <c r="E183" s="33" t="s">
        <v>180</v>
      </c>
      <c r="F183" s="33" t="s">
        <v>181</v>
      </c>
      <c r="G183" s="33" t="s">
        <v>181</v>
      </c>
      <c r="H183" s="33" t="s">
        <v>189</v>
      </c>
      <c r="I183" s="39">
        <v>46237.0</v>
      </c>
      <c r="J183" s="39">
        <v>46202.0</v>
      </c>
      <c r="K183" s="39">
        <v>46056.0</v>
      </c>
      <c r="L183" s="40">
        <v>5594.72</v>
      </c>
      <c r="M183" s="40">
        <v>5658.94</v>
      </c>
    </row>
    <row r="184" ht="15.75" customHeight="1">
      <c r="A184" s="33" t="s">
        <v>1280</v>
      </c>
      <c r="B184" s="39">
        <v>45959.0</v>
      </c>
      <c r="C184" s="33" t="s">
        <v>178</v>
      </c>
      <c r="D184" s="33" t="s">
        <v>228</v>
      </c>
      <c r="E184" s="33" t="s">
        <v>180</v>
      </c>
      <c r="F184" s="33" t="s">
        <v>189</v>
      </c>
      <c r="G184" s="33" t="s">
        <v>181</v>
      </c>
      <c r="H184" s="33" t="s">
        <v>189</v>
      </c>
      <c r="I184" s="39">
        <v>46183.0</v>
      </c>
      <c r="J184" s="39">
        <v>46151.0</v>
      </c>
      <c r="K184" s="39">
        <v>46151.0</v>
      </c>
      <c r="L184" s="40">
        <v>0.0</v>
      </c>
      <c r="M184" s="40">
        <v>0.0</v>
      </c>
    </row>
    <row r="185" ht="15.75" customHeight="1">
      <c r="A185" s="33" t="s">
        <v>1547</v>
      </c>
      <c r="B185" s="39">
        <v>46080.0</v>
      </c>
      <c r="C185" s="33" t="s">
        <v>178</v>
      </c>
      <c r="D185" s="33" t="s">
        <v>194</v>
      </c>
      <c r="E185" s="33" t="s">
        <v>180</v>
      </c>
      <c r="F185" s="33" t="s">
        <v>181</v>
      </c>
      <c r="G185" s="33" t="s">
        <v>181</v>
      </c>
      <c r="H185" s="33" t="s">
        <v>181</v>
      </c>
      <c r="I185" s="39">
        <v>46206.0</v>
      </c>
      <c r="J185" s="39">
        <v>46200.0</v>
      </c>
      <c r="K185" s="39">
        <v>46145.0</v>
      </c>
      <c r="L185" s="40">
        <v>0.0</v>
      </c>
      <c r="M185" s="40">
        <v>798.81</v>
      </c>
    </row>
    <row r="186" ht="15.75" customHeight="1">
      <c r="A186" s="33" t="s">
        <v>600</v>
      </c>
      <c r="B186" s="39">
        <v>45958.0</v>
      </c>
      <c r="C186" s="33" t="s">
        <v>178</v>
      </c>
      <c r="D186" s="33" t="s">
        <v>196</v>
      </c>
      <c r="E186" s="33" t="s">
        <v>330</v>
      </c>
      <c r="F186" s="33" t="s">
        <v>181</v>
      </c>
      <c r="G186" s="33" t="s">
        <v>181</v>
      </c>
      <c r="H186" s="33" t="s">
        <v>189</v>
      </c>
      <c r="I186" s="39">
        <v>46135.0</v>
      </c>
      <c r="J186" s="39">
        <v>46211.0</v>
      </c>
      <c r="K186" s="39">
        <v>45972.0</v>
      </c>
      <c r="L186" s="40">
        <v>0.0</v>
      </c>
      <c r="M186" s="40">
        <v>0.0</v>
      </c>
    </row>
    <row r="187" ht="15.75" customHeight="1">
      <c r="A187" s="33" t="s">
        <v>1562</v>
      </c>
      <c r="B187" s="39">
        <v>45928.0</v>
      </c>
      <c r="C187" s="33" t="s">
        <v>178</v>
      </c>
      <c r="D187" s="33" t="s">
        <v>188</v>
      </c>
      <c r="E187" s="33" t="s">
        <v>180</v>
      </c>
      <c r="F187" s="33" t="s">
        <v>189</v>
      </c>
      <c r="G187" s="33" t="s">
        <v>181</v>
      </c>
      <c r="H187" s="33" t="s">
        <v>189</v>
      </c>
      <c r="I187" s="39">
        <v>46244.0</v>
      </c>
      <c r="J187" s="39">
        <v>46208.0</v>
      </c>
      <c r="K187" s="39">
        <v>46007.0</v>
      </c>
      <c r="L187" s="40">
        <v>0.0</v>
      </c>
      <c r="M187" s="40">
        <v>0.0</v>
      </c>
    </row>
    <row r="188" ht="15.75" customHeight="1">
      <c r="A188" s="33" t="s">
        <v>1158</v>
      </c>
      <c r="B188" s="39">
        <v>45758.0</v>
      </c>
      <c r="C188" s="33" t="s">
        <v>187</v>
      </c>
      <c r="D188" s="33" t="s">
        <v>179</v>
      </c>
      <c r="E188" s="33" t="s">
        <v>180</v>
      </c>
      <c r="F188" s="33" t="s">
        <v>181</v>
      </c>
      <c r="G188" s="33" t="s">
        <v>181</v>
      </c>
      <c r="H188" s="33" t="s">
        <v>189</v>
      </c>
      <c r="I188" s="39">
        <v>46190.0</v>
      </c>
      <c r="J188" s="39">
        <v>46258.0</v>
      </c>
      <c r="K188" s="39">
        <v>46014.0</v>
      </c>
      <c r="L188" s="40">
        <v>5475.43</v>
      </c>
      <c r="M188" s="40">
        <v>709.69</v>
      </c>
    </row>
    <row r="189" ht="15.75" customHeight="1">
      <c r="A189" s="33" t="s">
        <v>719</v>
      </c>
      <c r="B189" s="39">
        <v>45889.0</v>
      </c>
      <c r="C189" s="33" t="s">
        <v>187</v>
      </c>
      <c r="D189" s="33" t="s">
        <v>194</v>
      </c>
      <c r="E189" s="33" t="s">
        <v>180</v>
      </c>
      <c r="F189" s="33" t="s">
        <v>181</v>
      </c>
      <c r="G189" s="33" t="s">
        <v>189</v>
      </c>
      <c r="H189" s="33" t="s">
        <v>181</v>
      </c>
      <c r="I189" s="39">
        <v>46236.0</v>
      </c>
      <c r="J189" s="33"/>
      <c r="K189" s="33"/>
      <c r="L189" s="40">
        <v>20335.34</v>
      </c>
      <c r="M189" s="40">
        <v>2060.52</v>
      </c>
    </row>
    <row r="190" ht="15.75" customHeight="1">
      <c r="A190" s="33" t="s">
        <v>1162</v>
      </c>
      <c r="B190" s="39">
        <v>45802.0</v>
      </c>
      <c r="C190" s="33" t="s">
        <v>184</v>
      </c>
      <c r="D190" s="33" t="s">
        <v>188</v>
      </c>
      <c r="E190" s="33" t="s">
        <v>222</v>
      </c>
      <c r="F190" s="33" t="s">
        <v>189</v>
      </c>
      <c r="G190" s="33" t="s">
        <v>181</v>
      </c>
      <c r="H190" s="33" t="s">
        <v>181</v>
      </c>
      <c r="I190" s="39">
        <v>46166.0</v>
      </c>
      <c r="J190" s="39">
        <v>46240.0</v>
      </c>
      <c r="K190" s="39">
        <v>46240.0</v>
      </c>
      <c r="L190" s="40">
        <v>23597.79</v>
      </c>
      <c r="M190" s="40">
        <v>0.0</v>
      </c>
    </row>
    <row r="191" ht="15.75" customHeight="1">
      <c r="A191" s="33" t="s">
        <v>1416</v>
      </c>
      <c r="B191" s="39">
        <v>45841.0</v>
      </c>
      <c r="C191" s="33" t="s">
        <v>184</v>
      </c>
      <c r="D191" s="33" t="s">
        <v>188</v>
      </c>
      <c r="E191" s="33" t="s">
        <v>180</v>
      </c>
      <c r="F191" s="33" t="s">
        <v>181</v>
      </c>
      <c r="G191" s="33" t="s">
        <v>181</v>
      </c>
      <c r="H191" s="33" t="s">
        <v>189</v>
      </c>
      <c r="I191" s="39">
        <v>46188.0</v>
      </c>
      <c r="J191" s="39">
        <v>46226.0</v>
      </c>
      <c r="K191" s="39">
        <v>46226.0</v>
      </c>
      <c r="L191" s="40">
        <v>0.0</v>
      </c>
      <c r="M191" s="40">
        <v>683.05</v>
      </c>
    </row>
    <row r="192" ht="15.75" customHeight="1">
      <c r="A192" s="33" t="s">
        <v>880</v>
      </c>
      <c r="B192" s="39">
        <v>46073.0</v>
      </c>
      <c r="C192" s="33" t="s">
        <v>187</v>
      </c>
      <c r="D192" s="33" t="s">
        <v>188</v>
      </c>
      <c r="E192" s="33" t="s">
        <v>180</v>
      </c>
      <c r="F192" s="33" t="s">
        <v>181</v>
      </c>
      <c r="G192" s="33" t="s">
        <v>181</v>
      </c>
      <c r="H192" s="33" t="s">
        <v>181</v>
      </c>
      <c r="I192" s="39">
        <v>46234.0</v>
      </c>
      <c r="J192" s="39">
        <v>46223.0</v>
      </c>
      <c r="K192" s="39">
        <v>46223.0</v>
      </c>
      <c r="L192" s="40">
        <v>53146.78</v>
      </c>
      <c r="M192" s="40">
        <v>3479.1</v>
      </c>
    </row>
    <row r="193" ht="15.75" customHeight="1">
      <c r="A193" s="33" t="s">
        <v>1600</v>
      </c>
      <c r="B193" s="39">
        <v>46040.0</v>
      </c>
      <c r="C193" s="33" t="s">
        <v>184</v>
      </c>
      <c r="D193" s="33" t="s">
        <v>228</v>
      </c>
      <c r="E193" s="33" t="s">
        <v>180</v>
      </c>
      <c r="F193" s="33" t="s">
        <v>181</v>
      </c>
      <c r="G193" s="33" t="s">
        <v>189</v>
      </c>
      <c r="H193" s="33" t="s">
        <v>181</v>
      </c>
      <c r="I193" s="39">
        <v>46243.0</v>
      </c>
      <c r="J193" s="33"/>
      <c r="K193" s="33"/>
      <c r="L193" s="40">
        <v>0.0</v>
      </c>
      <c r="M193" s="40">
        <v>2883.46</v>
      </c>
    </row>
    <row r="194" ht="15.75" customHeight="1">
      <c r="A194" s="33" t="s">
        <v>711</v>
      </c>
      <c r="B194" s="39">
        <v>46026.0</v>
      </c>
      <c r="C194" s="33" t="s">
        <v>178</v>
      </c>
      <c r="D194" s="33" t="s">
        <v>196</v>
      </c>
      <c r="E194" s="33" t="s">
        <v>180</v>
      </c>
      <c r="F194" s="33" t="s">
        <v>181</v>
      </c>
      <c r="G194" s="33" t="s">
        <v>181</v>
      </c>
      <c r="H194" s="33" t="s">
        <v>181</v>
      </c>
      <c r="I194" s="39">
        <v>46183.0</v>
      </c>
      <c r="J194" s="39">
        <v>46226.0</v>
      </c>
      <c r="K194" s="39">
        <v>45750.0</v>
      </c>
      <c r="L194" s="40">
        <v>0.0</v>
      </c>
      <c r="M194" s="40">
        <v>3342.5</v>
      </c>
    </row>
    <row r="195" ht="15.75" customHeight="1">
      <c r="A195" s="33" t="s">
        <v>1610</v>
      </c>
      <c r="B195" s="39">
        <v>45877.0</v>
      </c>
      <c r="C195" s="33" t="s">
        <v>178</v>
      </c>
      <c r="D195" s="33" t="s">
        <v>179</v>
      </c>
      <c r="E195" s="33" t="s">
        <v>222</v>
      </c>
      <c r="F195" s="33" t="s">
        <v>181</v>
      </c>
      <c r="G195" s="33" t="s">
        <v>181</v>
      </c>
      <c r="H195" s="33" t="s">
        <v>181</v>
      </c>
      <c r="I195" s="39">
        <v>46091.0</v>
      </c>
      <c r="J195" s="39">
        <v>46242.0</v>
      </c>
      <c r="K195" s="39">
        <v>46215.0</v>
      </c>
      <c r="L195" s="40">
        <v>2348.99</v>
      </c>
      <c r="M195" s="40">
        <v>1114.97</v>
      </c>
    </row>
    <row r="196" ht="15.75" customHeight="1">
      <c r="A196" s="33" t="s">
        <v>1618</v>
      </c>
      <c r="B196" s="39">
        <v>46240.0</v>
      </c>
      <c r="C196" s="33" t="s">
        <v>187</v>
      </c>
      <c r="D196" s="33" t="s">
        <v>196</v>
      </c>
      <c r="E196" s="33" t="s">
        <v>180</v>
      </c>
      <c r="F196" s="33" t="s">
        <v>181</v>
      </c>
      <c r="G196" s="33" t="s">
        <v>189</v>
      </c>
      <c r="H196" s="33" t="s">
        <v>189</v>
      </c>
      <c r="I196" s="39">
        <v>46238.0</v>
      </c>
      <c r="J196" s="33"/>
      <c r="K196" s="33"/>
      <c r="L196" s="40">
        <v>0.0</v>
      </c>
      <c r="M196" s="40">
        <v>817.37</v>
      </c>
    </row>
    <row r="197" ht="15.75" customHeight="1">
      <c r="A197" s="33" t="s">
        <v>362</v>
      </c>
      <c r="B197" s="39">
        <v>45711.0</v>
      </c>
      <c r="C197" s="33" t="s">
        <v>184</v>
      </c>
      <c r="D197" s="33" t="s">
        <v>228</v>
      </c>
      <c r="E197" s="33" t="s">
        <v>180</v>
      </c>
      <c r="F197" s="33" t="s">
        <v>181</v>
      </c>
      <c r="G197" s="33" t="s">
        <v>181</v>
      </c>
      <c r="H197" s="33" t="s">
        <v>189</v>
      </c>
      <c r="I197" s="39">
        <v>46238.0</v>
      </c>
      <c r="J197" s="39">
        <v>46187.0</v>
      </c>
      <c r="K197" s="39">
        <v>46187.0</v>
      </c>
      <c r="L197" s="40">
        <v>0.0</v>
      </c>
      <c r="M197" s="40">
        <v>3249.52</v>
      </c>
    </row>
    <row r="198" ht="15.75" customHeight="1">
      <c r="A198" s="33" t="s">
        <v>1629</v>
      </c>
      <c r="B198" s="39">
        <v>45865.0</v>
      </c>
      <c r="C198" s="33" t="s">
        <v>178</v>
      </c>
      <c r="D198" s="33" t="s">
        <v>200</v>
      </c>
      <c r="E198" s="33" t="s">
        <v>180</v>
      </c>
      <c r="F198" s="33" t="s">
        <v>181</v>
      </c>
      <c r="G198" s="33" t="s">
        <v>189</v>
      </c>
      <c r="H198" s="33" t="s">
        <v>189</v>
      </c>
      <c r="I198" s="39">
        <v>46245.0</v>
      </c>
      <c r="J198" s="33"/>
      <c r="K198" s="33"/>
      <c r="L198" s="40">
        <v>12101.31</v>
      </c>
      <c r="M198" s="40">
        <v>1462.66</v>
      </c>
    </row>
    <row r="199" ht="15.75" customHeight="1">
      <c r="A199" s="33" t="s">
        <v>1157</v>
      </c>
      <c r="B199" s="39">
        <v>45729.0</v>
      </c>
      <c r="C199" s="33" t="s">
        <v>202</v>
      </c>
      <c r="D199" s="33" t="s">
        <v>200</v>
      </c>
      <c r="E199" s="33" t="s">
        <v>180</v>
      </c>
      <c r="F199" s="33" t="s">
        <v>181</v>
      </c>
      <c r="G199" s="33" t="s">
        <v>181</v>
      </c>
      <c r="H199" s="33" t="s">
        <v>189</v>
      </c>
      <c r="I199" s="39">
        <v>46263.0</v>
      </c>
      <c r="J199" s="39">
        <v>46114.0</v>
      </c>
      <c r="K199" s="39">
        <v>45759.0</v>
      </c>
      <c r="L199" s="40">
        <v>0.0</v>
      </c>
      <c r="M199" s="40">
        <v>1476.28</v>
      </c>
    </row>
    <row r="200" ht="15.75" customHeight="1">
      <c r="A200" s="33" t="s">
        <v>1640</v>
      </c>
      <c r="B200" s="39">
        <v>45863.0</v>
      </c>
      <c r="C200" s="33" t="s">
        <v>187</v>
      </c>
      <c r="D200" s="33" t="s">
        <v>185</v>
      </c>
      <c r="E200" s="33" t="s">
        <v>180</v>
      </c>
      <c r="F200" s="33" t="s">
        <v>181</v>
      </c>
      <c r="G200" s="33" t="s">
        <v>181</v>
      </c>
      <c r="H200" s="33" t="s">
        <v>189</v>
      </c>
      <c r="I200" s="39">
        <v>46216.0</v>
      </c>
      <c r="J200" s="39">
        <v>46257.0</v>
      </c>
      <c r="K200" s="39">
        <v>46107.0</v>
      </c>
      <c r="L200" s="40">
        <v>22614.46</v>
      </c>
      <c r="M200" s="40">
        <v>1100.78</v>
      </c>
    </row>
    <row r="201" ht="15.75" customHeight="1">
      <c r="A201" s="33" t="s">
        <v>1649</v>
      </c>
      <c r="B201" s="39">
        <v>46241.0</v>
      </c>
      <c r="C201" s="33" t="s">
        <v>178</v>
      </c>
      <c r="D201" s="33" t="s">
        <v>188</v>
      </c>
      <c r="E201" s="33" t="s">
        <v>180</v>
      </c>
      <c r="F201" s="33" t="s">
        <v>181</v>
      </c>
      <c r="G201" s="33" t="s">
        <v>181</v>
      </c>
      <c r="H201" s="33" t="s">
        <v>181</v>
      </c>
      <c r="I201" s="39">
        <v>46243.0</v>
      </c>
      <c r="J201" s="39">
        <v>46071.0</v>
      </c>
      <c r="K201" s="39">
        <v>46057.0</v>
      </c>
      <c r="L201" s="40">
        <v>12103.71</v>
      </c>
      <c r="M201" s="40">
        <v>1381.6</v>
      </c>
    </row>
    <row r="202" ht="15.75" customHeight="1">
      <c r="A202" s="33" t="s">
        <v>1656</v>
      </c>
      <c r="B202" s="39">
        <v>45880.0</v>
      </c>
      <c r="C202" s="33" t="s">
        <v>178</v>
      </c>
      <c r="D202" s="33" t="s">
        <v>228</v>
      </c>
      <c r="E202" s="33" t="s">
        <v>330</v>
      </c>
      <c r="F202" s="33" t="s">
        <v>181</v>
      </c>
      <c r="G202" s="33" t="s">
        <v>181</v>
      </c>
      <c r="H202" s="33" t="s">
        <v>181</v>
      </c>
      <c r="I202" s="39">
        <v>46049.0</v>
      </c>
      <c r="J202" s="39">
        <v>46262.0</v>
      </c>
      <c r="K202" s="39">
        <v>46061.0</v>
      </c>
      <c r="L202" s="40">
        <v>0.0</v>
      </c>
      <c r="M202" s="40">
        <v>0.0</v>
      </c>
    </row>
    <row r="203" ht="15.75" customHeight="1">
      <c r="A203" s="33" t="s">
        <v>996</v>
      </c>
      <c r="B203" s="39">
        <v>46209.0</v>
      </c>
      <c r="C203" s="33" t="s">
        <v>184</v>
      </c>
      <c r="D203" s="33" t="s">
        <v>185</v>
      </c>
      <c r="E203" s="33" t="s">
        <v>180</v>
      </c>
      <c r="F203" s="33" t="s">
        <v>181</v>
      </c>
      <c r="G203" s="33" t="s">
        <v>189</v>
      </c>
      <c r="H203" s="33" t="s">
        <v>181</v>
      </c>
      <c r="I203" s="39">
        <v>46250.0</v>
      </c>
      <c r="J203" s="33"/>
      <c r="K203" s="33"/>
      <c r="L203" s="40">
        <v>0.0</v>
      </c>
      <c r="M203" s="40">
        <v>1014.92</v>
      </c>
    </row>
    <row r="204" ht="15.75" customHeight="1">
      <c r="A204" s="33" t="s">
        <v>1674</v>
      </c>
      <c r="B204" s="39">
        <v>45958.0</v>
      </c>
      <c r="C204" s="33" t="s">
        <v>187</v>
      </c>
      <c r="D204" s="33" t="s">
        <v>185</v>
      </c>
      <c r="E204" s="33" t="s">
        <v>180</v>
      </c>
      <c r="F204" s="33" t="s">
        <v>189</v>
      </c>
      <c r="G204" s="33" t="s">
        <v>181</v>
      </c>
      <c r="H204" s="33" t="s">
        <v>181</v>
      </c>
      <c r="I204" s="39">
        <v>46208.0</v>
      </c>
      <c r="J204" s="39">
        <v>46020.0</v>
      </c>
      <c r="K204" s="39">
        <v>46020.0</v>
      </c>
      <c r="L204" s="40">
        <v>12906.77</v>
      </c>
      <c r="M204" s="40">
        <v>0.0</v>
      </c>
    </row>
    <row r="205" ht="15.75" customHeight="1">
      <c r="A205" s="33" t="s">
        <v>723</v>
      </c>
      <c r="B205" s="39">
        <v>46082.0</v>
      </c>
      <c r="C205" s="33" t="s">
        <v>178</v>
      </c>
      <c r="D205" s="33" t="s">
        <v>228</v>
      </c>
      <c r="E205" s="33" t="s">
        <v>180</v>
      </c>
      <c r="F205" s="33" t="s">
        <v>181</v>
      </c>
      <c r="G205" s="33" t="s">
        <v>189</v>
      </c>
      <c r="H205" s="33" t="s">
        <v>181</v>
      </c>
      <c r="I205" s="39">
        <v>46220.0</v>
      </c>
      <c r="J205" s="33"/>
      <c r="K205" s="33"/>
      <c r="L205" s="40">
        <v>40758.56</v>
      </c>
      <c r="M205" s="40">
        <v>996.3</v>
      </c>
    </row>
    <row r="206" ht="15.75" customHeight="1">
      <c r="A206" s="33" t="s">
        <v>1235</v>
      </c>
      <c r="B206" s="39">
        <v>45935.0</v>
      </c>
      <c r="C206" s="33" t="s">
        <v>184</v>
      </c>
      <c r="D206" s="33" t="s">
        <v>200</v>
      </c>
      <c r="E206" s="33" t="s">
        <v>180</v>
      </c>
      <c r="F206" s="33" t="s">
        <v>181</v>
      </c>
      <c r="G206" s="33" t="s">
        <v>181</v>
      </c>
      <c r="H206" s="33" t="s">
        <v>181</v>
      </c>
      <c r="I206" s="39">
        <v>46210.0</v>
      </c>
      <c r="J206" s="39">
        <v>46233.0</v>
      </c>
      <c r="K206" s="33"/>
      <c r="L206" s="40">
        <v>25494.93</v>
      </c>
      <c r="M206" s="40">
        <v>835.0</v>
      </c>
    </row>
    <row r="207" ht="15.75" customHeight="1">
      <c r="A207" s="33" t="s">
        <v>1251</v>
      </c>
      <c r="B207" s="39">
        <v>45819.0</v>
      </c>
      <c r="C207" s="33" t="s">
        <v>178</v>
      </c>
      <c r="D207" s="33" t="s">
        <v>185</v>
      </c>
      <c r="E207" s="33" t="s">
        <v>180</v>
      </c>
      <c r="F207" s="33" t="s">
        <v>189</v>
      </c>
      <c r="G207" s="33" t="s">
        <v>181</v>
      </c>
      <c r="H207" s="33" t="s">
        <v>181</v>
      </c>
      <c r="I207" s="39">
        <v>46255.0</v>
      </c>
      <c r="J207" s="39">
        <v>46257.0</v>
      </c>
      <c r="K207" s="39">
        <v>45764.0</v>
      </c>
      <c r="L207" s="40">
        <v>18925.84</v>
      </c>
      <c r="M207" s="40">
        <v>0.0</v>
      </c>
    </row>
    <row r="208" ht="15.75" customHeight="1">
      <c r="A208" s="33" t="s">
        <v>920</v>
      </c>
      <c r="B208" s="39">
        <v>46121.0</v>
      </c>
      <c r="C208" s="33" t="s">
        <v>184</v>
      </c>
      <c r="D208" s="33" t="s">
        <v>228</v>
      </c>
      <c r="E208" s="33" t="s">
        <v>180</v>
      </c>
      <c r="F208" s="33" t="s">
        <v>181</v>
      </c>
      <c r="G208" s="33" t="s">
        <v>189</v>
      </c>
      <c r="H208" s="33" t="s">
        <v>189</v>
      </c>
      <c r="I208" s="39">
        <v>46224.0</v>
      </c>
      <c r="J208" s="33"/>
      <c r="K208" s="33"/>
      <c r="L208" s="40">
        <v>53806.37</v>
      </c>
      <c r="M208" s="40">
        <v>1368.68</v>
      </c>
    </row>
    <row r="209" ht="15.75" customHeight="1">
      <c r="A209" s="33" t="s">
        <v>1127</v>
      </c>
      <c r="B209" s="39">
        <v>46246.0</v>
      </c>
      <c r="C209" s="33" t="s">
        <v>178</v>
      </c>
      <c r="D209" s="33" t="s">
        <v>179</v>
      </c>
      <c r="E209" s="33" t="s">
        <v>180</v>
      </c>
      <c r="F209" s="33" t="s">
        <v>181</v>
      </c>
      <c r="G209" s="33" t="s">
        <v>181</v>
      </c>
      <c r="H209" s="33" t="s">
        <v>189</v>
      </c>
      <c r="I209" s="39">
        <v>46209.0</v>
      </c>
      <c r="J209" s="39">
        <v>46162.0</v>
      </c>
      <c r="K209" s="39">
        <v>46162.0</v>
      </c>
      <c r="L209" s="40">
        <v>0.0</v>
      </c>
      <c r="M209" s="40">
        <v>3441.61</v>
      </c>
    </row>
    <row r="210" ht="15.75" customHeight="1">
      <c r="A210" s="33" t="s">
        <v>808</v>
      </c>
      <c r="B210" s="39">
        <v>45817.0</v>
      </c>
      <c r="C210" s="33" t="s">
        <v>202</v>
      </c>
      <c r="D210" s="33" t="s">
        <v>188</v>
      </c>
      <c r="E210" s="33" t="s">
        <v>180</v>
      </c>
      <c r="F210" s="33" t="s">
        <v>181</v>
      </c>
      <c r="G210" s="33" t="s">
        <v>189</v>
      </c>
      <c r="H210" s="33" t="s">
        <v>189</v>
      </c>
      <c r="I210" s="39">
        <v>46235.0</v>
      </c>
      <c r="J210" s="33"/>
      <c r="K210" s="33"/>
      <c r="L210" s="40">
        <v>6569.95</v>
      </c>
      <c r="M210" s="40">
        <v>824.12</v>
      </c>
    </row>
    <row r="211" ht="15.75" customHeight="1">
      <c r="A211" s="33" t="s">
        <v>1200</v>
      </c>
      <c r="B211" s="39">
        <v>46130.0</v>
      </c>
      <c r="C211" s="33" t="s">
        <v>178</v>
      </c>
      <c r="D211" s="33" t="s">
        <v>196</v>
      </c>
      <c r="E211" s="33" t="s">
        <v>180</v>
      </c>
      <c r="F211" s="33" t="s">
        <v>181</v>
      </c>
      <c r="G211" s="33" t="s">
        <v>181</v>
      </c>
      <c r="H211" s="33" t="s">
        <v>189</v>
      </c>
      <c r="I211" s="39">
        <v>46187.0</v>
      </c>
      <c r="J211" s="39">
        <v>46255.0</v>
      </c>
      <c r="K211" s="39">
        <v>46255.0</v>
      </c>
      <c r="L211" s="40">
        <v>26226.22</v>
      </c>
      <c r="M211" s="40">
        <v>947.91</v>
      </c>
    </row>
    <row r="212" ht="15.75" customHeight="1">
      <c r="A212" s="33" t="s">
        <v>1730</v>
      </c>
      <c r="B212" s="39">
        <v>45816.0</v>
      </c>
      <c r="C212" s="33" t="s">
        <v>178</v>
      </c>
      <c r="D212" s="33" t="s">
        <v>194</v>
      </c>
      <c r="E212" s="33" t="s">
        <v>180</v>
      </c>
      <c r="F212" s="33" t="s">
        <v>181</v>
      </c>
      <c r="G212" s="33" t="s">
        <v>189</v>
      </c>
      <c r="H212" s="33" t="s">
        <v>189</v>
      </c>
      <c r="I212" s="39">
        <v>46218.0</v>
      </c>
      <c r="J212" s="33"/>
      <c r="K212" s="33"/>
      <c r="L212" s="40">
        <v>3225.13</v>
      </c>
      <c r="M212" s="40">
        <v>4395.75</v>
      </c>
    </row>
    <row r="213" ht="15.75" customHeight="1">
      <c r="A213" s="33" t="s">
        <v>992</v>
      </c>
      <c r="B213" s="39">
        <v>46093.0</v>
      </c>
      <c r="C213" s="33" t="s">
        <v>184</v>
      </c>
      <c r="D213" s="33" t="s">
        <v>194</v>
      </c>
      <c r="E213" s="33" t="s">
        <v>180</v>
      </c>
      <c r="F213" s="33" t="s">
        <v>181</v>
      </c>
      <c r="G213" s="33" t="s">
        <v>181</v>
      </c>
      <c r="H213" s="33" t="s">
        <v>181</v>
      </c>
      <c r="I213" s="39">
        <v>46233.0</v>
      </c>
      <c r="J213" s="39">
        <v>46225.0</v>
      </c>
      <c r="K213" s="39">
        <v>46204.0</v>
      </c>
      <c r="L213" s="40">
        <v>0.0</v>
      </c>
      <c r="M213" s="40">
        <v>930.67</v>
      </c>
    </row>
    <row r="214" ht="15.75" customHeight="1">
      <c r="A214" s="33" t="s">
        <v>1743</v>
      </c>
      <c r="B214" s="39">
        <v>46136.0</v>
      </c>
      <c r="C214" s="33" t="s">
        <v>178</v>
      </c>
      <c r="D214" s="33" t="s">
        <v>237</v>
      </c>
      <c r="E214" s="33" t="s">
        <v>180</v>
      </c>
      <c r="F214" s="33" t="s">
        <v>181</v>
      </c>
      <c r="G214" s="33" t="s">
        <v>181</v>
      </c>
      <c r="H214" s="33" t="s">
        <v>189</v>
      </c>
      <c r="I214" s="39">
        <v>46263.0</v>
      </c>
      <c r="J214" s="39">
        <v>46201.0</v>
      </c>
      <c r="K214" s="39">
        <v>46201.0</v>
      </c>
      <c r="L214" s="40">
        <v>0.0</v>
      </c>
      <c r="M214" s="40">
        <v>1620.58</v>
      </c>
    </row>
    <row r="215" ht="15.75" customHeight="1">
      <c r="A215" s="33" t="s">
        <v>1294</v>
      </c>
      <c r="B215" s="39">
        <v>45930.0</v>
      </c>
      <c r="C215" s="33" t="s">
        <v>178</v>
      </c>
      <c r="D215" s="33" t="s">
        <v>188</v>
      </c>
      <c r="E215" s="33" t="s">
        <v>222</v>
      </c>
      <c r="F215" s="33" t="s">
        <v>181</v>
      </c>
      <c r="G215" s="33" t="s">
        <v>181</v>
      </c>
      <c r="H215" s="33" t="s">
        <v>181</v>
      </c>
      <c r="I215" s="39">
        <v>46209.0</v>
      </c>
      <c r="J215" s="39">
        <v>46237.0</v>
      </c>
      <c r="K215" s="39">
        <v>46237.0</v>
      </c>
      <c r="L215" s="40">
        <v>2717.44</v>
      </c>
      <c r="M215" s="40">
        <v>4967.03</v>
      </c>
    </row>
    <row r="216" ht="15.75" customHeight="1">
      <c r="A216" s="33" t="s">
        <v>1087</v>
      </c>
      <c r="B216" s="39">
        <v>46105.0</v>
      </c>
      <c r="C216" s="33" t="s">
        <v>178</v>
      </c>
      <c r="D216" s="33" t="s">
        <v>237</v>
      </c>
      <c r="E216" s="33" t="s">
        <v>180</v>
      </c>
      <c r="F216" s="33" t="s">
        <v>181</v>
      </c>
      <c r="G216" s="33" t="s">
        <v>181</v>
      </c>
      <c r="H216" s="33" t="s">
        <v>189</v>
      </c>
      <c r="I216" s="39">
        <v>46223.0</v>
      </c>
      <c r="J216" s="39">
        <v>46255.0</v>
      </c>
      <c r="K216" s="39">
        <v>45875.0</v>
      </c>
      <c r="L216" s="40">
        <v>0.0</v>
      </c>
      <c r="M216" s="40">
        <v>1395.81</v>
      </c>
    </row>
    <row r="217" ht="15.75" customHeight="1">
      <c r="A217" s="33" t="s">
        <v>1065</v>
      </c>
      <c r="B217" s="39">
        <v>45823.0</v>
      </c>
      <c r="C217" s="33" t="s">
        <v>187</v>
      </c>
      <c r="D217" s="33" t="s">
        <v>237</v>
      </c>
      <c r="E217" s="33" t="s">
        <v>180</v>
      </c>
      <c r="F217" s="33" t="s">
        <v>181</v>
      </c>
      <c r="G217" s="33" t="s">
        <v>181</v>
      </c>
      <c r="H217" s="33" t="s">
        <v>189</v>
      </c>
      <c r="I217" s="39">
        <v>46229.0</v>
      </c>
      <c r="J217" s="39">
        <v>46241.0</v>
      </c>
      <c r="K217" s="39">
        <v>46241.0</v>
      </c>
      <c r="L217" s="40">
        <v>0.0</v>
      </c>
      <c r="M217" s="40">
        <v>5988.34</v>
      </c>
    </row>
    <row r="218" ht="15.75" customHeight="1">
      <c r="A218" s="33" t="s">
        <v>464</v>
      </c>
      <c r="B218" s="39">
        <v>45706.0</v>
      </c>
      <c r="C218" s="33" t="s">
        <v>184</v>
      </c>
      <c r="D218" s="33" t="s">
        <v>228</v>
      </c>
      <c r="E218" s="33" t="s">
        <v>180</v>
      </c>
      <c r="F218" s="33" t="s">
        <v>181</v>
      </c>
      <c r="G218" s="33" t="s">
        <v>181</v>
      </c>
      <c r="H218" s="33" t="s">
        <v>189</v>
      </c>
      <c r="I218" s="39">
        <v>46187.0</v>
      </c>
      <c r="J218" s="39">
        <v>46240.0</v>
      </c>
      <c r="K218" s="39">
        <v>46240.0</v>
      </c>
      <c r="L218" s="40">
        <v>0.0</v>
      </c>
      <c r="M218" s="40">
        <v>784.09</v>
      </c>
    </row>
    <row r="219" ht="15.75" customHeight="1">
      <c r="A219" s="33" t="s">
        <v>1776</v>
      </c>
      <c r="B219" s="39">
        <v>45716.0</v>
      </c>
      <c r="C219" s="33" t="s">
        <v>184</v>
      </c>
      <c r="D219" s="33" t="s">
        <v>179</v>
      </c>
      <c r="E219" s="33" t="s">
        <v>180</v>
      </c>
      <c r="F219" s="33" t="s">
        <v>181</v>
      </c>
      <c r="G219" s="33" t="s">
        <v>189</v>
      </c>
      <c r="H219" s="33" t="s">
        <v>181</v>
      </c>
      <c r="I219" s="39">
        <v>46195.0</v>
      </c>
      <c r="J219" s="33"/>
      <c r="K219" s="33"/>
      <c r="L219" s="40">
        <v>0.0</v>
      </c>
      <c r="M219" s="40">
        <v>5777.89</v>
      </c>
    </row>
    <row r="220" ht="15.75" customHeight="1">
      <c r="A220" s="33" t="s">
        <v>518</v>
      </c>
      <c r="B220" s="39">
        <v>45929.0</v>
      </c>
      <c r="C220" s="33" t="s">
        <v>178</v>
      </c>
      <c r="D220" s="33" t="s">
        <v>185</v>
      </c>
      <c r="E220" s="33" t="s">
        <v>180</v>
      </c>
      <c r="F220" s="33" t="s">
        <v>181</v>
      </c>
      <c r="G220" s="33" t="s">
        <v>181</v>
      </c>
      <c r="H220" s="33" t="s">
        <v>189</v>
      </c>
      <c r="I220" s="39">
        <v>46251.0</v>
      </c>
      <c r="J220" s="39">
        <v>46221.0</v>
      </c>
      <c r="K220" s="39">
        <v>45917.0</v>
      </c>
      <c r="L220" s="40">
        <v>0.0</v>
      </c>
      <c r="M220" s="40">
        <v>1352.86</v>
      </c>
    </row>
    <row r="221" ht="15.75" customHeight="1">
      <c r="A221" s="33" t="s">
        <v>1785</v>
      </c>
      <c r="B221" s="39">
        <v>46205.0</v>
      </c>
      <c r="C221" s="33" t="s">
        <v>178</v>
      </c>
      <c r="D221" s="33" t="s">
        <v>237</v>
      </c>
      <c r="E221" s="33" t="s">
        <v>180</v>
      </c>
      <c r="F221" s="33" t="s">
        <v>181</v>
      </c>
      <c r="G221" s="33" t="s">
        <v>189</v>
      </c>
      <c r="H221" s="33" t="s">
        <v>189</v>
      </c>
      <c r="I221" s="39">
        <v>46212.0</v>
      </c>
      <c r="J221" s="33"/>
      <c r="K221" s="33"/>
      <c r="L221" s="40">
        <v>0.0</v>
      </c>
      <c r="M221" s="40">
        <v>202.11</v>
      </c>
    </row>
    <row r="222" ht="15.75" customHeight="1">
      <c r="A222" s="33" t="s">
        <v>1792</v>
      </c>
      <c r="B222" s="39">
        <v>45735.0</v>
      </c>
      <c r="C222" s="33" t="s">
        <v>178</v>
      </c>
      <c r="D222" s="33" t="s">
        <v>196</v>
      </c>
      <c r="E222" s="33" t="s">
        <v>180</v>
      </c>
      <c r="F222" s="33" t="s">
        <v>181</v>
      </c>
      <c r="G222" s="33" t="s">
        <v>189</v>
      </c>
      <c r="H222" s="33" t="s">
        <v>189</v>
      </c>
      <c r="I222" s="39">
        <v>46225.0</v>
      </c>
      <c r="J222" s="33"/>
      <c r="K222" s="33"/>
      <c r="L222" s="40">
        <v>19738.19</v>
      </c>
      <c r="M222" s="40">
        <v>286.69</v>
      </c>
    </row>
    <row r="223" ht="15.75" customHeight="1">
      <c r="A223" s="33" t="s">
        <v>1799</v>
      </c>
      <c r="B223" s="39">
        <v>45934.0</v>
      </c>
      <c r="C223" s="33" t="s">
        <v>202</v>
      </c>
      <c r="D223" s="33" t="s">
        <v>185</v>
      </c>
      <c r="E223" s="33" t="s">
        <v>180</v>
      </c>
      <c r="F223" s="33" t="s">
        <v>181</v>
      </c>
      <c r="G223" s="33" t="s">
        <v>181</v>
      </c>
      <c r="H223" s="33" t="s">
        <v>189</v>
      </c>
      <c r="I223" s="39">
        <v>46256.0</v>
      </c>
      <c r="J223" s="39">
        <v>46262.0</v>
      </c>
      <c r="K223" s="39">
        <v>46262.0</v>
      </c>
      <c r="L223" s="40">
        <v>0.0</v>
      </c>
      <c r="M223" s="40">
        <v>1124.87</v>
      </c>
    </row>
    <row r="224" ht="15.75" customHeight="1">
      <c r="A224" s="33" t="s">
        <v>1805</v>
      </c>
      <c r="B224" s="39">
        <v>46085.0</v>
      </c>
      <c r="C224" s="33" t="s">
        <v>184</v>
      </c>
      <c r="D224" s="33" t="s">
        <v>194</v>
      </c>
      <c r="E224" s="33" t="s">
        <v>180</v>
      </c>
      <c r="F224" s="33" t="s">
        <v>181</v>
      </c>
      <c r="G224" s="33" t="s">
        <v>181</v>
      </c>
      <c r="H224" s="33" t="s">
        <v>189</v>
      </c>
      <c r="I224" s="39">
        <v>46206.0</v>
      </c>
      <c r="J224" s="39">
        <v>46223.0</v>
      </c>
      <c r="K224" s="39">
        <v>45972.0</v>
      </c>
      <c r="L224" s="40">
        <v>0.0</v>
      </c>
      <c r="M224" s="40">
        <v>1910.19</v>
      </c>
    </row>
    <row r="225" ht="15.75" customHeight="1">
      <c r="A225" s="33" t="s">
        <v>1812</v>
      </c>
      <c r="B225" s="39">
        <v>45780.0</v>
      </c>
      <c r="C225" s="33" t="s">
        <v>187</v>
      </c>
      <c r="D225" s="33" t="s">
        <v>228</v>
      </c>
      <c r="E225" s="33" t="s">
        <v>180</v>
      </c>
      <c r="F225" s="33" t="s">
        <v>181</v>
      </c>
      <c r="G225" s="33" t="s">
        <v>181</v>
      </c>
      <c r="H225" s="33" t="s">
        <v>181</v>
      </c>
      <c r="I225" s="39">
        <v>46217.0</v>
      </c>
      <c r="J225" s="39">
        <v>46188.0</v>
      </c>
      <c r="K225" s="39">
        <v>46188.0</v>
      </c>
      <c r="L225" s="40">
        <v>9490.56</v>
      </c>
      <c r="M225" s="40">
        <v>1453.22</v>
      </c>
    </row>
    <row r="226" ht="15.75" customHeight="1">
      <c r="A226" s="33" t="s">
        <v>1789</v>
      </c>
      <c r="B226" s="39">
        <v>46096.0</v>
      </c>
      <c r="C226" s="33" t="s">
        <v>202</v>
      </c>
      <c r="D226" s="33" t="s">
        <v>237</v>
      </c>
      <c r="E226" s="33" t="s">
        <v>180</v>
      </c>
      <c r="F226" s="33" t="s">
        <v>181</v>
      </c>
      <c r="G226" s="33" t="s">
        <v>181</v>
      </c>
      <c r="H226" s="33" t="s">
        <v>189</v>
      </c>
      <c r="I226" s="39">
        <v>46258.0</v>
      </c>
      <c r="J226" s="39">
        <v>46187.0</v>
      </c>
      <c r="K226" s="39">
        <v>46187.0</v>
      </c>
      <c r="L226" s="40">
        <v>0.0</v>
      </c>
      <c r="M226" s="40">
        <v>3765.43</v>
      </c>
    </row>
    <row r="227" ht="15.75" customHeight="1">
      <c r="A227" s="33" t="s">
        <v>753</v>
      </c>
      <c r="B227" s="39">
        <v>45843.0</v>
      </c>
      <c r="C227" s="33" t="s">
        <v>178</v>
      </c>
      <c r="D227" s="33" t="s">
        <v>188</v>
      </c>
      <c r="E227" s="33" t="s">
        <v>180</v>
      </c>
      <c r="F227" s="33" t="s">
        <v>181</v>
      </c>
      <c r="G227" s="33" t="s">
        <v>181</v>
      </c>
      <c r="H227" s="33" t="s">
        <v>189</v>
      </c>
      <c r="I227" s="39">
        <v>46223.0</v>
      </c>
      <c r="J227" s="39">
        <v>46239.0</v>
      </c>
      <c r="K227" s="39">
        <v>46143.0</v>
      </c>
      <c r="L227" s="40">
        <v>0.0</v>
      </c>
      <c r="M227" s="40">
        <v>2221.7</v>
      </c>
    </row>
    <row r="228" ht="15.75" customHeight="1">
      <c r="A228" s="33" t="s">
        <v>1834</v>
      </c>
      <c r="B228" s="39">
        <v>46148.0</v>
      </c>
      <c r="C228" s="33" t="s">
        <v>184</v>
      </c>
      <c r="D228" s="33" t="s">
        <v>228</v>
      </c>
      <c r="E228" s="33" t="s">
        <v>222</v>
      </c>
      <c r="F228" s="33" t="s">
        <v>181</v>
      </c>
      <c r="G228" s="33" t="s">
        <v>181</v>
      </c>
      <c r="H228" s="33" t="s">
        <v>181</v>
      </c>
      <c r="I228" s="39">
        <v>46125.0</v>
      </c>
      <c r="J228" s="39">
        <v>46154.0</v>
      </c>
      <c r="K228" s="39">
        <v>46154.0</v>
      </c>
      <c r="L228" s="40">
        <v>0.0</v>
      </c>
      <c r="M228" s="40">
        <v>1294.52</v>
      </c>
    </row>
    <row r="229" ht="15.75" customHeight="1">
      <c r="A229" s="33" t="s">
        <v>959</v>
      </c>
      <c r="B229" s="39">
        <v>46009.0</v>
      </c>
      <c r="C229" s="33" t="s">
        <v>202</v>
      </c>
      <c r="D229" s="33" t="s">
        <v>196</v>
      </c>
      <c r="E229" s="33" t="s">
        <v>180</v>
      </c>
      <c r="F229" s="33" t="s">
        <v>181</v>
      </c>
      <c r="G229" s="33" t="s">
        <v>181</v>
      </c>
      <c r="H229" s="33" t="s">
        <v>181</v>
      </c>
      <c r="I229" s="39">
        <v>46236.0</v>
      </c>
      <c r="J229" s="39">
        <v>46225.0</v>
      </c>
      <c r="K229" s="39">
        <v>46080.0</v>
      </c>
      <c r="L229" s="40">
        <v>0.0</v>
      </c>
      <c r="M229" s="40">
        <v>1793.12</v>
      </c>
    </row>
    <row r="230" ht="15.75" customHeight="1">
      <c r="A230" s="33" t="s">
        <v>299</v>
      </c>
      <c r="B230" s="39">
        <v>45989.0</v>
      </c>
      <c r="C230" s="33" t="s">
        <v>178</v>
      </c>
      <c r="D230" s="33" t="s">
        <v>188</v>
      </c>
      <c r="E230" s="33" t="s">
        <v>180</v>
      </c>
      <c r="F230" s="33" t="s">
        <v>181</v>
      </c>
      <c r="G230" s="33" t="s">
        <v>181</v>
      </c>
      <c r="H230" s="33" t="s">
        <v>189</v>
      </c>
      <c r="I230" s="39">
        <v>46233.0</v>
      </c>
      <c r="J230" s="39">
        <v>46260.0</v>
      </c>
      <c r="K230" s="39">
        <v>46260.0</v>
      </c>
      <c r="L230" s="40">
        <v>0.0</v>
      </c>
      <c r="M230" s="40">
        <v>1179.64</v>
      </c>
    </row>
    <row r="231" ht="15.75" customHeight="1">
      <c r="A231" s="33" t="s">
        <v>887</v>
      </c>
      <c r="B231" s="39">
        <v>45765.0</v>
      </c>
      <c r="C231" s="33" t="s">
        <v>178</v>
      </c>
      <c r="D231" s="33" t="s">
        <v>200</v>
      </c>
      <c r="E231" s="33" t="s">
        <v>180</v>
      </c>
      <c r="F231" s="33" t="s">
        <v>181</v>
      </c>
      <c r="G231" s="33" t="s">
        <v>181</v>
      </c>
      <c r="H231" s="33" t="s">
        <v>189</v>
      </c>
      <c r="I231" s="39">
        <v>46256.0</v>
      </c>
      <c r="J231" s="39">
        <v>46192.0</v>
      </c>
      <c r="K231" s="39">
        <v>46192.0</v>
      </c>
      <c r="L231" s="40">
        <v>0.0</v>
      </c>
      <c r="M231" s="40">
        <v>2296.22</v>
      </c>
    </row>
    <row r="232" ht="15.75" customHeight="1">
      <c r="A232" s="33" t="s">
        <v>389</v>
      </c>
      <c r="B232" s="39">
        <v>45939.0</v>
      </c>
      <c r="C232" s="33" t="s">
        <v>178</v>
      </c>
      <c r="D232" s="33" t="s">
        <v>188</v>
      </c>
      <c r="E232" s="33" t="s">
        <v>180</v>
      </c>
      <c r="F232" s="33" t="s">
        <v>181</v>
      </c>
      <c r="G232" s="33" t="s">
        <v>181</v>
      </c>
      <c r="H232" s="33" t="s">
        <v>189</v>
      </c>
      <c r="I232" s="39">
        <v>46247.0</v>
      </c>
      <c r="J232" s="39">
        <v>46260.0</v>
      </c>
      <c r="K232" s="39">
        <v>46043.0</v>
      </c>
      <c r="L232" s="40">
        <v>48907.46</v>
      </c>
      <c r="M232" s="40">
        <v>857.72</v>
      </c>
    </row>
    <row r="233" ht="15.75" customHeight="1">
      <c r="A233" s="33" t="s">
        <v>1076</v>
      </c>
      <c r="B233" s="39">
        <v>46177.0</v>
      </c>
      <c r="C233" s="33" t="s">
        <v>178</v>
      </c>
      <c r="D233" s="33" t="s">
        <v>200</v>
      </c>
      <c r="E233" s="33" t="s">
        <v>222</v>
      </c>
      <c r="F233" s="33" t="s">
        <v>181</v>
      </c>
      <c r="G233" s="33" t="s">
        <v>181</v>
      </c>
      <c r="H233" s="33" t="s">
        <v>189</v>
      </c>
      <c r="I233" s="39">
        <v>46088.0</v>
      </c>
      <c r="J233" s="39">
        <v>46240.0</v>
      </c>
      <c r="K233" s="39">
        <v>45812.0</v>
      </c>
      <c r="L233" s="40">
        <v>10569.75</v>
      </c>
      <c r="M233" s="40">
        <v>2322.95</v>
      </c>
    </row>
    <row r="234" ht="15.75" customHeight="1">
      <c r="A234" s="33" t="s">
        <v>952</v>
      </c>
      <c r="B234" s="39">
        <v>45669.0</v>
      </c>
      <c r="C234" s="33" t="s">
        <v>178</v>
      </c>
      <c r="D234" s="33" t="s">
        <v>188</v>
      </c>
      <c r="E234" s="33" t="s">
        <v>180</v>
      </c>
      <c r="F234" s="33" t="s">
        <v>181</v>
      </c>
      <c r="G234" s="33" t="s">
        <v>181</v>
      </c>
      <c r="H234" s="33" t="s">
        <v>189</v>
      </c>
      <c r="I234" s="39">
        <v>46210.0</v>
      </c>
      <c r="J234" s="39">
        <v>46185.0</v>
      </c>
      <c r="K234" s="39">
        <v>46185.0</v>
      </c>
      <c r="L234" s="40">
        <v>30850.7</v>
      </c>
      <c r="M234" s="40">
        <v>1414.22</v>
      </c>
    </row>
    <row r="235" ht="15.75" customHeight="1">
      <c r="A235" s="33" t="s">
        <v>1862</v>
      </c>
      <c r="B235" s="39">
        <v>46118.0</v>
      </c>
      <c r="C235" s="33" t="s">
        <v>202</v>
      </c>
      <c r="D235" s="33" t="s">
        <v>237</v>
      </c>
      <c r="E235" s="33" t="s">
        <v>180</v>
      </c>
      <c r="F235" s="33" t="s">
        <v>181</v>
      </c>
      <c r="G235" s="33" t="s">
        <v>189</v>
      </c>
      <c r="H235" s="33" t="s">
        <v>189</v>
      </c>
      <c r="I235" s="39">
        <v>46250.0</v>
      </c>
      <c r="J235" s="33"/>
      <c r="K235" s="33"/>
      <c r="L235" s="40">
        <v>2951.86</v>
      </c>
      <c r="M235" s="40">
        <v>1149.72</v>
      </c>
    </row>
    <row r="236" ht="15.75" customHeight="1">
      <c r="A236" s="33" t="s">
        <v>1605</v>
      </c>
      <c r="B236" s="39">
        <v>45957.0</v>
      </c>
      <c r="C236" s="33" t="s">
        <v>187</v>
      </c>
      <c r="D236" s="33" t="s">
        <v>185</v>
      </c>
      <c r="E236" s="33" t="s">
        <v>222</v>
      </c>
      <c r="F236" s="33" t="s">
        <v>181</v>
      </c>
      <c r="G236" s="33" t="s">
        <v>181</v>
      </c>
      <c r="H236" s="33" t="s">
        <v>181</v>
      </c>
      <c r="I236" s="39">
        <v>46163.0</v>
      </c>
      <c r="J236" s="39">
        <v>46209.0</v>
      </c>
      <c r="K236" s="39">
        <v>46151.0</v>
      </c>
      <c r="L236" s="40">
        <v>0.0</v>
      </c>
      <c r="M236" s="40">
        <v>3695.95</v>
      </c>
    </row>
    <row r="237" ht="15.75" customHeight="1">
      <c r="A237" s="33" t="s">
        <v>1868</v>
      </c>
      <c r="B237" s="39">
        <v>46094.0</v>
      </c>
      <c r="C237" s="33" t="s">
        <v>178</v>
      </c>
      <c r="D237" s="33" t="s">
        <v>188</v>
      </c>
      <c r="E237" s="33" t="s">
        <v>180</v>
      </c>
      <c r="F237" s="33" t="s">
        <v>181</v>
      </c>
      <c r="G237" s="33" t="s">
        <v>181</v>
      </c>
      <c r="H237" s="33" t="s">
        <v>189</v>
      </c>
      <c r="I237" s="39">
        <v>46248.0</v>
      </c>
      <c r="J237" s="39">
        <v>46256.0</v>
      </c>
      <c r="K237" s="39">
        <v>46256.0</v>
      </c>
      <c r="L237" s="40">
        <v>26361.22</v>
      </c>
      <c r="M237" s="40">
        <v>4932.63</v>
      </c>
    </row>
    <row r="238" ht="15.75" customHeight="1">
      <c r="A238" s="33" t="s">
        <v>245</v>
      </c>
      <c r="B238" s="39">
        <v>46060.0</v>
      </c>
      <c r="C238" s="33" t="s">
        <v>178</v>
      </c>
      <c r="D238" s="33" t="s">
        <v>185</v>
      </c>
      <c r="E238" s="33" t="s">
        <v>180</v>
      </c>
      <c r="F238" s="33" t="s">
        <v>189</v>
      </c>
      <c r="G238" s="33" t="s">
        <v>181</v>
      </c>
      <c r="H238" s="33" t="s">
        <v>189</v>
      </c>
      <c r="I238" s="39">
        <v>46226.0</v>
      </c>
      <c r="J238" s="39">
        <v>46207.0</v>
      </c>
      <c r="K238" s="39">
        <v>46067.0</v>
      </c>
      <c r="L238" s="40">
        <v>31934.54</v>
      </c>
      <c r="M238" s="40">
        <v>0.0</v>
      </c>
    </row>
    <row r="239" ht="15.75" customHeight="1">
      <c r="A239" s="33" t="s">
        <v>1878</v>
      </c>
      <c r="B239" s="39">
        <v>45920.0</v>
      </c>
      <c r="C239" s="33" t="s">
        <v>184</v>
      </c>
      <c r="D239" s="33" t="s">
        <v>200</v>
      </c>
      <c r="E239" s="33" t="s">
        <v>180</v>
      </c>
      <c r="F239" s="33" t="s">
        <v>181</v>
      </c>
      <c r="G239" s="33" t="s">
        <v>181</v>
      </c>
      <c r="H239" s="33" t="s">
        <v>181</v>
      </c>
      <c r="I239" s="39">
        <v>46252.0</v>
      </c>
      <c r="J239" s="39">
        <v>46252.0</v>
      </c>
      <c r="K239" s="39">
        <v>46252.0</v>
      </c>
      <c r="L239" s="40">
        <v>0.0</v>
      </c>
      <c r="M239" s="40">
        <v>1850.36</v>
      </c>
    </row>
    <row r="240" ht="15.75" customHeight="1">
      <c r="A240" s="33" t="s">
        <v>1884</v>
      </c>
      <c r="B240" s="39">
        <v>45845.0</v>
      </c>
      <c r="C240" s="33" t="s">
        <v>184</v>
      </c>
      <c r="D240" s="33" t="s">
        <v>179</v>
      </c>
      <c r="E240" s="33" t="s">
        <v>180</v>
      </c>
      <c r="F240" s="33" t="s">
        <v>181</v>
      </c>
      <c r="G240" s="33" t="s">
        <v>181</v>
      </c>
      <c r="H240" s="33" t="s">
        <v>189</v>
      </c>
      <c r="I240" s="39">
        <v>46210.0</v>
      </c>
      <c r="J240" s="39">
        <v>46142.0</v>
      </c>
      <c r="K240" s="39">
        <v>45954.0</v>
      </c>
      <c r="L240" s="40">
        <v>0.0</v>
      </c>
      <c r="M240" s="40">
        <v>1239.35</v>
      </c>
    </row>
    <row r="241" ht="15.75" customHeight="1">
      <c r="A241" s="33" t="s">
        <v>696</v>
      </c>
      <c r="B241" s="39">
        <v>46038.0</v>
      </c>
      <c r="C241" s="33" t="s">
        <v>202</v>
      </c>
      <c r="D241" s="33" t="s">
        <v>188</v>
      </c>
      <c r="E241" s="33" t="s">
        <v>180</v>
      </c>
      <c r="F241" s="33" t="s">
        <v>181</v>
      </c>
      <c r="G241" s="33" t="s">
        <v>181</v>
      </c>
      <c r="H241" s="33" t="s">
        <v>181</v>
      </c>
      <c r="I241" s="39">
        <v>46214.0</v>
      </c>
      <c r="J241" s="39">
        <v>46207.0</v>
      </c>
      <c r="K241" s="39">
        <v>46207.0</v>
      </c>
      <c r="L241" s="40">
        <v>33805.64</v>
      </c>
      <c r="M241" s="40">
        <v>1263.05</v>
      </c>
    </row>
    <row r="242" ht="15.75" customHeight="1">
      <c r="A242" s="33" t="s">
        <v>271</v>
      </c>
      <c r="B242" s="39">
        <v>45743.0</v>
      </c>
      <c r="C242" s="33" t="s">
        <v>178</v>
      </c>
      <c r="D242" s="33" t="s">
        <v>200</v>
      </c>
      <c r="E242" s="33" t="s">
        <v>180</v>
      </c>
      <c r="F242" s="33" t="s">
        <v>181</v>
      </c>
      <c r="G242" s="33" t="s">
        <v>189</v>
      </c>
      <c r="H242" s="33" t="s">
        <v>189</v>
      </c>
      <c r="I242" s="39">
        <v>46208.0</v>
      </c>
      <c r="J242" s="33"/>
      <c r="K242" s="33"/>
      <c r="L242" s="40">
        <v>21494.65</v>
      </c>
      <c r="M242" s="40">
        <v>1254.03</v>
      </c>
    </row>
    <row r="243" ht="15.75" customHeight="1">
      <c r="A243" s="33" t="s">
        <v>1711</v>
      </c>
      <c r="B243" s="39">
        <v>46012.0</v>
      </c>
      <c r="C243" s="33" t="s">
        <v>184</v>
      </c>
      <c r="D243" s="33" t="s">
        <v>179</v>
      </c>
      <c r="E243" s="33" t="s">
        <v>180</v>
      </c>
      <c r="F243" s="33" t="s">
        <v>181</v>
      </c>
      <c r="G243" s="33" t="s">
        <v>181</v>
      </c>
      <c r="H243" s="33" t="s">
        <v>189</v>
      </c>
      <c r="I243" s="39">
        <v>46226.0</v>
      </c>
      <c r="J243" s="39">
        <v>46248.0</v>
      </c>
      <c r="K243" s="39">
        <v>46248.0</v>
      </c>
      <c r="L243" s="40">
        <v>37307.22</v>
      </c>
      <c r="M243" s="40">
        <v>86.48</v>
      </c>
    </row>
    <row r="244" ht="15.75" customHeight="1">
      <c r="A244" s="33" t="s">
        <v>1909</v>
      </c>
      <c r="B244" s="39">
        <v>45715.0</v>
      </c>
      <c r="C244" s="33" t="s">
        <v>178</v>
      </c>
      <c r="D244" s="33" t="s">
        <v>185</v>
      </c>
      <c r="E244" s="33" t="s">
        <v>180</v>
      </c>
      <c r="F244" s="33" t="s">
        <v>181</v>
      </c>
      <c r="G244" s="33" t="s">
        <v>189</v>
      </c>
      <c r="H244" s="33" t="s">
        <v>189</v>
      </c>
      <c r="I244" s="39">
        <v>46240.0</v>
      </c>
      <c r="J244" s="33"/>
      <c r="K244" s="33"/>
      <c r="L244" s="40">
        <v>26868.3</v>
      </c>
      <c r="M244" s="40">
        <v>2489.36</v>
      </c>
    </row>
    <row r="245" ht="15.75" customHeight="1">
      <c r="A245" s="33" t="s">
        <v>1825</v>
      </c>
      <c r="B245" s="39">
        <v>46052.0</v>
      </c>
      <c r="C245" s="33" t="s">
        <v>178</v>
      </c>
      <c r="D245" s="33" t="s">
        <v>188</v>
      </c>
      <c r="E245" s="33" t="s">
        <v>180</v>
      </c>
      <c r="F245" s="33" t="s">
        <v>189</v>
      </c>
      <c r="G245" s="33" t="s">
        <v>181</v>
      </c>
      <c r="H245" s="33" t="s">
        <v>189</v>
      </c>
      <c r="I245" s="39">
        <v>46243.0</v>
      </c>
      <c r="J245" s="39">
        <v>46250.0</v>
      </c>
      <c r="K245" s="39">
        <v>46182.0</v>
      </c>
      <c r="L245" s="40">
        <v>0.0</v>
      </c>
      <c r="M245" s="40">
        <v>0.0</v>
      </c>
    </row>
    <row r="246" ht="15.75" customHeight="1">
      <c r="A246" s="33" t="s">
        <v>812</v>
      </c>
      <c r="B246" s="39">
        <v>46039.0</v>
      </c>
      <c r="C246" s="33" t="s">
        <v>184</v>
      </c>
      <c r="D246" s="33" t="s">
        <v>185</v>
      </c>
      <c r="E246" s="33" t="s">
        <v>180</v>
      </c>
      <c r="F246" s="33" t="s">
        <v>189</v>
      </c>
      <c r="G246" s="33" t="s">
        <v>181</v>
      </c>
      <c r="H246" s="33" t="s">
        <v>189</v>
      </c>
      <c r="I246" s="39">
        <v>46246.0</v>
      </c>
      <c r="J246" s="39">
        <v>46232.0</v>
      </c>
      <c r="K246" s="39">
        <v>46232.0</v>
      </c>
      <c r="L246" s="40">
        <v>17178.75</v>
      </c>
      <c r="M246" s="40">
        <v>0.0</v>
      </c>
    </row>
    <row r="247" ht="15.75" customHeight="1">
      <c r="A247" s="33" t="s">
        <v>543</v>
      </c>
      <c r="B247" s="39">
        <v>45709.0</v>
      </c>
      <c r="C247" s="33" t="s">
        <v>202</v>
      </c>
      <c r="D247" s="33" t="s">
        <v>194</v>
      </c>
      <c r="E247" s="33" t="s">
        <v>180</v>
      </c>
      <c r="F247" s="33" t="s">
        <v>181</v>
      </c>
      <c r="G247" s="33" t="s">
        <v>181</v>
      </c>
      <c r="H247" s="33" t="s">
        <v>189</v>
      </c>
      <c r="I247" s="39">
        <v>46227.0</v>
      </c>
      <c r="J247" s="39">
        <v>46245.0</v>
      </c>
      <c r="K247" s="39">
        <v>45841.0</v>
      </c>
      <c r="L247" s="40">
        <v>3091.45</v>
      </c>
      <c r="M247" s="40">
        <v>2059.11</v>
      </c>
    </row>
    <row r="248" ht="15.75" customHeight="1">
      <c r="A248" s="33" t="s">
        <v>627</v>
      </c>
      <c r="B248" s="39">
        <v>46117.0</v>
      </c>
      <c r="C248" s="33" t="s">
        <v>187</v>
      </c>
      <c r="D248" s="33" t="s">
        <v>228</v>
      </c>
      <c r="E248" s="33" t="s">
        <v>180</v>
      </c>
      <c r="F248" s="33" t="s">
        <v>181</v>
      </c>
      <c r="G248" s="33" t="s">
        <v>181</v>
      </c>
      <c r="H248" s="33" t="s">
        <v>189</v>
      </c>
      <c r="I248" s="39">
        <v>46225.0</v>
      </c>
      <c r="J248" s="39">
        <v>46248.0</v>
      </c>
      <c r="K248" s="39">
        <v>46188.0</v>
      </c>
      <c r="L248" s="40">
        <v>10953.29</v>
      </c>
      <c r="M248" s="40">
        <v>1721.4</v>
      </c>
    </row>
    <row r="249" ht="15.75" customHeight="1">
      <c r="A249" s="33" t="s">
        <v>1936</v>
      </c>
      <c r="B249" s="39">
        <v>45910.0</v>
      </c>
      <c r="C249" s="33" t="s">
        <v>202</v>
      </c>
      <c r="D249" s="33" t="s">
        <v>237</v>
      </c>
      <c r="E249" s="33" t="s">
        <v>180</v>
      </c>
      <c r="F249" s="33" t="s">
        <v>181</v>
      </c>
      <c r="G249" s="33" t="s">
        <v>189</v>
      </c>
      <c r="H249" s="33" t="s">
        <v>189</v>
      </c>
      <c r="I249" s="39">
        <v>46205.0</v>
      </c>
      <c r="J249" s="33"/>
      <c r="K249" s="33"/>
      <c r="L249" s="40">
        <v>0.0</v>
      </c>
      <c r="M249" s="40">
        <v>2958.4</v>
      </c>
    </row>
    <row r="250" ht="15.75" customHeight="1">
      <c r="A250" s="33" t="s">
        <v>1944</v>
      </c>
      <c r="B250" s="39">
        <v>46135.0</v>
      </c>
      <c r="C250" s="33" t="s">
        <v>187</v>
      </c>
      <c r="D250" s="33" t="s">
        <v>228</v>
      </c>
      <c r="E250" s="33" t="s">
        <v>222</v>
      </c>
      <c r="F250" s="33" t="s">
        <v>181</v>
      </c>
      <c r="G250" s="33" t="s">
        <v>189</v>
      </c>
      <c r="H250" s="33" t="s">
        <v>181</v>
      </c>
      <c r="I250" s="39">
        <v>46227.0</v>
      </c>
      <c r="J250" s="33"/>
      <c r="K250" s="33"/>
      <c r="L250" s="40">
        <v>17666.25</v>
      </c>
      <c r="M250" s="40">
        <v>650.9</v>
      </c>
    </row>
    <row r="251" ht="15.75" customHeight="1">
      <c r="A251" s="33" t="s">
        <v>646</v>
      </c>
      <c r="B251" s="39">
        <v>45683.0</v>
      </c>
      <c r="C251" s="33" t="s">
        <v>178</v>
      </c>
      <c r="D251" s="33" t="s">
        <v>228</v>
      </c>
      <c r="E251" s="33" t="s">
        <v>180</v>
      </c>
      <c r="F251" s="33" t="s">
        <v>181</v>
      </c>
      <c r="G251" s="33" t="s">
        <v>189</v>
      </c>
      <c r="H251" s="33" t="s">
        <v>181</v>
      </c>
      <c r="I251" s="39">
        <v>46240.0</v>
      </c>
      <c r="J251" s="33"/>
      <c r="K251" s="33"/>
      <c r="L251" s="40">
        <v>6038.9</v>
      </c>
      <c r="M251" s="40">
        <v>212.49</v>
      </c>
    </row>
    <row r="252" ht="15.75" customHeight="1">
      <c r="A252" s="33" t="s">
        <v>1955</v>
      </c>
      <c r="B252" s="39">
        <v>45766.0</v>
      </c>
      <c r="C252" s="33" t="s">
        <v>178</v>
      </c>
      <c r="D252" s="33" t="s">
        <v>194</v>
      </c>
      <c r="E252" s="33" t="s">
        <v>180</v>
      </c>
      <c r="F252" s="33" t="s">
        <v>189</v>
      </c>
      <c r="G252" s="33" t="s">
        <v>181</v>
      </c>
      <c r="H252" s="33" t="s">
        <v>189</v>
      </c>
      <c r="I252" s="39">
        <v>46189.0</v>
      </c>
      <c r="J252" s="39">
        <v>45895.0</v>
      </c>
      <c r="K252" s="39">
        <v>45861.0</v>
      </c>
      <c r="L252" s="40">
        <v>0.0</v>
      </c>
      <c r="M252" s="40">
        <v>0.0</v>
      </c>
    </row>
    <row r="253" ht="15.75" customHeight="1">
      <c r="A253" s="33" t="s">
        <v>623</v>
      </c>
      <c r="B253" s="39">
        <v>45957.0</v>
      </c>
      <c r="C253" s="33" t="s">
        <v>178</v>
      </c>
      <c r="D253" s="33" t="s">
        <v>228</v>
      </c>
      <c r="E253" s="33" t="s">
        <v>180</v>
      </c>
      <c r="F253" s="33" t="s">
        <v>181</v>
      </c>
      <c r="G253" s="33" t="s">
        <v>189</v>
      </c>
      <c r="H253" s="33" t="s">
        <v>181</v>
      </c>
      <c r="I253" s="39">
        <v>46183.0</v>
      </c>
      <c r="J253" s="33"/>
      <c r="K253" s="33"/>
      <c r="L253" s="40">
        <v>43458.87</v>
      </c>
      <c r="M253" s="40">
        <v>1214.96</v>
      </c>
    </row>
    <row r="254" ht="15.75" customHeight="1">
      <c r="A254" s="33" t="s">
        <v>916</v>
      </c>
      <c r="B254" s="39">
        <v>45772.0</v>
      </c>
      <c r="C254" s="33" t="s">
        <v>178</v>
      </c>
      <c r="D254" s="33" t="s">
        <v>179</v>
      </c>
      <c r="E254" s="33" t="s">
        <v>180</v>
      </c>
      <c r="F254" s="33" t="s">
        <v>181</v>
      </c>
      <c r="G254" s="33" t="s">
        <v>181</v>
      </c>
      <c r="H254" s="33" t="s">
        <v>189</v>
      </c>
      <c r="I254" s="39">
        <v>46182.0</v>
      </c>
      <c r="J254" s="39">
        <v>46111.0</v>
      </c>
      <c r="K254" s="39">
        <v>46111.0</v>
      </c>
      <c r="L254" s="40">
        <v>0.0</v>
      </c>
      <c r="M254" s="40">
        <v>2621.81</v>
      </c>
    </row>
    <row r="255" ht="15.75" customHeight="1">
      <c r="A255" s="33" t="s">
        <v>556</v>
      </c>
      <c r="B255" s="39">
        <v>45858.0</v>
      </c>
      <c r="C255" s="33" t="s">
        <v>184</v>
      </c>
      <c r="D255" s="33" t="s">
        <v>237</v>
      </c>
      <c r="E255" s="33" t="s">
        <v>180</v>
      </c>
      <c r="F255" s="33" t="s">
        <v>181</v>
      </c>
      <c r="G255" s="33" t="s">
        <v>189</v>
      </c>
      <c r="H255" s="33" t="s">
        <v>189</v>
      </c>
      <c r="I255" s="39">
        <v>46238.0</v>
      </c>
      <c r="J255" s="33"/>
      <c r="K255" s="33"/>
      <c r="L255" s="40">
        <v>0.0</v>
      </c>
      <c r="M255" s="40">
        <v>1821.66</v>
      </c>
    </row>
    <row r="256" ht="15.75" customHeight="1">
      <c r="A256" s="33" t="s">
        <v>504</v>
      </c>
      <c r="B256" s="39">
        <v>46058.0</v>
      </c>
      <c r="C256" s="33" t="s">
        <v>178</v>
      </c>
      <c r="D256" s="33" t="s">
        <v>196</v>
      </c>
      <c r="E256" s="33" t="s">
        <v>222</v>
      </c>
      <c r="F256" s="33" t="s">
        <v>181</v>
      </c>
      <c r="G256" s="33" t="s">
        <v>181</v>
      </c>
      <c r="H256" s="33" t="s">
        <v>189</v>
      </c>
      <c r="I256" s="39">
        <v>46214.0</v>
      </c>
      <c r="J256" s="39">
        <v>46239.0</v>
      </c>
      <c r="K256" s="39">
        <v>46097.0</v>
      </c>
      <c r="L256" s="40">
        <v>728.46</v>
      </c>
      <c r="M256" s="40">
        <v>1467.78</v>
      </c>
    </row>
    <row r="257" ht="15.75" customHeight="1">
      <c r="A257" s="33" t="s">
        <v>1977</v>
      </c>
      <c r="B257" s="39">
        <v>45745.0</v>
      </c>
      <c r="C257" s="33" t="s">
        <v>202</v>
      </c>
      <c r="D257" s="33" t="s">
        <v>179</v>
      </c>
      <c r="E257" s="33" t="s">
        <v>180</v>
      </c>
      <c r="F257" s="33" t="s">
        <v>181</v>
      </c>
      <c r="G257" s="33" t="s">
        <v>181</v>
      </c>
      <c r="H257" s="33" t="s">
        <v>181</v>
      </c>
      <c r="I257" s="39">
        <v>46248.0</v>
      </c>
      <c r="J257" s="39">
        <v>46264.0</v>
      </c>
      <c r="K257" s="39">
        <v>46039.0</v>
      </c>
      <c r="L257" s="40">
        <v>6329.56</v>
      </c>
      <c r="M257" s="40">
        <v>5067.55</v>
      </c>
    </row>
    <row r="258" ht="15.75" customHeight="1">
      <c r="A258" s="33" t="s">
        <v>234</v>
      </c>
      <c r="B258" s="39">
        <v>46069.0</v>
      </c>
      <c r="C258" s="33" t="s">
        <v>184</v>
      </c>
      <c r="D258" s="33" t="s">
        <v>194</v>
      </c>
      <c r="E258" s="33" t="s">
        <v>180</v>
      </c>
      <c r="F258" s="33" t="s">
        <v>189</v>
      </c>
      <c r="G258" s="33" t="s">
        <v>181</v>
      </c>
      <c r="H258" s="33" t="s">
        <v>189</v>
      </c>
      <c r="I258" s="39">
        <v>46254.0</v>
      </c>
      <c r="J258" s="39">
        <v>46122.0</v>
      </c>
      <c r="K258" s="39">
        <v>45902.0</v>
      </c>
      <c r="L258" s="40">
        <v>21707.44</v>
      </c>
      <c r="M258" s="40">
        <v>0.0</v>
      </c>
    </row>
    <row r="259" ht="15.75" customHeight="1">
      <c r="A259" s="33" t="s">
        <v>822</v>
      </c>
      <c r="B259" s="39">
        <v>45720.0</v>
      </c>
      <c r="C259" s="33" t="s">
        <v>184</v>
      </c>
      <c r="D259" s="33" t="s">
        <v>237</v>
      </c>
      <c r="E259" s="33" t="s">
        <v>330</v>
      </c>
      <c r="F259" s="33" t="s">
        <v>181</v>
      </c>
      <c r="G259" s="33" t="s">
        <v>181</v>
      </c>
      <c r="H259" s="33" t="s">
        <v>189</v>
      </c>
      <c r="I259" s="39">
        <v>45910.0</v>
      </c>
      <c r="J259" s="39">
        <v>46221.0</v>
      </c>
      <c r="K259" s="39">
        <v>46218.0</v>
      </c>
      <c r="L259" s="40">
        <v>0.0</v>
      </c>
      <c r="M259" s="40">
        <v>0.0</v>
      </c>
    </row>
    <row r="260" ht="15.75" customHeight="1">
      <c r="A260" s="33" t="s">
        <v>1995</v>
      </c>
      <c r="B260" s="39">
        <v>45764.0</v>
      </c>
      <c r="C260" s="33" t="s">
        <v>178</v>
      </c>
      <c r="D260" s="33" t="s">
        <v>228</v>
      </c>
      <c r="E260" s="33" t="s">
        <v>180</v>
      </c>
      <c r="F260" s="33" t="s">
        <v>181</v>
      </c>
      <c r="G260" s="33" t="s">
        <v>181</v>
      </c>
      <c r="H260" s="33" t="s">
        <v>189</v>
      </c>
      <c r="I260" s="39">
        <v>46186.0</v>
      </c>
      <c r="J260" s="39">
        <v>46186.0</v>
      </c>
      <c r="K260" s="39">
        <v>46186.0</v>
      </c>
      <c r="L260" s="40">
        <v>21542.13</v>
      </c>
      <c r="M260" s="40">
        <v>2815.27</v>
      </c>
    </row>
    <row r="261" ht="15.75" customHeight="1">
      <c r="A261" s="33" t="s">
        <v>1763</v>
      </c>
      <c r="B261" s="39">
        <v>46014.0</v>
      </c>
      <c r="C261" s="33" t="s">
        <v>202</v>
      </c>
      <c r="D261" s="33" t="s">
        <v>237</v>
      </c>
      <c r="E261" s="33" t="s">
        <v>330</v>
      </c>
      <c r="F261" s="33" t="s">
        <v>181</v>
      </c>
      <c r="G261" s="33" t="s">
        <v>189</v>
      </c>
      <c r="H261" s="33" t="s">
        <v>181</v>
      </c>
      <c r="I261" s="39">
        <v>46176.0</v>
      </c>
      <c r="J261" s="33"/>
      <c r="K261" s="33"/>
      <c r="L261" s="40">
        <v>25020.82</v>
      </c>
      <c r="M261" s="40">
        <v>0.0</v>
      </c>
    </row>
    <row r="262" ht="15.75" customHeight="1">
      <c r="A262" s="33" t="s">
        <v>746</v>
      </c>
      <c r="B262" s="39">
        <v>46139.0</v>
      </c>
      <c r="C262" s="33" t="s">
        <v>184</v>
      </c>
      <c r="D262" s="33" t="s">
        <v>179</v>
      </c>
      <c r="E262" s="33" t="s">
        <v>180</v>
      </c>
      <c r="F262" s="33" t="s">
        <v>189</v>
      </c>
      <c r="G262" s="33" t="s">
        <v>189</v>
      </c>
      <c r="H262" s="33" t="s">
        <v>189</v>
      </c>
      <c r="I262" s="39">
        <v>46200.0</v>
      </c>
      <c r="J262" s="33"/>
      <c r="K262" s="33"/>
      <c r="L262" s="40">
        <v>40149.03</v>
      </c>
      <c r="M262" s="40">
        <v>0.0</v>
      </c>
    </row>
    <row r="263" ht="15.75" customHeight="1">
      <c r="A263" s="33" t="s">
        <v>2009</v>
      </c>
      <c r="B263" s="39">
        <v>45761.0</v>
      </c>
      <c r="C263" s="33" t="s">
        <v>187</v>
      </c>
      <c r="D263" s="33" t="s">
        <v>237</v>
      </c>
      <c r="E263" s="33" t="s">
        <v>180</v>
      </c>
      <c r="F263" s="33" t="s">
        <v>181</v>
      </c>
      <c r="G263" s="33" t="s">
        <v>189</v>
      </c>
      <c r="H263" s="33" t="s">
        <v>181</v>
      </c>
      <c r="I263" s="39">
        <v>46235.0</v>
      </c>
      <c r="J263" s="33"/>
      <c r="K263" s="33"/>
      <c r="L263" s="40">
        <v>31982.84</v>
      </c>
      <c r="M263" s="40">
        <v>8234.33</v>
      </c>
    </row>
    <row r="264" ht="15.75" customHeight="1">
      <c r="A264" s="33" t="s">
        <v>1023</v>
      </c>
      <c r="B264" s="39">
        <v>45840.0</v>
      </c>
      <c r="C264" s="33" t="s">
        <v>184</v>
      </c>
      <c r="D264" s="33" t="s">
        <v>179</v>
      </c>
      <c r="E264" s="33" t="s">
        <v>222</v>
      </c>
      <c r="F264" s="33" t="s">
        <v>181</v>
      </c>
      <c r="G264" s="33" t="s">
        <v>181</v>
      </c>
      <c r="H264" s="33" t="s">
        <v>189</v>
      </c>
      <c r="I264" s="39">
        <v>46164.0</v>
      </c>
      <c r="J264" s="39">
        <v>46094.0</v>
      </c>
      <c r="K264" s="39">
        <v>45966.0</v>
      </c>
      <c r="L264" s="40">
        <v>0.0</v>
      </c>
      <c r="M264" s="40">
        <v>700.78</v>
      </c>
    </row>
    <row r="265" ht="15.75" customHeight="1">
      <c r="A265" s="33" t="s">
        <v>2019</v>
      </c>
      <c r="B265" s="39">
        <v>46219.0</v>
      </c>
      <c r="C265" s="33" t="s">
        <v>184</v>
      </c>
      <c r="D265" s="33" t="s">
        <v>194</v>
      </c>
      <c r="E265" s="33" t="s">
        <v>180</v>
      </c>
      <c r="F265" s="33" t="s">
        <v>181</v>
      </c>
      <c r="G265" s="33" t="s">
        <v>181</v>
      </c>
      <c r="H265" s="33" t="s">
        <v>181</v>
      </c>
      <c r="I265" s="39">
        <v>46190.0</v>
      </c>
      <c r="J265" s="39">
        <v>46227.0</v>
      </c>
      <c r="K265" s="39">
        <v>46227.0</v>
      </c>
      <c r="L265" s="40">
        <v>2122.65</v>
      </c>
      <c r="M265" s="40">
        <v>3402.91</v>
      </c>
    </row>
    <row r="266" ht="15.75" customHeight="1">
      <c r="A266" s="33" t="s">
        <v>2023</v>
      </c>
      <c r="B266" s="39">
        <v>46258.0</v>
      </c>
      <c r="C266" s="33" t="s">
        <v>184</v>
      </c>
      <c r="D266" s="33" t="s">
        <v>200</v>
      </c>
      <c r="E266" s="33" t="s">
        <v>180</v>
      </c>
      <c r="F266" s="33" t="s">
        <v>181</v>
      </c>
      <c r="G266" s="33" t="s">
        <v>181</v>
      </c>
      <c r="H266" s="33" t="s">
        <v>189</v>
      </c>
      <c r="I266" s="39">
        <v>46192.0</v>
      </c>
      <c r="J266" s="39">
        <v>46250.0</v>
      </c>
      <c r="K266" s="39">
        <v>46250.0</v>
      </c>
      <c r="L266" s="40">
        <v>28875.53</v>
      </c>
      <c r="M266" s="40">
        <v>3571.42</v>
      </c>
    </row>
    <row r="267" ht="15.75" customHeight="1">
      <c r="A267" s="33" t="s">
        <v>326</v>
      </c>
      <c r="B267" s="39">
        <v>46010.0</v>
      </c>
      <c r="C267" s="33" t="s">
        <v>178</v>
      </c>
      <c r="D267" s="33" t="s">
        <v>228</v>
      </c>
      <c r="E267" s="33" t="s">
        <v>180</v>
      </c>
      <c r="F267" s="33" t="s">
        <v>189</v>
      </c>
      <c r="G267" s="33" t="s">
        <v>181</v>
      </c>
      <c r="H267" s="33" t="s">
        <v>181</v>
      </c>
      <c r="I267" s="39">
        <v>46219.0</v>
      </c>
      <c r="J267" s="39">
        <v>46148.0</v>
      </c>
      <c r="K267" s="39">
        <v>46148.0</v>
      </c>
      <c r="L267" s="40">
        <v>25115.61</v>
      </c>
      <c r="M267" s="40">
        <v>0.0</v>
      </c>
    </row>
    <row r="268" ht="15.75" customHeight="1">
      <c r="A268" s="33" t="s">
        <v>511</v>
      </c>
      <c r="B268" s="39">
        <v>45929.0</v>
      </c>
      <c r="C268" s="33" t="s">
        <v>202</v>
      </c>
      <c r="D268" s="33" t="s">
        <v>188</v>
      </c>
      <c r="E268" s="33" t="s">
        <v>180</v>
      </c>
      <c r="F268" s="33" t="s">
        <v>181</v>
      </c>
      <c r="G268" s="33" t="s">
        <v>181</v>
      </c>
      <c r="H268" s="33" t="s">
        <v>189</v>
      </c>
      <c r="I268" s="39">
        <v>46190.0</v>
      </c>
      <c r="J268" s="39">
        <v>46255.0</v>
      </c>
      <c r="K268" s="39">
        <v>46182.0</v>
      </c>
      <c r="L268" s="40">
        <v>2960.42</v>
      </c>
      <c r="M268" s="40">
        <v>1151.02</v>
      </c>
    </row>
    <row r="269" ht="15.75" customHeight="1">
      <c r="A269" s="33" t="s">
        <v>1099</v>
      </c>
      <c r="B269" s="39">
        <v>45868.0</v>
      </c>
      <c r="C269" s="33" t="s">
        <v>178</v>
      </c>
      <c r="D269" s="33" t="s">
        <v>188</v>
      </c>
      <c r="E269" s="33" t="s">
        <v>180</v>
      </c>
      <c r="F269" s="33" t="s">
        <v>189</v>
      </c>
      <c r="G269" s="33" t="s">
        <v>181</v>
      </c>
      <c r="H269" s="33" t="s">
        <v>181</v>
      </c>
      <c r="I269" s="39">
        <v>46234.0</v>
      </c>
      <c r="J269" s="39">
        <v>46110.0</v>
      </c>
      <c r="K269" s="39">
        <v>45883.0</v>
      </c>
      <c r="L269" s="40">
        <v>14777.01</v>
      </c>
      <c r="M269" s="40">
        <v>0.0</v>
      </c>
    </row>
    <row r="270" ht="15.75" customHeight="1">
      <c r="A270" s="33" t="s">
        <v>447</v>
      </c>
      <c r="B270" s="39">
        <v>46029.0</v>
      </c>
      <c r="C270" s="33" t="s">
        <v>187</v>
      </c>
      <c r="D270" s="33" t="s">
        <v>200</v>
      </c>
      <c r="E270" s="33" t="s">
        <v>180</v>
      </c>
      <c r="F270" s="33" t="s">
        <v>181</v>
      </c>
      <c r="G270" s="33" t="s">
        <v>181</v>
      </c>
      <c r="H270" s="33" t="s">
        <v>189</v>
      </c>
      <c r="I270" s="39">
        <v>46228.0</v>
      </c>
      <c r="J270" s="39">
        <v>46231.0</v>
      </c>
      <c r="K270" s="39">
        <v>46179.0</v>
      </c>
      <c r="L270" s="40">
        <v>0.0</v>
      </c>
      <c r="M270" s="40">
        <v>4095.45</v>
      </c>
    </row>
    <row r="271" ht="15.75" customHeight="1">
      <c r="A271" s="33" t="s">
        <v>1303</v>
      </c>
      <c r="B271" s="39">
        <v>46016.0</v>
      </c>
      <c r="C271" s="33" t="s">
        <v>184</v>
      </c>
      <c r="D271" s="33" t="s">
        <v>200</v>
      </c>
      <c r="E271" s="33" t="s">
        <v>180</v>
      </c>
      <c r="F271" s="33" t="s">
        <v>181</v>
      </c>
      <c r="G271" s="33" t="s">
        <v>181</v>
      </c>
      <c r="H271" s="33" t="s">
        <v>189</v>
      </c>
      <c r="I271" s="39">
        <v>46190.0</v>
      </c>
      <c r="J271" s="39">
        <v>46097.0</v>
      </c>
      <c r="K271" s="39">
        <v>46097.0</v>
      </c>
      <c r="L271" s="40">
        <v>2956.97</v>
      </c>
      <c r="M271" s="40">
        <v>652.51</v>
      </c>
    </row>
    <row r="272" ht="15.75" customHeight="1">
      <c r="A272" s="33" t="s">
        <v>919</v>
      </c>
      <c r="B272" s="39">
        <v>45836.0</v>
      </c>
      <c r="C272" s="33" t="s">
        <v>202</v>
      </c>
      <c r="D272" s="33" t="s">
        <v>228</v>
      </c>
      <c r="E272" s="33" t="s">
        <v>180</v>
      </c>
      <c r="F272" s="33" t="s">
        <v>189</v>
      </c>
      <c r="G272" s="33" t="s">
        <v>181</v>
      </c>
      <c r="H272" s="33" t="s">
        <v>189</v>
      </c>
      <c r="I272" s="39">
        <v>46232.0</v>
      </c>
      <c r="J272" s="39">
        <v>46203.0</v>
      </c>
      <c r="K272" s="39">
        <v>46201.0</v>
      </c>
      <c r="L272" s="40">
        <v>0.0</v>
      </c>
      <c r="M272" s="40">
        <v>0.0</v>
      </c>
    </row>
    <row r="273" ht="15.75" customHeight="1">
      <c r="A273" s="33" t="s">
        <v>2053</v>
      </c>
      <c r="B273" s="39">
        <v>45671.0</v>
      </c>
      <c r="C273" s="33" t="s">
        <v>178</v>
      </c>
      <c r="D273" s="33" t="s">
        <v>194</v>
      </c>
      <c r="E273" s="33" t="s">
        <v>180</v>
      </c>
      <c r="F273" s="33" t="s">
        <v>181</v>
      </c>
      <c r="G273" s="33" t="s">
        <v>181</v>
      </c>
      <c r="H273" s="33" t="s">
        <v>181</v>
      </c>
      <c r="I273" s="39">
        <v>46198.0</v>
      </c>
      <c r="J273" s="39">
        <v>46159.0</v>
      </c>
      <c r="K273" s="39">
        <v>46159.0</v>
      </c>
      <c r="L273" s="40">
        <v>0.0</v>
      </c>
      <c r="M273" s="40">
        <v>2233.5</v>
      </c>
    </row>
    <row r="274" ht="15.75" customHeight="1">
      <c r="A274" s="33" t="s">
        <v>1893</v>
      </c>
      <c r="B274" s="39">
        <v>45749.0</v>
      </c>
      <c r="C274" s="33" t="s">
        <v>178</v>
      </c>
      <c r="D274" s="33" t="s">
        <v>228</v>
      </c>
      <c r="E274" s="33" t="s">
        <v>180</v>
      </c>
      <c r="F274" s="33" t="s">
        <v>181</v>
      </c>
      <c r="G274" s="33" t="s">
        <v>181</v>
      </c>
      <c r="H274" s="33" t="s">
        <v>181</v>
      </c>
      <c r="I274" s="39">
        <v>46225.0</v>
      </c>
      <c r="J274" s="39">
        <v>46239.0</v>
      </c>
      <c r="K274" s="39">
        <v>45932.0</v>
      </c>
      <c r="L274" s="40">
        <v>0.0</v>
      </c>
      <c r="M274" s="40">
        <v>3275.2</v>
      </c>
    </row>
    <row r="275" ht="15.75" customHeight="1">
      <c r="A275" s="33" t="s">
        <v>1089</v>
      </c>
      <c r="B275" s="39">
        <v>46239.0</v>
      </c>
      <c r="C275" s="33" t="s">
        <v>184</v>
      </c>
      <c r="D275" s="33" t="s">
        <v>179</v>
      </c>
      <c r="E275" s="33" t="s">
        <v>180</v>
      </c>
      <c r="F275" s="33" t="s">
        <v>189</v>
      </c>
      <c r="G275" s="33" t="s">
        <v>189</v>
      </c>
      <c r="H275" s="33" t="s">
        <v>181</v>
      </c>
      <c r="I275" s="39">
        <v>46239.0</v>
      </c>
      <c r="J275" s="33"/>
      <c r="K275" s="33"/>
      <c r="L275" s="40">
        <v>2609.17</v>
      </c>
      <c r="M275" s="40">
        <v>0.0</v>
      </c>
    </row>
    <row r="276" ht="15.75" customHeight="1">
      <c r="A276" s="33" t="s">
        <v>1108</v>
      </c>
      <c r="B276" s="39">
        <v>45911.0</v>
      </c>
      <c r="C276" s="33" t="s">
        <v>178</v>
      </c>
      <c r="D276" s="33" t="s">
        <v>194</v>
      </c>
      <c r="E276" s="33" t="s">
        <v>180</v>
      </c>
      <c r="F276" s="33" t="s">
        <v>181</v>
      </c>
      <c r="G276" s="33" t="s">
        <v>181</v>
      </c>
      <c r="H276" s="33" t="s">
        <v>189</v>
      </c>
      <c r="I276" s="39">
        <v>46246.0</v>
      </c>
      <c r="J276" s="39">
        <v>46207.0</v>
      </c>
      <c r="K276" s="39">
        <v>46197.0</v>
      </c>
      <c r="L276" s="40">
        <v>3685.39</v>
      </c>
      <c r="M276" s="40">
        <v>2158.43</v>
      </c>
    </row>
    <row r="277" ht="15.75" customHeight="1">
      <c r="A277" s="33" t="s">
        <v>1096</v>
      </c>
      <c r="B277" s="39">
        <v>45950.0</v>
      </c>
      <c r="C277" s="33" t="s">
        <v>178</v>
      </c>
      <c r="D277" s="33" t="s">
        <v>237</v>
      </c>
      <c r="E277" s="33" t="s">
        <v>180</v>
      </c>
      <c r="F277" s="33" t="s">
        <v>181</v>
      </c>
      <c r="G277" s="33" t="s">
        <v>189</v>
      </c>
      <c r="H277" s="33" t="s">
        <v>189</v>
      </c>
      <c r="I277" s="39">
        <v>46211.0</v>
      </c>
      <c r="J277" s="33"/>
      <c r="K277" s="33"/>
      <c r="L277" s="40">
        <v>0.0</v>
      </c>
      <c r="M277" s="40">
        <v>454.01</v>
      </c>
    </row>
    <row r="278" ht="15.75" customHeight="1">
      <c r="A278" s="33" t="s">
        <v>793</v>
      </c>
      <c r="B278" s="39">
        <v>45941.0</v>
      </c>
      <c r="C278" s="33" t="s">
        <v>178</v>
      </c>
      <c r="D278" s="33" t="s">
        <v>237</v>
      </c>
      <c r="E278" s="33" t="s">
        <v>180</v>
      </c>
      <c r="F278" s="33" t="s">
        <v>189</v>
      </c>
      <c r="G278" s="33" t="s">
        <v>181</v>
      </c>
      <c r="H278" s="33" t="s">
        <v>181</v>
      </c>
      <c r="I278" s="39">
        <v>46222.0</v>
      </c>
      <c r="J278" s="39">
        <v>46244.0</v>
      </c>
      <c r="K278" s="39">
        <v>46083.0</v>
      </c>
      <c r="L278" s="40">
        <v>0.0</v>
      </c>
      <c r="M278" s="40">
        <v>0.0</v>
      </c>
    </row>
    <row r="279" ht="15.75" customHeight="1">
      <c r="A279" s="33" t="s">
        <v>1555</v>
      </c>
      <c r="B279" s="39">
        <v>46133.0</v>
      </c>
      <c r="C279" s="33" t="s">
        <v>178</v>
      </c>
      <c r="D279" s="33" t="s">
        <v>179</v>
      </c>
      <c r="E279" s="33" t="s">
        <v>180</v>
      </c>
      <c r="F279" s="33" t="s">
        <v>181</v>
      </c>
      <c r="G279" s="33" t="s">
        <v>189</v>
      </c>
      <c r="H279" s="33" t="s">
        <v>189</v>
      </c>
      <c r="I279" s="39">
        <v>46232.0</v>
      </c>
      <c r="J279" s="33"/>
      <c r="K279" s="33"/>
      <c r="L279" s="40">
        <v>0.0</v>
      </c>
      <c r="M279" s="40">
        <v>3230.47</v>
      </c>
    </row>
    <row r="280" ht="15.75" customHeight="1">
      <c r="A280" s="33" t="s">
        <v>2088</v>
      </c>
      <c r="B280" s="39">
        <v>45697.0</v>
      </c>
      <c r="C280" s="33" t="s">
        <v>202</v>
      </c>
      <c r="D280" s="33" t="s">
        <v>196</v>
      </c>
      <c r="E280" s="33" t="s">
        <v>180</v>
      </c>
      <c r="F280" s="33" t="s">
        <v>181</v>
      </c>
      <c r="G280" s="33" t="s">
        <v>189</v>
      </c>
      <c r="H280" s="33" t="s">
        <v>181</v>
      </c>
      <c r="I280" s="39">
        <v>46199.0</v>
      </c>
      <c r="J280" s="33"/>
      <c r="K280" s="33"/>
      <c r="L280" s="40">
        <v>14027.22</v>
      </c>
      <c r="M280" s="40">
        <v>3968.05</v>
      </c>
    </row>
    <row r="281" ht="15.75" customHeight="1">
      <c r="A281" s="33" t="s">
        <v>2092</v>
      </c>
      <c r="B281" s="39">
        <v>45708.0</v>
      </c>
      <c r="C281" s="33" t="s">
        <v>202</v>
      </c>
      <c r="D281" s="33" t="s">
        <v>237</v>
      </c>
      <c r="E281" s="33" t="s">
        <v>180</v>
      </c>
      <c r="F281" s="33" t="s">
        <v>181</v>
      </c>
      <c r="G281" s="33" t="s">
        <v>189</v>
      </c>
      <c r="H281" s="33" t="s">
        <v>189</v>
      </c>
      <c r="I281" s="39">
        <v>46265.0</v>
      </c>
      <c r="J281" s="33"/>
      <c r="K281" s="33"/>
      <c r="L281" s="40">
        <v>6605.83</v>
      </c>
      <c r="M281" s="40">
        <v>1939.57</v>
      </c>
    </row>
    <row r="282" ht="15.75" customHeight="1">
      <c r="A282" s="33" t="s">
        <v>2098</v>
      </c>
      <c r="B282" s="39">
        <v>45825.0</v>
      </c>
      <c r="C282" s="33" t="s">
        <v>178</v>
      </c>
      <c r="D282" s="33" t="s">
        <v>200</v>
      </c>
      <c r="E282" s="33" t="s">
        <v>180</v>
      </c>
      <c r="F282" s="33" t="s">
        <v>181</v>
      </c>
      <c r="G282" s="33" t="s">
        <v>181</v>
      </c>
      <c r="H282" s="33" t="s">
        <v>189</v>
      </c>
      <c r="I282" s="39">
        <v>46257.0</v>
      </c>
      <c r="J282" s="39">
        <v>46240.0</v>
      </c>
      <c r="K282" s="39">
        <v>45914.0</v>
      </c>
      <c r="L282" s="40">
        <v>0.0</v>
      </c>
      <c r="M282" s="40">
        <v>333.73</v>
      </c>
    </row>
    <row r="283" ht="15.75" customHeight="1">
      <c r="A283" s="33" t="s">
        <v>375</v>
      </c>
      <c r="B283" s="39">
        <v>45953.0</v>
      </c>
      <c r="C283" s="33" t="s">
        <v>178</v>
      </c>
      <c r="D283" s="33" t="s">
        <v>194</v>
      </c>
      <c r="E283" s="33" t="s">
        <v>330</v>
      </c>
      <c r="F283" s="33" t="s">
        <v>181</v>
      </c>
      <c r="G283" s="33" t="s">
        <v>181</v>
      </c>
      <c r="H283" s="33" t="s">
        <v>189</v>
      </c>
      <c r="I283" s="39">
        <v>46145.0</v>
      </c>
      <c r="J283" s="39">
        <v>46234.0</v>
      </c>
      <c r="K283" s="39">
        <v>46082.0</v>
      </c>
      <c r="L283" s="40">
        <v>17753.61</v>
      </c>
      <c r="M283" s="40">
        <v>0.0</v>
      </c>
    </row>
    <row r="284" ht="15.75" customHeight="1">
      <c r="A284" s="33" t="s">
        <v>2104</v>
      </c>
      <c r="B284" s="39">
        <v>46065.0</v>
      </c>
      <c r="C284" s="33" t="s">
        <v>178</v>
      </c>
      <c r="D284" s="33" t="s">
        <v>185</v>
      </c>
      <c r="E284" s="33" t="s">
        <v>222</v>
      </c>
      <c r="F284" s="33" t="s">
        <v>181</v>
      </c>
      <c r="G284" s="33" t="s">
        <v>181</v>
      </c>
      <c r="H284" s="33" t="s">
        <v>189</v>
      </c>
      <c r="I284" s="39">
        <v>46136.0</v>
      </c>
      <c r="J284" s="39">
        <v>46196.0</v>
      </c>
      <c r="K284" s="39">
        <v>46196.0</v>
      </c>
      <c r="L284" s="40">
        <v>0.0</v>
      </c>
      <c r="M284" s="40">
        <v>1070.63</v>
      </c>
    </row>
    <row r="285" ht="15.75" customHeight="1">
      <c r="A285" s="33" t="s">
        <v>2110</v>
      </c>
      <c r="B285" s="39">
        <v>45955.0</v>
      </c>
      <c r="C285" s="33" t="s">
        <v>178</v>
      </c>
      <c r="D285" s="33" t="s">
        <v>185</v>
      </c>
      <c r="E285" s="33" t="s">
        <v>180</v>
      </c>
      <c r="F285" s="33" t="s">
        <v>181</v>
      </c>
      <c r="G285" s="33" t="s">
        <v>181</v>
      </c>
      <c r="H285" s="33" t="s">
        <v>189</v>
      </c>
      <c r="I285" s="39">
        <v>46216.0</v>
      </c>
      <c r="J285" s="39">
        <v>46135.0</v>
      </c>
      <c r="K285" s="39">
        <v>46135.0</v>
      </c>
      <c r="L285" s="40">
        <v>0.0</v>
      </c>
      <c r="M285" s="40">
        <v>1780.74</v>
      </c>
    </row>
    <row r="286" ht="15.75" customHeight="1">
      <c r="A286" s="33" t="s">
        <v>1183</v>
      </c>
      <c r="B286" s="39">
        <v>45925.0</v>
      </c>
      <c r="C286" s="33" t="s">
        <v>178</v>
      </c>
      <c r="D286" s="33" t="s">
        <v>200</v>
      </c>
      <c r="E286" s="33" t="s">
        <v>330</v>
      </c>
      <c r="F286" s="33" t="s">
        <v>181</v>
      </c>
      <c r="G286" s="33" t="s">
        <v>181</v>
      </c>
      <c r="H286" s="33" t="s">
        <v>189</v>
      </c>
      <c r="I286" s="39">
        <v>45927.0</v>
      </c>
      <c r="J286" s="39">
        <v>46263.0</v>
      </c>
      <c r="K286" s="39">
        <v>46263.0</v>
      </c>
      <c r="L286" s="40">
        <v>22306.47</v>
      </c>
      <c r="M286" s="40">
        <v>0.0</v>
      </c>
    </row>
    <row r="287" ht="15.75" customHeight="1">
      <c r="A287" s="33" t="s">
        <v>1462</v>
      </c>
      <c r="B287" s="39">
        <v>46227.0</v>
      </c>
      <c r="C287" s="33" t="s">
        <v>187</v>
      </c>
      <c r="D287" s="33" t="s">
        <v>200</v>
      </c>
      <c r="E287" s="33" t="s">
        <v>222</v>
      </c>
      <c r="F287" s="33" t="s">
        <v>181</v>
      </c>
      <c r="G287" s="33" t="s">
        <v>181</v>
      </c>
      <c r="H287" s="33" t="s">
        <v>181</v>
      </c>
      <c r="I287" s="39">
        <v>46145.0</v>
      </c>
      <c r="J287" s="39">
        <v>46159.0</v>
      </c>
      <c r="K287" s="33"/>
      <c r="L287" s="40">
        <v>0.0</v>
      </c>
      <c r="M287" s="40">
        <v>605.48</v>
      </c>
    </row>
    <row r="288" ht="15.75" customHeight="1">
      <c r="A288" s="33" t="s">
        <v>571</v>
      </c>
      <c r="B288" s="39">
        <v>45755.0</v>
      </c>
      <c r="C288" s="33" t="s">
        <v>178</v>
      </c>
      <c r="D288" s="33" t="s">
        <v>200</v>
      </c>
      <c r="E288" s="33" t="s">
        <v>180</v>
      </c>
      <c r="F288" s="33" t="s">
        <v>181</v>
      </c>
      <c r="G288" s="33" t="s">
        <v>181</v>
      </c>
      <c r="H288" s="33" t="s">
        <v>189</v>
      </c>
      <c r="I288" s="39">
        <v>46226.0</v>
      </c>
      <c r="J288" s="39">
        <v>46058.0</v>
      </c>
      <c r="K288" s="39">
        <v>46058.0</v>
      </c>
      <c r="L288" s="40">
        <v>0.0</v>
      </c>
      <c r="M288" s="40">
        <v>4517.41</v>
      </c>
    </row>
    <row r="289" ht="15.75" customHeight="1">
      <c r="A289" s="33" t="s">
        <v>1705</v>
      </c>
      <c r="B289" s="39">
        <v>46005.0</v>
      </c>
      <c r="C289" s="33" t="s">
        <v>178</v>
      </c>
      <c r="D289" s="33" t="s">
        <v>185</v>
      </c>
      <c r="E289" s="33" t="s">
        <v>180</v>
      </c>
      <c r="F289" s="33" t="s">
        <v>181</v>
      </c>
      <c r="G289" s="33" t="s">
        <v>181</v>
      </c>
      <c r="H289" s="33" t="s">
        <v>189</v>
      </c>
      <c r="I289" s="39">
        <v>46212.0</v>
      </c>
      <c r="J289" s="39">
        <v>46202.0</v>
      </c>
      <c r="K289" s="39">
        <v>46202.0</v>
      </c>
      <c r="L289" s="40">
        <v>12412.3</v>
      </c>
      <c r="M289" s="40">
        <v>1353.27</v>
      </c>
    </row>
    <row r="290" ht="15.75" customHeight="1">
      <c r="A290" s="33" t="s">
        <v>2132</v>
      </c>
      <c r="B290" s="39">
        <v>45987.0</v>
      </c>
      <c r="C290" s="33" t="s">
        <v>178</v>
      </c>
      <c r="D290" s="33" t="s">
        <v>179</v>
      </c>
      <c r="E290" s="33" t="s">
        <v>180</v>
      </c>
      <c r="F290" s="33" t="s">
        <v>181</v>
      </c>
      <c r="G290" s="33" t="s">
        <v>181</v>
      </c>
      <c r="H290" s="33" t="s">
        <v>189</v>
      </c>
      <c r="I290" s="39">
        <v>46262.0</v>
      </c>
      <c r="J290" s="39">
        <v>46247.0</v>
      </c>
      <c r="K290" s="39">
        <v>46148.0</v>
      </c>
      <c r="L290" s="40">
        <v>0.0</v>
      </c>
      <c r="M290" s="40">
        <v>1967.87</v>
      </c>
    </row>
    <row r="291" ht="15.75" customHeight="1">
      <c r="A291" s="33" t="s">
        <v>1470</v>
      </c>
      <c r="B291" s="39">
        <v>45945.0</v>
      </c>
      <c r="C291" s="33" t="s">
        <v>178</v>
      </c>
      <c r="D291" s="33" t="s">
        <v>237</v>
      </c>
      <c r="E291" s="33" t="s">
        <v>180</v>
      </c>
      <c r="F291" s="33" t="s">
        <v>181</v>
      </c>
      <c r="G291" s="33" t="s">
        <v>181</v>
      </c>
      <c r="H291" s="33" t="s">
        <v>181</v>
      </c>
      <c r="I291" s="39">
        <v>46216.0</v>
      </c>
      <c r="J291" s="39">
        <v>46186.0</v>
      </c>
      <c r="K291" s="39">
        <v>45990.0</v>
      </c>
      <c r="L291" s="40">
        <v>0.0</v>
      </c>
      <c r="M291" s="40">
        <v>1168.05</v>
      </c>
    </row>
    <row r="292" ht="15.75" customHeight="1">
      <c r="A292" s="33" t="s">
        <v>257</v>
      </c>
      <c r="B292" s="39">
        <v>46148.0</v>
      </c>
      <c r="C292" s="33" t="s">
        <v>178</v>
      </c>
      <c r="D292" s="33" t="s">
        <v>237</v>
      </c>
      <c r="E292" s="33" t="s">
        <v>180</v>
      </c>
      <c r="F292" s="33" t="s">
        <v>181</v>
      </c>
      <c r="G292" s="33" t="s">
        <v>189</v>
      </c>
      <c r="H292" s="33" t="s">
        <v>181</v>
      </c>
      <c r="I292" s="39">
        <v>46213.0</v>
      </c>
      <c r="J292" s="33"/>
      <c r="K292" s="33"/>
      <c r="L292" s="40">
        <v>48451.33</v>
      </c>
      <c r="M292" s="40">
        <v>2774.92</v>
      </c>
    </row>
    <row r="293" ht="15.75" customHeight="1">
      <c r="A293" s="33" t="s">
        <v>2141</v>
      </c>
      <c r="B293" s="39">
        <v>45820.0</v>
      </c>
      <c r="C293" s="33" t="s">
        <v>178</v>
      </c>
      <c r="D293" s="33" t="s">
        <v>200</v>
      </c>
      <c r="E293" s="33" t="s">
        <v>180</v>
      </c>
      <c r="F293" s="33" t="s">
        <v>189</v>
      </c>
      <c r="G293" s="33" t="s">
        <v>189</v>
      </c>
      <c r="H293" s="33" t="s">
        <v>189</v>
      </c>
      <c r="I293" s="39">
        <v>46239.0</v>
      </c>
      <c r="J293" s="33"/>
      <c r="K293" s="33"/>
      <c r="L293" s="40">
        <v>0.0</v>
      </c>
      <c r="M293" s="40">
        <v>0.0</v>
      </c>
    </row>
    <row r="294" ht="15.75" customHeight="1">
      <c r="A294" s="33" t="s">
        <v>2066</v>
      </c>
      <c r="B294" s="39">
        <v>46236.0</v>
      </c>
      <c r="C294" s="33" t="s">
        <v>184</v>
      </c>
      <c r="D294" s="33" t="s">
        <v>188</v>
      </c>
      <c r="E294" s="33" t="s">
        <v>180</v>
      </c>
      <c r="F294" s="33" t="s">
        <v>181</v>
      </c>
      <c r="G294" s="33" t="s">
        <v>181</v>
      </c>
      <c r="H294" s="33" t="s">
        <v>189</v>
      </c>
      <c r="I294" s="39">
        <v>46261.0</v>
      </c>
      <c r="J294" s="39">
        <v>46165.0</v>
      </c>
      <c r="K294" s="39">
        <v>45993.0</v>
      </c>
      <c r="L294" s="40">
        <v>0.0</v>
      </c>
      <c r="M294" s="40">
        <v>4515.94</v>
      </c>
    </row>
    <row r="295" ht="15.75" customHeight="1">
      <c r="A295" s="33" t="s">
        <v>1402</v>
      </c>
      <c r="B295" s="39">
        <v>45859.0</v>
      </c>
      <c r="C295" s="33" t="s">
        <v>178</v>
      </c>
      <c r="D295" s="33" t="s">
        <v>185</v>
      </c>
      <c r="E295" s="33" t="s">
        <v>330</v>
      </c>
      <c r="F295" s="33" t="s">
        <v>181</v>
      </c>
      <c r="G295" s="33" t="s">
        <v>181</v>
      </c>
      <c r="H295" s="33" t="s">
        <v>189</v>
      </c>
      <c r="I295" s="39">
        <v>46053.0</v>
      </c>
      <c r="J295" s="39">
        <v>46249.0</v>
      </c>
      <c r="K295" s="39">
        <v>46215.0</v>
      </c>
      <c r="L295" s="40">
        <v>36048.91</v>
      </c>
      <c r="M295" s="40">
        <v>0.0</v>
      </c>
    </row>
    <row r="296" ht="15.75" customHeight="1">
      <c r="A296" s="33" t="s">
        <v>2154</v>
      </c>
      <c r="B296" s="39">
        <v>45988.0</v>
      </c>
      <c r="C296" s="33" t="s">
        <v>202</v>
      </c>
      <c r="D296" s="33" t="s">
        <v>185</v>
      </c>
      <c r="E296" s="33" t="s">
        <v>180</v>
      </c>
      <c r="F296" s="33" t="s">
        <v>189</v>
      </c>
      <c r="G296" s="33" t="s">
        <v>181</v>
      </c>
      <c r="H296" s="33" t="s">
        <v>189</v>
      </c>
      <c r="I296" s="39">
        <v>46202.0</v>
      </c>
      <c r="J296" s="39">
        <v>46069.0</v>
      </c>
      <c r="K296" s="39">
        <v>45961.0</v>
      </c>
      <c r="L296" s="40">
        <v>0.0</v>
      </c>
      <c r="M296" s="40">
        <v>0.0</v>
      </c>
    </row>
    <row r="297" ht="15.75" customHeight="1">
      <c r="A297" s="33" t="s">
        <v>2158</v>
      </c>
      <c r="B297" s="39">
        <v>45974.0</v>
      </c>
      <c r="C297" s="33" t="s">
        <v>202</v>
      </c>
      <c r="D297" s="33" t="s">
        <v>200</v>
      </c>
      <c r="E297" s="33" t="s">
        <v>180</v>
      </c>
      <c r="F297" s="33" t="s">
        <v>181</v>
      </c>
      <c r="G297" s="33" t="s">
        <v>181</v>
      </c>
      <c r="H297" s="33" t="s">
        <v>189</v>
      </c>
      <c r="I297" s="39">
        <v>46210.0</v>
      </c>
      <c r="J297" s="39">
        <v>46258.0</v>
      </c>
      <c r="K297" s="39">
        <v>46258.0</v>
      </c>
      <c r="L297" s="40">
        <v>0.0</v>
      </c>
      <c r="M297" s="40">
        <v>2522.28</v>
      </c>
    </row>
    <row r="298" ht="15.75" customHeight="1">
      <c r="A298" s="33" t="s">
        <v>250</v>
      </c>
      <c r="B298" s="39">
        <v>46173.0</v>
      </c>
      <c r="C298" s="33" t="s">
        <v>178</v>
      </c>
      <c r="D298" s="33" t="s">
        <v>196</v>
      </c>
      <c r="E298" s="33" t="s">
        <v>180</v>
      </c>
      <c r="F298" s="33" t="s">
        <v>181</v>
      </c>
      <c r="G298" s="33" t="s">
        <v>181</v>
      </c>
      <c r="H298" s="33" t="s">
        <v>181</v>
      </c>
      <c r="I298" s="39">
        <v>46196.0</v>
      </c>
      <c r="J298" s="39">
        <v>46215.0</v>
      </c>
      <c r="K298" s="39">
        <v>46215.0</v>
      </c>
      <c r="L298" s="40">
        <v>0.0</v>
      </c>
      <c r="M298" s="40">
        <v>1009.48</v>
      </c>
    </row>
    <row r="299" ht="15.75" customHeight="1">
      <c r="A299" s="33" t="s">
        <v>1244</v>
      </c>
      <c r="B299" s="39">
        <v>45924.0</v>
      </c>
      <c r="C299" s="33" t="s">
        <v>178</v>
      </c>
      <c r="D299" s="33" t="s">
        <v>196</v>
      </c>
      <c r="E299" s="33" t="s">
        <v>180</v>
      </c>
      <c r="F299" s="33" t="s">
        <v>181</v>
      </c>
      <c r="G299" s="33" t="s">
        <v>181</v>
      </c>
      <c r="H299" s="33" t="s">
        <v>189</v>
      </c>
      <c r="I299" s="39">
        <v>46205.0</v>
      </c>
      <c r="J299" s="39">
        <v>46243.0</v>
      </c>
      <c r="K299" s="39">
        <v>46243.0</v>
      </c>
      <c r="L299" s="40">
        <v>0.0</v>
      </c>
      <c r="M299" s="40">
        <v>2728.91</v>
      </c>
    </row>
    <row r="300" ht="15.75" customHeight="1">
      <c r="A300" s="33" t="s">
        <v>2172</v>
      </c>
      <c r="B300" s="39">
        <v>45830.0</v>
      </c>
      <c r="C300" s="33" t="s">
        <v>184</v>
      </c>
      <c r="D300" s="33" t="s">
        <v>237</v>
      </c>
      <c r="E300" s="33" t="s">
        <v>222</v>
      </c>
      <c r="F300" s="33" t="s">
        <v>181</v>
      </c>
      <c r="G300" s="33" t="s">
        <v>189</v>
      </c>
      <c r="H300" s="33" t="s">
        <v>181</v>
      </c>
      <c r="I300" s="39">
        <v>46214.0</v>
      </c>
      <c r="J300" s="33"/>
      <c r="K300" s="33"/>
      <c r="L300" s="40">
        <v>0.0</v>
      </c>
      <c r="M300" s="40">
        <v>1748.77</v>
      </c>
    </row>
    <row r="301" ht="15.75" customHeight="1">
      <c r="A301" s="33" t="s">
        <v>1368</v>
      </c>
      <c r="B301" s="39">
        <v>45671.0</v>
      </c>
      <c r="C301" s="33" t="s">
        <v>184</v>
      </c>
      <c r="D301" s="33" t="s">
        <v>200</v>
      </c>
      <c r="E301" s="33" t="s">
        <v>180</v>
      </c>
      <c r="F301" s="33" t="s">
        <v>181</v>
      </c>
      <c r="G301" s="33" t="s">
        <v>181</v>
      </c>
      <c r="H301" s="33" t="s">
        <v>181</v>
      </c>
      <c r="I301" s="39">
        <v>46225.0</v>
      </c>
      <c r="J301" s="39">
        <v>46222.0</v>
      </c>
      <c r="K301" s="39">
        <v>46094.0</v>
      </c>
      <c r="L301" s="40">
        <v>0.0</v>
      </c>
      <c r="M301" s="40">
        <v>3148.07</v>
      </c>
    </row>
    <row r="302" ht="15.75" customHeight="1">
      <c r="A302" s="33" t="s">
        <v>2183</v>
      </c>
      <c r="B302" s="39">
        <v>45878.0</v>
      </c>
      <c r="C302" s="33" t="s">
        <v>178</v>
      </c>
      <c r="D302" s="33" t="s">
        <v>185</v>
      </c>
      <c r="E302" s="33" t="s">
        <v>180</v>
      </c>
      <c r="F302" s="33" t="s">
        <v>181</v>
      </c>
      <c r="G302" s="33" t="s">
        <v>189</v>
      </c>
      <c r="H302" s="33" t="s">
        <v>181</v>
      </c>
      <c r="I302" s="39">
        <v>46186.0</v>
      </c>
      <c r="J302" s="33"/>
      <c r="K302" s="33"/>
      <c r="L302" s="40">
        <v>0.0</v>
      </c>
      <c r="M302" s="40">
        <v>2088.44</v>
      </c>
    </row>
    <row r="303" ht="15.75" customHeight="1">
      <c r="A303" s="33" t="s">
        <v>2187</v>
      </c>
      <c r="B303" s="39">
        <v>46159.0</v>
      </c>
      <c r="C303" s="33" t="s">
        <v>178</v>
      </c>
      <c r="D303" s="33" t="s">
        <v>200</v>
      </c>
      <c r="E303" s="33" t="s">
        <v>180</v>
      </c>
      <c r="F303" s="33" t="s">
        <v>181</v>
      </c>
      <c r="G303" s="33" t="s">
        <v>181</v>
      </c>
      <c r="H303" s="33" t="s">
        <v>189</v>
      </c>
      <c r="I303" s="39">
        <v>46240.0</v>
      </c>
      <c r="J303" s="39">
        <v>46148.0</v>
      </c>
      <c r="K303" s="39">
        <v>46148.0</v>
      </c>
      <c r="L303" s="40">
        <v>34405.55</v>
      </c>
      <c r="M303" s="40">
        <v>6225.81</v>
      </c>
    </row>
    <row r="304" ht="15.75" customHeight="1">
      <c r="A304" s="33" t="s">
        <v>1176</v>
      </c>
      <c r="B304" s="39">
        <v>45664.0</v>
      </c>
      <c r="C304" s="33" t="s">
        <v>178</v>
      </c>
      <c r="D304" s="33" t="s">
        <v>179</v>
      </c>
      <c r="E304" s="33" t="s">
        <v>180</v>
      </c>
      <c r="F304" s="33" t="s">
        <v>181</v>
      </c>
      <c r="G304" s="33" t="s">
        <v>181</v>
      </c>
      <c r="H304" s="33" t="s">
        <v>189</v>
      </c>
      <c r="I304" s="39">
        <v>46178.0</v>
      </c>
      <c r="J304" s="39">
        <v>46112.0</v>
      </c>
      <c r="K304" s="39">
        <v>45770.0</v>
      </c>
      <c r="L304" s="40">
        <v>20490.32</v>
      </c>
      <c r="M304" s="40">
        <v>1175.98</v>
      </c>
    </row>
    <row r="305" ht="15.75" customHeight="1">
      <c r="A305" s="33" t="s">
        <v>1662</v>
      </c>
      <c r="B305" s="39">
        <v>46201.0</v>
      </c>
      <c r="C305" s="33" t="s">
        <v>202</v>
      </c>
      <c r="D305" s="33" t="s">
        <v>179</v>
      </c>
      <c r="E305" s="33" t="s">
        <v>180</v>
      </c>
      <c r="F305" s="33" t="s">
        <v>189</v>
      </c>
      <c r="G305" s="33" t="s">
        <v>189</v>
      </c>
      <c r="H305" s="33" t="s">
        <v>189</v>
      </c>
      <c r="I305" s="39">
        <v>46260.0</v>
      </c>
      <c r="J305" s="33"/>
      <c r="K305" s="33"/>
      <c r="L305" s="40">
        <v>10299.64</v>
      </c>
      <c r="M305" s="40">
        <v>0.0</v>
      </c>
    </row>
    <row r="306" ht="15.75" customHeight="1">
      <c r="A306" s="33" t="s">
        <v>2197</v>
      </c>
      <c r="B306" s="39">
        <v>45987.0</v>
      </c>
      <c r="C306" s="33" t="s">
        <v>187</v>
      </c>
      <c r="D306" s="33" t="s">
        <v>200</v>
      </c>
      <c r="E306" s="33" t="s">
        <v>222</v>
      </c>
      <c r="F306" s="33" t="s">
        <v>181</v>
      </c>
      <c r="G306" s="33" t="s">
        <v>181</v>
      </c>
      <c r="H306" s="33" t="s">
        <v>189</v>
      </c>
      <c r="I306" s="39">
        <v>46185.0</v>
      </c>
      <c r="J306" s="39">
        <v>46227.0</v>
      </c>
      <c r="K306" s="39">
        <v>46227.0</v>
      </c>
      <c r="L306" s="40">
        <v>18458.46</v>
      </c>
      <c r="M306" s="40">
        <v>554.36</v>
      </c>
    </row>
    <row r="307" ht="15.75" customHeight="1">
      <c r="A307" s="33" t="s">
        <v>2201</v>
      </c>
      <c r="B307" s="39">
        <v>45743.0</v>
      </c>
      <c r="C307" s="33" t="s">
        <v>178</v>
      </c>
      <c r="D307" s="33" t="s">
        <v>196</v>
      </c>
      <c r="E307" s="33" t="s">
        <v>180</v>
      </c>
      <c r="F307" s="33" t="s">
        <v>181</v>
      </c>
      <c r="G307" s="33" t="s">
        <v>189</v>
      </c>
      <c r="H307" s="33" t="s">
        <v>189</v>
      </c>
      <c r="I307" s="39">
        <v>46234.0</v>
      </c>
      <c r="J307" s="33"/>
      <c r="K307" s="33"/>
      <c r="L307" s="40">
        <v>0.0</v>
      </c>
      <c r="M307" s="40">
        <v>1099.87</v>
      </c>
    </row>
    <row r="308" ht="15.75" customHeight="1">
      <c r="A308" s="33" t="s">
        <v>1253</v>
      </c>
      <c r="B308" s="39">
        <v>45841.0</v>
      </c>
      <c r="C308" s="33" t="s">
        <v>178</v>
      </c>
      <c r="D308" s="33" t="s">
        <v>228</v>
      </c>
      <c r="E308" s="33" t="s">
        <v>180</v>
      </c>
      <c r="F308" s="33" t="s">
        <v>181</v>
      </c>
      <c r="G308" s="33" t="s">
        <v>181</v>
      </c>
      <c r="H308" s="33" t="s">
        <v>189</v>
      </c>
      <c r="I308" s="39">
        <v>46210.0</v>
      </c>
      <c r="J308" s="39">
        <v>46123.0</v>
      </c>
      <c r="K308" s="39">
        <v>46078.0</v>
      </c>
      <c r="L308" s="40">
        <v>5686.88</v>
      </c>
      <c r="M308" s="40">
        <v>1114.84</v>
      </c>
    </row>
    <row r="309" ht="15.75" customHeight="1">
      <c r="A309" s="33" t="s">
        <v>1266</v>
      </c>
      <c r="B309" s="39">
        <v>45994.0</v>
      </c>
      <c r="C309" s="33" t="s">
        <v>184</v>
      </c>
      <c r="D309" s="33" t="s">
        <v>237</v>
      </c>
      <c r="E309" s="33" t="s">
        <v>180</v>
      </c>
      <c r="F309" s="33" t="s">
        <v>189</v>
      </c>
      <c r="G309" s="33" t="s">
        <v>181</v>
      </c>
      <c r="H309" s="33" t="s">
        <v>189</v>
      </c>
      <c r="I309" s="39">
        <v>46250.0</v>
      </c>
      <c r="J309" s="39">
        <v>46228.0</v>
      </c>
      <c r="K309" s="39">
        <v>46111.0</v>
      </c>
      <c r="L309" s="40">
        <v>13243.62</v>
      </c>
      <c r="M309" s="40">
        <v>0.0</v>
      </c>
    </row>
    <row r="310" ht="15.75" customHeight="1">
      <c r="A310" s="33" t="s">
        <v>731</v>
      </c>
      <c r="B310" s="39">
        <v>45849.0</v>
      </c>
      <c r="C310" s="33" t="s">
        <v>178</v>
      </c>
      <c r="D310" s="33" t="s">
        <v>200</v>
      </c>
      <c r="E310" s="33" t="s">
        <v>180</v>
      </c>
      <c r="F310" s="33" t="s">
        <v>181</v>
      </c>
      <c r="G310" s="33" t="s">
        <v>181</v>
      </c>
      <c r="H310" s="33" t="s">
        <v>189</v>
      </c>
      <c r="I310" s="39">
        <v>46245.0</v>
      </c>
      <c r="J310" s="39">
        <v>46262.0</v>
      </c>
      <c r="K310" s="39">
        <v>46221.0</v>
      </c>
      <c r="L310" s="40">
        <v>0.0</v>
      </c>
      <c r="M310" s="40">
        <v>1585.59</v>
      </c>
    </row>
    <row r="311" ht="15.75" customHeight="1">
      <c r="A311" s="33" t="s">
        <v>2217</v>
      </c>
      <c r="B311" s="39">
        <v>45723.0</v>
      </c>
      <c r="C311" s="33" t="s">
        <v>202</v>
      </c>
      <c r="D311" s="33" t="s">
        <v>185</v>
      </c>
      <c r="E311" s="33" t="s">
        <v>180</v>
      </c>
      <c r="F311" s="33" t="s">
        <v>181</v>
      </c>
      <c r="G311" s="33" t="s">
        <v>189</v>
      </c>
      <c r="H311" s="33" t="s">
        <v>189</v>
      </c>
      <c r="I311" s="39">
        <v>46206.0</v>
      </c>
      <c r="J311" s="33"/>
      <c r="K311" s="33"/>
      <c r="L311" s="40">
        <v>0.0</v>
      </c>
      <c r="M311" s="40">
        <v>1278.27</v>
      </c>
    </row>
    <row r="312" ht="15.75" customHeight="1">
      <c r="A312" s="33" t="s">
        <v>2221</v>
      </c>
      <c r="B312" s="39">
        <v>46062.0</v>
      </c>
      <c r="C312" s="33" t="s">
        <v>187</v>
      </c>
      <c r="D312" s="33" t="s">
        <v>196</v>
      </c>
      <c r="E312" s="33" t="s">
        <v>180</v>
      </c>
      <c r="F312" s="33" t="s">
        <v>181</v>
      </c>
      <c r="G312" s="33" t="s">
        <v>181</v>
      </c>
      <c r="H312" s="33" t="s">
        <v>189</v>
      </c>
      <c r="I312" s="39">
        <v>46240.0</v>
      </c>
      <c r="J312" s="39">
        <v>46252.0</v>
      </c>
      <c r="K312" s="39">
        <v>46241.0</v>
      </c>
      <c r="L312" s="40">
        <v>0.0</v>
      </c>
      <c r="M312" s="40">
        <v>1968.89</v>
      </c>
    </row>
    <row r="313" ht="15.75" customHeight="1">
      <c r="A313" s="33" t="s">
        <v>2226</v>
      </c>
      <c r="B313" s="39">
        <v>46066.0</v>
      </c>
      <c r="C313" s="33" t="s">
        <v>178</v>
      </c>
      <c r="D313" s="33" t="s">
        <v>228</v>
      </c>
      <c r="E313" s="33" t="s">
        <v>180</v>
      </c>
      <c r="F313" s="33" t="s">
        <v>181</v>
      </c>
      <c r="G313" s="33" t="s">
        <v>189</v>
      </c>
      <c r="H313" s="33" t="s">
        <v>189</v>
      </c>
      <c r="I313" s="39">
        <v>46186.0</v>
      </c>
      <c r="J313" s="33"/>
      <c r="K313" s="33"/>
      <c r="L313" s="40">
        <v>0.0</v>
      </c>
      <c r="M313" s="40">
        <v>358.96</v>
      </c>
    </row>
    <row r="314" ht="15.75" customHeight="1">
      <c r="A314" s="33" t="s">
        <v>2229</v>
      </c>
      <c r="B314" s="39">
        <v>45730.0</v>
      </c>
      <c r="C314" s="33" t="s">
        <v>178</v>
      </c>
      <c r="D314" s="33" t="s">
        <v>194</v>
      </c>
      <c r="E314" s="33" t="s">
        <v>180</v>
      </c>
      <c r="F314" s="33" t="s">
        <v>181</v>
      </c>
      <c r="G314" s="33" t="s">
        <v>189</v>
      </c>
      <c r="H314" s="33" t="s">
        <v>189</v>
      </c>
      <c r="I314" s="39">
        <v>46187.0</v>
      </c>
      <c r="J314" s="33"/>
      <c r="K314" s="33"/>
      <c r="L314" s="40">
        <v>0.0</v>
      </c>
      <c r="M314" s="40">
        <v>1272.97</v>
      </c>
    </row>
    <row r="315" ht="15.75" customHeight="1">
      <c r="A315" s="33" t="s">
        <v>2123</v>
      </c>
      <c r="B315" s="39">
        <v>45828.0</v>
      </c>
      <c r="C315" s="33" t="s">
        <v>178</v>
      </c>
      <c r="D315" s="33" t="s">
        <v>200</v>
      </c>
      <c r="E315" s="33" t="s">
        <v>330</v>
      </c>
      <c r="F315" s="33" t="s">
        <v>181</v>
      </c>
      <c r="G315" s="33" t="s">
        <v>181</v>
      </c>
      <c r="H315" s="33" t="s">
        <v>189</v>
      </c>
      <c r="I315" s="39">
        <v>45888.0</v>
      </c>
      <c r="J315" s="39">
        <v>46233.0</v>
      </c>
      <c r="K315" s="39">
        <v>45995.0</v>
      </c>
      <c r="L315" s="40">
        <v>11831.51</v>
      </c>
      <c r="M315" s="40">
        <v>0.0</v>
      </c>
    </row>
    <row r="316" ht="15.75" customHeight="1">
      <c r="A316" s="33" t="s">
        <v>783</v>
      </c>
      <c r="B316" s="39">
        <v>45806.0</v>
      </c>
      <c r="C316" s="33" t="s">
        <v>184</v>
      </c>
      <c r="D316" s="33" t="s">
        <v>237</v>
      </c>
      <c r="E316" s="33" t="s">
        <v>180</v>
      </c>
      <c r="F316" s="33" t="s">
        <v>181</v>
      </c>
      <c r="G316" s="33" t="s">
        <v>181</v>
      </c>
      <c r="H316" s="33" t="s">
        <v>189</v>
      </c>
      <c r="I316" s="39">
        <v>46215.0</v>
      </c>
      <c r="J316" s="39">
        <v>46252.0</v>
      </c>
      <c r="K316" s="39">
        <v>46118.0</v>
      </c>
      <c r="L316" s="40">
        <v>6938.76</v>
      </c>
      <c r="M316" s="40">
        <v>2883.37</v>
      </c>
    </row>
    <row r="317" ht="15.75" customHeight="1">
      <c r="A317" s="33" t="s">
        <v>2242</v>
      </c>
      <c r="B317" s="39">
        <v>46058.0</v>
      </c>
      <c r="C317" s="33" t="s">
        <v>178</v>
      </c>
      <c r="D317" s="33" t="s">
        <v>237</v>
      </c>
      <c r="E317" s="33" t="s">
        <v>180</v>
      </c>
      <c r="F317" s="33" t="s">
        <v>189</v>
      </c>
      <c r="G317" s="33" t="s">
        <v>189</v>
      </c>
      <c r="H317" s="33" t="s">
        <v>181</v>
      </c>
      <c r="I317" s="39">
        <v>46236.0</v>
      </c>
      <c r="J317" s="33"/>
      <c r="K317" s="33"/>
      <c r="L317" s="40">
        <v>0.0</v>
      </c>
      <c r="M317" s="40">
        <v>0.0</v>
      </c>
    </row>
    <row r="318" ht="15.75" customHeight="1">
      <c r="A318" s="33" t="s">
        <v>1082</v>
      </c>
      <c r="B318" s="39">
        <v>46101.0</v>
      </c>
      <c r="C318" s="33" t="s">
        <v>178</v>
      </c>
      <c r="D318" s="33" t="s">
        <v>228</v>
      </c>
      <c r="E318" s="33" t="s">
        <v>180</v>
      </c>
      <c r="F318" s="33" t="s">
        <v>181</v>
      </c>
      <c r="G318" s="33" t="s">
        <v>189</v>
      </c>
      <c r="H318" s="33" t="s">
        <v>189</v>
      </c>
      <c r="I318" s="39">
        <v>46234.0</v>
      </c>
      <c r="J318" s="33"/>
      <c r="K318" s="33"/>
      <c r="L318" s="40">
        <v>8476.75</v>
      </c>
      <c r="M318" s="40">
        <v>800.72</v>
      </c>
    </row>
    <row r="319" ht="15.75" customHeight="1">
      <c r="A319" s="33" t="s">
        <v>1941</v>
      </c>
      <c r="B319" s="39">
        <v>46099.0</v>
      </c>
      <c r="C319" s="33" t="s">
        <v>178</v>
      </c>
      <c r="D319" s="33" t="s">
        <v>188</v>
      </c>
      <c r="E319" s="33" t="s">
        <v>180</v>
      </c>
      <c r="F319" s="33" t="s">
        <v>181</v>
      </c>
      <c r="G319" s="33" t="s">
        <v>181</v>
      </c>
      <c r="H319" s="33" t="s">
        <v>189</v>
      </c>
      <c r="I319" s="39">
        <v>46205.0</v>
      </c>
      <c r="J319" s="39">
        <v>46240.0</v>
      </c>
      <c r="K319" s="39">
        <v>46240.0</v>
      </c>
      <c r="L319" s="40">
        <v>0.0</v>
      </c>
      <c r="M319" s="40">
        <v>767.63</v>
      </c>
    </row>
    <row r="320" ht="15.75" customHeight="1">
      <c r="A320" s="33" t="s">
        <v>2255</v>
      </c>
      <c r="B320" s="39">
        <v>46227.0</v>
      </c>
      <c r="C320" s="33" t="s">
        <v>178</v>
      </c>
      <c r="D320" s="33" t="s">
        <v>228</v>
      </c>
      <c r="E320" s="33" t="s">
        <v>180</v>
      </c>
      <c r="F320" s="33" t="s">
        <v>181</v>
      </c>
      <c r="G320" s="33" t="s">
        <v>181</v>
      </c>
      <c r="H320" s="33" t="s">
        <v>189</v>
      </c>
      <c r="I320" s="39">
        <v>46239.0</v>
      </c>
      <c r="J320" s="39">
        <v>46247.0</v>
      </c>
      <c r="K320" s="39">
        <v>46119.0</v>
      </c>
      <c r="L320" s="40">
        <v>0.0</v>
      </c>
      <c r="M320" s="40">
        <v>1721.26</v>
      </c>
    </row>
    <row r="321" ht="15.75" customHeight="1">
      <c r="A321" s="33" t="s">
        <v>1485</v>
      </c>
      <c r="B321" s="39">
        <v>46124.0</v>
      </c>
      <c r="C321" s="33" t="s">
        <v>187</v>
      </c>
      <c r="D321" s="33" t="s">
        <v>200</v>
      </c>
      <c r="E321" s="33" t="s">
        <v>180</v>
      </c>
      <c r="F321" s="33" t="s">
        <v>181</v>
      </c>
      <c r="G321" s="33" t="s">
        <v>181</v>
      </c>
      <c r="H321" s="33" t="s">
        <v>189</v>
      </c>
      <c r="I321" s="39">
        <v>46252.0</v>
      </c>
      <c r="J321" s="39">
        <v>46135.0</v>
      </c>
      <c r="K321" s="39">
        <v>45998.0</v>
      </c>
      <c r="L321" s="40">
        <v>31472.78</v>
      </c>
      <c r="M321" s="40">
        <v>3007.04</v>
      </c>
    </row>
    <row r="322" ht="15.75" customHeight="1">
      <c r="A322" s="33" t="s">
        <v>1227</v>
      </c>
      <c r="B322" s="39">
        <v>45852.0</v>
      </c>
      <c r="C322" s="33" t="s">
        <v>178</v>
      </c>
      <c r="D322" s="33" t="s">
        <v>196</v>
      </c>
      <c r="E322" s="33" t="s">
        <v>180</v>
      </c>
      <c r="F322" s="33" t="s">
        <v>181</v>
      </c>
      <c r="G322" s="33" t="s">
        <v>181</v>
      </c>
      <c r="H322" s="33" t="s">
        <v>181</v>
      </c>
      <c r="I322" s="39">
        <v>46242.0</v>
      </c>
      <c r="J322" s="39">
        <v>46256.0</v>
      </c>
      <c r="K322" s="39">
        <v>46206.0</v>
      </c>
      <c r="L322" s="40">
        <v>0.0</v>
      </c>
      <c r="M322" s="40">
        <v>74.0</v>
      </c>
    </row>
    <row r="323" ht="15.75" customHeight="1">
      <c r="A323" s="33" t="s">
        <v>2269</v>
      </c>
      <c r="B323" s="39">
        <v>45723.0</v>
      </c>
      <c r="C323" s="33" t="s">
        <v>202</v>
      </c>
      <c r="D323" s="33" t="s">
        <v>188</v>
      </c>
      <c r="E323" s="33" t="s">
        <v>180</v>
      </c>
      <c r="F323" s="33" t="s">
        <v>181</v>
      </c>
      <c r="G323" s="33" t="s">
        <v>189</v>
      </c>
      <c r="H323" s="33" t="s">
        <v>189</v>
      </c>
      <c r="I323" s="39">
        <v>46182.0</v>
      </c>
      <c r="J323" s="33"/>
      <c r="K323" s="33"/>
      <c r="L323" s="40">
        <v>0.0</v>
      </c>
      <c r="M323" s="40">
        <v>2790.7</v>
      </c>
    </row>
    <row r="324" ht="15.75" customHeight="1">
      <c r="A324" s="33" t="s">
        <v>575</v>
      </c>
      <c r="B324" s="39">
        <v>46031.0</v>
      </c>
      <c r="C324" s="33" t="s">
        <v>202</v>
      </c>
      <c r="D324" s="33" t="s">
        <v>237</v>
      </c>
      <c r="E324" s="33" t="s">
        <v>180</v>
      </c>
      <c r="F324" s="33" t="s">
        <v>181</v>
      </c>
      <c r="G324" s="33" t="s">
        <v>181</v>
      </c>
      <c r="H324" s="33" t="s">
        <v>181</v>
      </c>
      <c r="I324" s="39">
        <v>46242.0</v>
      </c>
      <c r="J324" s="39">
        <v>46181.0</v>
      </c>
      <c r="K324" s="39">
        <v>46153.0</v>
      </c>
      <c r="L324" s="40">
        <v>22341.81</v>
      </c>
      <c r="M324" s="40">
        <v>2501.28</v>
      </c>
    </row>
    <row r="325" ht="15.75" customHeight="1">
      <c r="A325" s="33" t="s">
        <v>2277</v>
      </c>
      <c r="B325" s="39">
        <v>46214.0</v>
      </c>
      <c r="C325" s="33" t="s">
        <v>184</v>
      </c>
      <c r="D325" s="33" t="s">
        <v>188</v>
      </c>
      <c r="E325" s="33" t="s">
        <v>180</v>
      </c>
      <c r="F325" s="33" t="s">
        <v>181</v>
      </c>
      <c r="G325" s="33" t="s">
        <v>181</v>
      </c>
      <c r="H325" s="33" t="s">
        <v>189</v>
      </c>
      <c r="I325" s="39">
        <v>46233.0</v>
      </c>
      <c r="J325" s="39">
        <v>46127.0</v>
      </c>
      <c r="K325" s="39">
        <v>45872.0</v>
      </c>
      <c r="L325" s="40">
        <v>0.0</v>
      </c>
      <c r="M325" s="40">
        <v>1601.03</v>
      </c>
    </row>
    <row r="326" ht="15.75" customHeight="1">
      <c r="A326" s="33" t="s">
        <v>1991</v>
      </c>
      <c r="B326" s="39">
        <v>46249.0</v>
      </c>
      <c r="C326" s="33" t="s">
        <v>178</v>
      </c>
      <c r="D326" s="33" t="s">
        <v>196</v>
      </c>
      <c r="E326" s="33" t="s">
        <v>180</v>
      </c>
      <c r="F326" s="33" t="s">
        <v>181</v>
      </c>
      <c r="G326" s="33" t="s">
        <v>181</v>
      </c>
      <c r="H326" s="33" t="s">
        <v>181</v>
      </c>
      <c r="I326" s="39">
        <v>46209.0</v>
      </c>
      <c r="J326" s="39">
        <v>46228.0</v>
      </c>
      <c r="K326" s="39">
        <v>45843.0</v>
      </c>
      <c r="L326" s="40">
        <v>21186.5</v>
      </c>
      <c r="M326" s="40">
        <v>1916.67</v>
      </c>
    </row>
    <row r="327" ht="15.75" customHeight="1">
      <c r="A327" s="33" t="s">
        <v>1181</v>
      </c>
      <c r="B327" s="39">
        <v>45797.0</v>
      </c>
      <c r="C327" s="33" t="s">
        <v>184</v>
      </c>
      <c r="D327" s="33" t="s">
        <v>200</v>
      </c>
      <c r="E327" s="33" t="s">
        <v>180</v>
      </c>
      <c r="F327" s="33" t="s">
        <v>181</v>
      </c>
      <c r="G327" s="33" t="s">
        <v>181</v>
      </c>
      <c r="H327" s="33" t="s">
        <v>189</v>
      </c>
      <c r="I327" s="39">
        <v>46256.0</v>
      </c>
      <c r="J327" s="39">
        <v>46251.0</v>
      </c>
      <c r="K327" s="39">
        <v>45818.0</v>
      </c>
      <c r="L327" s="40">
        <v>0.0</v>
      </c>
      <c r="M327" s="40">
        <v>3413.23</v>
      </c>
    </row>
    <row r="328" ht="15.75" customHeight="1">
      <c r="A328" s="33" t="s">
        <v>701</v>
      </c>
      <c r="B328" s="39">
        <v>45801.0</v>
      </c>
      <c r="C328" s="33" t="s">
        <v>187</v>
      </c>
      <c r="D328" s="33" t="s">
        <v>194</v>
      </c>
      <c r="E328" s="33" t="s">
        <v>180</v>
      </c>
      <c r="F328" s="33" t="s">
        <v>181</v>
      </c>
      <c r="G328" s="33" t="s">
        <v>181</v>
      </c>
      <c r="H328" s="33" t="s">
        <v>189</v>
      </c>
      <c r="I328" s="39">
        <v>46241.0</v>
      </c>
      <c r="J328" s="39">
        <v>46249.0</v>
      </c>
      <c r="K328" s="39">
        <v>46249.0</v>
      </c>
      <c r="L328" s="40">
        <v>19365.14</v>
      </c>
      <c r="M328" s="40">
        <v>1107.98</v>
      </c>
    </row>
    <row r="329" ht="15.75" customHeight="1">
      <c r="A329" s="33" t="s">
        <v>2292</v>
      </c>
      <c r="B329" s="39">
        <v>45680.0</v>
      </c>
      <c r="C329" s="33" t="s">
        <v>178</v>
      </c>
      <c r="D329" s="33" t="s">
        <v>200</v>
      </c>
      <c r="E329" s="33" t="s">
        <v>180</v>
      </c>
      <c r="F329" s="33" t="s">
        <v>181</v>
      </c>
      <c r="G329" s="33" t="s">
        <v>189</v>
      </c>
      <c r="H329" s="33" t="s">
        <v>189</v>
      </c>
      <c r="I329" s="39">
        <v>46250.0</v>
      </c>
      <c r="J329" s="33"/>
      <c r="K329" s="33"/>
      <c r="L329" s="40">
        <v>0.0</v>
      </c>
      <c r="M329" s="40">
        <v>509.35</v>
      </c>
    </row>
    <row r="330" ht="15.75" customHeight="1">
      <c r="A330" s="33" t="s">
        <v>1289</v>
      </c>
      <c r="B330" s="39">
        <v>45743.0</v>
      </c>
      <c r="C330" s="33" t="s">
        <v>184</v>
      </c>
      <c r="D330" s="33" t="s">
        <v>188</v>
      </c>
      <c r="E330" s="33" t="s">
        <v>180</v>
      </c>
      <c r="F330" s="33" t="s">
        <v>181</v>
      </c>
      <c r="G330" s="33" t="s">
        <v>181</v>
      </c>
      <c r="H330" s="33" t="s">
        <v>181</v>
      </c>
      <c r="I330" s="39">
        <v>46182.0</v>
      </c>
      <c r="J330" s="39">
        <v>46250.0</v>
      </c>
      <c r="K330" s="39">
        <v>46160.0</v>
      </c>
      <c r="L330" s="40">
        <v>20295.18</v>
      </c>
      <c r="M330" s="40">
        <v>2511.45</v>
      </c>
    </row>
    <row r="331" ht="15.75" customHeight="1">
      <c r="A331" s="33" t="s">
        <v>740</v>
      </c>
      <c r="B331" s="39">
        <v>45994.0</v>
      </c>
      <c r="C331" s="33" t="s">
        <v>184</v>
      </c>
      <c r="D331" s="33" t="s">
        <v>179</v>
      </c>
      <c r="E331" s="33" t="s">
        <v>222</v>
      </c>
      <c r="F331" s="33" t="s">
        <v>181</v>
      </c>
      <c r="G331" s="33" t="s">
        <v>181</v>
      </c>
      <c r="H331" s="33" t="s">
        <v>189</v>
      </c>
      <c r="I331" s="39">
        <v>46096.0</v>
      </c>
      <c r="J331" s="39">
        <v>46258.0</v>
      </c>
      <c r="K331" s="39">
        <v>46253.0</v>
      </c>
      <c r="L331" s="40">
        <v>49113.24</v>
      </c>
      <c r="M331" s="40">
        <v>2365.38</v>
      </c>
    </row>
    <row r="332" ht="15.75" customHeight="1">
      <c r="A332" s="33" t="s">
        <v>2194</v>
      </c>
      <c r="B332" s="39">
        <v>45989.0</v>
      </c>
      <c r="C332" s="33" t="s">
        <v>178</v>
      </c>
      <c r="D332" s="33" t="s">
        <v>200</v>
      </c>
      <c r="E332" s="33" t="s">
        <v>180</v>
      </c>
      <c r="F332" s="33" t="s">
        <v>181</v>
      </c>
      <c r="G332" s="33" t="s">
        <v>189</v>
      </c>
      <c r="H332" s="33" t="s">
        <v>189</v>
      </c>
      <c r="I332" s="39">
        <v>46197.0</v>
      </c>
      <c r="J332" s="33"/>
      <c r="K332" s="33"/>
      <c r="L332" s="40">
        <v>8229.42</v>
      </c>
      <c r="M332" s="40">
        <v>228.74</v>
      </c>
    </row>
    <row r="333" ht="15.75" customHeight="1">
      <c r="A333" s="33" t="s">
        <v>2308</v>
      </c>
      <c r="B333" s="39">
        <v>45883.0</v>
      </c>
      <c r="C333" s="33" t="s">
        <v>184</v>
      </c>
      <c r="D333" s="33" t="s">
        <v>196</v>
      </c>
      <c r="E333" s="33" t="s">
        <v>180</v>
      </c>
      <c r="F333" s="33" t="s">
        <v>181</v>
      </c>
      <c r="G333" s="33" t="s">
        <v>181</v>
      </c>
      <c r="H333" s="33" t="s">
        <v>189</v>
      </c>
      <c r="I333" s="39">
        <v>46243.0</v>
      </c>
      <c r="J333" s="39">
        <v>46232.0</v>
      </c>
      <c r="K333" s="39">
        <v>46044.0</v>
      </c>
      <c r="L333" s="40">
        <v>0.0</v>
      </c>
      <c r="M333" s="40">
        <v>4644.6</v>
      </c>
    </row>
    <row r="334" ht="15.75" customHeight="1">
      <c r="A334" s="33" t="s">
        <v>2234</v>
      </c>
      <c r="B334" s="39">
        <v>45846.0</v>
      </c>
      <c r="C334" s="33" t="s">
        <v>202</v>
      </c>
      <c r="D334" s="33" t="s">
        <v>228</v>
      </c>
      <c r="E334" s="33" t="s">
        <v>180</v>
      </c>
      <c r="F334" s="33" t="s">
        <v>189</v>
      </c>
      <c r="G334" s="33" t="s">
        <v>181</v>
      </c>
      <c r="H334" s="33" t="s">
        <v>189</v>
      </c>
      <c r="I334" s="39">
        <v>46210.0</v>
      </c>
      <c r="J334" s="39">
        <v>46230.0</v>
      </c>
      <c r="K334" s="39">
        <v>46230.0</v>
      </c>
      <c r="L334" s="40">
        <v>0.0</v>
      </c>
      <c r="M334" s="40">
        <v>0.0</v>
      </c>
    </row>
    <row r="335" ht="15.75" customHeight="1">
      <c r="A335" s="33" t="s">
        <v>2314</v>
      </c>
      <c r="B335" s="39">
        <v>46161.0</v>
      </c>
      <c r="C335" s="33" t="s">
        <v>187</v>
      </c>
      <c r="D335" s="33" t="s">
        <v>194</v>
      </c>
      <c r="E335" s="33" t="s">
        <v>180</v>
      </c>
      <c r="F335" s="33" t="s">
        <v>189</v>
      </c>
      <c r="G335" s="33" t="s">
        <v>181</v>
      </c>
      <c r="H335" s="33" t="s">
        <v>181</v>
      </c>
      <c r="I335" s="39">
        <v>46206.0</v>
      </c>
      <c r="J335" s="39">
        <v>46225.0</v>
      </c>
      <c r="K335" s="39">
        <v>46153.0</v>
      </c>
      <c r="L335" s="40">
        <v>22926.41</v>
      </c>
      <c r="M335" s="40">
        <v>0.0</v>
      </c>
    </row>
    <row r="336" ht="15.75" customHeight="1">
      <c r="A336" s="33" t="s">
        <v>2319</v>
      </c>
      <c r="B336" s="39">
        <v>45937.0</v>
      </c>
      <c r="C336" s="33" t="s">
        <v>184</v>
      </c>
      <c r="D336" s="33" t="s">
        <v>194</v>
      </c>
      <c r="E336" s="33" t="s">
        <v>180</v>
      </c>
      <c r="F336" s="33" t="s">
        <v>181</v>
      </c>
      <c r="G336" s="33" t="s">
        <v>189</v>
      </c>
      <c r="H336" s="33" t="s">
        <v>189</v>
      </c>
      <c r="I336" s="39">
        <v>46187.0</v>
      </c>
      <c r="J336" s="33"/>
      <c r="K336" s="33"/>
      <c r="L336" s="40">
        <v>0.0</v>
      </c>
      <c r="M336" s="40">
        <v>2257.96</v>
      </c>
    </row>
    <row r="337" ht="15.75" customHeight="1">
      <c r="A337" s="33" t="s">
        <v>619</v>
      </c>
      <c r="B337" s="39">
        <v>46148.0</v>
      </c>
      <c r="C337" s="33" t="s">
        <v>178</v>
      </c>
      <c r="D337" s="33" t="s">
        <v>179</v>
      </c>
      <c r="E337" s="33" t="s">
        <v>222</v>
      </c>
      <c r="F337" s="33" t="s">
        <v>181</v>
      </c>
      <c r="G337" s="33" t="s">
        <v>189</v>
      </c>
      <c r="H337" s="33" t="s">
        <v>181</v>
      </c>
      <c r="I337" s="39">
        <v>46211.0</v>
      </c>
      <c r="J337" s="33"/>
      <c r="K337" s="33"/>
      <c r="L337" s="40">
        <v>15794.29</v>
      </c>
      <c r="M337" s="40">
        <v>844.26</v>
      </c>
    </row>
    <row r="338" ht="15.75" customHeight="1">
      <c r="A338" s="33" t="s">
        <v>1382</v>
      </c>
      <c r="B338" s="39">
        <v>46242.0</v>
      </c>
      <c r="C338" s="33" t="s">
        <v>184</v>
      </c>
      <c r="D338" s="33" t="s">
        <v>185</v>
      </c>
      <c r="E338" s="33" t="s">
        <v>180</v>
      </c>
      <c r="F338" s="33" t="s">
        <v>181</v>
      </c>
      <c r="G338" s="33" t="s">
        <v>181</v>
      </c>
      <c r="H338" s="33" t="s">
        <v>181</v>
      </c>
      <c r="I338" s="39">
        <v>46199.0</v>
      </c>
      <c r="J338" s="39">
        <v>46183.0</v>
      </c>
      <c r="K338" s="39">
        <v>46183.0</v>
      </c>
      <c r="L338" s="40">
        <v>0.0</v>
      </c>
      <c r="M338" s="40">
        <v>2391.81</v>
      </c>
    </row>
    <row r="339" ht="15.75" customHeight="1">
      <c r="A339" s="33" t="s">
        <v>1045</v>
      </c>
      <c r="B339" s="39">
        <v>45850.0</v>
      </c>
      <c r="C339" s="33" t="s">
        <v>178</v>
      </c>
      <c r="D339" s="33" t="s">
        <v>188</v>
      </c>
      <c r="E339" s="33" t="s">
        <v>180</v>
      </c>
      <c r="F339" s="33" t="s">
        <v>181</v>
      </c>
      <c r="G339" s="33" t="s">
        <v>181</v>
      </c>
      <c r="H339" s="33" t="s">
        <v>189</v>
      </c>
      <c r="I339" s="39">
        <v>46248.0</v>
      </c>
      <c r="J339" s="39">
        <v>46256.0</v>
      </c>
      <c r="K339" s="39">
        <v>46057.0</v>
      </c>
      <c r="L339" s="40">
        <v>31828.67</v>
      </c>
      <c r="M339" s="40">
        <v>2168.31</v>
      </c>
    </row>
    <row r="340" ht="15.75" customHeight="1">
      <c r="A340" s="33" t="s">
        <v>749</v>
      </c>
      <c r="B340" s="39">
        <v>45781.0</v>
      </c>
      <c r="C340" s="33" t="s">
        <v>184</v>
      </c>
      <c r="D340" s="33" t="s">
        <v>196</v>
      </c>
      <c r="E340" s="33" t="s">
        <v>180</v>
      </c>
      <c r="F340" s="33" t="s">
        <v>181</v>
      </c>
      <c r="G340" s="33" t="s">
        <v>181</v>
      </c>
      <c r="H340" s="33" t="s">
        <v>189</v>
      </c>
      <c r="I340" s="39">
        <v>46214.0</v>
      </c>
      <c r="J340" s="39">
        <v>46177.0</v>
      </c>
      <c r="K340" s="39">
        <v>46177.0</v>
      </c>
      <c r="L340" s="40">
        <v>11293.78</v>
      </c>
      <c r="M340" s="40">
        <v>1233.88</v>
      </c>
    </row>
    <row r="341" ht="15.75" customHeight="1">
      <c r="A341" s="33" t="s">
        <v>684</v>
      </c>
      <c r="B341" s="39">
        <v>46236.0</v>
      </c>
      <c r="C341" s="33" t="s">
        <v>187</v>
      </c>
      <c r="D341" s="33" t="s">
        <v>188</v>
      </c>
      <c r="E341" s="33" t="s">
        <v>180</v>
      </c>
      <c r="F341" s="33" t="s">
        <v>181</v>
      </c>
      <c r="G341" s="33" t="s">
        <v>181</v>
      </c>
      <c r="H341" s="33" t="s">
        <v>181</v>
      </c>
      <c r="I341" s="39">
        <v>46186.0</v>
      </c>
      <c r="J341" s="39">
        <v>45996.0</v>
      </c>
      <c r="K341" s="33"/>
      <c r="L341" s="40">
        <v>15119.59</v>
      </c>
      <c r="M341" s="40">
        <v>1901.29</v>
      </c>
    </row>
    <row r="342" ht="15.75" customHeight="1">
      <c r="A342" s="33" t="s">
        <v>1881</v>
      </c>
      <c r="B342" s="39">
        <v>46043.0</v>
      </c>
      <c r="C342" s="33" t="s">
        <v>178</v>
      </c>
      <c r="D342" s="33" t="s">
        <v>237</v>
      </c>
      <c r="E342" s="33" t="s">
        <v>222</v>
      </c>
      <c r="F342" s="33" t="s">
        <v>189</v>
      </c>
      <c r="G342" s="33" t="s">
        <v>181</v>
      </c>
      <c r="H342" s="33" t="s">
        <v>181</v>
      </c>
      <c r="I342" s="39">
        <v>46225.0</v>
      </c>
      <c r="J342" s="39">
        <v>46209.0</v>
      </c>
      <c r="K342" s="39">
        <v>46136.0</v>
      </c>
      <c r="L342" s="40">
        <v>0.0</v>
      </c>
      <c r="M342" s="40">
        <v>0.0</v>
      </c>
    </row>
    <row r="343" ht="15.75" customHeight="1">
      <c r="A343" s="33" t="s">
        <v>1661</v>
      </c>
      <c r="B343" s="39">
        <v>45834.0</v>
      </c>
      <c r="C343" s="33" t="s">
        <v>178</v>
      </c>
      <c r="D343" s="33" t="s">
        <v>196</v>
      </c>
      <c r="E343" s="33" t="s">
        <v>180</v>
      </c>
      <c r="F343" s="33" t="s">
        <v>181</v>
      </c>
      <c r="G343" s="33" t="s">
        <v>189</v>
      </c>
      <c r="H343" s="33" t="s">
        <v>181</v>
      </c>
      <c r="I343" s="39">
        <v>46252.0</v>
      </c>
      <c r="J343" s="33"/>
      <c r="K343" s="33"/>
      <c r="L343" s="40">
        <v>26297.22</v>
      </c>
      <c r="M343" s="40">
        <v>1912.65</v>
      </c>
    </row>
    <row r="344" ht="15.75" customHeight="1">
      <c r="A344" s="33" t="s">
        <v>1953</v>
      </c>
      <c r="B344" s="39">
        <v>46035.0</v>
      </c>
      <c r="C344" s="33" t="s">
        <v>178</v>
      </c>
      <c r="D344" s="33" t="s">
        <v>196</v>
      </c>
      <c r="E344" s="33" t="s">
        <v>180</v>
      </c>
      <c r="F344" s="33" t="s">
        <v>181</v>
      </c>
      <c r="G344" s="33" t="s">
        <v>189</v>
      </c>
      <c r="H344" s="33" t="s">
        <v>181</v>
      </c>
      <c r="I344" s="39">
        <v>46192.0</v>
      </c>
      <c r="J344" s="33"/>
      <c r="K344" s="33"/>
      <c r="L344" s="40">
        <v>0.0</v>
      </c>
      <c r="M344" s="40">
        <v>1756.09</v>
      </c>
    </row>
    <row r="345" ht="15.75" customHeight="1">
      <c r="A345" s="33" t="s">
        <v>1135</v>
      </c>
      <c r="B345" s="39">
        <v>45970.0</v>
      </c>
      <c r="C345" s="33" t="s">
        <v>178</v>
      </c>
      <c r="D345" s="33" t="s">
        <v>228</v>
      </c>
      <c r="E345" s="33" t="s">
        <v>180</v>
      </c>
      <c r="F345" s="33" t="s">
        <v>181</v>
      </c>
      <c r="G345" s="33" t="s">
        <v>181</v>
      </c>
      <c r="H345" s="33" t="s">
        <v>189</v>
      </c>
      <c r="I345" s="39">
        <v>46264.0</v>
      </c>
      <c r="J345" s="39">
        <v>46264.0</v>
      </c>
      <c r="K345" s="39">
        <v>46257.0</v>
      </c>
      <c r="L345" s="40">
        <v>0.0</v>
      </c>
      <c r="M345" s="40">
        <v>1646.05</v>
      </c>
    </row>
    <row r="346" ht="15.75" customHeight="1">
      <c r="A346" s="33" t="s">
        <v>2354</v>
      </c>
      <c r="B346" s="39">
        <v>46207.0</v>
      </c>
      <c r="C346" s="33" t="s">
        <v>178</v>
      </c>
      <c r="D346" s="33" t="s">
        <v>188</v>
      </c>
      <c r="E346" s="33" t="s">
        <v>180</v>
      </c>
      <c r="F346" s="33" t="s">
        <v>181</v>
      </c>
      <c r="G346" s="33" t="s">
        <v>189</v>
      </c>
      <c r="H346" s="33" t="s">
        <v>181</v>
      </c>
      <c r="I346" s="39">
        <v>46204.0</v>
      </c>
      <c r="J346" s="33"/>
      <c r="K346" s="33"/>
      <c r="L346" s="40">
        <v>10112.78</v>
      </c>
      <c r="M346" s="40">
        <v>2185.65</v>
      </c>
    </row>
    <row r="347" ht="15.75" customHeight="1">
      <c r="A347" s="33" t="s">
        <v>1271</v>
      </c>
      <c r="B347" s="39">
        <v>45813.0</v>
      </c>
      <c r="C347" s="33" t="s">
        <v>178</v>
      </c>
      <c r="D347" s="33" t="s">
        <v>179</v>
      </c>
      <c r="E347" s="33" t="s">
        <v>180</v>
      </c>
      <c r="F347" s="33" t="s">
        <v>189</v>
      </c>
      <c r="G347" s="33" t="s">
        <v>189</v>
      </c>
      <c r="H347" s="33" t="s">
        <v>189</v>
      </c>
      <c r="I347" s="39">
        <v>46220.0</v>
      </c>
      <c r="J347" s="33"/>
      <c r="K347" s="33"/>
      <c r="L347" s="40">
        <v>34868.37</v>
      </c>
      <c r="M347" s="40">
        <v>0.0</v>
      </c>
    </row>
    <row r="348" ht="15.75" customHeight="1">
      <c r="A348" s="33" t="s">
        <v>2362</v>
      </c>
      <c r="B348" s="39">
        <v>46259.0</v>
      </c>
      <c r="C348" s="33" t="s">
        <v>178</v>
      </c>
      <c r="D348" s="33" t="s">
        <v>200</v>
      </c>
      <c r="E348" s="33" t="s">
        <v>180</v>
      </c>
      <c r="F348" s="33" t="s">
        <v>181</v>
      </c>
      <c r="G348" s="33" t="s">
        <v>181</v>
      </c>
      <c r="H348" s="33" t="s">
        <v>181</v>
      </c>
      <c r="I348" s="39">
        <v>46234.0</v>
      </c>
      <c r="J348" s="39">
        <v>46250.0</v>
      </c>
      <c r="K348" s="39">
        <v>46250.0</v>
      </c>
      <c r="L348" s="40">
        <v>21252.96</v>
      </c>
      <c r="M348" s="40">
        <v>1956.07</v>
      </c>
    </row>
    <row r="349" ht="15.75" customHeight="1">
      <c r="A349" s="33" t="s">
        <v>2366</v>
      </c>
      <c r="B349" s="39">
        <v>46226.0</v>
      </c>
      <c r="C349" s="33" t="s">
        <v>178</v>
      </c>
      <c r="D349" s="33" t="s">
        <v>185</v>
      </c>
      <c r="E349" s="33" t="s">
        <v>180</v>
      </c>
      <c r="F349" s="33" t="s">
        <v>189</v>
      </c>
      <c r="G349" s="33" t="s">
        <v>181</v>
      </c>
      <c r="H349" s="33" t="s">
        <v>181</v>
      </c>
      <c r="I349" s="39">
        <v>46188.0</v>
      </c>
      <c r="J349" s="39">
        <v>46133.0</v>
      </c>
      <c r="K349" s="39">
        <v>45966.0</v>
      </c>
      <c r="L349" s="40">
        <v>0.0</v>
      </c>
      <c r="M349" s="40">
        <v>0.0</v>
      </c>
    </row>
    <row r="350" ht="15.75" customHeight="1">
      <c r="A350" s="33" t="s">
        <v>2371</v>
      </c>
      <c r="B350" s="39">
        <v>45767.0</v>
      </c>
      <c r="C350" s="33" t="s">
        <v>187</v>
      </c>
      <c r="D350" s="33" t="s">
        <v>188</v>
      </c>
      <c r="E350" s="33" t="s">
        <v>180</v>
      </c>
      <c r="F350" s="33" t="s">
        <v>181</v>
      </c>
      <c r="G350" s="33" t="s">
        <v>189</v>
      </c>
      <c r="H350" s="33" t="s">
        <v>189</v>
      </c>
      <c r="I350" s="39">
        <v>46189.0</v>
      </c>
      <c r="J350" s="33"/>
      <c r="K350" s="33"/>
      <c r="L350" s="40">
        <v>0.0</v>
      </c>
      <c r="M350" s="40">
        <v>1113.54</v>
      </c>
    </row>
    <row r="351" ht="15.75" customHeight="1">
      <c r="A351" s="33" t="s">
        <v>2375</v>
      </c>
      <c r="B351" s="39">
        <v>45757.0</v>
      </c>
      <c r="C351" s="33" t="s">
        <v>187</v>
      </c>
      <c r="D351" s="33" t="s">
        <v>200</v>
      </c>
      <c r="E351" s="33" t="s">
        <v>180</v>
      </c>
      <c r="F351" s="33" t="s">
        <v>181</v>
      </c>
      <c r="G351" s="33" t="s">
        <v>181</v>
      </c>
      <c r="H351" s="33" t="s">
        <v>181</v>
      </c>
      <c r="I351" s="39">
        <v>46236.0</v>
      </c>
      <c r="J351" s="39">
        <v>46225.0</v>
      </c>
      <c r="K351" s="39">
        <v>46185.0</v>
      </c>
      <c r="L351" s="40">
        <v>26965.59</v>
      </c>
      <c r="M351" s="40">
        <v>705.48</v>
      </c>
    </row>
    <row r="352" ht="15.75" customHeight="1">
      <c r="A352" s="33" t="s">
        <v>1759</v>
      </c>
      <c r="B352" s="39">
        <v>45981.0</v>
      </c>
      <c r="C352" s="33" t="s">
        <v>187</v>
      </c>
      <c r="D352" s="33" t="s">
        <v>185</v>
      </c>
      <c r="E352" s="33" t="s">
        <v>180</v>
      </c>
      <c r="F352" s="33" t="s">
        <v>181</v>
      </c>
      <c r="G352" s="33" t="s">
        <v>189</v>
      </c>
      <c r="H352" s="33" t="s">
        <v>189</v>
      </c>
      <c r="I352" s="39">
        <v>46265.0</v>
      </c>
      <c r="J352" s="33"/>
      <c r="K352" s="33"/>
      <c r="L352" s="40">
        <v>0.0</v>
      </c>
      <c r="M352" s="40">
        <v>1894.01</v>
      </c>
    </row>
    <row r="353" ht="15.75" customHeight="1">
      <c r="A353" s="33" t="s">
        <v>2002</v>
      </c>
      <c r="B353" s="39">
        <v>45685.0</v>
      </c>
      <c r="C353" s="33" t="s">
        <v>178</v>
      </c>
      <c r="D353" s="33" t="s">
        <v>188</v>
      </c>
      <c r="E353" s="33" t="s">
        <v>180</v>
      </c>
      <c r="F353" s="33" t="s">
        <v>181</v>
      </c>
      <c r="G353" s="33" t="s">
        <v>181</v>
      </c>
      <c r="H353" s="33" t="s">
        <v>189</v>
      </c>
      <c r="I353" s="39">
        <v>46254.0</v>
      </c>
      <c r="J353" s="39">
        <v>46205.0</v>
      </c>
      <c r="K353" s="39">
        <v>46195.0</v>
      </c>
      <c r="L353" s="40">
        <v>5195.91</v>
      </c>
      <c r="M353" s="40">
        <v>2776.25</v>
      </c>
    </row>
    <row r="354" ht="15.75" customHeight="1">
      <c r="A354" s="33" t="s">
        <v>1998</v>
      </c>
      <c r="B354" s="39">
        <v>45839.0</v>
      </c>
      <c r="C354" s="33" t="s">
        <v>184</v>
      </c>
      <c r="D354" s="33" t="s">
        <v>185</v>
      </c>
      <c r="E354" s="33" t="s">
        <v>222</v>
      </c>
      <c r="F354" s="33" t="s">
        <v>181</v>
      </c>
      <c r="G354" s="33" t="s">
        <v>181</v>
      </c>
      <c r="H354" s="33" t="s">
        <v>189</v>
      </c>
      <c r="I354" s="39">
        <v>46219.0</v>
      </c>
      <c r="J354" s="39">
        <v>46241.0</v>
      </c>
      <c r="K354" s="39">
        <v>46241.0</v>
      </c>
      <c r="L354" s="40">
        <v>0.0</v>
      </c>
      <c r="M354" s="40">
        <v>1840.99</v>
      </c>
    </row>
    <row r="355" ht="15.75" customHeight="1">
      <c r="A355" s="33" t="s">
        <v>988</v>
      </c>
      <c r="B355" s="39">
        <v>45922.0</v>
      </c>
      <c r="C355" s="33" t="s">
        <v>202</v>
      </c>
      <c r="D355" s="33" t="s">
        <v>196</v>
      </c>
      <c r="E355" s="33" t="s">
        <v>180</v>
      </c>
      <c r="F355" s="33" t="s">
        <v>181</v>
      </c>
      <c r="G355" s="33" t="s">
        <v>189</v>
      </c>
      <c r="H355" s="33" t="s">
        <v>189</v>
      </c>
      <c r="I355" s="39">
        <v>46177.0</v>
      </c>
      <c r="J355" s="33"/>
      <c r="K355" s="33"/>
      <c r="L355" s="40">
        <v>14348.6</v>
      </c>
      <c r="M355" s="40">
        <v>1097.73</v>
      </c>
    </row>
    <row r="356" ht="15.75" customHeight="1">
      <c r="A356" s="33" t="s">
        <v>1495</v>
      </c>
      <c r="B356" s="39">
        <v>46246.0</v>
      </c>
      <c r="C356" s="33" t="s">
        <v>178</v>
      </c>
      <c r="D356" s="33" t="s">
        <v>185</v>
      </c>
      <c r="E356" s="33" t="s">
        <v>180</v>
      </c>
      <c r="F356" s="33" t="s">
        <v>181</v>
      </c>
      <c r="G356" s="33" t="s">
        <v>181</v>
      </c>
      <c r="H356" s="33" t="s">
        <v>181</v>
      </c>
      <c r="I356" s="39">
        <v>46212.0</v>
      </c>
      <c r="J356" s="39">
        <v>46221.0</v>
      </c>
      <c r="K356" s="39">
        <v>46214.0</v>
      </c>
      <c r="L356" s="40">
        <v>0.0</v>
      </c>
      <c r="M356" s="40">
        <v>338.72</v>
      </c>
    </row>
    <row r="357" ht="15.75" customHeight="1">
      <c r="A357" s="33" t="s">
        <v>2394</v>
      </c>
      <c r="B357" s="39">
        <v>46260.0</v>
      </c>
      <c r="C357" s="33" t="s">
        <v>178</v>
      </c>
      <c r="D357" s="33" t="s">
        <v>237</v>
      </c>
      <c r="E357" s="33" t="s">
        <v>330</v>
      </c>
      <c r="F357" s="33" t="s">
        <v>189</v>
      </c>
      <c r="G357" s="33" t="s">
        <v>181</v>
      </c>
      <c r="H357" s="33" t="s">
        <v>189</v>
      </c>
      <c r="I357" s="39">
        <v>46263.0</v>
      </c>
      <c r="J357" s="39">
        <v>46242.0</v>
      </c>
      <c r="K357" s="39">
        <v>46168.0</v>
      </c>
      <c r="L357" s="40">
        <v>0.0</v>
      </c>
      <c r="M357" s="40">
        <v>0.0</v>
      </c>
    </row>
    <row r="358" ht="15.75" customHeight="1">
      <c r="A358" s="33" t="s">
        <v>2397</v>
      </c>
      <c r="B358" s="39">
        <v>45749.0</v>
      </c>
      <c r="C358" s="33" t="s">
        <v>187</v>
      </c>
      <c r="D358" s="33" t="s">
        <v>185</v>
      </c>
      <c r="E358" s="33" t="s">
        <v>180</v>
      </c>
      <c r="F358" s="33" t="s">
        <v>181</v>
      </c>
      <c r="G358" s="33" t="s">
        <v>181</v>
      </c>
      <c r="H358" s="33" t="s">
        <v>189</v>
      </c>
      <c r="I358" s="39">
        <v>46245.0</v>
      </c>
      <c r="J358" s="39">
        <v>46247.0</v>
      </c>
      <c r="K358" s="39">
        <v>46247.0</v>
      </c>
      <c r="L358" s="40">
        <v>0.0</v>
      </c>
      <c r="M358" s="40">
        <v>4742.56</v>
      </c>
    </row>
    <row r="359" ht="15.75" customHeight="1">
      <c r="A359" s="33" t="s">
        <v>835</v>
      </c>
      <c r="B359" s="39">
        <v>46199.0</v>
      </c>
      <c r="C359" s="33" t="s">
        <v>178</v>
      </c>
      <c r="D359" s="33" t="s">
        <v>188</v>
      </c>
      <c r="E359" s="33" t="s">
        <v>180</v>
      </c>
      <c r="F359" s="33" t="s">
        <v>181</v>
      </c>
      <c r="G359" s="33" t="s">
        <v>181</v>
      </c>
      <c r="H359" s="33" t="s">
        <v>189</v>
      </c>
      <c r="I359" s="39">
        <v>46189.0</v>
      </c>
      <c r="J359" s="39">
        <v>46261.0</v>
      </c>
      <c r="K359" s="39">
        <v>45834.0</v>
      </c>
      <c r="L359" s="40">
        <v>5851.08</v>
      </c>
      <c r="M359" s="40">
        <v>2298.31</v>
      </c>
    </row>
    <row r="360" ht="15.75" customHeight="1">
      <c r="A360" s="33" t="s">
        <v>1679</v>
      </c>
      <c r="B360" s="39">
        <v>45713.0</v>
      </c>
      <c r="C360" s="33" t="s">
        <v>202</v>
      </c>
      <c r="D360" s="33" t="s">
        <v>237</v>
      </c>
      <c r="E360" s="33" t="s">
        <v>180</v>
      </c>
      <c r="F360" s="33" t="s">
        <v>181</v>
      </c>
      <c r="G360" s="33" t="s">
        <v>181</v>
      </c>
      <c r="H360" s="33" t="s">
        <v>181</v>
      </c>
      <c r="I360" s="39">
        <v>46200.0</v>
      </c>
      <c r="J360" s="39">
        <v>46020.0</v>
      </c>
      <c r="K360" s="39">
        <v>45763.0</v>
      </c>
      <c r="L360" s="40">
        <v>0.0</v>
      </c>
      <c r="M360" s="40">
        <v>2182.06</v>
      </c>
    </row>
    <row r="361" ht="15.75" customHeight="1">
      <c r="A361" s="33" t="s">
        <v>2334</v>
      </c>
      <c r="B361" s="39">
        <v>46112.0</v>
      </c>
      <c r="C361" s="33" t="s">
        <v>184</v>
      </c>
      <c r="D361" s="33" t="s">
        <v>196</v>
      </c>
      <c r="E361" s="33" t="s">
        <v>180</v>
      </c>
      <c r="F361" s="33" t="s">
        <v>181</v>
      </c>
      <c r="G361" s="33" t="s">
        <v>181</v>
      </c>
      <c r="H361" s="33" t="s">
        <v>189</v>
      </c>
      <c r="I361" s="39">
        <v>46198.0</v>
      </c>
      <c r="J361" s="39">
        <v>46091.0</v>
      </c>
      <c r="K361" s="39">
        <v>46091.0</v>
      </c>
      <c r="L361" s="40">
        <v>13557.89</v>
      </c>
      <c r="M361" s="40">
        <v>1241.28</v>
      </c>
    </row>
    <row r="362" ht="15.75" customHeight="1">
      <c r="A362" s="33" t="s">
        <v>2231</v>
      </c>
      <c r="B362" s="39">
        <v>46171.0</v>
      </c>
      <c r="C362" s="33" t="s">
        <v>178</v>
      </c>
      <c r="D362" s="33" t="s">
        <v>188</v>
      </c>
      <c r="E362" s="33" t="s">
        <v>180</v>
      </c>
      <c r="F362" s="33" t="s">
        <v>181</v>
      </c>
      <c r="G362" s="33" t="s">
        <v>181</v>
      </c>
      <c r="H362" s="33" t="s">
        <v>181</v>
      </c>
      <c r="I362" s="39">
        <v>46223.0</v>
      </c>
      <c r="J362" s="39">
        <v>46246.0</v>
      </c>
      <c r="K362" s="39">
        <v>46246.0</v>
      </c>
      <c r="L362" s="40">
        <v>663.14</v>
      </c>
      <c r="M362" s="40">
        <v>353.54</v>
      </c>
    </row>
    <row r="363" ht="15.75" customHeight="1">
      <c r="A363" s="33" t="s">
        <v>489</v>
      </c>
      <c r="B363" s="39">
        <v>46198.0</v>
      </c>
      <c r="C363" s="33" t="s">
        <v>178</v>
      </c>
      <c r="D363" s="33" t="s">
        <v>196</v>
      </c>
      <c r="E363" s="33" t="s">
        <v>222</v>
      </c>
      <c r="F363" s="33" t="s">
        <v>181</v>
      </c>
      <c r="G363" s="33" t="s">
        <v>181</v>
      </c>
      <c r="H363" s="33" t="s">
        <v>181</v>
      </c>
      <c r="I363" s="39">
        <v>46130.0</v>
      </c>
      <c r="J363" s="39">
        <v>46173.0</v>
      </c>
      <c r="K363" s="39">
        <v>45975.0</v>
      </c>
      <c r="L363" s="40">
        <v>13211.95</v>
      </c>
      <c r="M363" s="40">
        <v>1040.2</v>
      </c>
    </row>
    <row r="364" ht="15.75" customHeight="1">
      <c r="A364" s="33" t="s">
        <v>1010</v>
      </c>
      <c r="B364" s="39">
        <v>45793.0</v>
      </c>
      <c r="C364" s="33" t="s">
        <v>184</v>
      </c>
      <c r="D364" s="33" t="s">
        <v>237</v>
      </c>
      <c r="E364" s="33" t="s">
        <v>180</v>
      </c>
      <c r="F364" s="33" t="s">
        <v>181</v>
      </c>
      <c r="G364" s="33" t="s">
        <v>181</v>
      </c>
      <c r="H364" s="33" t="s">
        <v>189</v>
      </c>
      <c r="I364" s="39">
        <v>46217.0</v>
      </c>
      <c r="J364" s="39">
        <v>46243.0</v>
      </c>
      <c r="K364" s="39">
        <v>46243.0</v>
      </c>
      <c r="L364" s="40">
        <v>15019.44</v>
      </c>
      <c r="M364" s="40">
        <v>4264.99</v>
      </c>
    </row>
    <row r="365" ht="15.75" customHeight="1">
      <c r="A365" s="33" t="s">
        <v>898</v>
      </c>
      <c r="B365" s="39">
        <v>46200.0</v>
      </c>
      <c r="C365" s="33" t="s">
        <v>202</v>
      </c>
      <c r="D365" s="33" t="s">
        <v>188</v>
      </c>
      <c r="E365" s="33" t="s">
        <v>180</v>
      </c>
      <c r="F365" s="33" t="s">
        <v>181</v>
      </c>
      <c r="G365" s="33" t="s">
        <v>189</v>
      </c>
      <c r="H365" s="33" t="s">
        <v>181</v>
      </c>
      <c r="I365" s="39">
        <v>46231.0</v>
      </c>
      <c r="J365" s="33"/>
      <c r="K365" s="33"/>
      <c r="L365" s="40">
        <v>6833.76</v>
      </c>
      <c r="M365" s="40">
        <v>577.39</v>
      </c>
    </row>
    <row r="366" ht="15.75" customHeight="1">
      <c r="A366" s="33" t="s">
        <v>2424</v>
      </c>
      <c r="B366" s="39">
        <v>45728.0</v>
      </c>
      <c r="C366" s="33" t="s">
        <v>178</v>
      </c>
      <c r="D366" s="33" t="s">
        <v>200</v>
      </c>
      <c r="E366" s="33" t="s">
        <v>180</v>
      </c>
      <c r="F366" s="33" t="s">
        <v>189</v>
      </c>
      <c r="G366" s="33" t="s">
        <v>181</v>
      </c>
      <c r="H366" s="33" t="s">
        <v>181</v>
      </c>
      <c r="I366" s="39">
        <v>46212.0</v>
      </c>
      <c r="J366" s="39">
        <v>46236.0</v>
      </c>
      <c r="K366" s="39">
        <v>46236.0</v>
      </c>
      <c r="L366" s="40">
        <v>11029.84</v>
      </c>
      <c r="M366" s="40">
        <v>0.0</v>
      </c>
    </row>
    <row r="367" ht="15.75" customHeight="1">
      <c r="A367" s="33" t="s">
        <v>2429</v>
      </c>
      <c r="B367" s="39">
        <v>45972.0</v>
      </c>
      <c r="C367" s="33" t="s">
        <v>184</v>
      </c>
      <c r="D367" s="33" t="s">
        <v>228</v>
      </c>
      <c r="E367" s="33" t="s">
        <v>180</v>
      </c>
      <c r="F367" s="33" t="s">
        <v>181</v>
      </c>
      <c r="G367" s="33" t="s">
        <v>181</v>
      </c>
      <c r="H367" s="33" t="s">
        <v>181</v>
      </c>
      <c r="I367" s="39">
        <v>46236.0</v>
      </c>
      <c r="J367" s="39">
        <v>46255.0</v>
      </c>
      <c r="K367" s="39">
        <v>46222.0</v>
      </c>
      <c r="L367" s="40">
        <v>0.0</v>
      </c>
      <c r="M367" s="40">
        <v>282.05</v>
      </c>
    </row>
    <row r="368" ht="15.75" customHeight="1">
      <c r="A368" s="33" t="s">
        <v>2433</v>
      </c>
      <c r="B368" s="39">
        <v>45943.0</v>
      </c>
      <c r="C368" s="33" t="s">
        <v>184</v>
      </c>
      <c r="D368" s="33" t="s">
        <v>185</v>
      </c>
      <c r="E368" s="33" t="s">
        <v>180</v>
      </c>
      <c r="F368" s="33" t="s">
        <v>189</v>
      </c>
      <c r="G368" s="33" t="s">
        <v>181</v>
      </c>
      <c r="H368" s="33" t="s">
        <v>189</v>
      </c>
      <c r="I368" s="39">
        <v>46180.0</v>
      </c>
      <c r="J368" s="39">
        <v>46060.0</v>
      </c>
      <c r="K368" s="39">
        <v>45979.0</v>
      </c>
      <c r="L368" s="40">
        <v>0.0</v>
      </c>
      <c r="M368" s="40">
        <v>0.0</v>
      </c>
    </row>
    <row r="369" ht="15.75" customHeight="1">
      <c r="A369" s="33" t="s">
        <v>1297</v>
      </c>
      <c r="B369" s="39">
        <v>45849.0</v>
      </c>
      <c r="C369" s="33" t="s">
        <v>202</v>
      </c>
      <c r="D369" s="33" t="s">
        <v>200</v>
      </c>
      <c r="E369" s="33" t="s">
        <v>180</v>
      </c>
      <c r="F369" s="33" t="s">
        <v>181</v>
      </c>
      <c r="G369" s="33" t="s">
        <v>181</v>
      </c>
      <c r="H369" s="33" t="s">
        <v>181</v>
      </c>
      <c r="I369" s="39">
        <v>46201.0</v>
      </c>
      <c r="J369" s="39">
        <v>46256.0</v>
      </c>
      <c r="K369" s="39">
        <v>46233.0</v>
      </c>
      <c r="L369" s="40">
        <v>0.0</v>
      </c>
      <c r="M369" s="40">
        <v>4700.6</v>
      </c>
    </row>
    <row r="370" ht="15.75" customHeight="1">
      <c r="A370" s="33" t="s">
        <v>1890</v>
      </c>
      <c r="B370" s="39">
        <v>45671.0</v>
      </c>
      <c r="C370" s="33" t="s">
        <v>187</v>
      </c>
      <c r="D370" s="33" t="s">
        <v>188</v>
      </c>
      <c r="E370" s="33" t="s">
        <v>180</v>
      </c>
      <c r="F370" s="33" t="s">
        <v>181</v>
      </c>
      <c r="G370" s="33" t="s">
        <v>189</v>
      </c>
      <c r="H370" s="33" t="s">
        <v>189</v>
      </c>
      <c r="I370" s="39">
        <v>46199.0</v>
      </c>
      <c r="J370" s="33"/>
      <c r="K370" s="33"/>
      <c r="L370" s="40">
        <v>4358.52</v>
      </c>
      <c r="M370" s="40">
        <v>856.69</v>
      </c>
    </row>
    <row r="371" ht="15.75" customHeight="1">
      <c r="A371" s="33" t="s">
        <v>2048</v>
      </c>
      <c r="B371" s="39">
        <v>46126.0</v>
      </c>
      <c r="C371" s="33" t="s">
        <v>178</v>
      </c>
      <c r="D371" s="33" t="s">
        <v>194</v>
      </c>
      <c r="E371" s="33" t="s">
        <v>180</v>
      </c>
      <c r="F371" s="33" t="s">
        <v>181</v>
      </c>
      <c r="G371" s="33" t="s">
        <v>181</v>
      </c>
      <c r="H371" s="33" t="s">
        <v>181</v>
      </c>
      <c r="I371" s="39">
        <v>46201.0</v>
      </c>
      <c r="J371" s="39">
        <v>46263.0</v>
      </c>
      <c r="K371" s="39">
        <v>46263.0</v>
      </c>
      <c r="L371" s="40">
        <v>56643.5</v>
      </c>
      <c r="M371" s="40">
        <v>1474.73</v>
      </c>
    </row>
    <row r="372" ht="15.75" customHeight="1">
      <c r="A372" s="33" t="s">
        <v>1842</v>
      </c>
      <c r="B372" s="39">
        <v>45861.0</v>
      </c>
      <c r="C372" s="33" t="s">
        <v>178</v>
      </c>
      <c r="D372" s="33" t="s">
        <v>237</v>
      </c>
      <c r="E372" s="33" t="s">
        <v>180</v>
      </c>
      <c r="F372" s="33" t="s">
        <v>181</v>
      </c>
      <c r="G372" s="33" t="s">
        <v>181</v>
      </c>
      <c r="H372" s="33" t="s">
        <v>189</v>
      </c>
      <c r="I372" s="39">
        <v>46225.0</v>
      </c>
      <c r="J372" s="39">
        <v>46261.0</v>
      </c>
      <c r="K372" s="39">
        <v>45974.0</v>
      </c>
      <c r="L372" s="40">
        <v>47575.14</v>
      </c>
      <c r="M372" s="40">
        <v>2205.46</v>
      </c>
    </row>
    <row r="373" ht="15.75" customHeight="1">
      <c r="A373" s="33" t="s">
        <v>2453</v>
      </c>
      <c r="B373" s="39">
        <v>46059.0</v>
      </c>
      <c r="C373" s="33" t="s">
        <v>202</v>
      </c>
      <c r="D373" s="33" t="s">
        <v>237</v>
      </c>
      <c r="E373" s="33" t="s">
        <v>180</v>
      </c>
      <c r="F373" s="33" t="s">
        <v>181</v>
      </c>
      <c r="G373" s="33" t="s">
        <v>189</v>
      </c>
      <c r="H373" s="33" t="s">
        <v>181</v>
      </c>
      <c r="I373" s="39">
        <v>46180.0</v>
      </c>
      <c r="J373" s="33"/>
      <c r="K373" s="33"/>
      <c r="L373" s="40">
        <v>19914.39</v>
      </c>
      <c r="M373" s="40">
        <v>5691.06</v>
      </c>
    </row>
    <row r="374" ht="15.75" customHeight="1">
      <c r="A374" s="33" t="s">
        <v>2458</v>
      </c>
      <c r="B374" s="39">
        <v>45907.0</v>
      </c>
      <c r="C374" s="33" t="s">
        <v>178</v>
      </c>
      <c r="D374" s="33" t="s">
        <v>188</v>
      </c>
      <c r="E374" s="33" t="s">
        <v>180</v>
      </c>
      <c r="F374" s="33" t="s">
        <v>181</v>
      </c>
      <c r="G374" s="33" t="s">
        <v>189</v>
      </c>
      <c r="H374" s="33" t="s">
        <v>189</v>
      </c>
      <c r="I374" s="39">
        <v>46247.0</v>
      </c>
      <c r="J374" s="33"/>
      <c r="K374" s="33"/>
      <c r="L374" s="40">
        <v>0.0</v>
      </c>
      <c r="M374" s="40">
        <v>4199.02</v>
      </c>
    </row>
    <row r="375" ht="15.75" customHeight="1">
      <c r="A375" s="33" t="s">
        <v>2464</v>
      </c>
      <c r="B375" s="39">
        <v>45884.0</v>
      </c>
      <c r="C375" s="33" t="s">
        <v>187</v>
      </c>
      <c r="D375" s="33" t="s">
        <v>185</v>
      </c>
      <c r="E375" s="33" t="s">
        <v>180</v>
      </c>
      <c r="F375" s="33" t="s">
        <v>181</v>
      </c>
      <c r="G375" s="33" t="s">
        <v>189</v>
      </c>
      <c r="H375" s="33" t="s">
        <v>181</v>
      </c>
      <c r="I375" s="39">
        <v>46214.0</v>
      </c>
      <c r="J375" s="33"/>
      <c r="K375" s="33"/>
      <c r="L375" s="40">
        <v>0.0</v>
      </c>
      <c r="M375" s="40">
        <v>1613.23</v>
      </c>
    </row>
    <row r="376" ht="15.75" customHeight="1">
      <c r="A376" s="33" t="s">
        <v>1167</v>
      </c>
      <c r="B376" s="39">
        <v>46195.0</v>
      </c>
      <c r="C376" s="33" t="s">
        <v>184</v>
      </c>
      <c r="D376" s="33" t="s">
        <v>228</v>
      </c>
      <c r="E376" s="33" t="s">
        <v>180</v>
      </c>
      <c r="F376" s="33" t="s">
        <v>181</v>
      </c>
      <c r="G376" s="33" t="s">
        <v>189</v>
      </c>
      <c r="H376" s="33" t="s">
        <v>181</v>
      </c>
      <c r="I376" s="39">
        <v>46259.0</v>
      </c>
      <c r="J376" s="33"/>
      <c r="K376" s="33"/>
      <c r="L376" s="40">
        <v>24739.62</v>
      </c>
      <c r="M376" s="40">
        <v>1092.89</v>
      </c>
    </row>
    <row r="377" ht="15.75" customHeight="1">
      <c r="A377" s="33" t="s">
        <v>2131</v>
      </c>
      <c r="B377" s="39">
        <v>45715.0</v>
      </c>
      <c r="C377" s="33" t="s">
        <v>178</v>
      </c>
      <c r="D377" s="33" t="s">
        <v>200</v>
      </c>
      <c r="E377" s="33" t="s">
        <v>180</v>
      </c>
      <c r="F377" s="33" t="s">
        <v>181</v>
      </c>
      <c r="G377" s="33" t="s">
        <v>189</v>
      </c>
      <c r="H377" s="33" t="s">
        <v>181</v>
      </c>
      <c r="I377" s="39">
        <v>46239.0</v>
      </c>
      <c r="J377" s="33"/>
      <c r="K377" s="33"/>
      <c r="L377" s="40">
        <v>20367.25</v>
      </c>
      <c r="M377" s="40">
        <v>648.26</v>
      </c>
    </row>
    <row r="378" ht="15.75" customHeight="1">
      <c r="A378" s="33" t="s">
        <v>469</v>
      </c>
      <c r="B378" s="39">
        <v>46105.0</v>
      </c>
      <c r="C378" s="33" t="s">
        <v>202</v>
      </c>
      <c r="D378" s="33" t="s">
        <v>194</v>
      </c>
      <c r="E378" s="33" t="s">
        <v>180</v>
      </c>
      <c r="F378" s="33" t="s">
        <v>181</v>
      </c>
      <c r="G378" s="33" t="s">
        <v>181</v>
      </c>
      <c r="H378" s="33" t="s">
        <v>181</v>
      </c>
      <c r="I378" s="39">
        <v>46214.0</v>
      </c>
      <c r="J378" s="39">
        <v>46232.0</v>
      </c>
      <c r="K378" s="39">
        <v>46197.0</v>
      </c>
      <c r="L378" s="40">
        <v>0.0</v>
      </c>
      <c r="M378" s="40">
        <v>2322.54</v>
      </c>
    </row>
    <row r="379" ht="15.75" customHeight="1">
      <c r="A379" s="33" t="s">
        <v>2212</v>
      </c>
      <c r="B379" s="39">
        <v>46111.0</v>
      </c>
      <c r="C379" s="33" t="s">
        <v>178</v>
      </c>
      <c r="D379" s="33" t="s">
        <v>185</v>
      </c>
      <c r="E379" s="33" t="s">
        <v>180</v>
      </c>
      <c r="F379" s="33" t="s">
        <v>181</v>
      </c>
      <c r="G379" s="33" t="s">
        <v>181</v>
      </c>
      <c r="H379" s="33" t="s">
        <v>181</v>
      </c>
      <c r="I379" s="39">
        <v>46221.0</v>
      </c>
      <c r="J379" s="39">
        <v>46155.0</v>
      </c>
      <c r="K379" s="39">
        <v>46155.0</v>
      </c>
      <c r="L379" s="40">
        <v>0.0</v>
      </c>
      <c r="M379" s="40">
        <v>1849.27</v>
      </c>
    </row>
    <row r="380" ht="15.75" customHeight="1">
      <c r="A380" s="33" t="s">
        <v>430</v>
      </c>
      <c r="B380" s="39">
        <v>45888.0</v>
      </c>
      <c r="C380" s="33" t="s">
        <v>184</v>
      </c>
      <c r="D380" s="33" t="s">
        <v>188</v>
      </c>
      <c r="E380" s="33" t="s">
        <v>180</v>
      </c>
      <c r="F380" s="33" t="s">
        <v>181</v>
      </c>
      <c r="G380" s="33" t="s">
        <v>181</v>
      </c>
      <c r="H380" s="33" t="s">
        <v>189</v>
      </c>
      <c r="I380" s="39">
        <v>46181.0</v>
      </c>
      <c r="J380" s="39">
        <v>46239.0</v>
      </c>
      <c r="K380" s="39">
        <v>46101.0</v>
      </c>
      <c r="L380" s="40">
        <v>0.0</v>
      </c>
      <c r="M380" s="40">
        <v>326.94</v>
      </c>
    </row>
    <row r="381" ht="15.75" customHeight="1">
      <c r="A381" s="33" t="s">
        <v>1911</v>
      </c>
      <c r="B381" s="39">
        <v>45817.0</v>
      </c>
      <c r="C381" s="33" t="s">
        <v>178</v>
      </c>
      <c r="D381" s="33" t="s">
        <v>237</v>
      </c>
      <c r="E381" s="33" t="s">
        <v>180</v>
      </c>
      <c r="F381" s="33" t="s">
        <v>189</v>
      </c>
      <c r="G381" s="33" t="s">
        <v>181</v>
      </c>
      <c r="H381" s="33" t="s">
        <v>189</v>
      </c>
      <c r="I381" s="39">
        <v>46210.0</v>
      </c>
      <c r="J381" s="39">
        <v>46125.0</v>
      </c>
      <c r="K381" s="39">
        <v>46125.0</v>
      </c>
      <c r="L381" s="40">
        <v>15886.79</v>
      </c>
      <c r="M381" s="40">
        <v>0.0</v>
      </c>
    </row>
    <row r="382" ht="15.75" customHeight="1">
      <c r="A382" s="33" t="s">
        <v>884</v>
      </c>
      <c r="B382" s="39">
        <v>45661.0</v>
      </c>
      <c r="C382" s="33" t="s">
        <v>187</v>
      </c>
      <c r="D382" s="33" t="s">
        <v>237</v>
      </c>
      <c r="E382" s="33" t="s">
        <v>180</v>
      </c>
      <c r="F382" s="33" t="s">
        <v>181</v>
      </c>
      <c r="G382" s="33" t="s">
        <v>181</v>
      </c>
      <c r="H382" s="33" t="s">
        <v>181</v>
      </c>
      <c r="I382" s="39">
        <v>46228.0</v>
      </c>
      <c r="J382" s="39">
        <v>46262.0</v>
      </c>
      <c r="K382" s="39">
        <v>46262.0</v>
      </c>
      <c r="L382" s="40">
        <v>50165.3</v>
      </c>
      <c r="M382" s="40">
        <v>1468.16</v>
      </c>
    </row>
    <row r="383" ht="15.75" customHeight="1">
      <c r="A383" s="33" t="s">
        <v>964</v>
      </c>
      <c r="B383" s="39">
        <v>46226.0</v>
      </c>
      <c r="C383" s="33" t="s">
        <v>202</v>
      </c>
      <c r="D383" s="33" t="s">
        <v>185</v>
      </c>
      <c r="E383" s="33" t="s">
        <v>180</v>
      </c>
      <c r="F383" s="33" t="s">
        <v>189</v>
      </c>
      <c r="G383" s="33" t="s">
        <v>181</v>
      </c>
      <c r="H383" s="33" t="s">
        <v>189</v>
      </c>
      <c r="I383" s="39">
        <v>46227.0</v>
      </c>
      <c r="J383" s="39">
        <v>46212.0</v>
      </c>
      <c r="K383" s="39">
        <v>46212.0</v>
      </c>
      <c r="L383" s="40">
        <v>16244.34</v>
      </c>
      <c r="M383" s="40">
        <v>0.0</v>
      </c>
    </row>
    <row r="384" ht="15.75" customHeight="1">
      <c r="A384" s="33" t="s">
        <v>2497</v>
      </c>
      <c r="B384" s="39">
        <v>46233.0</v>
      </c>
      <c r="C384" s="33" t="s">
        <v>178</v>
      </c>
      <c r="D384" s="33" t="s">
        <v>196</v>
      </c>
      <c r="E384" s="33" t="s">
        <v>180</v>
      </c>
      <c r="F384" s="33" t="s">
        <v>181</v>
      </c>
      <c r="G384" s="33" t="s">
        <v>181</v>
      </c>
      <c r="H384" s="33" t="s">
        <v>189</v>
      </c>
      <c r="I384" s="39">
        <v>46210.0</v>
      </c>
      <c r="J384" s="39">
        <v>46213.0</v>
      </c>
      <c r="K384" s="39">
        <v>46159.0</v>
      </c>
      <c r="L384" s="40">
        <v>36257.89</v>
      </c>
      <c r="M384" s="40">
        <v>1883.91</v>
      </c>
    </row>
    <row r="385" ht="15.75" customHeight="1">
      <c r="A385" s="33" t="s">
        <v>1847</v>
      </c>
      <c r="B385" s="39">
        <v>45804.0</v>
      </c>
      <c r="C385" s="33" t="s">
        <v>187</v>
      </c>
      <c r="D385" s="33" t="s">
        <v>188</v>
      </c>
      <c r="E385" s="33" t="s">
        <v>180</v>
      </c>
      <c r="F385" s="33" t="s">
        <v>181</v>
      </c>
      <c r="G385" s="33" t="s">
        <v>189</v>
      </c>
      <c r="H385" s="33" t="s">
        <v>181</v>
      </c>
      <c r="I385" s="39">
        <v>46194.0</v>
      </c>
      <c r="J385" s="33"/>
      <c r="K385" s="33"/>
      <c r="L385" s="40">
        <v>24329.69</v>
      </c>
      <c r="M385" s="40">
        <v>2467.54</v>
      </c>
    </row>
    <row r="386" ht="15.75" customHeight="1">
      <c r="A386" s="33" t="s">
        <v>1796</v>
      </c>
      <c r="B386" s="39">
        <v>45677.0</v>
      </c>
      <c r="C386" s="33" t="s">
        <v>187</v>
      </c>
      <c r="D386" s="33" t="s">
        <v>196</v>
      </c>
      <c r="E386" s="33" t="s">
        <v>222</v>
      </c>
      <c r="F386" s="33" t="s">
        <v>181</v>
      </c>
      <c r="G386" s="33" t="s">
        <v>189</v>
      </c>
      <c r="H386" s="33" t="s">
        <v>189</v>
      </c>
      <c r="I386" s="39">
        <v>46193.0</v>
      </c>
      <c r="J386" s="33"/>
      <c r="K386" s="33"/>
      <c r="L386" s="40">
        <v>36381.03</v>
      </c>
      <c r="M386" s="40">
        <v>756.62</v>
      </c>
    </row>
    <row r="387" ht="15.75" customHeight="1">
      <c r="A387" s="33" t="s">
        <v>1329</v>
      </c>
      <c r="B387" s="39">
        <v>45732.0</v>
      </c>
      <c r="C387" s="33" t="s">
        <v>202</v>
      </c>
      <c r="D387" s="33" t="s">
        <v>196</v>
      </c>
      <c r="E387" s="33" t="s">
        <v>222</v>
      </c>
      <c r="F387" s="33" t="s">
        <v>181</v>
      </c>
      <c r="G387" s="33" t="s">
        <v>181</v>
      </c>
      <c r="H387" s="33" t="s">
        <v>181</v>
      </c>
      <c r="I387" s="39">
        <v>46147.0</v>
      </c>
      <c r="J387" s="39">
        <v>46122.0</v>
      </c>
      <c r="K387" s="39">
        <v>45942.0</v>
      </c>
      <c r="L387" s="40">
        <v>0.0</v>
      </c>
      <c r="M387" s="40">
        <v>1923.67</v>
      </c>
    </row>
    <row r="388" ht="15.75" customHeight="1">
      <c r="A388" s="33" t="s">
        <v>672</v>
      </c>
      <c r="B388" s="39">
        <v>45699.0</v>
      </c>
      <c r="C388" s="33" t="s">
        <v>184</v>
      </c>
      <c r="D388" s="33" t="s">
        <v>188</v>
      </c>
      <c r="E388" s="33" t="s">
        <v>180</v>
      </c>
      <c r="F388" s="33" t="s">
        <v>181</v>
      </c>
      <c r="G388" s="33" t="s">
        <v>181</v>
      </c>
      <c r="H388" s="33" t="s">
        <v>181</v>
      </c>
      <c r="I388" s="39">
        <v>46214.0</v>
      </c>
      <c r="J388" s="39">
        <v>46216.0</v>
      </c>
      <c r="K388" s="39">
        <v>46006.0</v>
      </c>
      <c r="L388" s="40">
        <v>28847.23</v>
      </c>
      <c r="M388" s="40">
        <v>630.69</v>
      </c>
    </row>
    <row r="389" ht="15.75" customHeight="1">
      <c r="A389" s="33" t="s">
        <v>2515</v>
      </c>
      <c r="B389" s="39">
        <v>46162.0</v>
      </c>
      <c r="C389" s="33" t="s">
        <v>184</v>
      </c>
      <c r="D389" s="33" t="s">
        <v>188</v>
      </c>
      <c r="E389" s="33" t="s">
        <v>180</v>
      </c>
      <c r="F389" s="33" t="s">
        <v>181</v>
      </c>
      <c r="G389" s="33" t="s">
        <v>181</v>
      </c>
      <c r="H389" s="33" t="s">
        <v>189</v>
      </c>
      <c r="I389" s="39">
        <v>46265.0</v>
      </c>
      <c r="J389" s="39">
        <v>46141.0</v>
      </c>
      <c r="K389" s="39">
        <v>46114.0</v>
      </c>
      <c r="L389" s="40">
        <v>0.0</v>
      </c>
      <c r="M389" s="40">
        <v>2209.51</v>
      </c>
    </row>
    <row r="390" ht="15.75" customHeight="1">
      <c r="A390" s="33" t="s">
        <v>2521</v>
      </c>
      <c r="B390" s="39">
        <v>46199.0</v>
      </c>
      <c r="C390" s="33" t="s">
        <v>178</v>
      </c>
      <c r="D390" s="33" t="s">
        <v>188</v>
      </c>
      <c r="E390" s="33" t="s">
        <v>180</v>
      </c>
      <c r="F390" s="33" t="s">
        <v>181</v>
      </c>
      <c r="G390" s="33" t="s">
        <v>181</v>
      </c>
      <c r="H390" s="33" t="s">
        <v>189</v>
      </c>
      <c r="I390" s="39">
        <v>46183.0</v>
      </c>
      <c r="J390" s="39">
        <v>45745.0</v>
      </c>
      <c r="K390" s="39">
        <v>45745.0</v>
      </c>
      <c r="L390" s="40">
        <v>0.0</v>
      </c>
      <c r="M390" s="40">
        <v>1432.67</v>
      </c>
    </row>
    <row r="391" ht="15.75" customHeight="1">
      <c r="A391" s="33" t="s">
        <v>975</v>
      </c>
      <c r="B391" s="39">
        <v>45751.0</v>
      </c>
      <c r="C391" s="33" t="s">
        <v>202</v>
      </c>
      <c r="D391" s="33" t="s">
        <v>237</v>
      </c>
      <c r="E391" s="33" t="s">
        <v>330</v>
      </c>
      <c r="F391" s="33" t="s">
        <v>189</v>
      </c>
      <c r="G391" s="33" t="s">
        <v>189</v>
      </c>
      <c r="H391" s="33" t="s">
        <v>189</v>
      </c>
      <c r="I391" s="39">
        <v>45864.0</v>
      </c>
      <c r="J391" s="33"/>
      <c r="K391" s="33"/>
      <c r="L391" s="40">
        <v>13335.72</v>
      </c>
      <c r="M391" s="40">
        <v>0.0</v>
      </c>
    </row>
    <row r="392" ht="15.75" customHeight="1">
      <c r="A392" s="33" t="s">
        <v>2015</v>
      </c>
      <c r="B392" s="39">
        <v>46111.0</v>
      </c>
      <c r="C392" s="33" t="s">
        <v>178</v>
      </c>
      <c r="D392" s="33" t="s">
        <v>196</v>
      </c>
      <c r="E392" s="33" t="s">
        <v>180</v>
      </c>
      <c r="F392" s="33" t="s">
        <v>181</v>
      </c>
      <c r="G392" s="33" t="s">
        <v>189</v>
      </c>
      <c r="H392" s="33" t="s">
        <v>189</v>
      </c>
      <c r="I392" s="39">
        <v>46244.0</v>
      </c>
      <c r="J392" s="33"/>
      <c r="K392" s="33"/>
      <c r="L392" s="40">
        <v>1884.62</v>
      </c>
      <c r="M392" s="40">
        <v>5973.55</v>
      </c>
    </row>
    <row r="393" ht="15.75" customHeight="1">
      <c r="A393" s="33" t="s">
        <v>2538</v>
      </c>
      <c r="B393" s="39">
        <v>45766.0</v>
      </c>
      <c r="C393" s="33" t="s">
        <v>184</v>
      </c>
      <c r="D393" s="33" t="s">
        <v>237</v>
      </c>
      <c r="E393" s="33" t="s">
        <v>180</v>
      </c>
      <c r="F393" s="33" t="s">
        <v>181</v>
      </c>
      <c r="G393" s="33" t="s">
        <v>189</v>
      </c>
      <c r="H393" s="33" t="s">
        <v>189</v>
      </c>
      <c r="I393" s="39">
        <v>46208.0</v>
      </c>
      <c r="J393" s="33"/>
      <c r="K393" s="33"/>
      <c r="L393" s="40">
        <v>21250.34</v>
      </c>
      <c r="M393" s="40">
        <v>880.5</v>
      </c>
    </row>
    <row r="394" ht="15.75" customHeight="1">
      <c r="A394" s="33" t="s">
        <v>1775</v>
      </c>
      <c r="B394" s="39">
        <v>45880.0</v>
      </c>
      <c r="C394" s="33" t="s">
        <v>202</v>
      </c>
      <c r="D394" s="33" t="s">
        <v>200</v>
      </c>
      <c r="E394" s="33" t="s">
        <v>180</v>
      </c>
      <c r="F394" s="33" t="s">
        <v>181</v>
      </c>
      <c r="G394" s="33" t="s">
        <v>189</v>
      </c>
      <c r="H394" s="33" t="s">
        <v>181</v>
      </c>
      <c r="I394" s="39">
        <v>46204.0</v>
      </c>
      <c r="J394" s="33"/>
      <c r="K394" s="33"/>
      <c r="L394" s="40">
        <v>25018.2</v>
      </c>
      <c r="M394" s="40">
        <v>1178.27</v>
      </c>
    </row>
    <row r="395" ht="15.75" customHeight="1">
      <c r="A395" s="33" t="s">
        <v>2546</v>
      </c>
      <c r="B395" s="39">
        <v>46021.0</v>
      </c>
      <c r="C395" s="33" t="s">
        <v>178</v>
      </c>
      <c r="D395" s="33" t="s">
        <v>188</v>
      </c>
      <c r="E395" s="33" t="s">
        <v>180</v>
      </c>
      <c r="F395" s="33" t="s">
        <v>181</v>
      </c>
      <c r="G395" s="33" t="s">
        <v>189</v>
      </c>
      <c r="H395" s="33" t="s">
        <v>181</v>
      </c>
      <c r="I395" s="39">
        <v>46183.0</v>
      </c>
      <c r="J395" s="33"/>
      <c r="K395" s="33"/>
      <c r="L395" s="40">
        <v>0.0</v>
      </c>
      <c r="M395" s="40">
        <v>347.94</v>
      </c>
    </row>
    <row r="396" ht="15.75" customHeight="1">
      <c r="A396" s="33" t="s">
        <v>2511</v>
      </c>
      <c r="B396" s="39">
        <v>46094.0</v>
      </c>
      <c r="C396" s="33" t="s">
        <v>178</v>
      </c>
      <c r="D396" s="33" t="s">
        <v>179</v>
      </c>
      <c r="E396" s="33" t="s">
        <v>180</v>
      </c>
      <c r="F396" s="33" t="s">
        <v>181</v>
      </c>
      <c r="G396" s="33" t="s">
        <v>181</v>
      </c>
      <c r="H396" s="33" t="s">
        <v>181</v>
      </c>
      <c r="I396" s="39">
        <v>46262.0</v>
      </c>
      <c r="J396" s="39">
        <v>46251.0</v>
      </c>
      <c r="K396" s="39">
        <v>46251.0</v>
      </c>
      <c r="L396" s="40">
        <v>0.0</v>
      </c>
      <c r="M396" s="40">
        <v>1666.56</v>
      </c>
    </row>
    <row r="397" ht="15.75" customHeight="1">
      <c r="A397" s="33" t="s">
        <v>404</v>
      </c>
      <c r="B397" s="39">
        <v>46188.0</v>
      </c>
      <c r="C397" s="33" t="s">
        <v>184</v>
      </c>
      <c r="D397" s="33" t="s">
        <v>185</v>
      </c>
      <c r="E397" s="33" t="s">
        <v>180</v>
      </c>
      <c r="F397" s="33" t="s">
        <v>181</v>
      </c>
      <c r="G397" s="33" t="s">
        <v>181</v>
      </c>
      <c r="H397" s="33" t="s">
        <v>181</v>
      </c>
      <c r="I397" s="39">
        <v>46228.0</v>
      </c>
      <c r="J397" s="39">
        <v>46262.0</v>
      </c>
      <c r="K397" s="39">
        <v>46016.0</v>
      </c>
      <c r="L397" s="40">
        <v>5840.96</v>
      </c>
      <c r="M397" s="40">
        <v>1299.87</v>
      </c>
    </row>
    <row r="398" ht="15.75" customHeight="1">
      <c r="A398" s="33" t="s">
        <v>833</v>
      </c>
      <c r="B398" s="39">
        <v>45685.0</v>
      </c>
      <c r="C398" s="33" t="s">
        <v>178</v>
      </c>
      <c r="D398" s="33" t="s">
        <v>188</v>
      </c>
      <c r="E398" s="33" t="s">
        <v>180</v>
      </c>
      <c r="F398" s="33" t="s">
        <v>181</v>
      </c>
      <c r="G398" s="33" t="s">
        <v>181</v>
      </c>
      <c r="H398" s="33" t="s">
        <v>181</v>
      </c>
      <c r="I398" s="39">
        <v>46249.0</v>
      </c>
      <c r="J398" s="39">
        <v>46237.0</v>
      </c>
      <c r="K398" s="39">
        <v>46197.0</v>
      </c>
      <c r="L398" s="40">
        <v>0.0</v>
      </c>
      <c r="M398" s="40">
        <v>1790.65</v>
      </c>
    </row>
    <row r="399" ht="15.75" customHeight="1">
      <c r="A399" s="33" t="s">
        <v>801</v>
      </c>
      <c r="B399" s="39">
        <v>45777.0</v>
      </c>
      <c r="C399" s="33" t="s">
        <v>187</v>
      </c>
      <c r="D399" s="33" t="s">
        <v>196</v>
      </c>
      <c r="E399" s="33" t="s">
        <v>180</v>
      </c>
      <c r="F399" s="33" t="s">
        <v>181</v>
      </c>
      <c r="G399" s="33" t="s">
        <v>181</v>
      </c>
      <c r="H399" s="33" t="s">
        <v>189</v>
      </c>
      <c r="I399" s="39">
        <v>46214.0</v>
      </c>
      <c r="J399" s="39">
        <v>46214.0</v>
      </c>
      <c r="K399" s="39">
        <v>46038.0</v>
      </c>
      <c r="L399" s="40">
        <v>18341.32</v>
      </c>
      <c r="M399" s="40">
        <v>1600.73</v>
      </c>
    </row>
    <row r="400" ht="15.75" customHeight="1">
      <c r="A400" s="33" t="s">
        <v>2570</v>
      </c>
      <c r="B400" s="39">
        <v>45828.0</v>
      </c>
      <c r="C400" s="33" t="s">
        <v>178</v>
      </c>
      <c r="D400" s="33" t="s">
        <v>188</v>
      </c>
      <c r="E400" s="33" t="s">
        <v>222</v>
      </c>
      <c r="F400" s="33" t="s">
        <v>181</v>
      </c>
      <c r="G400" s="33" t="s">
        <v>181</v>
      </c>
      <c r="H400" s="33" t="s">
        <v>181</v>
      </c>
      <c r="I400" s="39">
        <v>46160.0</v>
      </c>
      <c r="J400" s="39">
        <v>46191.0</v>
      </c>
      <c r="K400" s="39">
        <v>46191.0</v>
      </c>
      <c r="L400" s="40">
        <v>0.0</v>
      </c>
      <c r="M400" s="40">
        <v>6044.64</v>
      </c>
    </row>
    <row r="401" ht="15.75" customHeight="1">
      <c r="A401" s="33" t="s">
        <v>2169</v>
      </c>
      <c r="B401" s="39">
        <v>45846.0</v>
      </c>
      <c r="C401" s="33" t="s">
        <v>184</v>
      </c>
      <c r="D401" s="33" t="s">
        <v>196</v>
      </c>
      <c r="E401" s="33" t="s">
        <v>180</v>
      </c>
      <c r="F401" s="33" t="s">
        <v>181</v>
      </c>
      <c r="G401" s="33" t="s">
        <v>181</v>
      </c>
      <c r="H401" s="33" t="s">
        <v>181</v>
      </c>
      <c r="I401" s="39">
        <v>46223.0</v>
      </c>
      <c r="J401" s="39">
        <v>46255.0</v>
      </c>
      <c r="K401" s="39">
        <v>46255.0</v>
      </c>
      <c r="L401" s="40">
        <v>10169.68</v>
      </c>
      <c r="M401" s="40">
        <v>2355.2</v>
      </c>
    </row>
    <row r="402" ht="15.75" customHeight="1">
      <c r="A402" s="33" t="s">
        <v>2579</v>
      </c>
      <c r="B402" s="39">
        <v>46263.0</v>
      </c>
      <c r="C402" s="33" t="s">
        <v>178</v>
      </c>
      <c r="D402" s="33" t="s">
        <v>196</v>
      </c>
      <c r="E402" s="33" t="s">
        <v>180</v>
      </c>
      <c r="F402" s="33" t="s">
        <v>181</v>
      </c>
      <c r="G402" s="33" t="s">
        <v>189</v>
      </c>
      <c r="H402" s="33" t="s">
        <v>189</v>
      </c>
      <c r="I402" s="39">
        <v>46177.0</v>
      </c>
      <c r="J402" s="33"/>
      <c r="K402" s="33"/>
      <c r="L402" s="40">
        <v>10250.99</v>
      </c>
      <c r="M402" s="40">
        <v>2906.07</v>
      </c>
    </row>
    <row r="403" ht="15.75" customHeight="1">
      <c r="A403" s="33" t="s">
        <v>1850</v>
      </c>
      <c r="B403" s="39">
        <v>46129.0</v>
      </c>
      <c r="C403" s="33" t="s">
        <v>178</v>
      </c>
      <c r="D403" s="33" t="s">
        <v>188</v>
      </c>
      <c r="E403" s="33" t="s">
        <v>180</v>
      </c>
      <c r="F403" s="33" t="s">
        <v>189</v>
      </c>
      <c r="G403" s="33" t="s">
        <v>181</v>
      </c>
      <c r="H403" s="33" t="s">
        <v>189</v>
      </c>
      <c r="I403" s="39">
        <v>46218.0</v>
      </c>
      <c r="J403" s="39">
        <v>46196.0</v>
      </c>
      <c r="K403" s="39">
        <v>46196.0</v>
      </c>
      <c r="L403" s="40">
        <v>28300.11</v>
      </c>
      <c r="M403" s="40">
        <v>0.0</v>
      </c>
    </row>
    <row r="404" ht="15.75" customHeight="1">
      <c r="A404" s="33" t="s">
        <v>1218</v>
      </c>
      <c r="B404" s="39">
        <v>45852.0</v>
      </c>
      <c r="C404" s="33" t="s">
        <v>184</v>
      </c>
      <c r="D404" s="33" t="s">
        <v>194</v>
      </c>
      <c r="E404" s="33" t="s">
        <v>180</v>
      </c>
      <c r="F404" s="33" t="s">
        <v>189</v>
      </c>
      <c r="G404" s="33" t="s">
        <v>189</v>
      </c>
      <c r="H404" s="33" t="s">
        <v>189</v>
      </c>
      <c r="I404" s="39">
        <v>46229.0</v>
      </c>
      <c r="J404" s="33"/>
      <c r="K404" s="33"/>
      <c r="L404" s="40">
        <v>13180.33</v>
      </c>
      <c r="M404" s="40">
        <v>0.0</v>
      </c>
    </row>
    <row r="405" ht="15.75" customHeight="1">
      <c r="A405" s="33" t="s">
        <v>2026</v>
      </c>
      <c r="B405" s="39">
        <v>46247.0</v>
      </c>
      <c r="C405" s="33" t="s">
        <v>184</v>
      </c>
      <c r="D405" s="33" t="s">
        <v>237</v>
      </c>
      <c r="E405" s="33" t="s">
        <v>222</v>
      </c>
      <c r="F405" s="33" t="s">
        <v>181</v>
      </c>
      <c r="G405" s="33" t="s">
        <v>189</v>
      </c>
      <c r="H405" s="33" t="s">
        <v>181</v>
      </c>
      <c r="I405" s="39">
        <v>46224.0</v>
      </c>
      <c r="J405" s="33"/>
      <c r="K405" s="33"/>
      <c r="L405" s="40">
        <v>0.0</v>
      </c>
      <c r="M405" s="40">
        <v>1830.68</v>
      </c>
    </row>
    <row r="406" ht="15.75" customHeight="1">
      <c r="A406" s="33" t="s">
        <v>1256</v>
      </c>
      <c r="B406" s="39">
        <v>45961.0</v>
      </c>
      <c r="C406" s="33" t="s">
        <v>178</v>
      </c>
      <c r="D406" s="33" t="s">
        <v>200</v>
      </c>
      <c r="E406" s="33" t="s">
        <v>180</v>
      </c>
      <c r="F406" s="33" t="s">
        <v>181</v>
      </c>
      <c r="G406" s="33" t="s">
        <v>181</v>
      </c>
      <c r="H406" s="33" t="s">
        <v>189</v>
      </c>
      <c r="I406" s="39">
        <v>46239.0</v>
      </c>
      <c r="J406" s="39">
        <v>46248.0</v>
      </c>
      <c r="K406" s="39">
        <v>46248.0</v>
      </c>
      <c r="L406" s="40">
        <v>0.0</v>
      </c>
      <c r="M406" s="40">
        <v>2040.76</v>
      </c>
    </row>
    <row r="407" ht="15.75" customHeight="1">
      <c r="A407" s="33" t="s">
        <v>948</v>
      </c>
      <c r="B407" s="39">
        <v>45961.0</v>
      </c>
      <c r="C407" s="33" t="s">
        <v>202</v>
      </c>
      <c r="D407" s="33" t="s">
        <v>196</v>
      </c>
      <c r="E407" s="33" t="s">
        <v>180</v>
      </c>
      <c r="F407" s="33" t="s">
        <v>181</v>
      </c>
      <c r="G407" s="33" t="s">
        <v>181</v>
      </c>
      <c r="H407" s="33" t="s">
        <v>181</v>
      </c>
      <c r="I407" s="39">
        <v>46185.0</v>
      </c>
      <c r="J407" s="39">
        <v>46137.0</v>
      </c>
      <c r="K407" s="39">
        <v>46137.0</v>
      </c>
      <c r="L407" s="40">
        <v>31062.21</v>
      </c>
      <c r="M407" s="40">
        <v>1781.16</v>
      </c>
    </row>
    <row r="408" ht="15.75" customHeight="1">
      <c r="A408" s="33" t="s">
        <v>267</v>
      </c>
      <c r="B408" s="39">
        <v>45921.0</v>
      </c>
      <c r="C408" s="33" t="s">
        <v>187</v>
      </c>
      <c r="D408" s="33" t="s">
        <v>185</v>
      </c>
      <c r="E408" s="33" t="s">
        <v>222</v>
      </c>
      <c r="F408" s="33" t="s">
        <v>181</v>
      </c>
      <c r="G408" s="33" t="s">
        <v>181</v>
      </c>
      <c r="H408" s="33" t="s">
        <v>189</v>
      </c>
      <c r="I408" s="39">
        <v>46167.0</v>
      </c>
      <c r="J408" s="39">
        <v>46249.0</v>
      </c>
      <c r="K408" s="39">
        <v>46249.0</v>
      </c>
      <c r="L408" s="40">
        <v>10428.37</v>
      </c>
      <c r="M408" s="40">
        <v>1805.0</v>
      </c>
    </row>
    <row r="409" ht="15.75" customHeight="1">
      <c r="A409" s="33" t="s">
        <v>2615</v>
      </c>
      <c r="B409" s="39">
        <v>45745.0</v>
      </c>
      <c r="C409" s="33" t="s">
        <v>184</v>
      </c>
      <c r="D409" s="33" t="s">
        <v>196</v>
      </c>
      <c r="E409" s="33" t="s">
        <v>180</v>
      </c>
      <c r="F409" s="33" t="s">
        <v>181</v>
      </c>
      <c r="G409" s="33" t="s">
        <v>181</v>
      </c>
      <c r="H409" s="33" t="s">
        <v>181</v>
      </c>
      <c r="I409" s="39">
        <v>46184.0</v>
      </c>
      <c r="J409" s="39">
        <v>46221.0</v>
      </c>
      <c r="K409" s="39">
        <v>45836.0</v>
      </c>
      <c r="L409" s="40">
        <v>0.0</v>
      </c>
      <c r="M409" s="40">
        <v>1093.04</v>
      </c>
    </row>
    <row r="410" ht="15.75" customHeight="1">
      <c r="A410" s="33" t="s">
        <v>1816</v>
      </c>
      <c r="B410" s="39">
        <v>46225.0</v>
      </c>
      <c r="C410" s="33" t="s">
        <v>178</v>
      </c>
      <c r="D410" s="33" t="s">
        <v>179</v>
      </c>
      <c r="E410" s="33" t="s">
        <v>180</v>
      </c>
      <c r="F410" s="33" t="s">
        <v>181</v>
      </c>
      <c r="G410" s="33" t="s">
        <v>181</v>
      </c>
      <c r="H410" s="33" t="s">
        <v>181</v>
      </c>
      <c r="I410" s="39">
        <v>46218.0</v>
      </c>
      <c r="J410" s="39">
        <v>46184.0</v>
      </c>
      <c r="K410" s="39">
        <v>46184.0</v>
      </c>
      <c r="L410" s="40">
        <v>0.0</v>
      </c>
      <c r="M410" s="40">
        <v>2856.38</v>
      </c>
    </row>
    <row r="411" ht="15.75" customHeight="1">
      <c r="A411" s="33" t="s">
        <v>2474</v>
      </c>
      <c r="B411" s="39">
        <v>45666.0</v>
      </c>
      <c r="C411" s="33" t="s">
        <v>202</v>
      </c>
      <c r="D411" s="33" t="s">
        <v>188</v>
      </c>
      <c r="E411" s="33" t="s">
        <v>180</v>
      </c>
      <c r="F411" s="33" t="s">
        <v>181</v>
      </c>
      <c r="G411" s="33" t="s">
        <v>189</v>
      </c>
      <c r="H411" s="33" t="s">
        <v>189</v>
      </c>
      <c r="I411" s="39">
        <v>46216.0</v>
      </c>
      <c r="J411" s="33"/>
      <c r="K411" s="33"/>
      <c r="L411" s="40">
        <v>0.0</v>
      </c>
      <c r="M411" s="40">
        <v>6290.16</v>
      </c>
    </row>
    <row r="412" ht="15.75" customHeight="1">
      <c r="A412" s="33" t="s">
        <v>329</v>
      </c>
      <c r="B412" s="39">
        <v>45763.0</v>
      </c>
      <c r="C412" s="33" t="s">
        <v>187</v>
      </c>
      <c r="D412" s="33" t="s">
        <v>228</v>
      </c>
      <c r="E412" s="33" t="s">
        <v>180</v>
      </c>
      <c r="F412" s="33" t="s">
        <v>189</v>
      </c>
      <c r="G412" s="33" t="s">
        <v>181</v>
      </c>
      <c r="H412" s="33" t="s">
        <v>181</v>
      </c>
      <c r="I412" s="39">
        <v>46227.0</v>
      </c>
      <c r="J412" s="39">
        <v>46188.0</v>
      </c>
      <c r="K412" s="39">
        <v>46188.0</v>
      </c>
      <c r="L412" s="40">
        <v>0.0</v>
      </c>
      <c r="M412" s="40">
        <v>0.0</v>
      </c>
    </row>
    <row r="413" ht="15.75" customHeight="1">
      <c r="A413" s="33" t="s">
        <v>879</v>
      </c>
      <c r="B413" s="39">
        <v>45797.0</v>
      </c>
      <c r="C413" s="33" t="s">
        <v>187</v>
      </c>
      <c r="D413" s="33" t="s">
        <v>185</v>
      </c>
      <c r="E413" s="33" t="s">
        <v>180</v>
      </c>
      <c r="F413" s="33" t="s">
        <v>181</v>
      </c>
      <c r="G413" s="33" t="s">
        <v>181</v>
      </c>
      <c r="H413" s="33" t="s">
        <v>181</v>
      </c>
      <c r="I413" s="39">
        <v>46215.0</v>
      </c>
      <c r="J413" s="39">
        <v>46233.0</v>
      </c>
      <c r="K413" s="39">
        <v>46096.0</v>
      </c>
      <c r="L413" s="40">
        <v>9088.78</v>
      </c>
      <c r="M413" s="40">
        <v>1827.63</v>
      </c>
    </row>
    <row r="414" ht="15.75" customHeight="1">
      <c r="A414" s="33" t="s">
        <v>2644</v>
      </c>
      <c r="B414" s="39">
        <v>45827.0</v>
      </c>
      <c r="C414" s="33" t="s">
        <v>184</v>
      </c>
      <c r="D414" s="33" t="s">
        <v>194</v>
      </c>
      <c r="E414" s="33" t="s">
        <v>180</v>
      </c>
      <c r="F414" s="33" t="s">
        <v>189</v>
      </c>
      <c r="G414" s="33" t="s">
        <v>189</v>
      </c>
      <c r="H414" s="33" t="s">
        <v>189</v>
      </c>
      <c r="I414" s="39">
        <v>46259.0</v>
      </c>
      <c r="J414" s="33"/>
      <c r="K414" s="33"/>
      <c r="L414" s="40">
        <v>36763.05</v>
      </c>
      <c r="M414" s="40">
        <v>0.0</v>
      </c>
    </row>
    <row r="415" ht="15.75" customHeight="1">
      <c r="A415" s="33" t="s">
        <v>1533</v>
      </c>
      <c r="B415" s="39">
        <v>45738.0</v>
      </c>
      <c r="C415" s="33" t="s">
        <v>202</v>
      </c>
      <c r="D415" s="33" t="s">
        <v>179</v>
      </c>
      <c r="E415" s="33" t="s">
        <v>330</v>
      </c>
      <c r="F415" s="33" t="s">
        <v>181</v>
      </c>
      <c r="G415" s="33" t="s">
        <v>181</v>
      </c>
      <c r="H415" s="33" t="s">
        <v>181</v>
      </c>
      <c r="I415" s="39">
        <v>45749.0</v>
      </c>
      <c r="J415" s="39">
        <v>46203.0</v>
      </c>
      <c r="K415" s="39">
        <v>46203.0</v>
      </c>
      <c r="L415" s="40">
        <v>0.0</v>
      </c>
      <c r="M415" s="40">
        <v>0.0</v>
      </c>
    </row>
    <row r="416" ht="15.75" customHeight="1">
      <c r="A416" s="33" t="s">
        <v>581</v>
      </c>
      <c r="B416" s="39">
        <v>45668.0</v>
      </c>
      <c r="C416" s="33" t="s">
        <v>178</v>
      </c>
      <c r="D416" s="33" t="s">
        <v>196</v>
      </c>
      <c r="E416" s="33" t="s">
        <v>180</v>
      </c>
      <c r="F416" s="33" t="s">
        <v>189</v>
      </c>
      <c r="G416" s="33" t="s">
        <v>181</v>
      </c>
      <c r="H416" s="33" t="s">
        <v>189</v>
      </c>
      <c r="I416" s="39">
        <v>46223.0</v>
      </c>
      <c r="J416" s="39">
        <v>46233.0</v>
      </c>
      <c r="K416" s="39">
        <v>46233.0</v>
      </c>
      <c r="L416" s="40">
        <v>20153.4</v>
      </c>
      <c r="M416" s="40">
        <v>0.0</v>
      </c>
    </row>
    <row r="417" ht="15.75" customHeight="1">
      <c r="A417" s="33" t="s">
        <v>524</v>
      </c>
      <c r="B417" s="39">
        <v>46069.0</v>
      </c>
      <c r="C417" s="33" t="s">
        <v>184</v>
      </c>
      <c r="D417" s="33" t="s">
        <v>237</v>
      </c>
      <c r="E417" s="33" t="s">
        <v>222</v>
      </c>
      <c r="F417" s="33" t="s">
        <v>181</v>
      </c>
      <c r="G417" s="33" t="s">
        <v>181</v>
      </c>
      <c r="H417" s="33" t="s">
        <v>189</v>
      </c>
      <c r="I417" s="39">
        <v>46145.0</v>
      </c>
      <c r="J417" s="39">
        <v>46224.0</v>
      </c>
      <c r="K417" s="39">
        <v>46224.0</v>
      </c>
      <c r="L417" s="40">
        <v>32939.49</v>
      </c>
      <c r="M417" s="40">
        <v>3308.36</v>
      </c>
    </row>
    <row r="418" ht="15.75" customHeight="1">
      <c r="A418" s="33" t="s">
        <v>1198</v>
      </c>
      <c r="B418" s="39">
        <v>46246.0</v>
      </c>
      <c r="C418" s="33" t="s">
        <v>184</v>
      </c>
      <c r="D418" s="33" t="s">
        <v>200</v>
      </c>
      <c r="E418" s="33" t="s">
        <v>180</v>
      </c>
      <c r="F418" s="33" t="s">
        <v>181</v>
      </c>
      <c r="G418" s="33" t="s">
        <v>181</v>
      </c>
      <c r="H418" s="33" t="s">
        <v>181</v>
      </c>
      <c r="I418" s="39">
        <v>46216.0</v>
      </c>
      <c r="J418" s="39">
        <v>46193.0</v>
      </c>
      <c r="K418" s="39">
        <v>46193.0</v>
      </c>
      <c r="L418" s="40">
        <v>0.0</v>
      </c>
      <c r="M418" s="40">
        <v>4677.17</v>
      </c>
    </row>
    <row r="419" ht="15.75" customHeight="1">
      <c r="A419" s="33" t="s">
        <v>637</v>
      </c>
      <c r="B419" s="39">
        <v>45731.0</v>
      </c>
      <c r="C419" s="33" t="s">
        <v>184</v>
      </c>
      <c r="D419" s="33" t="s">
        <v>200</v>
      </c>
      <c r="E419" s="33" t="s">
        <v>180</v>
      </c>
      <c r="F419" s="33" t="s">
        <v>189</v>
      </c>
      <c r="G419" s="33" t="s">
        <v>181</v>
      </c>
      <c r="H419" s="33" t="s">
        <v>189</v>
      </c>
      <c r="I419" s="39">
        <v>46227.0</v>
      </c>
      <c r="J419" s="39">
        <v>45897.0</v>
      </c>
      <c r="K419" s="39">
        <v>45897.0</v>
      </c>
      <c r="L419" s="40">
        <v>0.0</v>
      </c>
      <c r="M419" s="40">
        <v>0.0</v>
      </c>
    </row>
    <row r="420" ht="15.75" customHeight="1">
      <c r="A420" s="33" t="s">
        <v>2678</v>
      </c>
      <c r="B420" s="39">
        <v>45837.0</v>
      </c>
      <c r="C420" s="33" t="s">
        <v>178</v>
      </c>
      <c r="D420" s="33" t="s">
        <v>194</v>
      </c>
      <c r="E420" s="33" t="s">
        <v>222</v>
      </c>
      <c r="F420" s="33" t="s">
        <v>189</v>
      </c>
      <c r="G420" s="33" t="s">
        <v>181</v>
      </c>
      <c r="H420" s="33" t="s">
        <v>181</v>
      </c>
      <c r="I420" s="39">
        <v>46191.0</v>
      </c>
      <c r="J420" s="39">
        <v>46115.0</v>
      </c>
      <c r="K420" s="39">
        <v>46115.0</v>
      </c>
      <c r="L420" s="40">
        <v>32097.88</v>
      </c>
      <c r="M420" s="40">
        <v>0.0</v>
      </c>
    </row>
    <row r="421" ht="15.75" customHeight="1">
      <c r="A421" s="33" t="s">
        <v>1399</v>
      </c>
      <c r="B421" s="39">
        <v>45965.0</v>
      </c>
      <c r="C421" s="33" t="s">
        <v>178</v>
      </c>
      <c r="D421" s="33" t="s">
        <v>185</v>
      </c>
      <c r="E421" s="33" t="s">
        <v>180</v>
      </c>
      <c r="F421" s="33" t="s">
        <v>181</v>
      </c>
      <c r="G421" s="33" t="s">
        <v>181</v>
      </c>
      <c r="H421" s="33" t="s">
        <v>189</v>
      </c>
      <c r="I421" s="39">
        <v>46202.0</v>
      </c>
      <c r="J421" s="39">
        <v>46262.0</v>
      </c>
      <c r="K421" s="39">
        <v>46262.0</v>
      </c>
      <c r="L421" s="40">
        <v>4197.62</v>
      </c>
      <c r="M421" s="40">
        <v>1144.41</v>
      </c>
    </row>
    <row r="422" ht="15.75" customHeight="1">
      <c r="A422" s="33" t="s">
        <v>659</v>
      </c>
      <c r="B422" s="39">
        <v>46220.0</v>
      </c>
      <c r="C422" s="33" t="s">
        <v>187</v>
      </c>
      <c r="D422" s="33" t="s">
        <v>228</v>
      </c>
      <c r="E422" s="33" t="s">
        <v>180</v>
      </c>
      <c r="F422" s="33" t="s">
        <v>181</v>
      </c>
      <c r="G422" s="33" t="s">
        <v>181</v>
      </c>
      <c r="H422" s="33" t="s">
        <v>181</v>
      </c>
      <c r="I422" s="39">
        <v>46211.0</v>
      </c>
      <c r="J422" s="39">
        <v>46068.0</v>
      </c>
      <c r="K422" s="39">
        <v>46068.0</v>
      </c>
      <c r="L422" s="40">
        <v>4892.51</v>
      </c>
      <c r="M422" s="40">
        <v>647.74</v>
      </c>
    </row>
    <row r="423" ht="15.75" customHeight="1">
      <c r="A423" s="33" t="s">
        <v>759</v>
      </c>
      <c r="B423" s="39">
        <v>46079.0</v>
      </c>
      <c r="C423" s="33" t="s">
        <v>178</v>
      </c>
      <c r="D423" s="33" t="s">
        <v>179</v>
      </c>
      <c r="E423" s="33" t="s">
        <v>180</v>
      </c>
      <c r="F423" s="33" t="s">
        <v>181</v>
      </c>
      <c r="G423" s="33" t="s">
        <v>181</v>
      </c>
      <c r="H423" s="33" t="s">
        <v>181</v>
      </c>
      <c r="I423" s="39">
        <v>46261.0</v>
      </c>
      <c r="J423" s="39">
        <v>46157.0</v>
      </c>
      <c r="K423" s="39">
        <v>46149.0</v>
      </c>
      <c r="L423" s="40">
        <v>0.0</v>
      </c>
      <c r="M423" s="40">
        <v>2654.44</v>
      </c>
    </row>
    <row r="424" ht="15.75" customHeight="1">
      <c r="A424" s="33" t="s">
        <v>936</v>
      </c>
      <c r="B424" s="39">
        <v>46123.0</v>
      </c>
      <c r="C424" s="33" t="s">
        <v>184</v>
      </c>
      <c r="D424" s="33" t="s">
        <v>237</v>
      </c>
      <c r="E424" s="33" t="s">
        <v>180</v>
      </c>
      <c r="F424" s="33" t="s">
        <v>181</v>
      </c>
      <c r="G424" s="33" t="s">
        <v>181</v>
      </c>
      <c r="H424" s="33" t="s">
        <v>181</v>
      </c>
      <c r="I424" s="39">
        <v>46225.0</v>
      </c>
      <c r="J424" s="39">
        <v>46202.0</v>
      </c>
      <c r="K424" s="39">
        <v>46202.0</v>
      </c>
      <c r="L424" s="40">
        <v>34116.6</v>
      </c>
      <c r="M424" s="40">
        <v>1870.46</v>
      </c>
    </row>
    <row r="425" ht="15.75" customHeight="1">
      <c r="A425" s="33" t="s">
        <v>1510</v>
      </c>
      <c r="B425" s="39">
        <v>46010.0</v>
      </c>
      <c r="C425" s="33" t="s">
        <v>178</v>
      </c>
      <c r="D425" s="33" t="s">
        <v>228</v>
      </c>
      <c r="E425" s="33" t="s">
        <v>222</v>
      </c>
      <c r="F425" s="33" t="s">
        <v>181</v>
      </c>
      <c r="G425" s="33" t="s">
        <v>181</v>
      </c>
      <c r="H425" s="33" t="s">
        <v>189</v>
      </c>
      <c r="I425" s="39">
        <v>46129.0</v>
      </c>
      <c r="J425" s="39">
        <v>46262.0</v>
      </c>
      <c r="K425" s="39">
        <v>46225.0</v>
      </c>
      <c r="L425" s="40">
        <v>4715.09</v>
      </c>
      <c r="M425" s="40">
        <v>2491.15</v>
      </c>
    </row>
    <row r="426" ht="15.75" customHeight="1">
      <c r="A426" s="33" t="s">
        <v>1262</v>
      </c>
      <c r="B426" s="39">
        <v>45911.0</v>
      </c>
      <c r="C426" s="33" t="s">
        <v>187</v>
      </c>
      <c r="D426" s="33" t="s">
        <v>237</v>
      </c>
      <c r="E426" s="33" t="s">
        <v>180</v>
      </c>
      <c r="F426" s="33" t="s">
        <v>189</v>
      </c>
      <c r="G426" s="33" t="s">
        <v>181</v>
      </c>
      <c r="H426" s="33" t="s">
        <v>189</v>
      </c>
      <c r="I426" s="39">
        <v>46195.0</v>
      </c>
      <c r="J426" s="39">
        <v>46193.0</v>
      </c>
      <c r="K426" s="39">
        <v>46044.0</v>
      </c>
      <c r="L426" s="40">
        <v>10280.07</v>
      </c>
      <c r="M426" s="40">
        <v>0.0</v>
      </c>
    </row>
    <row r="427" ht="15.75" customHeight="1">
      <c r="A427" s="33" t="s">
        <v>2718</v>
      </c>
      <c r="B427" s="39">
        <v>45779.0</v>
      </c>
      <c r="C427" s="33" t="s">
        <v>184</v>
      </c>
      <c r="D427" s="33" t="s">
        <v>179</v>
      </c>
      <c r="E427" s="33" t="s">
        <v>180</v>
      </c>
      <c r="F427" s="33" t="s">
        <v>181</v>
      </c>
      <c r="G427" s="33" t="s">
        <v>181</v>
      </c>
      <c r="H427" s="33" t="s">
        <v>189</v>
      </c>
      <c r="I427" s="39">
        <v>46240.0</v>
      </c>
      <c r="J427" s="39">
        <v>46263.0</v>
      </c>
      <c r="K427" s="39">
        <v>45726.0</v>
      </c>
      <c r="L427" s="40">
        <v>0.0</v>
      </c>
      <c r="M427" s="40">
        <v>1728.48</v>
      </c>
    </row>
    <row r="428" ht="15.75" customHeight="1">
      <c r="A428" s="33" t="s">
        <v>2018</v>
      </c>
      <c r="B428" s="39">
        <v>46182.0</v>
      </c>
      <c r="C428" s="33" t="s">
        <v>178</v>
      </c>
      <c r="D428" s="33" t="s">
        <v>185</v>
      </c>
      <c r="E428" s="33" t="s">
        <v>180</v>
      </c>
      <c r="F428" s="33" t="s">
        <v>181</v>
      </c>
      <c r="G428" s="33" t="s">
        <v>181</v>
      </c>
      <c r="H428" s="33" t="s">
        <v>189</v>
      </c>
      <c r="I428" s="39">
        <v>46182.0</v>
      </c>
      <c r="J428" s="39">
        <v>46205.0</v>
      </c>
      <c r="K428" s="39">
        <v>46205.0</v>
      </c>
      <c r="L428" s="40">
        <v>0.0</v>
      </c>
      <c r="M428" s="40">
        <v>1469.12</v>
      </c>
    </row>
    <row r="429" ht="15.75" customHeight="1">
      <c r="A429" s="33" t="s">
        <v>2732</v>
      </c>
      <c r="B429" s="39">
        <v>46146.0</v>
      </c>
      <c r="C429" s="33" t="s">
        <v>178</v>
      </c>
      <c r="D429" s="33" t="s">
        <v>179</v>
      </c>
      <c r="E429" s="33" t="s">
        <v>180</v>
      </c>
      <c r="F429" s="33" t="s">
        <v>181</v>
      </c>
      <c r="G429" s="33" t="s">
        <v>181</v>
      </c>
      <c r="H429" s="33" t="s">
        <v>189</v>
      </c>
      <c r="I429" s="39">
        <v>46207.0</v>
      </c>
      <c r="J429" s="39">
        <v>46222.0</v>
      </c>
      <c r="K429" s="39">
        <v>46141.0</v>
      </c>
      <c r="L429" s="40">
        <v>0.0</v>
      </c>
      <c r="M429" s="40">
        <v>839.05</v>
      </c>
    </row>
    <row r="430" ht="15.75" customHeight="1">
      <c r="A430" s="33" t="s">
        <v>2447</v>
      </c>
      <c r="B430" s="39">
        <v>45673.0</v>
      </c>
      <c r="C430" s="33" t="s">
        <v>187</v>
      </c>
      <c r="D430" s="33" t="s">
        <v>228</v>
      </c>
      <c r="E430" s="33" t="s">
        <v>180</v>
      </c>
      <c r="F430" s="33" t="s">
        <v>181</v>
      </c>
      <c r="G430" s="33" t="s">
        <v>181</v>
      </c>
      <c r="H430" s="33" t="s">
        <v>189</v>
      </c>
      <c r="I430" s="39">
        <v>46226.0</v>
      </c>
      <c r="J430" s="39">
        <v>46264.0</v>
      </c>
      <c r="K430" s="39">
        <v>46264.0</v>
      </c>
      <c r="L430" s="40">
        <v>11142.62</v>
      </c>
      <c r="M430" s="40">
        <v>2273.6</v>
      </c>
    </row>
    <row r="431" ht="15.75" customHeight="1">
      <c r="A431" s="33" t="s">
        <v>2744</v>
      </c>
      <c r="B431" s="39">
        <v>46092.0</v>
      </c>
      <c r="C431" s="33" t="s">
        <v>202</v>
      </c>
      <c r="D431" s="33" t="s">
        <v>185</v>
      </c>
      <c r="E431" s="33" t="s">
        <v>180</v>
      </c>
      <c r="F431" s="33" t="s">
        <v>181</v>
      </c>
      <c r="G431" s="33" t="s">
        <v>189</v>
      </c>
      <c r="H431" s="33" t="s">
        <v>189</v>
      </c>
      <c r="I431" s="39">
        <v>46209.0</v>
      </c>
      <c r="J431" s="33"/>
      <c r="K431" s="33"/>
      <c r="L431" s="40">
        <v>0.0</v>
      </c>
      <c r="M431" s="40">
        <v>563.32</v>
      </c>
    </row>
    <row r="432" ht="15.75" customHeight="1">
      <c r="A432" s="33" t="s">
        <v>737</v>
      </c>
      <c r="B432" s="39">
        <v>45709.0</v>
      </c>
      <c r="C432" s="33" t="s">
        <v>178</v>
      </c>
      <c r="D432" s="33" t="s">
        <v>196</v>
      </c>
      <c r="E432" s="33" t="s">
        <v>180</v>
      </c>
      <c r="F432" s="33" t="s">
        <v>181</v>
      </c>
      <c r="G432" s="33" t="s">
        <v>181</v>
      </c>
      <c r="H432" s="33" t="s">
        <v>189</v>
      </c>
      <c r="I432" s="39">
        <v>46187.0</v>
      </c>
      <c r="J432" s="39">
        <v>45961.0</v>
      </c>
      <c r="K432" s="39">
        <v>45844.0</v>
      </c>
      <c r="L432" s="40">
        <v>21608.78</v>
      </c>
      <c r="M432" s="40">
        <v>2848.44</v>
      </c>
    </row>
    <row r="433" ht="15.75" customHeight="1">
      <c r="A433" s="33" t="s">
        <v>2753</v>
      </c>
      <c r="B433" s="39">
        <v>46106.0</v>
      </c>
      <c r="C433" s="33" t="s">
        <v>187</v>
      </c>
      <c r="D433" s="33" t="s">
        <v>237</v>
      </c>
      <c r="E433" s="33" t="s">
        <v>180</v>
      </c>
      <c r="F433" s="33" t="s">
        <v>181</v>
      </c>
      <c r="G433" s="33" t="s">
        <v>189</v>
      </c>
      <c r="H433" s="33" t="s">
        <v>189</v>
      </c>
      <c r="I433" s="39">
        <v>46245.0</v>
      </c>
      <c r="J433" s="33"/>
      <c r="K433" s="33"/>
      <c r="L433" s="40">
        <v>0.0</v>
      </c>
      <c r="M433" s="40">
        <v>2723.18</v>
      </c>
    </row>
    <row r="434" ht="15.75" customHeight="1">
      <c r="A434" s="33" t="s">
        <v>2757</v>
      </c>
      <c r="B434" s="39">
        <v>46159.0</v>
      </c>
      <c r="C434" s="33" t="s">
        <v>184</v>
      </c>
      <c r="D434" s="33" t="s">
        <v>185</v>
      </c>
      <c r="E434" s="33" t="s">
        <v>180</v>
      </c>
      <c r="F434" s="33" t="s">
        <v>181</v>
      </c>
      <c r="G434" s="33" t="s">
        <v>181</v>
      </c>
      <c r="H434" s="33" t="s">
        <v>189</v>
      </c>
      <c r="I434" s="39">
        <v>46252.0</v>
      </c>
      <c r="J434" s="39">
        <v>46225.0</v>
      </c>
      <c r="K434" s="39">
        <v>45797.0</v>
      </c>
      <c r="L434" s="40">
        <v>0.0</v>
      </c>
      <c r="M434" s="40">
        <v>2213.13</v>
      </c>
    </row>
    <row r="435" ht="15.75" customHeight="1">
      <c r="A435" s="33" t="s">
        <v>716</v>
      </c>
      <c r="B435" s="39">
        <v>45737.0</v>
      </c>
      <c r="C435" s="33" t="s">
        <v>202</v>
      </c>
      <c r="D435" s="33" t="s">
        <v>194</v>
      </c>
      <c r="E435" s="33" t="s">
        <v>180</v>
      </c>
      <c r="F435" s="33" t="s">
        <v>189</v>
      </c>
      <c r="G435" s="33" t="s">
        <v>181</v>
      </c>
      <c r="H435" s="33" t="s">
        <v>189</v>
      </c>
      <c r="I435" s="39">
        <v>46226.0</v>
      </c>
      <c r="J435" s="39">
        <v>46144.0</v>
      </c>
      <c r="K435" s="39">
        <v>46144.0</v>
      </c>
      <c r="L435" s="40">
        <v>0.0</v>
      </c>
      <c r="M435" s="40">
        <v>0.0</v>
      </c>
    </row>
    <row r="436" ht="15.75" customHeight="1">
      <c r="A436" s="33" t="s">
        <v>2766</v>
      </c>
      <c r="B436" s="39">
        <v>45921.0</v>
      </c>
      <c r="C436" s="33" t="s">
        <v>178</v>
      </c>
      <c r="D436" s="33" t="s">
        <v>200</v>
      </c>
      <c r="E436" s="33" t="s">
        <v>180</v>
      </c>
      <c r="F436" s="33" t="s">
        <v>181</v>
      </c>
      <c r="G436" s="33" t="s">
        <v>189</v>
      </c>
      <c r="H436" s="33" t="s">
        <v>181</v>
      </c>
      <c r="I436" s="39">
        <v>46258.0</v>
      </c>
      <c r="J436" s="33"/>
      <c r="K436" s="33"/>
      <c r="L436" s="40">
        <v>0.0</v>
      </c>
      <c r="M436" s="40">
        <v>3871.34</v>
      </c>
    </row>
    <row r="437" ht="15.75" customHeight="1">
      <c r="A437" s="33" t="s">
        <v>926</v>
      </c>
      <c r="B437" s="39">
        <v>45733.0</v>
      </c>
      <c r="C437" s="33" t="s">
        <v>178</v>
      </c>
      <c r="D437" s="33" t="s">
        <v>194</v>
      </c>
      <c r="E437" s="33" t="s">
        <v>180</v>
      </c>
      <c r="F437" s="33" t="s">
        <v>189</v>
      </c>
      <c r="G437" s="33" t="s">
        <v>189</v>
      </c>
      <c r="H437" s="33" t="s">
        <v>189</v>
      </c>
      <c r="I437" s="39">
        <v>46190.0</v>
      </c>
      <c r="J437" s="33"/>
      <c r="K437" s="33"/>
      <c r="L437" s="40">
        <v>12397.93</v>
      </c>
      <c r="M437" s="40">
        <v>0.0</v>
      </c>
    </row>
    <row r="438" ht="15.75" customHeight="1">
      <c r="A438" s="33" t="s">
        <v>2775</v>
      </c>
      <c r="B438" s="39">
        <v>46002.0</v>
      </c>
      <c r="C438" s="33" t="s">
        <v>178</v>
      </c>
      <c r="D438" s="33" t="s">
        <v>228</v>
      </c>
      <c r="E438" s="33" t="s">
        <v>180</v>
      </c>
      <c r="F438" s="33" t="s">
        <v>181</v>
      </c>
      <c r="G438" s="33" t="s">
        <v>189</v>
      </c>
      <c r="H438" s="33" t="s">
        <v>181</v>
      </c>
      <c r="I438" s="39">
        <v>46178.0</v>
      </c>
      <c r="J438" s="33"/>
      <c r="K438" s="33"/>
      <c r="L438" s="40">
        <v>0.0</v>
      </c>
      <c r="M438" s="40">
        <v>1372.15</v>
      </c>
    </row>
    <row r="439" ht="15.75" customHeight="1">
      <c r="A439" s="33" t="s">
        <v>1331</v>
      </c>
      <c r="B439" s="39">
        <v>46221.0</v>
      </c>
      <c r="C439" s="33" t="s">
        <v>178</v>
      </c>
      <c r="D439" s="33" t="s">
        <v>237</v>
      </c>
      <c r="E439" s="33" t="s">
        <v>180</v>
      </c>
      <c r="F439" s="33" t="s">
        <v>181</v>
      </c>
      <c r="G439" s="33" t="s">
        <v>181</v>
      </c>
      <c r="H439" s="33" t="s">
        <v>189</v>
      </c>
      <c r="I439" s="39">
        <v>46211.0</v>
      </c>
      <c r="J439" s="39">
        <v>46246.0</v>
      </c>
      <c r="K439" s="39">
        <v>46160.0</v>
      </c>
      <c r="L439" s="40">
        <v>0.0</v>
      </c>
      <c r="M439" s="40">
        <v>1335.89</v>
      </c>
    </row>
    <row r="440" ht="15.75" customHeight="1">
      <c r="A440" s="33" t="s">
        <v>2786</v>
      </c>
      <c r="B440" s="39">
        <v>45707.0</v>
      </c>
      <c r="C440" s="33" t="s">
        <v>178</v>
      </c>
      <c r="D440" s="33" t="s">
        <v>237</v>
      </c>
      <c r="E440" s="33" t="s">
        <v>180</v>
      </c>
      <c r="F440" s="33" t="s">
        <v>181</v>
      </c>
      <c r="G440" s="33" t="s">
        <v>189</v>
      </c>
      <c r="H440" s="33" t="s">
        <v>189</v>
      </c>
      <c r="I440" s="39">
        <v>46177.0</v>
      </c>
      <c r="J440" s="33"/>
      <c r="K440" s="33"/>
      <c r="L440" s="40">
        <v>0.0</v>
      </c>
      <c r="M440" s="40">
        <v>1261.07</v>
      </c>
    </row>
    <row r="441" ht="15.75" customHeight="1">
      <c r="A441" s="33" t="s">
        <v>1615</v>
      </c>
      <c r="B441" s="39">
        <v>45899.0</v>
      </c>
      <c r="C441" s="33" t="s">
        <v>187</v>
      </c>
      <c r="D441" s="33" t="s">
        <v>237</v>
      </c>
      <c r="E441" s="33" t="s">
        <v>180</v>
      </c>
      <c r="F441" s="33" t="s">
        <v>181</v>
      </c>
      <c r="G441" s="33" t="s">
        <v>181</v>
      </c>
      <c r="H441" s="33" t="s">
        <v>189</v>
      </c>
      <c r="I441" s="39">
        <v>46259.0</v>
      </c>
      <c r="J441" s="39">
        <v>46242.0</v>
      </c>
      <c r="K441" s="39">
        <v>46242.0</v>
      </c>
      <c r="L441" s="40">
        <v>0.0</v>
      </c>
      <c r="M441" s="40">
        <v>1934.02</v>
      </c>
    </row>
    <row r="442" ht="15.75" customHeight="1">
      <c r="A442" s="33" t="s">
        <v>1043</v>
      </c>
      <c r="B442" s="39">
        <v>46248.0</v>
      </c>
      <c r="C442" s="33" t="s">
        <v>178</v>
      </c>
      <c r="D442" s="33" t="s">
        <v>237</v>
      </c>
      <c r="E442" s="33" t="s">
        <v>222</v>
      </c>
      <c r="F442" s="33" t="s">
        <v>181</v>
      </c>
      <c r="G442" s="33" t="s">
        <v>181</v>
      </c>
      <c r="H442" s="33" t="s">
        <v>189</v>
      </c>
      <c r="I442" s="39">
        <v>46140.0</v>
      </c>
      <c r="J442" s="39">
        <v>46247.0</v>
      </c>
      <c r="K442" s="39">
        <v>46012.0</v>
      </c>
      <c r="L442" s="40">
        <v>0.0</v>
      </c>
      <c r="M442" s="40">
        <v>1562.45</v>
      </c>
    </row>
    <row r="443" ht="15.75" customHeight="1">
      <c r="A443" s="33" t="s">
        <v>1451</v>
      </c>
      <c r="B443" s="39">
        <v>45840.0</v>
      </c>
      <c r="C443" s="33" t="s">
        <v>184</v>
      </c>
      <c r="D443" s="33" t="s">
        <v>237</v>
      </c>
      <c r="E443" s="33" t="s">
        <v>180</v>
      </c>
      <c r="F443" s="33" t="s">
        <v>181</v>
      </c>
      <c r="G443" s="33" t="s">
        <v>181</v>
      </c>
      <c r="H443" s="33" t="s">
        <v>189</v>
      </c>
      <c r="I443" s="39">
        <v>46226.0</v>
      </c>
      <c r="J443" s="39">
        <v>46251.0</v>
      </c>
      <c r="K443" s="39">
        <v>46251.0</v>
      </c>
      <c r="L443" s="40">
        <v>0.0</v>
      </c>
      <c r="M443" s="40">
        <v>1227.99</v>
      </c>
    </row>
    <row r="444" ht="15.75" customHeight="1">
      <c r="A444" s="33" t="s">
        <v>1654</v>
      </c>
      <c r="B444" s="39">
        <v>45738.0</v>
      </c>
      <c r="C444" s="33" t="s">
        <v>178</v>
      </c>
      <c r="D444" s="33" t="s">
        <v>237</v>
      </c>
      <c r="E444" s="33" t="s">
        <v>180</v>
      </c>
      <c r="F444" s="33" t="s">
        <v>181</v>
      </c>
      <c r="G444" s="33" t="s">
        <v>189</v>
      </c>
      <c r="H444" s="33" t="s">
        <v>181</v>
      </c>
      <c r="I444" s="39">
        <v>46241.0</v>
      </c>
      <c r="J444" s="33"/>
      <c r="K444" s="33"/>
      <c r="L444" s="40">
        <v>75569.27</v>
      </c>
      <c r="M444" s="40">
        <v>1308.65</v>
      </c>
    </row>
    <row r="445" ht="15.75" customHeight="1">
      <c r="A445" s="33" t="s">
        <v>2809</v>
      </c>
      <c r="B445" s="39">
        <v>45954.0</v>
      </c>
      <c r="C445" s="33" t="s">
        <v>178</v>
      </c>
      <c r="D445" s="33" t="s">
        <v>228</v>
      </c>
      <c r="E445" s="33" t="s">
        <v>330</v>
      </c>
      <c r="F445" s="33" t="s">
        <v>181</v>
      </c>
      <c r="G445" s="33" t="s">
        <v>181</v>
      </c>
      <c r="H445" s="33" t="s">
        <v>189</v>
      </c>
      <c r="I445" s="39">
        <v>46016.0</v>
      </c>
      <c r="J445" s="39">
        <v>46249.0</v>
      </c>
      <c r="K445" s="39">
        <v>46172.0</v>
      </c>
      <c r="L445" s="40">
        <v>0.0</v>
      </c>
      <c r="M445" s="40">
        <v>0.0</v>
      </c>
    </row>
    <row r="446" ht="15.75" customHeight="1">
      <c r="A446" s="33" t="s">
        <v>2168</v>
      </c>
      <c r="B446" s="39">
        <v>45966.0</v>
      </c>
      <c r="C446" s="33" t="s">
        <v>184</v>
      </c>
      <c r="D446" s="33" t="s">
        <v>185</v>
      </c>
      <c r="E446" s="33" t="s">
        <v>180</v>
      </c>
      <c r="F446" s="33" t="s">
        <v>181</v>
      </c>
      <c r="G446" s="33" t="s">
        <v>189</v>
      </c>
      <c r="H446" s="33" t="s">
        <v>189</v>
      </c>
      <c r="I446" s="39">
        <v>46216.0</v>
      </c>
      <c r="J446" s="33"/>
      <c r="K446" s="33"/>
      <c r="L446" s="40">
        <v>20526.93</v>
      </c>
      <c r="M446" s="40">
        <v>3625.5</v>
      </c>
    </row>
    <row r="447" ht="15.75" customHeight="1">
      <c r="A447" s="33" t="s">
        <v>2821</v>
      </c>
      <c r="B447" s="39">
        <v>46060.0</v>
      </c>
      <c r="C447" s="33" t="s">
        <v>184</v>
      </c>
      <c r="D447" s="33" t="s">
        <v>228</v>
      </c>
      <c r="E447" s="33" t="s">
        <v>222</v>
      </c>
      <c r="F447" s="33" t="s">
        <v>181</v>
      </c>
      <c r="G447" s="33" t="s">
        <v>181</v>
      </c>
      <c r="H447" s="33" t="s">
        <v>181</v>
      </c>
      <c r="I447" s="39">
        <v>46139.0</v>
      </c>
      <c r="J447" s="39">
        <v>46187.0</v>
      </c>
      <c r="K447" s="39">
        <v>46187.0</v>
      </c>
      <c r="L447" s="40">
        <v>0.0</v>
      </c>
      <c r="M447" s="40">
        <v>1072.77</v>
      </c>
    </row>
    <row r="448" ht="15.75" customHeight="1">
      <c r="A448" s="33" t="s">
        <v>226</v>
      </c>
      <c r="B448" s="39">
        <v>45848.0</v>
      </c>
      <c r="C448" s="33" t="s">
        <v>178</v>
      </c>
      <c r="D448" s="33" t="s">
        <v>200</v>
      </c>
      <c r="E448" s="33" t="s">
        <v>180</v>
      </c>
      <c r="F448" s="33" t="s">
        <v>181</v>
      </c>
      <c r="G448" s="33" t="s">
        <v>189</v>
      </c>
      <c r="H448" s="33" t="s">
        <v>181</v>
      </c>
      <c r="I448" s="39">
        <v>46251.0</v>
      </c>
      <c r="J448" s="33"/>
      <c r="K448" s="33"/>
      <c r="L448" s="40">
        <v>53454.76</v>
      </c>
      <c r="M448" s="40">
        <v>199.34</v>
      </c>
    </row>
    <row r="449" ht="15.75" customHeight="1">
      <c r="A449" s="33" t="s">
        <v>1544</v>
      </c>
      <c r="B449" s="39">
        <v>46238.0</v>
      </c>
      <c r="C449" s="33" t="s">
        <v>178</v>
      </c>
      <c r="D449" s="33" t="s">
        <v>185</v>
      </c>
      <c r="E449" s="33" t="s">
        <v>180</v>
      </c>
      <c r="F449" s="33" t="s">
        <v>181</v>
      </c>
      <c r="G449" s="33" t="s">
        <v>189</v>
      </c>
      <c r="H449" s="33" t="s">
        <v>181</v>
      </c>
      <c r="I449" s="39">
        <v>46210.0</v>
      </c>
      <c r="J449" s="33"/>
      <c r="K449" s="33"/>
      <c r="L449" s="40">
        <v>1885.76</v>
      </c>
      <c r="M449" s="40">
        <v>2614.7</v>
      </c>
    </row>
    <row r="450" ht="15.75" customHeight="1">
      <c r="A450" s="33" t="s">
        <v>1833</v>
      </c>
      <c r="B450" s="39">
        <v>45974.0</v>
      </c>
      <c r="C450" s="33" t="s">
        <v>178</v>
      </c>
      <c r="D450" s="33" t="s">
        <v>179</v>
      </c>
      <c r="E450" s="33" t="s">
        <v>180</v>
      </c>
      <c r="F450" s="33" t="s">
        <v>181</v>
      </c>
      <c r="G450" s="33" t="s">
        <v>189</v>
      </c>
      <c r="H450" s="33" t="s">
        <v>189</v>
      </c>
      <c r="I450" s="39">
        <v>46182.0</v>
      </c>
      <c r="J450" s="33"/>
      <c r="K450" s="33"/>
      <c r="L450" s="40">
        <v>19279.82</v>
      </c>
      <c r="M450" s="40">
        <v>794.84</v>
      </c>
    </row>
    <row r="451" ht="15.75" customHeight="1">
      <c r="A451" s="33" t="s">
        <v>1259</v>
      </c>
      <c r="B451" s="39">
        <v>45831.0</v>
      </c>
      <c r="C451" s="33" t="s">
        <v>202</v>
      </c>
      <c r="D451" s="33" t="s">
        <v>194</v>
      </c>
      <c r="E451" s="33" t="s">
        <v>180</v>
      </c>
      <c r="F451" s="33" t="s">
        <v>181</v>
      </c>
      <c r="G451" s="33" t="s">
        <v>181</v>
      </c>
      <c r="H451" s="33" t="s">
        <v>189</v>
      </c>
      <c r="I451" s="39">
        <v>46265.0</v>
      </c>
      <c r="J451" s="39">
        <v>46229.0</v>
      </c>
      <c r="K451" s="33"/>
      <c r="L451" s="40">
        <v>17648.32</v>
      </c>
      <c r="M451" s="40">
        <v>3618.77</v>
      </c>
    </row>
    <row r="452" ht="15.75" customHeight="1">
      <c r="A452" s="33" t="s">
        <v>371</v>
      </c>
      <c r="B452" s="39">
        <v>46240.0</v>
      </c>
      <c r="C452" s="33" t="s">
        <v>202</v>
      </c>
      <c r="D452" s="33" t="s">
        <v>200</v>
      </c>
      <c r="E452" s="33" t="s">
        <v>180</v>
      </c>
      <c r="F452" s="33" t="s">
        <v>181</v>
      </c>
      <c r="G452" s="33" t="s">
        <v>181</v>
      </c>
      <c r="H452" s="33" t="s">
        <v>189</v>
      </c>
      <c r="I452" s="39">
        <v>46186.0</v>
      </c>
      <c r="J452" s="39">
        <v>46259.0</v>
      </c>
      <c r="K452" s="39">
        <v>46229.0</v>
      </c>
      <c r="L452" s="40">
        <v>35203.73</v>
      </c>
      <c r="M452" s="40">
        <v>2919.31</v>
      </c>
    </row>
    <row r="453" ht="15.75" customHeight="1">
      <c r="A453" s="33" t="s">
        <v>866</v>
      </c>
      <c r="B453" s="39">
        <v>46219.0</v>
      </c>
      <c r="C453" s="33" t="s">
        <v>178</v>
      </c>
      <c r="D453" s="33" t="s">
        <v>188</v>
      </c>
      <c r="E453" s="33" t="s">
        <v>180</v>
      </c>
      <c r="F453" s="33" t="s">
        <v>181</v>
      </c>
      <c r="G453" s="33" t="s">
        <v>181</v>
      </c>
      <c r="H453" s="33" t="s">
        <v>189</v>
      </c>
      <c r="I453" s="39">
        <v>46211.0</v>
      </c>
      <c r="J453" s="39">
        <v>46242.0</v>
      </c>
      <c r="K453" s="39">
        <v>46149.0</v>
      </c>
      <c r="L453" s="40">
        <v>34221.67</v>
      </c>
      <c r="M453" s="40">
        <v>3092.2</v>
      </c>
    </row>
    <row r="454" ht="15.75" customHeight="1">
      <c r="A454" s="33" t="s">
        <v>2650</v>
      </c>
      <c r="B454" s="39">
        <v>45960.0</v>
      </c>
      <c r="C454" s="33" t="s">
        <v>178</v>
      </c>
      <c r="D454" s="33" t="s">
        <v>188</v>
      </c>
      <c r="E454" s="33" t="s">
        <v>180</v>
      </c>
      <c r="F454" s="33" t="s">
        <v>181</v>
      </c>
      <c r="G454" s="33" t="s">
        <v>181</v>
      </c>
      <c r="H454" s="33" t="s">
        <v>189</v>
      </c>
      <c r="I454" s="39">
        <v>46235.0</v>
      </c>
      <c r="J454" s="39">
        <v>46229.0</v>
      </c>
      <c r="K454" s="39">
        <v>46229.0</v>
      </c>
      <c r="L454" s="40">
        <v>0.0</v>
      </c>
      <c r="M454" s="40">
        <v>1789.37</v>
      </c>
    </row>
    <row r="455" ht="15.75" customHeight="1">
      <c r="A455" s="33" t="s">
        <v>2860</v>
      </c>
      <c r="B455" s="39">
        <v>45673.0</v>
      </c>
      <c r="C455" s="33" t="s">
        <v>202</v>
      </c>
      <c r="D455" s="33" t="s">
        <v>185</v>
      </c>
      <c r="E455" s="33" t="s">
        <v>330</v>
      </c>
      <c r="F455" s="33" t="s">
        <v>181</v>
      </c>
      <c r="G455" s="33" t="s">
        <v>181</v>
      </c>
      <c r="H455" s="33" t="s">
        <v>189</v>
      </c>
      <c r="I455" s="39">
        <v>45819.0</v>
      </c>
      <c r="J455" s="39">
        <v>46188.0</v>
      </c>
      <c r="K455" s="39">
        <v>46188.0</v>
      </c>
      <c r="L455" s="40">
        <v>0.0</v>
      </c>
      <c r="M455" s="40">
        <v>0.0</v>
      </c>
    </row>
    <row r="456" ht="15.75" customHeight="1">
      <c r="A456" s="33" t="s">
        <v>501</v>
      </c>
      <c r="B456" s="39">
        <v>46020.0</v>
      </c>
      <c r="C456" s="33" t="s">
        <v>184</v>
      </c>
      <c r="D456" s="33" t="s">
        <v>194</v>
      </c>
      <c r="E456" s="33" t="s">
        <v>180</v>
      </c>
      <c r="F456" s="33" t="s">
        <v>189</v>
      </c>
      <c r="G456" s="33" t="s">
        <v>181</v>
      </c>
      <c r="H456" s="33" t="s">
        <v>189</v>
      </c>
      <c r="I456" s="39">
        <v>46210.0</v>
      </c>
      <c r="J456" s="39">
        <v>46254.0</v>
      </c>
      <c r="K456" s="39">
        <v>46238.0</v>
      </c>
      <c r="L456" s="40">
        <v>8223.47</v>
      </c>
      <c r="M456" s="40">
        <v>0.0</v>
      </c>
    </row>
    <row r="457" ht="15.75" customHeight="1">
      <c r="A457" s="33" t="s">
        <v>302</v>
      </c>
      <c r="B457" s="39">
        <v>45995.0</v>
      </c>
      <c r="C457" s="33" t="s">
        <v>187</v>
      </c>
      <c r="D457" s="33" t="s">
        <v>185</v>
      </c>
      <c r="E457" s="33" t="s">
        <v>180</v>
      </c>
      <c r="F457" s="33" t="s">
        <v>181</v>
      </c>
      <c r="G457" s="33" t="s">
        <v>181</v>
      </c>
      <c r="H457" s="33" t="s">
        <v>189</v>
      </c>
      <c r="I457" s="39">
        <v>46196.0</v>
      </c>
      <c r="J457" s="39">
        <v>46130.0</v>
      </c>
      <c r="K457" s="39">
        <v>46130.0</v>
      </c>
      <c r="L457" s="40">
        <v>4006.29</v>
      </c>
      <c r="M457" s="40">
        <v>2256.84</v>
      </c>
    </row>
    <row r="458" ht="15.75" customHeight="1">
      <c r="A458" s="33" t="s">
        <v>481</v>
      </c>
      <c r="B458" s="39">
        <v>45747.0</v>
      </c>
      <c r="C458" s="33" t="s">
        <v>202</v>
      </c>
      <c r="D458" s="33" t="s">
        <v>185</v>
      </c>
      <c r="E458" s="33" t="s">
        <v>222</v>
      </c>
      <c r="F458" s="33" t="s">
        <v>189</v>
      </c>
      <c r="G458" s="33" t="s">
        <v>181</v>
      </c>
      <c r="H458" s="33" t="s">
        <v>181</v>
      </c>
      <c r="I458" s="39">
        <v>46222.0</v>
      </c>
      <c r="J458" s="39">
        <v>46114.0</v>
      </c>
      <c r="K458" s="39">
        <v>46114.0</v>
      </c>
      <c r="L458" s="40">
        <v>14502.9</v>
      </c>
      <c r="M458" s="40">
        <v>0.0</v>
      </c>
    </row>
    <row r="459" ht="15.75" customHeight="1">
      <c r="A459" s="33" t="s">
        <v>1716</v>
      </c>
      <c r="B459" s="39">
        <v>46042.0</v>
      </c>
      <c r="C459" s="33" t="s">
        <v>178</v>
      </c>
      <c r="D459" s="33" t="s">
        <v>179</v>
      </c>
      <c r="E459" s="33" t="s">
        <v>180</v>
      </c>
      <c r="F459" s="33" t="s">
        <v>181</v>
      </c>
      <c r="G459" s="33" t="s">
        <v>181</v>
      </c>
      <c r="H459" s="33" t="s">
        <v>189</v>
      </c>
      <c r="I459" s="39">
        <v>46260.0</v>
      </c>
      <c r="J459" s="39">
        <v>46185.0</v>
      </c>
      <c r="K459" s="39">
        <v>46028.0</v>
      </c>
      <c r="L459" s="40">
        <v>0.0</v>
      </c>
      <c r="M459" s="40">
        <v>2132.64</v>
      </c>
    </row>
    <row r="460" ht="15.75" customHeight="1">
      <c r="A460" s="33" t="s">
        <v>2444</v>
      </c>
      <c r="B460" s="39">
        <v>46168.0</v>
      </c>
      <c r="C460" s="33" t="s">
        <v>178</v>
      </c>
      <c r="D460" s="33" t="s">
        <v>200</v>
      </c>
      <c r="E460" s="33" t="s">
        <v>180</v>
      </c>
      <c r="F460" s="33" t="s">
        <v>181</v>
      </c>
      <c r="G460" s="33" t="s">
        <v>189</v>
      </c>
      <c r="H460" s="33" t="s">
        <v>189</v>
      </c>
      <c r="I460" s="39">
        <v>46208.0</v>
      </c>
      <c r="J460" s="33"/>
      <c r="K460" s="33"/>
      <c r="L460" s="40">
        <v>0.0</v>
      </c>
      <c r="M460" s="40">
        <v>1888.48</v>
      </c>
    </row>
    <row r="461" ht="15.75" customHeight="1">
      <c r="A461" s="33" t="s">
        <v>2139</v>
      </c>
      <c r="B461" s="39">
        <v>45722.0</v>
      </c>
      <c r="C461" s="33" t="s">
        <v>178</v>
      </c>
      <c r="D461" s="33" t="s">
        <v>185</v>
      </c>
      <c r="E461" s="33" t="s">
        <v>180</v>
      </c>
      <c r="F461" s="33" t="s">
        <v>181</v>
      </c>
      <c r="G461" s="33" t="s">
        <v>181</v>
      </c>
      <c r="H461" s="33" t="s">
        <v>189</v>
      </c>
      <c r="I461" s="39">
        <v>46238.0</v>
      </c>
      <c r="J461" s="39">
        <v>46225.0</v>
      </c>
      <c r="K461" s="39">
        <v>46117.0</v>
      </c>
      <c r="L461" s="40">
        <v>0.0</v>
      </c>
      <c r="M461" s="40">
        <v>2423.58</v>
      </c>
    </row>
    <row r="462" ht="15.75" customHeight="1">
      <c r="A462" s="33" t="s">
        <v>2905</v>
      </c>
      <c r="B462" s="39">
        <v>46097.0</v>
      </c>
      <c r="C462" s="33" t="s">
        <v>184</v>
      </c>
      <c r="D462" s="33" t="s">
        <v>194</v>
      </c>
      <c r="E462" s="33" t="s">
        <v>180</v>
      </c>
      <c r="F462" s="33" t="s">
        <v>181</v>
      </c>
      <c r="G462" s="33" t="s">
        <v>189</v>
      </c>
      <c r="H462" s="33" t="s">
        <v>189</v>
      </c>
      <c r="I462" s="39">
        <v>46244.0</v>
      </c>
      <c r="J462" s="33"/>
      <c r="K462" s="33"/>
      <c r="L462" s="40">
        <v>0.0</v>
      </c>
      <c r="M462" s="40">
        <v>480.15</v>
      </c>
    </row>
    <row r="463" ht="15.75" customHeight="1">
      <c r="A463" s="33" t="s">
        <v>296</v>
      </c>
      <c r="B463" s="39">
        <v>45743.0</v>
      </c>
      <c r="C463" s="33" t="s">
        <v>184</v>
      </c>
      <c r="D463" s="33" t="s">
        <v>179</v>
      </c>
      <c r="E463" s="33" t="s">
        <v>180</v>
      </c>
      <c r="F463" s="33" t="s">
        <v>189</v>
      </c>
      <c r="G463" s="33" t="s">
        <v>189</v>
      </c>
      <c r="H463" s="33" t="s">
        <v>189</v>
      </c>
      <c r="I463" s="39">
        <v>46228.0</v>
      </c>
      <c r="J463" s="33"/>
      <c r="K463" s="33"/>
      <c r="L463" s="40">
        <v>8183.02</v>
      </c>
      <c r="M463" s="40">
        <v>0.0</v>
      </c>
    </row>
    <row r="464" ht="15.75" customHeight="1">
      <c r="A464" s="33" t="s">
        <v>2917</v>
      </c>
      <c r="B464" s="39">
        <v>46112.0</v>
      </c>
      <c r="C464" s="33" t="s">
        <v>184</v>
      </c>
      <c r="D464" s="33" t="s">
        <v>188</v>
      </c>
      <c r="E464" s="33" t="s">
        <v>180</v>
      </c>
      <c r="F464" s="33" t="s">
        <v>181</v>
      </c>
      <c r="G464" s="33" t="s">
        <v>181</v>
      </c>
      <c r="H464" s="33" t="s">
        <v>181</v>
      </c>
      <c r="I464" s="39">
        <v>46200.0</v>
      </c>
      <c r="J464" s="39">
        <v>46153.0</v>
      </c>
      <c r="K464" s="39">
        <v>45823.0</v>
      </c>
      <c r="L464" s="40">
        <v>0.0</v>
      </c>
      <c r="M464" s="40">
        <v>1216.57</v>
      </c>
    </row>
    <row r="465" ht="15.75" customHeight="1">
      <c r="A465" s="33" t="s">
        <v>2923</v>
      </c>
      <c r="B465" s="39">
        <v>45912.0</v>
      </c>
      <c r="C465" s="33" t="s">
        <v>184</v>
      </c>
      <c r="D465" s="33" t="s">
        <v>196</v>
      </c>
      <c r="E465" s="33" t="s">
        <v>180</v>
      </c>
      <c r="F465" s="33" t="s">
        <v>181</v>
      </c>
      <c r="G465" s="33" t="s">
        <v>189</v>
      </c>
      <c r="H465" s="33" t="s">
        <v>189</v>
      </c>
      <c r="I465" s="39">
        <v>46249.0</v>
      </c>
      <c r="J465" s="33"/>
      <c r="K465" s="33"/>
      <c r="L465" s="40">
        <v>0.0</v>
      </c>
      <c r="M465" s="40">
        <v>1218.51</v>
      </c>
    </row>
    <row r="466" ht="15.75" customHeight="1">
      <c r="A466" s="33" t="s">
        <v>401</v>
      </c>
      <c r="B466" s="39">
        <v>45661.0</v>
      </c>
      <c r="C466" s="33" t="s">
        <v>184</v>
      </c>
      <c r="D466" s="33" t="s">
        <v>188</v>
      </c>
      <c r="E466" s="33" t="s">
        <v>180</v>
      </c>
      <c r="F466" s="33" t="s">
        <v>181</v>
      </c>
      <c r="G466" s="33" t="s">
        <v>181</v>
      </c>
      <c r="H466" s="33" t="s">
        <v>181</v>
      </c>
      <c r="I466" s="39">
        <v>46178.0</v>
      </c>
      <c r="J466" s="39">
        <v>46138.0</v>
      </c>
      <c r="K466" s="39">
        <v>46060.0</v>
      </c>
      <c r="L466" s="40">
        <v>1474.11</v>
      </c>
      <c r="M466" s="40">
        <v>1597.45</v>
      </c>
    </row>
    <row r="467" ht="15.75" customHeight="1">
      <c r="A467" s="33" t="s">
        <v>2934</v>
      </c>
      <c r="B467" s="39">
        <v>46244.0</v>
      </c>
      <c r="C467" s="33" t="s">
        <v>184</v>
      </c>
      <c r="D467" s="33" t="s">
        <v>237</v>
      </c>
      <c r="E467" s="33" t="s">
        <v>180</v>
      </c>
      <c r="F467" s="33" t="s">
        <v>181</v>
      </c>
      <c r="G467" s="33" t="s">
        <v>181</v>
      </c>
      <c r="H467" s="33" t="s">
        <v>189</v>
      </c>
      <c r="I467" s="39">
        <v>46228.0</v>
      </c>
      <c r="J467" s="39">
        <v>46212.0</v>
      </c>
      <c r="K467" s="39">
        <v>46151.0</v>
      </c>
      <c r="L467" s="40">
        <v>0.0</v>
      </c>
      <c r="M467" s="40">
        <v>760.11</v>
      </c>
    </row>
    <row r="468" ht="15.75" customHeight="1">
      <c r="A468" s="33" t="s">
        <v>521</v>
      </c>
      <c r="B468" s="39">
        <v>45758.0</v>
      </c>
      <c r="C468" s="33" t="s">
        <v>178</v>
      </c>
      <c r="D468" s="33" t="s">
        <v>200</v>
      </c>
      <c r="E468" s="33" t="s">
        <v>180</v>
      </c>
      <c r="F468" s="33" t="s">
        <v>181</v>
      </c>
      <c r="G468" s="33" t="s">
        <v>181</v>
      </c>
      <c r="H468" s="33" t="s">
        <v>181</v>
      </c>
      <c r="I468" s="39">
        <v>46252.0</v>
      </c>
      <c r="J468" s="39">
        <v>46233.0</v>
      </c>
      <c r="K468" s="39">
        <v>45985.0</v>
      </c>
      <c r="L468" s="40">
        <v>974.63</v>
      </c>
      <c r="M468" s="40">
        <v>1031.83</v>
      </c>
    </row>
    <row r="469" ht="15.75" customHeight="1">
      <c r="A469" s="33" t="s">
        <v>838</v>
      </c>
      <c r="B469" s="39">
        <v>46019.0</v>
      </c>
      <c r="C469" s="33" t="s">
        <v>178</v>
      </c>
      <c r="D469" s="33" t="s">
        <v>196</v>
      </c>
      <c r="E469" s="33" t="s">
        <v>180</v>
      </c>
      <c r="F469" s="33" t="s">
        <v>181</v>
      </c>
      <c r="G469" s="33" t="s">
        <v>181</v>
      </c>
      <c r="H469" s="33" t="s">
        <v>189</v>
      </c>
      <c r="I469" s="39">
        <v>46259.0</v>
      </c>
      <c r="J469" s="39">
        <v>46263.0</v>
      </c>
      <c r="K469" s="39">
        <v>45771.0</v>
      </c>
      <c r="L469" s="40">
        <v>0.0</v>
      </c>
      <c r="M469" s="40">
        <v>603.57</v>
      </c>
    </row>
    <row r="470" ht="15.75" customHeight="1">
      <c r="A470" s="33" t="s">
        <v>806</v>
      </c>
      <c r="B470" s="39">
        <v>45768.0</v>
      </c>
      <c r="C470" s="33" t="s">
        <v>178</v>
      </c>
      <c r="D470" s="33" t="s">
        <v>185</v>
      </c>
      <c r="E470" s="33" t="s">
        <v>180</v>
      </c>
      <c r="F470" s="33" t="s">
        <v>181</v>
      </c>
      <c r="G470" s="33" t="s">
        <v>181</v>
      </c>
      <c r="H470" s="33" t="s">
        <v>189</v>
      </c>
      <c r="I470" s="39">
        <v>46188.0</v>
      </c>
      <c r="J470" s="39">
        <v>46225.0</v>
      </c>
      <c r="K470" s="39">
        <v>46225.0</v>
      </c>
      <c r="L470" s="40">
        <v>0.0</v>
      </c>
      <c r="M470" s="40">
        <v>1022.18</v>
      </c>
    </row>
    <row r="471" ht="15.75" customHeight="1">
      <c r="A471" s="33" t="s">
        <v>1222</v>
      </c>
      <c r="B471" s="39">
        <v>46224.0</v>
      </c>
      <c r="C471" s="33" t="s">
        <v>202</v>
      </c>
      <c r="D471" s="33" t="s">
        <v>228</v>
      </c>
      <c r="E471" s="33" t="s">
        <v>180</v>
      </c>
      <c r="F471" s="33" t="s">
        <v>189</v>
      </c>
      <c r="G471" s="33" t="s">
        <v>181</v>
      </c>
      <c r="H471" s="33" t="s">
        <v>181</v>
      </c>
      <c r="I471" s="39">
        <v>46255.0</v>
      </c>
      <c r="J471" s="39">
        <v>46218.0</v>
      </c>
      <c r="K471" s="39">
        <v>46185.0</v>
      </c>
      <c r="L471" s="40">
        <v>11557.43</v>
      </c>
      <c r="M471" s="40">
        <v>0.0</v>
      </c>
    </row>
    <row r="472" ht="15.75" customHeight="1">
      <c r="A472" s="33" t="s">
        <v>2954</v>
      </c>
      <c r="B472" s="39">
        <v>46106.0</v>
      </c>
      <c r="C472" s="33" t="s">
        <v>178</v>
      </c>
      <c r="D472" s="33" t="s">
        <v>200</v>
      </c>
      <c r="E472" s="33" t="s">
        <v>180</v>
      </c>
      <c r="F472" s="33" t="s">
        <v>181</v>
      </c>
      <c r="G472" s="33" t="s">
        <v>189</v>
      </c>
      <c r="H472" s="33" t="s">
        <v>189</v>
      </c>
      <c r="I472" s="39">
        <v>46228.0</v>
      </c>
      <c r="J472" s="33"/>
      <c r="K472" s="33"/>
      <c r="L472" s="40">
        <v>0.0</v>
      </c>
      <c r="M472" s="40">
        <v>868.06</v>
      </c>
    </row>
    <row r="473" ht="15.75" customHeight="1">
      <c r="A473" s="33" t="s">
        <v>999</v>
      </c>
      <c r="B473" s="39">
        <v>46146.0</v>
      </c>
      <c r="C473" s="33" t="s">
        <v>184</v>
      </c>
      <c r="D473" s="33" t="s">
        <v>179</v>
      </c>
      <c r="E473" s="33" t="s">
        <v>180</v>
      </c>
      <c r="F473" s="33" t="s">
        <v>181</v>
      </c>
      <c r="G473" s="33" t="s">
        <v>181</v>
      </c>
      <c r="H473" s="33" t="s">
        <v>189</v>
      </c>
      <c r="I473" s="39">
        <v>46205.0</v>
      </c>
      <c r="J473" s="39">
        <v>46262.0</v>
      </c>
      <c r="K473" s="39">
        <v>46262.0</v>
      </c>
      <c r="L473" s="40">
        <v>0.0</v>
      </c>
      <c r="M473" s="40">
        <v>1003.12</v>
      </c>
    </row>
    <row r="474" ht="15.75" customHeight="1">
      <c r="A474" s="33" t="s">
        <v>2965</v>
      </c>
      <c r="B474" s="39">
        <v>45920.0</v>
      </c>
      <c r="C474" s="33" t="s">
        <v>187</v>
      </c>
      <c r="D474" s="33" t="s">
        <v>237</v>
      </c>
      <c r="E474" s="33" t="s">
        <v>180</v>
      </c>
      <c r="F474" s="33" t="s">
        <v>181</v>
      </c>
      <c r="G474" s="33" t="s">
        <v>189</v>
      </c>
      <c r="H474" s="33" t="s">
        <v>189</v>
      </c>
      <c r="I474" s="39">
        <v>46219.0</v>
      </c>
      <c r="J474" s="33"/>
      <c r="K474" s="33"/>
      <c r="L474" s="40">
        <v>42118.46</v>
      </c>
      <c r="M474" s="40">
        <v>2960.41</v>
      </c>
    </row>
    <row r="475" ht="15.75" customHeight="1">
      <c r="A475" s="33" t="s">
        <v>1378</v>
      </c>
      <c r="B475" s="39">
        <v>45941.0</v>
      </c>
      <c r="C475" s="33" t="s">
        <v>202</v>
      </c>
      <c r="D475" s="33" t="s">
        <v>196</v>
      </c>
      <c r="E475" s="33" t="s">
        <v>222</v>
      </c>
      <c r="F475" s="33" t="s">
        <v>181</v>
      </c>
      <c r="G475" s="33" t="s">
        <v>189</v>
      </c>
      <c r="H475" s="33" t="s">
        <v>181</v>
      </c>
      <c r="I475" s="39">
        <v>46195.0</v>
      </c>
      <c r="J475" s="33"/>
      <c r="K475" s="33"/>
      <c r="L475" s="40">
        <v>15798.43</v>
      </c>
      <c r="M475" s="40">
        <v>1631.5</v>
      </c>
    </row>
    <row r="476" ht="15.75" customHeight="1">
      <c r="A476" s="33" t="s">
        <v>539</v>
      </c>
      <c r="B476" s="39">
        <v>46043.0</v>
      </c>
      <c r="C476" s="33" t="s">
        <v>178</v>
      </c>
      <c r="D476" s="33" t="s">
        <v>179</v>
      </c>
      <c r="E476" s="33" t="s">
        <v>180</v>
      </c>
      <c r="F476" s="33" t="s">
        <v>189</v>
      </c>
      <c r="G476" s="33" t="s">
        <v>181</v>
      </c>
      <c r="H476" s="33" t="s">
        <v>181</v>
      </c>
      <c r="I476" s="39">
        <v>46256.0</v>
      </c>
      <c r="J476" s="39">
        <v>46199.0</v>
      </c>
      <c r="K476" s="39">
        <v>46199.0</v>
      </c>
      <c r="L476" s="40">
        <v>48385.65</v>
      </c>
      <c r="M476" s="40">
        <v>0.0</v>
      </c>
    </row>
    <row r="477" ht="15.75" customHeight="1">
      <c r="A477" s="33" t="s">
        <v>2239</v>
      </c>
      <c r="B477" s="39">
        <v>46134.0</v>
      </c>
      <c r="C477" s="33" t="s">
        <v>178</v>
      </c>
      <c r="D477" s="33" t="s">
        <v>228</v>
      </c>
      <c r="E477" s="33" t="s">
        <v>180</v>
      </c>
      <c r="F477" s="33" t="s">
        <v>181</v>
      </c>
      <c r="G477" s="33" t="s">
        <v>181</v>
      </c>
      <c r="H477" s="33" t="s">
        <v>189</v>
      </c>
      <c r="I477" s="39">
        <v>46201.0</v>
      </c>
      <c r="J477" s="39">
        <v>46211.0</v>
      </c>
      <c r="K477" s="39">
        <v>46173.0</v>
      </c>
      <c r="L477" s="40">
        <v>0.0</v>
      </c>
      <c r="M477" s="40">
        <v>1437.52</v>
      </c>
    </row>
    <row r="478" ht="15.75" customHeight="1">
      <c r="A478" s="33" t="s">
        <v>2990</v>
      </c>
      <c r="B478" s="39">
        <v>46172.0</v>
      </c>
      <c r="C478" s="33" t="s">
        <v>178</v>
      </c>
      <c r="D478" s="33" t="s">
        <v>228</v>
      </c>
      <c r="E478" s="33" t="s">
        <v>180</v>
      </c>
      <c r="F478" s="33" t="s">
        <v>181</v>
      </c>
      <c r="G478" s="33" t="s">
        <v>189</v>
      </c>
      <c r="H478" s="33" t="s">
        <v>189</v>
      </c>
      <c r="I478" s="39">
        <v>46221.0</v>
      </c>
      <c r="J478" s="33"/>
      <c r="K478" s="33"/>
      <c r="L478" s="40">
        <v>0.0</v>
      </c>
      <c r="M478" s="40">
        <v>3851.95</v>
      </c>
    </row>
    <row r="479" ht="15.75" customHeight="1">
      <c r="A479" s="33" t="s">
        <v>819</v>
      </c>
      <c r="B479" s="39">
        <v>45668.0</v>
      </c>
      <c r="C479" s="33" t="s">
        <v>184</v>
      </c>
      <c r="D479" s="33" t="s">
        <v>196</v>
      </c>
      <c r="E479" s="33" t="s">
        <v>180</v>
      </c>
      <c r="F479" s="33" t="s">
        <v>181</v>
      </c>
      <c r="G479" s="33" t="s">
        <v>181</v>
      </c>
      <c r="H479" s="33" t="s">
        <v>189</v>
      </c>
      <c r="I479" s="39">
        <v>46261.0</v>
      </c>
      <c r="J479" s="39">
        <v>46220.0</v>
      </c>
      <c r="K479" s="39">
        <v>46193.0</v>
      </c>
      <c r="L479" s="40">
        <v>15494.97</v>
      </c>
      <c r="M479" s="40">
        <v>2165.08</v>
      </c>
    </row>
    <row r="480" ht="15.75" customHeight="1">
      <c r="A480" s="33" t="s">
        <v>855</v>
      </c>
      <c r="B480" s="39">
        <v>46060.0</v>
      </c>
      <c r="C480" s="33" t="s">
        <v>202</v>
      </c>
      <c r="D480" s="33" t="s">
        <v>188</v>
      </c>
      <c r="E480" s="33" t="s">
        <v>222</v>
      </c>
      <c r="F480" s="33" t="s">
        <v>189</v>
      </c>
      <c r="G480" s="33" t="s">
        <v>181</v>
      </c>
      <c r="H480" s="33" t="s">
        <v>181</v>
      </c>
      <c r="I480" s="39">
        <v>46208.0</v>
      </c>
      <c r="J480" s="39">
        <v>46238.0</v>
      </c>
      <c r="K480" s="39">
        <v>46238.0</v>
      </c>
      <c r="L480" s="40">
        <v>0.0</v>
      </c>
      <c r="M480" s="40">
        <v>0.0</v>
      </c>
    </row>
    <row r="481" ht="15.75" customHeight="1">
      <c r="A481" s="33" t="s">
        <v>1444</v>
      </c>
      <c r="B481" s="39">
        <v>45724.0</v>
      </c>
      <c r="C481" s="33" t="s">
        <v>187</v>
      </c>
      <c r="D481" s="33" t="s">
        <v>188</v>
      </c>
      <c r="E481" s="33" t="s">
        <v>222</v>
      </c>
      <c r="F481" s="33" t="s">
        <v>181</v>
      </c>
      <c r="G481" s="33" t="s">
        <v>181</v>
      </c>
      <c r="H481" s="33" t="s">
        <v>189</v>
      </c>
      <c r="I481" s="39">
        <v>46151.0</v>
      </c>
      <c r="J481" s="39">
        <v>46262.0</v>
      </c>
      <c r="K481" s="39">
        <v>46262.0</v>
      </c>
      <c r="L481" s="40">
        <v>57517.03</v>
      </c>
      <c r="M481" s="40">
        <v>2285.53</v>
      </c>
    </row>
    <row r="482" ht="15.75" customHeight="1">
      <c r="A482" s="33" t="s">
        <v>3008</v>
      </c>
      <c r="B482" s="39">
        <v>45832.0</v>
      </c>
      <c r="C482" s="33" t="s">
        <v>178</v>
      </c>
      <c r="D482" s="33" t="s">
        <v>188</v>
      </c>
      <c r="E482" s="33" t="s">
        <v>222</v>
      </c>
      <c r="F482" s="33" t="s">
        <v>181</v>
      </c>
      <c r="G482" s="33" t="s">
        <v>189</v>
      </c>
      <c r="H482" s="33" t="s">
        <v>189</v>
      </c>
      <c r="I482" s="39">
        <v>46209.0</v>
      </c>
      <c r="J482" s="33"/>
      <c r="K482" s="33"/>
      <c r="L482" s="40">
        <v>0.0</v>
      </c>
      <c r="M482" s="40">
        <v>1893.33</v>
      </c>
    </row>
    <row r="483" ht="15.75" customHeight="1">
      <c r="A483" s="33" t="s">
        <v>3014</v>
      </c>
      <c r="B483" s="39">
        <v>46161.0</v>
      </c>
      <c r="C483" s="33" t="s">
        <v>178</v>
      </c>
      <c r="D483" s="33" t="s">
        <v>188</v>
      </c>
      <c r="E483" s="33" t="s">
        <v>180</v>
      </c>
      <c r="F483" s="33" t="s">
        <v>181</v>
      </c>
      <c r="G483" s="33" t="s">
        <v>181</v>
      </c>
      <c r="H483" s="33" t="s">
        <v>181</v>
      </c>
      <c r="I483" s="39">
        <v>46230.0</v>
      </c>
      <c r="J483" s="39">
        <v>46153.0</v>
      </c>
      <c r="K483" s="39">
        <v>46153.0</v>
      </c>
      <c r="L483" s="40">
        <v>0.0</v>
      </c>
      <c r="M483" s="40">
        <v>3007.4</v>
      </c>
    </row>
    <row r="484" ht="15.75" customHeight="1">
      <c r="A484" s="33" t="s">
        <v>1920</v>
      </c>
      <c r="B484" s="39">
        <v>45810.0</v>
      </c>
      <c r="C484" s="33" t="s">
        <v>178</v>
      </c>
      <c r="D484" s="33" t="s">
        <v>200</v>
      </c>
      <c r="E484" s="33" t="s">
        <v>180</v>
      </c>
      <c r="F484" s="33" t="s">
        <v>181</v>
      </c>
      <c r="G484" s="33" t="s">
        <v>181</v>
      </c>
      <c r="H484" s="33" t="s">
        <v>189</v>
      </c>
      <c r="I484" s="39">
        <v>46254.0</v>
      </c>
      <c r="J484" s="39">
        <v>46223.0</v>
      </c>
      <c r="K484" s="39">
        <v>46038.0</v>
      </c>
      <c r="L484" s="40">
        <v>0.0</v>
      </c>
      <c r="M484" s="40">
        <v>3318.76</v>
      </c>
    </row>
    <row r="485" ht="15.75" customHeight="1">
      <c r="A485" s="33" t="s">
        <v>662</v>
      </c>
      <c r="B485" s="39">
        <v>46141.0</v>
      </c>
      <c r="C485" s="33" t="s">
        <v>184</v>
      </c>
      <c r="D485" s="33" t="s">
        <v>194</v>
      </c>
      <c r="E485" s="33" t="s">
        <v>180</v>
      </c>
      <c r="F485" s="33" t="s">
        <v>181</v>
      </c>
      <c r="G485" s="33" t="s">
        <v>181</v>
      </c>
      <c r="H485" s="33" t="s">
        <v>181</v>
      </c>
      <c r="I485" s="39">
        <v>46194.0</v>
      </c>
      <c r="J485" s="39">
        <v>46251.0</v>
      </c>
      <c r="K485" s="39">
        <v>46066.0</v>
      </c>
      <c r="L485" s="40">
        <v>0.0</v>
      </c>
      <c r="M485" s="40">
        <v>2105.47</v>
      </c>
    </row>
    <row r="486" ht="15.75" customHeight="1">
      <c r="A486" s="33" t="s">
        <v>264</v>
      </c>
      <c r="B486" s="39">
        <v>45939.0</v>
      </c>
      <c r="C486" s="33" t="s">
        <v>184</v>
      </c>
      <c r="D486" s="33" t="s">
        <v>200</v>
      </c>
      <c r="E486" s="33" t="s">
        <v>180</v>
      </c>
      <c r="F486" s="33" t="s">
        <v>181</v>
      </c>
      <c r="G486" s="33" t="s">
        <v>181</v>
      </c>
      <c r="H486" s="33" t="s">
        <v>189</v>
      </c>
      <c r="I486" s="39">
        <v>46209.0</v>
      </c>
      <c r="J486" s="39">
        <v>46210.0</v>
      </c>
      <c r="K486" s="39">
        <v>46166.0</v>
      </c>
      <c r="L486" s="40">
        <v>2175.39</v>
      </c>
      <c r="M486" s="40">
        <v>2983.45</v>
      </c>
    </row>
    <row r="487" ht="15.75" customHeight="1">
      <c r="A487" s="33" t="s">
        <v>2826</v>
      </c>
      <c r="B487" s="39">
        <v>45799.0</v>
      </c>
      <c r="C487" s="33" t="s">
        <v>178</v>
      </c>
      <c r="D487" s="33" t="s">
        <v>179</v>
      </c>
      <c r="E487" s="33" t="s">
        <v>180</v>
      </c>
      <c r="F487" s="33" t="s">
        <v>181</v>
      </c>
      <c r="G487" s="33" t="s">
        <v>181</v>
      </c>
      <c r="H487" s="33" t="s">
        <v>189</v>
      </c>
      <c r="I487" s="39">
        <v>46195.0</v>
      </c>
      <c r="J487" s="39">
        <v>46191.0</v>
      </c>
      <c r="K487" s="39">
        <v>46191.0</v>
      </c>
      <c r="L487" s="40">
        <v>42759.56</v>
      </c>
      <c r="M487" s="40">
        <v>2420.47</v>
      </c>
    </row>
    <row r="488" ht="15.75" customHeight="1">
      <c r="A488" s="33" t="s">
        <v>3039</v>
      </c>
      <c r="B488" s="39">
        <v>45860.0</v>
      </c>
      <c r="C488" s="33" t="s">
        <v>184</v>
      </c>
      <c r="D488" s="33" t="s">
        <v>185</v>
      </c>
      <c r="E488" s="33" t="s">
        <v>180</v>
      </c>
      <c r="F488" s="33" t="s">
        <v>189</v>
      </c>
      <c r="G488" s="33" t="s">
        <v>189</v>
      </c>
      <c r="H488" s="33" t="s">
        <v>189</v>
      </c>
      <c r="I488" s="39">
        <v>46261.0</v>
      </c>
      <c r="J488" s="33"/>
      <c r="K488" s="33"/>
      <c r="L488" s="40">
        <v>11350.1</v>
      </c>
      <c r="M488" s="40">
        <v>0.0</v>
      </c>
    </row>
    <row r="489" ht="15.75" customHeight="1">
      <c r="A489" s="33" t="s">
        <v>3044</v>
      </c>
      <c r="B489" s="39">
        <v>45980.0</v>
      </c>
      <c r="C489" s="33" t="s">
        <v>178</v>
      </c>
      <c r="D489" s="33" t="s">
        <v>237</v>
      </c>
      <c r="E489" s="33" t="s">
        <v>180</v>
      </c>
      <c r="F489" s="33" t="s">
        <v>181</v>
      </c>
      <c r="G489" s="33" t="s">
        <v>189</v>
      </c>
      <c r="H489" s="33" t="s">
        <v>189</v>
      </c>
      <c r="I489" s="39">
        <v>46232.0</v>
      </c>
      <c r="J489" s="33"/>
      <c r="K489" s="33"/>
      <c r="L489" s="40">
        <v>25992.54</v>
      </c>
      <c r="M489" s="40">
        <v>2161.16</v>
      </c>
    </row>
    <row r="490" ht="15.75" customHeight="1">
      <c r="A490" s="33" t="s">
        <v>3048</v>
      </c>
      <c r="B490" s="39">
        <v>46122.0</v>
      </c>
      <c r="C490" s="33" t="s">
        <v>184</v>
      </c>
      <c r="D490" s="33" t="s">
        <v>194</v>
      </c>
      <c r="E490" s="33" t="s">
        <v>222</v>
      </c>
      <c r="F490" s="33" t="s">
        <v>181</v>
      </c>
      <c r="G490" s="33" t="s">
        <v>181</v>
      </c>
      <c r="H490" s="33" t="s">
        <v>181</v>
      </c>
      <c r="I490" s="39">
        <v>46195.0</v>
      </c>
      <c r="J490" s="39">
        <v>46141.0</v>
      </c>
      <c r="K490" s="39">
        <v>46078.0</v>
      </c>
      <c r="L490" s="40">
        <v>0.0</v>
      </c>
      <c r="M490" s="40">
        <v>1347.88</v>
      </c>
    </row>
    <row r="491" ht="15.75" customHeight="1">
      <c r="A491" s="33" t="s">
        <v>945</v>
      </c>
      <c r="B491" s="39">
        <v>46025.0</v>
      </c>
      <c r="C491" s="33" t="s">
        <v>178</v>
      </c>
      <c r="D491" s="33" t="s">
        <v>185</v>
      </c>
      <c r="E491" s="33" t="s">
        <v>180</v>
      </c>
      <c r="F491" s="33" t="s">
        <v>181</v>
      </c>
      <c r="G491" s="33" t="s">
        <v>181</v>
      </c>
      <c r="H491" s="33" t="s">
        <v>181</v>
      </c>
      <c r="I491" s="39">
        <v>46209.0</v>
      </c>
      <c r="J491" s="39">
        <v>46239.0</v>
      </c>
      <c r="K491" s="39">
        <v>46239.0</v>
      </c>
      <c r="L491" s="40">
        <v>0.0</v>
      </c>
      <c r="M491" s="40">
        <v>982.97</v>
      </c>
    </row>
    <row r="492" ht="15.75" customHeight="1">
      <c r="A492" s="33" t="s">
        <v>510</v>
      </c>
      <c r="B492" s="39">
        <v>46224.0</v>
      </c>
      <c r="C492" s="33" t="s">
        <v>178</v>
      </c>
      <c r="D492" s="33" t="s">
        <v>194</v>
      </c>
      <c r="E492" s="33" t="s">
        <v>180</v>
      </c>
      <c r="F492" s="33" t="s">
        <v>189</v>
      </c>
      <c r="G492" s="33" t="s">
        <v>181</v>
      </c>
      <c r="H492" s="33" t="s">
        <v>181</v>
      </c>
      <c r="I492" s="39">
        <v>46192.0</v>
      </c>
      <c r="J492" s="39">
        <v>46187.0</v>
      </c>
      <c r="K492" s="39">
        <v>46181.0</v>
      </c>
      <c r="L492" s="40">
        <v>0.0</v>
      </c>
      <c r="M492" s="40">
        <v>0.0</v>
      </c>
    </row>
    <row r="493" ht="15.75" customHeight="1">
      <c r="A493" s="33" t="s">
        <v>1598</v>
      </c>
      <c r="B493" s="39">
        <v>46184.0</v>
      </c>
      <c r="C493" s="33" t="s">
        <v>184</v>
      </c>
      <c r="D493" s="33" t="s">
        <v>200</v>
      </c>
      <c r="E493" s="33" t="s">
        <v>222</v>
      </c>
      <c r="F493" s="33" t="s">
        <v>181</v>
      </c>
      <c r="G493" s="33" t="s">
        <v>181</v>
      </c>
      <c r="H493" s="33" t="s">
        <v>189</v>
      </c>
      <c r="I493" s="39">
        <v>46201.0</v>
      </c>
      <c r="J493" s="39">
        <v>46250.0</v>
      </c>
      <c r="K493" s="39">
        <v>46027.0</v>
      </c>
      <c r="L493" s="40">
        <v>0.0</v>
      </c>
      <c r="M493" s="40">
        <v>490.7</v>
      </c>
    </row>
    <row r="494" ht="15.75" customHeight="1">
      <c r="A494" s="33" t="s">
        <v>2211</v>
      </c>
      <c r="B494" s="39">
        <v>46115.0</v>
      </c>
      <c r="C494" s="33" t="s">
        <v>178</v>
      </c>
      <c r="D494" s="33" t="s">
        <v>200</v>
      </c>
      <c r="E494" s="33" t="s">
        <v>180</v>
      </c>
      <c r="F494" s="33" t="s">
        <v>181</v>
      </c>
      <c r="G494" s="33" t="s">
        <v>181</v>
      </c>
      <c r="H494" s="33" t="s">
        <v>189</v>
      </c>
      <c r="I494" s="39">
        <v>46196.0</v>
      </c>
      <c r="J494" s="39">
        <v>46136.0</v>
      </c>
      <c r="K494" s="39">
        <v>46136.0</v>
      </c>
      <c r="L494" s="40">
        <v>0.0</v>
      </c>
      <c r="M494" s="40">
        <v>4543.24</v>
      </c>
    </row>
    <row r="495" ht="15.75" customHeight="1">
      <c r="A495" s="33" t="s">
        <v>620</v>
      </c>
      <c r="B495" s="39">
        <v>46024.0</v>
      </c>
      <c r="C495" s="33" t="s">
        <v>178</v>
      </c>
      <c r="D495" s="33" t="s">
        <v>188</v>
      </c>
      <c r="E495" s="33" t="s">
        <v>180</v>
      </c>
      <c r="F495" s="33" t="s">
        <v>181</v>
      </c>
      <c r="G495" s="33" t="s">
        <v>181</v>
      </c>
      <c r="H495" s="33" t="s">
        <v>181</v>
      </c>
      <c r="I495" s="39">
        <v>46213.0</v>
      </c>
      <c r="J495" s="39">
        <v>46246.0</v>
      </c>
      <c r="K495" s="39">
        <v>46246.0</v>
      </c>
      <c r="L495" s="40">
        <v>22094.41</v>
      </c>
      <c r="M495" s="40">
        <v>3003.47</v>
      </c>
    </row>
    <row r="496" ht="15.75" customHeight="1">
      <c r="A496" s="33" t="s">
        <v>2116</v>
      </c>
      <c r="B496" s="39">
        <v>45833.0</v>
      </c>
      <c r="C496" s="33" t="s">
        <v>178</v>
      </c>
      <c r="D496" s="33" t="s">
        <v>200</v>
      </c>
      <c r="E496" s="33" t="s">
        <v>180</v>
      </c>
      <c r="F496" s="33" t="s">
        <v>181</v>
      </c>
      <c r="G496" s="33" t="s">
        <v>181</v>
      </c>
      <c r="H496" s="33" t="s">
        <v>181</v>
      </c>
      <c r="I496" s="39">
        <v>46191.0</v>
      </c>
      <c r="J496" s="39">
        <v>46222.0</v>
      </c>
      <c r="K496" s="39">
        <v>46222.0</v>
      </c>
      <c r="L496" s="40">
        <v>6256.23</v>
      </c>
      <c r="M496" s="40">
        <v>1247.37</v>
      </c>
    </row>
    <row r="497" ht="15.75" customHeight="1">
      <c r="A497" s="33" t="s">
        <v>1031</v>
      </c>
      <c r="B497" s="39">
        <v>45908.0</v>
      </c>
      <c r="C497" s="33" t="s">
        <v>178</v>
      </c>
      <c r="D497" s="33" t="s">
        <v>188</v>
      </c>
      <c r="E497" s="33" t="s">
        <v>180</v>
      </c>
      <c r="F497" s="33" t="s">
        <v>181</v>
      </c>
      <c r="G497" s="33" t="s">
        <v>181</v>
      </c>
      <c r="H497" s="33" t="s">
        <v>181</v>
      </c>
      <c r="I497" s="39">
        <v>46258.0</v>
      </c>
      <c r="J497" s="39">
        <v>46183.0</v>
      </c>
      <c r="K497" s="39">
        <v>46183.0</v>
      </c>
      <c r="L497" s="40">
        <v>0.0</v>
      </c>
      <c r="M497" s="40">
        <v>411.76</v>
      </c>
    </row>
    <row r="498" ht="15.75" customHeight="1">
      <c r="A498" s="33" t="s">
        <v>3088</v>
      </c>
      <c r="B498" s="39">
        <v>45730.0</v>
      </c>
      <c r="C498" s="33" t="s">
        <v>187</v>
      </c>
      <c r="D498" s="33" t="s">
        <v>188</v>
      </c>
      <c r="E498" s="33" t="s">
        <v>180</v>
      </c>
      <c r="F498" s="33" t="s">
        <v>181</v>
      </c>
      <c r="G498" s="33" t="s">
        <v>181</v>
      </c>
      <c r="H498" s="33" t="s">
        <v>189</v>
      </c>
      <c r="I498" s="39">
        <v>46176.0</v>
      </c>
      <c r="J498" s="39">
        <v>46219.0</v>
      </c>
      <c r="K498" s="39">
        <v>45984.0</v>
      </c>
      <c r="L498" s="40">
        <v>0.0</v>
      </c>
      <c r="M498" s="40">
        <v>2431.1</v>
      </c>
    </row>
    <row r="499" ht="15.75" customHeight="1">
      <c r="A499" s="33" t="s">
        <v>3092</v>
      </c>
      <c r="B499" s="39">
        <v>45885.0</v>
      </c>
      <c r="C499" s="33" t="s">
        <v>184</v>
      </c>
      <c r="D499" s="33" t="s">
        <v>185</v>
      </c>
      <c r="E499" s="33" t="s">
        <v>180</v>
      </c>
      <c r="F499" s="33" t="s">
        <v>181</v>
      </c>
      <c r="G499" s="33" t="s">
        <v>181</v>
      </c>
      <c r="H499" s="33" t="s">
        <v>189</v>
      </c>
      <c r="I499" s="39">
        <v>46226.0</v>
      </c>
      <c r="J499" s="39">
        <v>46261.0</v>
      </c>
      <c r="K499" s="39">
        <v>46204.0</v>
      </c>
      <c r="L499" s="40">
        <v>0.0</v>
      </c>
      <c r="M499" s="40">
        <v>1382.44</v>
      </c>
    </row>
    <row r="500" ht="15.75" customHeight="1">
      <c r="A500" s="33" t="s">
        <v>872</v>
      </c>
      <c r="B500" s="39">
        <v>46220.0</v>
      </c>
      <c r="C500" s="33" t="s">
        <v>184</v>
      </c>
      <c r="D500" s="33" t="s">
        <v>179</v>
      </c>
      <c r="E500" s="33" t="s">
        <v>180</v>
      </c>
      <c r="F500" s="33" t="s">
        <v>181</v>
      </c>
      <c r="G500" s="33" t="s">
        <v>181</v>
      </c>
      <c r="H500" s="33" t="s">
        <v>189</v>
      </c>
      <c r="I500" s="39">
        <v>46240.0</v>
      </c>
      <c r="J500" s="39">
        <v>46241.0</v>
      </c>
      <c r="K500" s="39">
        <v>46241.0</v>
      </c>
      <c r="L500" s="40">
        <v>6799.83</v>
      </c>
      <c r="M500" s="40">
        <v>3107.85</v>
      </c>
    </row>
    <row r="501" ht="15.75" customHeight="1">
      <c r="A501" s="33" t="s">
        <v>1229</v>
      </c>
      <c r="B501" s="39">
        <v>45916.0</v>
      </c>
      <c r="C501" s="33" t="s">
        <v>178</v>
      </c>
      <c r="D501" s="33" t="s">
        <v>196</v>
      </c>
      <c r="E501" s="33" t="s">
        <v>180</v>
      </c>
      <c r="F501" s="33" t="s">
        <v>181</v>
      </c>
      <c r="G501" s="33" t="s">
        <v>189</v>
      </c>
      <c r="H501" s="33" t="s">
        <v>189</v>
      </c>
      <c r="I501" s="39">
        <v>46249.0</v>
      </c>
      <c r="J501" s="33"/>
      <c r="K501" s="33"/>
      <c r="L501" s="40">
        <v>17287.23</v>
      </c>
      <c r="M501" s="40">
        <v>818.78</v>
      </c>
    </row>
    <row r="502" ht="15.75" customHeight="1">
      <c r="A502" s="33" t="s">
        <v>2993</v>
      </c>
      <c r="B502" s="39">
        <v>45727.0</v>
      </c>
      <c r="C502" s="33" t="s">
        <v>202</v>
      </c>
      <c r="D502" s="33" t="s">
        <v>179</v>
      </c>
      <c r="E502" s="33" t="s">
        <v>180</v>
      </c>
      <c r="F502" s="33" t="s">
        <v>189</v>
      </c>
      <c r="G502" s="33" t="s">
        <v>189</v>
      </c>
      <c r="H502" s="33" t="s">
        <v>181</v>
      </c>
      <c r="I502" s="39">
        <v>46177.0</v>
      </c>
      <c r="J502" s="33"/>
      <c r="K502" s="33"/>
      <c r="L502" s="40">
        <v>16549.57</v>
      </c>
      <c r="M502" s="40">
        <v>0.0</v>
      </c>
    </row>
    <row r="503" ht="15.75" customHeight="1">
      <c r="A503" s="33" t="s">
        <v>3112</v>
      </c>
      <c r="B503" s="39">
        <v>46053.0</v>
      </c>
      <c r="C503" s="33" t="s">
        <v>178</v>
      </c>
      <c r="D503" s="33" t="s">
        <v>179</v>
      </c>
      <c r="E503" s="33" t="s">
        <v>180</v>
      </c>
      <c r="F503" s="33" t="s">
        <v>181</v>
      </c>
      <c r="G503" s="33" t="s">
        <v>189</v>
      </c>
      <c r="H503" s="33" t="s">
        <v>189</v>
      </c>
      <c r="I503" s="39">
        <v>46186.0</v>
      </c>
      <c r="J503" s="33"/>
      <c r="K503" s="33"/>
      <c r="L503" s="40">
        <v>0.0</v>
      </c>
      <c r="M503" s="40">
        <v>1211.88</v>
      </c>
    </row>
    <row r="504" ht="15.75" customHeight="1">
      <c r="A504" s="33" t="s">
        <v>3116</v>
      </c>
      <c r="B504" s="39">
        <v>46242.0</v>
      </c>
      <c r="C504" s="33" t="s">
        <v>178</v>
      </c>
      <c r="D504" s="33" t="s">
        <v>185</v>
      </c>
      <c r="E504" s="33" t="s">
        <v>180</v>
      </c>
      <c r="F504" s="33" t="s">
        <v>181</v>
      </c>
      <c r="G504" s="33" t="s">
        <v>189</v>
      </c>
      <c r="H504" s="33" t="s">
        <v>189</v>
      </c>
      <c r="I504" s="39">
        <v>46254.0</v>
      </c>
      <c r="J504" s="33"/>
      <c r="K504" s="33"/>
      <c r="L504" s="40">
        <v>0.0</v>
      </c>
      <c r="M504" s="40">
        <v>1487.63</v>
      </c>
    </row>
    <row r="505" ht="15.75" customHeight="1">
      <c r="A505" s="33" t="s">
        <v>1130</v>
      </c>
      <c r="B505" s="39">
        <v>46184.0</v>
      </c>
      <c r="C505" s="33" t="s">
        <v>178</v>
      </c>
      <c r="D505" s="33" t="s">
        <v>188</v>
      </c>
      <c r="E505" s="33" t="s">
        <v>180</v>
      </c>
      <c r="F505" s="33" t="s">
        <v>181</v>
      </c>
      <c r="G505" s="33" t="s">
        <v>181</v>
      </c>
      <c r="H505" s="33" t="s">
        <v>181</v>
      </c>
      <c r="I505" s="39">
        <v>46225.0</v>
      </c>
      <c r="J505" s="39">
        <v>46232.0</v>
      </c>
      <c r="K505" s="39">
        <v>46221.0</v>
      </c>
      <c r="L505" s="40">
        <v>13841.61</v>
      </c>
      <c r="M505" s="40">
        <v>2659.24</v>
      </c>
    </row>
    <row r="506" ht="15.75" customHeight="1">
      <c r="A506" s="33" t="s">
        <v>602</v>
      </c>
      <c r="B506" s="39">
        <v>45824.0</v>
      </c>
      <c r="C506" s="33" t="s">
        <v>184</v>
      </c>
      <c r="D506" s="33" t="s">
        <v>196</v>
      </c>
      <c r="E506" s="33" t="s">
        <v>180</v>
      </c>
      <c r="F506" s="33" t="s">
        <v>181</v>
      </c>
      <c r="G506" s="33" t="s">
        <v>189</v>
      </c>
      <c r="H506" s="33" t="s">
        <v>189</v>
      </c>
      <c r="I506" s="39">
        <v>46199.0</v>
      </c>
      <c r="J506" s="33"/>
      <c r="K506" s="33"/>
      <c r="L506" s="40">
        <v>11296.34</v>
      </c>
      <c r="M506" s="40">
        <v>1047.1</v>
      </c>
    </row>
    <row r="507" ht="15.75" customHeight="1">
      <c r="A507" s="33" t="s">
        <v>533</v>
      </c>
      <c r="B507" s="39">
        <v>45933.0</v>
      </c>
      <c r="C507" s="33" t="s">
        <v>184</v>
      </c>
      <c r="D507" s="33" t="s">
        <v>200</v>
      </c>
      <c r="E507" s="33" t="s">
        <v>180</v>
      </c>
      <c r="F507" s="33" t="s">
        <v>181</v>
      </c>
      <c r="G507" s="33" t="s">
        <v>181</v>
      </c>
      <c r="H507" s="33" t="s">
        <v>181</v>
      </c>
      <c r="I507" s="39">
        <v>46212.0</v>
      </c>
      <c r="J507" s="39">
        <v>46261.0</v>
      </c>
      <c r="K507" s="39">
        <v>46087.0</v>
      </c>
      <c r="L507" s="40">
        <v>51919.33</v>
      </c>
      <c r="M507" s="40">
        <v>2451.99</v>
      </c>
    </row>
    <row r="508" ht="15.75" customHeight="1">
      <c r="A508" s="33" t="s">
        <v>1488</v>
      </c>
      <c r="B508" s="39">
        <v>45980.0</v>
      </c>
      <c r="C508" s="33" t="s">
        <v>184</v>
      </c>
      <c r="D508" s="33" t="s">
        <v>179</v>
      </c>
      <c r="E508" s="33" t="s">
        <v>180</v>
      </c>
      <c r="F508" s="33" t="s">
        <v>181</v>
      </c>
      <c r="G508" s="33" t="s">
        <v>181</v>
      </c>
      <c r="H508" s="33" t="s">
        <v>189</v>
      </c>
      <c r="I508" s="39">
        <v>46248.0</v>
      </c>
      <c r="J508" s="39">
        <v>46238.0</v>
      </c>
      <c r="K508" s="39">
        <v>46238.0</v>
      </c>
      <c r="L508" s="40">
        <v>8967.18</v>
      </c>
      <c r="M508" s="40">
        <v>517.39</v>
      </c>
    </row>
    <row r="509" ht="15.75" customHeight="1">
      <c r="A509" s="33" t="s">
        <v>1887</v>
      </c>
      <c r="B509" s="39">
        <v>45808.0</v>
      </c>
      <c r="C509" s="33" t="s">
        <v>202</v>
      </c>
      <c r="D509" s="33" t="s">
        <v>185</v>
      </c>
      <c r="E509" s="33" t="s">
        <v>180</v>
      </c>
      <c r="F509" s="33" t="s">
        <v>181</v>
      </c>
      <c r="G509" s="33" t="s">
        <v>181</v>
      </c>
      <c r="H509" s="33" t="s">
        <v>189</v>
      </c>
      <c r="I509" s="39">
        <v>46233.0</v>
      </c>
      <c r="J509" s="39">
        <v>46243.0</v>
      </c>
      <c r="K509" s="39">
        <v>46210.0</v>
      </c>
      <c r="L509" s="40">
        <v>0.0</v>
      </c>
      <c r="M509" s="40">
        <v>1642.62</v>
      </c>
    </row>
    <row r="510" ht="15.75" customHeight="1">
      <c r="A510" s="33" t="s">
        <v>3140</v>
      </c>
      <c r="B510" s="39">
        <v>45821.0</v>
      </c>
      <c r="C510" s="33" t="s">
        <v>202</v>
      </c>
      <c r="D510" s="33" t="s">
        <v>237</v>
      </c>
      <c r="E510" s="33" t="s">
        <v>180</v>
      </c>
      <c r="F510" s="33" t="s">
        <v>181</v>
      </c>
      <c r="G510" s="33" t="s">
        <v>181</v>
      </c>
      <c r="H510" s="33" t="s">
        <v>189</v>
      </c>
      <c r="I510" s="39">
        <v>46232.0</v>
      </c>
      <c r="J510" s="39">
        <v>46157.0</v>
      </c>
      <c r="K510" s="39">
        <v>45961.0</v>
      </c>
      <c r="L510" s="40">
        <v>0.0</v>
      </c>
      <c r="M510" s="40">
        <v>4162.19</v>
      </c>
    </row>
    <row r="511" ht="15.75" customHeight="1">
      <c r="A511" s="33" t="s">
        <v>630</v>
      </c>
      <c r="B511" s="39">
        <v>45801.0</v>
      </c>
      <c r="C511" s="33" t="s">
        <v>202</v>
      </c>
      <c r="D511" s="33" t="s">
        <v>188</v>
      </c>
      <c r="E511" s="33" t="s">
        <v>180</v>
      </c>
      <c r="F511" s="33" t="s">
        <v>189</v>
      </c>
      <c r="G511" s="33" t="s">
        <v>181</v>
      </c>
      <c r="H511" s="33" t="s">
        <v>189</v>
      </c>
      <c r="I511" s="39">
        <v>46240.0</v>
      </c>
      <c r="J511" s="39">
        <v>46213.0</v>
      </c>
      <c r="K511" s="39">
        <v>46213.0</v>
      </c>
      <c r="L511" s="40">
        <v>0.0</v>
      </c>
      <c r="M511" s="40">
        <v>0.0</v>
      </c>
    </row>
    <row r="512" ht="15.75" customHeight="1">
      <c r="A512" s="33" t="s">
        <v>2075</v>
      </c>
      <c r="B512" s="39">
        <v>46261.0</v>
      </c>
      <c r="C512" s="33" t="s">
        <v>202</v>
      </c>
      <c r="D512" s="33" t="s">
        <v>179</v>
      </c>
      <c r="E512" s="33" t="s">
        <v>180</v>
      </c>
      <c r="F512" s="33" t="s">
        <v>189</v>
      </c>
      <c r="G512" s="33" t="s">
        <v>181</v>
      </c>
      <c r="H512" s="33" t="s">
        <v>181</v>
      </c>
      <c r="I512" s="39">
        <v>46179.0</v>
      </c>
      <c r="J512" s="39">
        <v>46228.0</v>
      </c>
      <c r="K512" s="39">
        <v>46228.0</v>
      </c>
      <c r="L512" s="40">
        <v>4222.57</v>
      </c>
      <c r="M512" s="40">
        <v>0.0</v>
      </c>
    </row>
    <row r="513" ht="15.75" customHeight="1">
      <c r="A513" s="33" t="s">
        <v>941</v>
      </c>
      <c r="B513" s="39">
        <v>46110.0</v>
      </c>
      <c r="C513" s="33" t="s">
        <v>178</v>
      </c>
      <c r="D513" s="33" t="s">
        <v>196</v>
      </c>
      <c r="E513" s="33" t="s">
        <v>180</v>
      </c>
      <c r="F513" s="33" t="s">
        <v>181</v>
      </c>
      <c r="G513" s="33" t="s">
        <v>189</v>
      </c>
      <c r="H513" s="33" t="s">
        <v>189</v>
      </c>
      <c r="I513" s="39">
        <v>46247.0</v>
      </c>
      <c r="J513" s="33"/>
      <c r="K513" s="33"/>
      <c r="L513" s="40">
        <v>15414.99</v>
      </c>
      <c r="M513" s="40">
        <v>5300.65</v>
      </c>
    </row>
    <row r="514" ht="15.75" customHeight="1">
      <c r="A514" s="33" t="s">
        <v>891</v>
      </c>
      <c r="B514" s="39">
        <v>46168.0</v>
      </c>
      <c r="C514" s="33" t="s">
        <v>178</v>
      </c>
      <c r="D514" s="33" t="s">
        <v>196</v>
      </c>
      <c r="E514" s="33" t="s">
        <v>180</v>
      </c>
      <c r="F514" s="33" t="s">
        <v>181</v>
      </c>
      <c r="G514" s="33" t="s">
        <v>189</v>
      </c>
      <c r="H514" s="33" t="s">
        <v>189</v>
      </c>
      <c r="I514" s="39">
        <v>46202.0</v>
      </c>
      <c r="J514" s="33"/>
      <c r="K514" s="33"/>
      <c r="L514" s="40">
        <v>36310.93</v>
      </c>
      <c r="M514" s="40">
        <v>3445.96</v>
      </c>
    </row>
    <row r="515" ht="15.75" customHeight="1">
      <c r="A515" s="33" t="s">
        <v>569</v>
      </c>
      <c r="B515" s="39">
        <v>46153.0</v>
      </c>
      <c r="C515" s="33" t="s">
        <v>178</v>
      </c>
      <c r="D515" s="33" t="s">
        <v>179</v>
      </c>
      <c r="E515" s="33" t="s">
        <v>180</v>
      </c>
      <c r="F515" s="33" t="s">
        <v>181</v>
      </c>
      <c r="G515" s="33" t="s">
        <v>181</v>
      </c>
      <c r="H515" s="33" t="s">
        <v>189</v>
      </c>
      <c r="I515" s="39">
        <v>46183.0</v>
      </c>
      <c r="J515" s="39">
        <v>46089.0</v>
      </c>
      <c r="K515" s="39">
        <v>45965.0</v>
      </c>
      <c r="L515" s="40">
        <v>0.0</v>
      </c>
      <c r="M515" s="40">
        <v>401.07</v>
      </c>
    </row>
    <row r="516" ht="15.75" customHeight="1">
      <c r="A516" s="33" t="s">
        <v>493</v>
      </c>
      <c r="B516" s="39">
        <v>46240.0</v>
      </c>
      <c r="C516" s="33" t="s">
        <v>184</v>
      </c>
      <c r="D516" s="33" t="s">
        <v>228</v>
      </c>
      <c r="E516" s="33" t="s">
        <v>180</v>
      </c>
      <c r="F516" s="33" t="s">
        <v>181</v>
      </c>
      <c r="G516" s="33" t="s">
        <v>181</v>
      </c>
      <c r="H516" s="33" t="s">
        <v>189</v>
      </c>
      <c r="I516" s="39">
        <v>46194.0</v>
      </c>
      <c r="J516" s="39">
        <v>46193.0</v>
      </c>
      <c r="K516" s="39">
        <v>45892.0</v>
      </c>
      <c r="L516" s="40">
        <v>0.0</v>
      </c>
      <c r="M516" s="40">
        <v>1530.77</v>
      </c>
    </row>
    <row r="517" ht="15.75" customHeight="1">
      <c r="A517" s="33" t="s">
        <v>757</v>
      </c>
      <c r="B517" s="39">
        <v>45721.0</v>
      </c>
      <c r="C517" s="33" t="s">
        <v>202</v>
      </c>
      <c r="D517" s="33" t="s">
        <v>196</v>
      </c>
      <c r="E517" s="33" t="s">
        <v>180</v>
      </c>
      <c r="F517" s="33" t="s">
        <v>181</v>
      </c>
      <c r="G517" s="33" t="s">
        <v>189</v>
      </c>
      <c r="H517" s="33" t="s">
        <v>181</v>
      </c>
      <c r="I517" s="39">
        <v>46194.0</v>
      </c>
      <c r="J517" s="33"/>
      <c r="K517" s="33"/>
      <c r="L517" s="40">
        <v>0.0</v>
      </c>
      <c r="M517" s="40">
        <v>1679.47</v>
      </c>
    </row>
    <row r="518" ht="15.75" customHeight="1">
      <c r="A518" s="33" t="s">
        <v>1476</v>
      </c>
      <c r="B518" s="39">
        <v>46193.0</v>
      </c>
      <c r="C518" s="33" t="s">
        <v>184</v>
      </c>
      <c r="D518" s="33" t="s">
        <v>194</v>
      </c>
      <c r="E518" s="33" t="s">
        <v>180</v>
      </c>
      <c r="F518" s="33" t="s">
        <v>181</v>
      </c>
      <c r="G518" s="33" t="s">
        <v>181</v>
      </c>
      <c r="H518" s="33" t="s">
        <v>189</v>
      </c>
      <c r="I518" s="39">
        <v>46251.0</v>
      </c>
      <c r="J518" s="39">
        <v>46197.0</v>
      </c>
      <c r="K518" s="39">
        <v>46197.0</v>
      </c>
      <c r="L518" s="40">
        <v>0.0</v>
      </c>
      <c r="M518" s="40">
        <v>3167.23</v>
      </c>
    </row>
    <row r="519" ht="15.75" customHeight="1">
      <c r="A519" s="33" t="s">
        <v>2723</v>
      </c>
      <c r="B519" s="39">
        <v>45698.0</v>
      </c>
      <c r="C519" s="33" t="s">
        <v>178</v>
      </c>
      <c r="D519" s="33" t="s">
        <v>237</v>
      </c>
      <c r="E519" s="33" t="s">
        <v>180</v>
      </c>
      <c r="F519" s="33" t="s">
        <v>181</v>
      </c>
      <c r="G519" s="33" t="s">
        <v>181</v>
      </c>
      <c r="H519" s="33" t="s">
        <v>189</v>
      </c>
      <c r="I519" s="39">
        <v>46254.0</v>
      </c>
      <c r="J519" s="39">
        <v>46241.0</v>
      </c>
      <c r="K519" s="39">
        <v>46104.0</v>
      </c>
      <c r="L519" s="40">
        <v>0.0</v>
      </c>
      <c r="M519" s="40">
        <v>1862.76</v>
      </c>
    </row>
    <row r="520" ht="15.75" customHeight="1">
      <c r="A520" s="33" t="s">
        <v>3179</v>
      </c>
      <c r="B520" s="39">
        <v>45946.0</v>
      </c>
      <c r="C520" s="33" t="s">
        <v>202</v>
      </c>
      <c r="D520" s="33" t="s">
        <v>179</v>
      </c>
      <c r="E520" s="33" t="s">
        <v>180</v>
      </c>
      <c r="F520" s="33" t="s">
        <v>181</v>
      </c>
      <c r="G520" s="33" t="s">
        <v>181</v>
      </c>
      <c r="H520" s="33" t="s">
        <v>181</v>
      </c>
      <c r="I520" s="39">
        <v>46195.0</v>
      </c>
      <c r="J520" s="39">
        <v>46131.0</v>
      </c>
      <c r="K520" s="39">
        <v>46131.0</v>
      </c>
      <c r="L520" s="40">
        <v>0.0</v>
      </c>
      <c r="M520" s="40">
        <v>775.08</v>
      </c>
    </row>
    <row r="521" ht="15.75" customHeight="1">
      <c r="A521" s="33" t="s">
        <v>2589</v>
      </c>
      <c r="B521" s="39">
        <v>46018.0</v>
      </c>
      <c r="C521" s="33" t="s">
        <v>178</v>
      </c>
      <c r="D521" s="33" t="s">
        <v>237</v>
      </c>
      <c r="E521" s="33" t="s">
        <v>180</v>
      </c>
      <c r="F521" s="33" t="s">
        <v>189</v>
      </c>
      <c r="G521" s="33" t="s">
        <v>181</v>
      </c>
      <c r="H521" s="33" t="s">
        <v>189</v>
      </c>
      <c r="I521" s="39">
        <v>46198.0</v>
      </c>
      <c r="J521" s="39">
        <v>46224.0</v>
      </c>
      <c r="K521" s="39">
        <v>46194.0</v>
      </c>
      <c r="L521" s="40">
        <v>7041.84</v>
      </c>
      <c r="M521" s="40">
        <v>0.0</v>
      </c>
    </row>
    <row r="522" ht="15.75" customHeight="1">
      <c r="A522" s="33" t="s">
        <v>788</v>
      </c>
      <c r="B522" s="39">
        <v>45875.0</v>
      </c>
      <c r="C522" s="33" t="s">
        <v>178</v>
      </c>
      <c r="D522" s="33" t="s">
        <v>200</v>
      </c>
      <c r="E522" s="33" t="s">
        <v>222</v>
      </c>
      <c r="F522" s="33" t="s">
        <v>181</v>
      </c>
      <c r="G522" s="33" t="s">
        <v>181</v>
      </c>
      <c r="H522" s="33" t="s">
        <v>189</v>
      </c>
      <c r="I522" s="39">
        <v>46124.0</v>
      </c>
      <c r="J522" s="39">
        <v>46106.0</v>
      </c>
      <c r="K522" s="39">
        <v>46013.0</v>
      </c>
      <c r="L522" s="40">
        <v>0.0</v>
      </c>
      <c r="M522" s="40">
        <v>3481.37</v>
      </c>
    </row>
    <row r="523" ht="15.75" customHeight="1">
      <c r="A523" s="33" t="s">
        <v>3193</v>
      </c>
      <c r="B523" s="39">
        <v>45746.0</v>
      </c>
      <c r="C523" s="33" t="s">
        <v>178</v>
      </c>
      <c r="D523" s="33" t="s">
        <v>196</v>
      </c>
      <c r="E523" s="33" t="s">
        <v>222</v>
      </c>
      <c r="F523" s="33" t="s">
        <v>181</v>
      </c>
      <c r="G523" s="33" t="s">
        <v>189</v>
      </c>
      <c r="H523" s="33" t="s">
        <v>189</v>
      </c>
      <c r="I523" s="39">
        <v>46172.0</v>
      </c>
      <c r="J523" s="33"/>
      <c r="K523" s="33"/>
      <c r="L523" s="40">
        <v>0.0</v>
      </c>
      <c r="M523" s="40">
        <v>4885.58</v>
      </c>
    </row>
    <row r="524" ht="15.75" customHeight="1">
      <c r="A524" s="33" t="s">
        <v>585</v>
      </c>
      <c r="B524" s="39">
        <v>45774.0</v>
      </c>
      <c r="C524" s="33" t="s">
        <v>178</v>
      </c>
      <c r="D524" s="33" t="s">
        <v>185</v>
      </c>
      <c r="E524" s="33" t="s">
        <v>222</v>
      </c>
      <c r="F524" s="33" t="s">
        <v>181</v>
      </c>
      <c r="G524" s="33" t="s">
        <v>189</v>
      </c>
      <c r="H524" s="33" t="s">
        <v>189</v>
      </c>
      <c r="I524" s="39">
        <v>46157.0</v>
      </c>
      <c r="J524" s="33"/>
      <c r="K524" s="33"/>
      <c r="L524" s="40">
        <v>25725.91</v>
      </c>
      <c r="M524" s="40">
        <v>2857.97</v>
      </c>
    </row>
    <row r="525" ht="15.75" customHeight="1">
      <c r="A525" s="33" t="s">
        <v>713</v>
      </c>
      <c r="B525" s="39">
        <v>46158.0</v>
      </c>
      <c r="C525" s="33" t="s">
        <v>184</v>
      </c>
      <c r="D525" s="33" t="s">
        <v>185</v>
      </c>
      <c r="E525" s="33" t="s">
        <v>180</v>
      </c>
      <c r="F525" s="33" t="s">
        <v>181</v>
      </c>
      <c r="G525" s="33" t="s">
        <v>181</v>
      </c>
      <c r="H525" s="33" t="s">
        <v>189</v>
      </c>
      <c r="I525" s="39">
        <v>46264.0</v>
      </c>
      <c r="J525" s="39">
        <v>46012.0</v>
      </c>
      <c r="K525" s="39">
        <v>46012.0</v>
      </c>
      <c r="L525" s="40">
        <v>7472.65</v>
      </c>
      <c r="M525" s="40">
        <v>1011.41</v>
      </c>
    </row>
    <row r="526" ht="15.75" customHeight="1">
      <c r="A526" s="33" t="s">
        <v>1137</v>
      </c>
      <c r="B526" s="39">
        <v>45851.0</v>
      </c>
      <c r="C526" s="33" t="s">
        <v>178</v>
      </c>
      <c r="D526" s="33" t="s">
        <v>228</v>
      </c>
      <c r="E526" s="33" t="s">
        <v>180</v>
      </c>
      <c r="F526" s="33" t="s">
        <v>181</v>
      </c>
      <c r="G526" s="33" t="s">
        <v>181</v>
      </c>
      <c r="H526" s="33" t="s">
        <v>189</v>
      </c>
      <c r="I526" s="39">
        <v>46239.0</v>
      </c>
      <c r="J526" s="39">
        <v>46255.0</v>
      </c>
      <c r="K526" s="39">
        <v>46226.0</v>
      </c>
      <c r="L526" s="40">
        <v>32098.66</v>
      </c>
      <c r="M526" s="40">
        <v>5619.47</v>
      </c>
    </row>
    <row r="527" ht="15.75" customHeight="1">
      <c r="A527" s="33" t="s">
        <v>797</v>
      </c>
      <c r="B527" s="39">
        <v>45846.0</v>
      </c>
      <c r="C527" s="33" t="s">
        <v>187</v>
      </c>
      <c r="D527" s="33" t="s">
        <v>185</v>
      </c>
      <c r="E527" s="33" t="s">
        <v>180</v>
      </c>
      <c r="F527" s="33" t="s">
        <v>189</v>
      </c>
      <c r="G527" s="33" t="s">
        <v>189</v>
      </c>
      <c r="H527" s="33" t="s">
        <v>181</v>
      </c>
      <c r="I527" s="39">
        <v>46218.0</v>
      </c>
      <c r="J527" s="33"/>
      <c r="K527" s="33"/>
      <c r="L527" s="40">
        <v>4416.49</v>
      </c>
      <c r="M527" s="40">
        <v>0.0</v>
      </c>
    </row>
    <row r="528" ht="15.75" customHeight="1">
      <c r="A528" s="33" t="s">
        <v>1549</v>
      </c>
      <c r="B528" s="39">
        <v>46218.0</v>
      </c>
      <c r="C528" s="33" t="s">
        <v>202</v>
      </c>
      <c r="D528" s="33" t="s">
        <v>228</v>
      </c>
      <c r="E528" s="33" t="s">
        <v>180</v>
      </c>
      <c r="F528" s="33" t="s">
        <v>181</v>
      </c>
      <c r="G528" s="33" t="s">
        <v>181</v>
      </c>
      <c r="H528" s="33" t="s">
        <v>189</v>
      </c>
      <c r="I528" s="39">
        <v>46254.0</v>
      </c>
      <c r="J528" s="39">
        <v>46239.0</v>
      </c>
      <c r="K528" s="39">
        <v>46191.0</v>
      </c>
      <c r="L528" s="40">
        <v>19175.26</v>
      </c>
      <c r="M528" s="40">
        <v>3028.31</v>
      </c>
    </row>
    <row r="529" ht="15.75" customHeight="1">
      <c r="A529" s="33" t="s">
        <v>407</v>
      </c>
      <c r="B529" s="39">
        <v>45745.0</v>
      </c>
      <c r="C529" s="33" t="s">
        <v>178</v>
      </c>
      <c r="D529" s="33" t="s">
        <v>237</v>
      </c>
      <c r="E529" s="33" t="s">
        <v>180</v>
      </c>
      <c r="F529" s="33" t="s">
        <v>181</v>
      </c>
      <c r="G529" s="33" t="s">
        <v>181</v>
      </c>
      <c r="H529" s="33" t="s">
        <v>189</v>
      </c>
      <c r="I529" s="39">
        <v>46254.0</v>
      </c>
      <c r="J529" s="39">
        <v>46199.0</v>
      </c>
      <c r="K529" s="39">
        <v>46199.0</v>
      </c>
      <c r="L529" s="40">
        <v>0.0</v>
      </c>
      <c r="M529" s="40">
        <v>2709.53</v>
      </c>
    </row>
    <row r="530" ht="15.75" customHeight="1">
      <c r="A530" s="33" t="s">
        <v>1102</v>
      </c>
      <c r="B530" s="39">
        <v>46213.0</v>
      </c>
      <c r="C530" s="33" t="s">
        <v>202</v>
      </c>
      <c r="D530" s="33" t="s">
        <v>200</v>
      </c>
      <c r="E530" s="33" t="s">
        <v>180</v>
      </c>
      <c r="F530" s="33" t="s">
        <v>181</v>
      </c>
      <c r="G530" s="33" t="s">
        <v>181</v>
      </c>
      <c r="H530" s="33" t="s">
        <v>189</v>
      </c>
      <c r="I530" s="39">
        <v>46261.0</v>
      </c>
      <c r="J530" s="39">
        <v>46226.0</v>
      </c>
      <c r="K530" s="39">
        <v>45980.0</v>
      </c>
      <c r="L530" s="40">
        <v>6316.24</v>
      </c>
      <c r="M530" s="40">
        <v>4752.42</v>
      </c>
    </row>
    <row r="531" ht="15.75" customHeight="1">
      <c r="A531" s="33" t="s">
        <v>3055</v>
      </c>
      <c r="B531" s="39">
        <v>46217.0</v>
      </c>
      <c r="C531" s="33" t="s">
        <v>178</v>
      </c>
      <c r="D531" s="33" t="s">
        <v>185</v>
      </c>
      <c r="E531" s="33" t="s">
        <v>180</v>
      </c>
      <c r="F531" s="33" t="s">
        <v>181</v>
      </c>
      <c r="G531" s="33" t="s">
        <v>181</v>
      </c>
      <c r="H531" s="33" t="s">
        <v>189</v>
      </c>
      <c r="I531" s="39">
        <v>46247.0</v>
      </c>
      <c r="J531" s="39">
        <v>46163.0</v>
      </c>
      <c r="K531" s="39">
        <v>46156.0</v>
      </c>
      <c r="L531" s="40">
        <v>0.0</v>
      </c>
      <c r="M531" s="40">
        <v>3082.94</v>
      </c>
    </row>
    <row r="532" ht="15.75" customHeight="1">
      <c r="A532" s="33" t="s">
        <v>308</v>
      </c>
      <c r="B532" s="39">
        <v>46021.0</v>
      </c>
      <c r="C532" s="33" t="s">
        <v>184</v>
      </c>
      <c r="D532" s="33" t="s">
        <v>185</v>
      </c>
      <c r="E532" s="33" t="s">
        <v>180</v>
      </c>
      <c r="F532" s="33" t="s">
        <v>181</v>
      </c>
      <c r="G532" s="33" t="s">
        <v>181</v>
      </c>
      <c r="H532" s="33" t="s">
        <v>189</v>
      </c>
      <c r="I532" s="39">
        <v>46176.0</v>
      </c>
      <c r="J532" s="39">
        <v>46219.0</v>
      </c>
      <c r="K532" s="39">
        <v>46203.0</v>
      </c>
      <c r="L532" s="40">
        <v>11915.94</v>
      </c>
      <c r="M532" s="40">
        <v>1574.35</v>
      </c>
    </row>
    <row r="533" ht="15.75" customHeight="1">
      <c r="A533" s="33" t="s">
        <v>526</v>
      </c>
      <c r="B533" s="39">
        <v>45758.0</v>
      </c>
      <c r="C533" s="33" t="s">
        <v>184</v>
      </c>
      <c r="D533" s="33" t="s">
        <v>188</v>
      </c>
      <c r="E533" s="33" t="s">
        <v>222</v>
      </c>
      <c r="F533" s="33" t="s">
        <v>181</v>
      </c>
      <c r="G533" s="33" t="s">
        <v>181</v>
      </c>
      <c r="H533" s="33" t="s">
        <v>189</v>
      </c>
      <c r="I533" s="39">
        <v>46131.0</v>
      </c>
      <c r="J533" s="39">
        <v>46255.0</v>
      </c>
      <c r="K533" s="39">
        <v>46255.0</v>
      </c>
      <c r="L533" s="40">
        <v>17625.19</v>
      </c>
      <c r="M533" s="40">
        <v>4377.33</v>
      </c>
    </row>
    <row r="534" ht="15.75" customHeight="1">
      <c r="A534" s="33" t="s">
        <v>2715</v>
      </c>
      <c r="B534" s="39">
        <v>45752.0</v>
      </c>
      <c r="C534" s="33" t="s">
        <v>187</v>
      </c>
      <c r="D534" s="33" t="s">
        <v>200</v>
      </c>
      <c r="E534" s="33" t="s">
        <v>180</v>
      </c>
      <c r="F534" s="33" t="s">
        <v>181</v>
      </c>
      <c r="G534" s="33" t="s">
        <v>181</v>
      </c>
      <c r="H534" s="33" t="s">
        <v>189</v>
      </c>
      <c r="I534" s="39">
        <v>46180.0</v>
      </c>
      <c r="J534" s="39">
        <v>46202.0</v>
      </c>
      <c r="K534" s="39">
        <v>46112.0</v>
      </c>
      <c r="L534" s="40">
        <v>0.0</v>
      </c>
      <c r="M534" s="40">
        <v>843.76</v>
      </c>
    </row>
    <row r="535" ht="15.75" customHeight="1">
      <c r="A535" s="33" t="s">
        <v>1389</v>
      </c>
      <c r="B535" s="39">
        <v>45830.0</v>
      </c>
      <c r="C535" s="33" t="s">
        <v>202</v>
      </c>
      <c r="D535" s="33" t="s">
        <v>194</v>
      </c>
      <c r="E535" s="33" t="s">
        <v>180</v>
      </c>
      <c r="F535" s="33" t="s">
        <v>181</v>
      </c>
      <c r="G535" s="33" t="s">
        <v>181</v>
      </c>
      <c r="H535" s="33" t="s">
        <v>189</v>
      </c>
      <c r="I535" s="39">
        <v>46242.0</v>
      </c>
      <c r="J535" s="39">
        <v>46169.0</v>
      </c>
      <c r="K535" s="39">
        <v>46169.0</v>
      </c>
      <c r="L535" s="40">
        <v>43051.59</v>
      </c>
      <c r="M535" s="40">
        <v>975.39</v>
      </c>
    </row>
    <row r="536" ht="15.75" customHeight="1">
      <c r="A536" s="33" t="s">
        <v>1374</v>
      </c>
      <c r="B536" s="39">
        <v>46008.0</v>
      </c>
      <c r="C536" s="33" t="s">
        <v>178</v>
      </c>
      <c r="D536" s="33" t="s">
        <v>228</v>
      </c>
      <c r="E536" s="33" t="s">
        <v>180</v>
      </c>
      <c r="F536" s="33" t="s">
        <v>181</v>
      </c>
      <c r="G536" s="33" t="s">
        <v>181</v>
      </c>
      <c r="H536" s="33" t="s">
        <v>189</v>
      </c>
      <c r="I536" s="39">
        <v>46212.0</v>
      </c>
      <c r="J536" s="39">
        <v>46235.0</v>
      </c>
      <c r="K536" s="39">
        <v>46235.0</v>
      </c>
      <c r="L536" s="40">
        <v>0.0</v>
      </c>
      <c r="M536" s="40">
        <v>1162.27</v>
      </c>
    </row>
    <row r="537" ht="15.75" customHeight="1">
      <c r="A537" s="33" t="s">
        <v>608</v>
      </c>
      <c r="B537" s="39">
        <v>45751.0</v>
      </c>
      <c r="C537" s="33" t="s">
        <v>184</v>
      </c>
      <c r="D537" s="33" t="s">
        <v>228</v>
      </c>
      <c r="E537" s="33" t="s">
        <v>180</v>
      </c>
      <c r="F537" s="33" t="s">
        <v>181</v>
      </c>
      <c r="G537" s="33" t="s">
        <v>181</v>
      </c>
      <c r="H537" s="33" t="s">
        <v>181</v>
      </c>
      <c r="I537" s="39">
        <v>46185.0</v>
      </c>
      <c r="J537" s="39">
        <v>46191.0</v>
      </c>
      <c r="K537" s="39">
        <v>46191.0</v>
      </c>
      <c r="L537" s="40">
        <v>0.0</v>
      </c>
      <c r="M537" s="40">
        <v>1904.87</v>
      </c>
    </row>
    <row r="538" ht="15.75" customHeight="1">
      <c r="A538" s="33" t="s">
        <v>2764</v>
      </c>
      <c r="B538" s="39">
        <v>45934.0</v>
      </c>
      <c r="C538" s="33" t="s">
        <v>178</v>
      </c>
      <c r="D538" s="33" t="s">
        <v>196</v>
      </c>
      <c r="E538" s="33" t="s">
        <v>222</v>
      </c>
      <c r="F538" s="33" t="s">
        <v>189</v>
      </c>
      <c r="G538" s="33" t="s">
        <v>189</v>
      </c>
      <c r="H538" s="33" t="s">
        <v>189</v>
      </c>
      <c r="I538" s="39">
        <v>46182.0</v>
      </c>
      <c r="J538" s="33"/>
      <c r="K538" s="33"/>
      <c r="L538" s="40">
        <v>0.0</v>
      </c>
      <c r="M538" s="40">
        <v>0.0</v>
      </c>
    </row>
    <row r="539" ht="15.75" customHeight="1">
      <c r="A539" s="33" t="s">
        <v>1876</v>
      </c>
      <c r="B539" s="39">
        <v>45728.0</v>
      </c>
      <c r="C539" s="33" t="s">
        <v>178</v>
      </c>
      <c r="D539" s="33" t="s">
        <v>179</v>
      </c>
      <c r="E539" s="33" t="s">
        <v>180</v>
      </c>
      <c r="F539" s="33" t="s">
        <v>181</v>
      </c>
      <c r="G539" s="33" t="s">
        <v>181</v>
      </c>
      <c r="H539" s="33" t="s">
        <v>189</v>
      </c>
      <c r="I539" s="39">
        <v>46206.0</v>
      </c>
      <c r="J539" s="39">
        <v>46248.0</v>
      </c>
      <c r="K539" s="39">
        <v>46112.0</v>
      </c>
      <c r="L539" s="40">
        <v>28686.34</v>
      </c>
      <c r="M539" s="40">
        <v>2104.98</v>
      </c>
    </row>
    <row r="540" ht="15.75" customHeight="1">
      <c r="A540" s="33" t="s">
        <v>2879</v>
      </c>
      <c r="B540" s="39">
        <v>45985.0</v>
      </c>
      <c r="C540" s="33" t="s">
        <v>178</v>
      </c>
      <c r="D540" s="33" t="s">
        <v>179</v>
      </c>
      <c r="E540" s="33" t="s">
        <v>222</v>
      </c>
      <c r="F540" s="33" t="s">
        <v>181</v>
      </c>
      <c r="G540" s="33" t="s">
        <v>181</v>
      </c>
      <c r="H540" s="33" t="s">
        <v>189</v>
      </c>
      <c r="I540" s="39">
        <v>46131.0</v>
      </c>
      <c r="J540" s="39">
        <v>46240.0</v>
      </c>
      <c r="K540" s="33"/>
      <c r="L540" s="40">
        <v>0.0</v>
      </c>
      <c r="M540" s="40">
        <v>1498.55</v>
      </c>
    </row>
    <row r="541" ht="15.75" customHeight="1">
      <c r="A541" s="33" t="s">
        <v>1467</v>
      </c>
      <c r="B541" s="39">
        <v>45670.0</v>
      </c>
      <c r="C541" s="33" t="s">
        <v>184</v>
      </c>
      <c r="D541" s="33" t="s">
        <v>194</v>
      </c>
      <c r="E541" s="33" t="s">
        <v>180</v>
      </c>
      <c r="F541" s="33" t="s">
        <v>181</v>
      </c>
      <c r="G541" s="33" t="s">
        <v>181</v>
      </c>
      <c r="H541" s="33" t="s">
        <v>189</v>
      </c>
      <c r="I541" s="39">
        <v>46191.0</v>
      </c>
      <c r="J541" s="39">
        <v>46230.0</v>
      </c>
      <c r="K541" s="39">
        <v>45920.0</v>
      </c>
      <c r="L541" s="40">
        <v>4421.17</v>
      </c>
      <c r="M541" s="40">
        <v>1555.07</v>
      </c>
    </row>
    <row r="542" ht="15.75" customHeight="1">
      <c r="A542" s="33" t="s">
        <v>3273</v>
      </c>
      <c r="B542" s="39">
        <v>46088.0</v>
      </c>
      <c r="C542" s="33" t="s">
        <v>187</v>
      </c>
      <c r="D542" s="33" t="s">
        <v>188</v>
      </c>
      <c r="E542" s="33" t="s">
        <v>180</v>
      </c>
      <c r="F542" s="33" t="s">
        <v>181</v>
      </c>
      <c r="G542" s="33" t="s">
        <v>189</v>
      </c>
      <c r="H542" s="33" t="s">
        <v>189</v>
      </c>
      <c r="I542" s="39">
        <v>46178.0</v>
      </c>
      <c r="J542" s="33"/>
      <c r="K542" s="33"/>
      <c r="L542" s="40">
        <v>0.0</v>
      </c>
      <c r="M542" s="40">
        <v>2177.27</v>
      </c>
    </row>
    <row r="543" ht="15.75" customHeight="1">
      <c r="A543" s="33" t="s">
        <v>1409</v>
      </c>
      <c r="B543" s="39">
        <v>45691.0</v>
      </c>
      <c r="C543" s="33" t="s">
        <v>184</v>
      </c>
      <c r="D543" s="33" t="s">
        <v>188</v>
      </c>
      <c r="E543" s="33" t="s">
        <v>180</v>
      </c>
      <c r="F543" s="33" t="s">
        <v>181</v>
      </c>
      <c r="G543" s="33" t="s">
        <v>181</v>
      </c>
      <c r="H543" s="33" t="s">
        <v>189</v>
      </c>
      <c r="I543" s="39">
        <v>46210.0</v>
      </c>
      <c r="J543" s="39">
        <v>46227.0</v>
      </c>
      <c r="K543" s="39">
        <v>46227.0</v>
      </c>
      <c r="L543" s="40">
        <v>21438.2</v>
      </c>
      <c r="M543" s="40">
        <v>845.22</v>
      </c>
    </row>
    <row r="544" ht="15.75" customHeight="1">
      <c r="A544" s="33" t="s">
        <v>3282</v>
      </c>
      <c r="B544" s="39">
        <v>45776.0</v>
      </c>
      <c r="C544" s="33" t="s">
        <v>184</v>
      </c>
      <c r="D544" s="33" t="s">
        <v>179</v>
      </c>
      <c r="E544" s="33" t="s">
        <v>180</v>
      </c>
      <c r="F544" s="33" t="s">
        <v>181</v>
      </c>
      <c r="G544" s="33" t="s">
        <v>189</v>
      </c>
      <c r="H544" s="33" t="s">
        <v>181</v>
      </c>
      <c r="I544" s="39">
        <v>46213.0</v>
      </c>
      <c r="J544" s="33"/>
      <c r="K544" s="33"/>
      <c r="L544" s="40">
        <v>0.0</v>
      </c>
      <c r="M544" s="40">
        <v>2556.58</v>
      </c>
    </row>
    <row r="545" ht="15.75" customHeight="1">
      <c r="A545" s="33" t="s">
        <v>2188</v>
      </c>
      <c r="B545" s="39">
        <v>45764.0</v>
      </c>
      <c r="C545" s="33" t="s">
        <v>178</v>
      </c>
      <c r="D545" s="33" t="s">
        <v>228</v>
      </c>
      <c r="E545" s="33" t="s">
        <v>180</v>
      </c>
      <c r="F545" s="33" t="s">
        <v>181</v>
      </c>
      <c r="G545" s="33" t="s">
        <v>181</v>
      </c>
      <c r="H545" s="33" t="s">
        <v>189</v>
      </c>
      <c r="I545" s="39">
        <v>46187.0</v>
      </c>
      <c r="J545" s="39">
        <v>46259.0</v>
      </c>
      <c r="K545" s="39">
        <v>46259.0</v>
      </c>
      <c r="L545" s="40">
        <v>0.0</v>
      </c>
      <c r="M545" s="40">
        <v>178.41</v>
      </c>
    </row>
    <row r="546" ht="15.75" customHeight="1">
      <c r="A546" s="33" t="s">
        <v>1620</v>
      </c>
      <c r="B546" s="39">
        <v>46162.0</v>
      </c>
      <c r="C546" s="33" t="s">
        <v>184</v>
      </c>
      <c r="D546" s="33" t="s">
        <v>200</v>
      </c>
      <c r="E546" s="33" t="s">
        <v>180</v>
      </c>
      <c r="F546" s="33" t="s">
        <v>181</v>
      </c>
      <c r="G546" s="33" t="s">
        <v>181</v>
      </c>
      <c r="H546" s="33" t="s">
        <v>189</v>
      </c>
      <c r="I546" s="39">
        <v>46204.0</v>
      </c>
      <c r="J546" s="39">
        <v>46264.0</v>
      </c>
      <c r="K546" s="39">
        <v>46264.0</v>
      </c>
      <c r="L546" s="40">
        <v>0.0</v>
      </c>
      <c r="M546" s="40">
        <v>1730.44</v>
      </c>
    </row>
    <row r="547" ht="15.75" customHeight="1">
      <c r="A547" s="33" t="s">
        <v>293</v>
      </c>
      <c r="B547" s="39">
        <v>45690.0</v>
      </c>
      <c r="C547" s="33" t="s">
        <v>178</v>
      </c>
      <c r="D547" s="33" t="s">
        <v>185</v>
      </c>
      <c r="E547" s="33" t="s">
        <v>330</v>
      </c>
      <c r="F547" s="33" t="s">
        <v>181</v>
      </c>
      <c r="G547" s="33" t="s">
        <v>181</v>
      </c>
      <c r="H547" s="33" t="s">
        <v>181</v>
      </c>
      <c r="I547" s="39">
        <v>45762.0</v>
      </c>
      <c r="J547" s="39">
        <v>46221.0</v>
      </c>
      <c r="K547" s="39">
        <v>46215.0</v>
      </c>
      <c r="L547" s="40">
        <v>0.0</v>
      </c>
      <c r="M547" s="40">
        <v>0.0</v>
      </c>
    </row>
    <row r="548" ht="15.75" customHeight="1">
      <c r="A548" s="33" t="s">
        <v>1372</v>
      </c>
      <c r="B548" s="39">
        <v>45918.0</v>
      </c>
      <c r="C548" s="33" t="s">
        <v>187</v>
      </c>
      <c r="D548" s="33" t="s">
        <v>185</v>
      </c>
      <c r="E548" s="33" t="s">
        <v>180</v>
      </c>
      <c r="F548" s="33" t="s">
        <v>189</v>
      </c>
      <c r="G548" s="33" t="s">
        <v>181</v>
      </c>
      <c r="H548" s="33" t="s">
        <v>181</v>
      </c>
      <c r="I548" s="39">
        <v>46209.0</v>
      </c>
      <c r="J548" s="39">
        <v>46257.0</v>
      </c>
      <c r="K548" s="39">
        <v>46241.0</v>
      </c>
      <c r="L548" s="40">
        <v>0.0</v>
      </c>
      <c r="M548" s="40">
        <v>0.0</v>
      </c>
    </row>
    <row r="549" ht="15.75" customHeight="1">
      <c r="A549" s="33" t="s">
        <v>393</v>
      </c>
      <c r="B549" s="39">
        <v>46016.0</v>
      </c>
      <c r="C549" s="33" t="s">
        <v>178</v>
      </c>
      <c r="D549" s="33" t="s">
        <v>194</v>
      </c>
      <c r="E549" s="33" t="s">
        <v>222</v>
      </c>
      <c r="F549" s="33" t="s">
        <v>181</v>
      </c>
      <c r="G549" s="33" t="s">
        <v>189</v>
      </c>
      <c r="H549" s="33" t="s">
        <v>189</v>
      </c>
      <c r="I549" s="39">
        <v>46153.0</v>
      </c>
      <c r="J549" s="33"/>
      <c r="K549" s="33"/>
      <c r="L549" s="40">
        <v>20356.37</v>
      </c>
      <c r="M549" s="40">
        <v>5474.42</v>
      </c>
    </row>
    <row r="550" ht="15.75" customHeight="1">
      <c r="A550" s="33" t="s">
        <v>1006</v>
      </c>
      <c r="B550" s="39">
        <v>45971.0</v>
      </c>
      <c r="C550" s="33" t="s">
        <v>184</v>
      </c>
      <c r="D550" s="33" t="s">
        <v>188</v>
      </c>
      <c r="E550" s="33" t="s">
        <v>180</v>
      </c>
      <c r="F550" s="33" t="s">
        <v>181</v>
      </c>
      <c r="G550" s="33" t="s">
        <v>189</v>
      </c>
      <c r="H550" s="33" t="s">
        <v>189</v>
      </c>
      <c r="I550" s="39">
        <v>46245.0</v>
      </c>
      <c r="J550" s="33"/>
      <c r="K550" s="33"/>
      <c r="L550" s="40">
        <v>44266.57</v>
      </c>
      <c r="M550" s="40">
        <v>1414.77</v>
      </c>
    </row>
    <row r="551" ht="15.75" customHeight="1">
      <c r="A551" s="33" t="s">
        <v>2926</v>
      </c>
      <c r="B551" s="39">
        <v>46071.0</v>
      </c>
      <c r="C551" s="33" t="s">
        <v>178</v>
      </c>
      <c r="D551" s="33" t="s">
        <v>237</v>
      </c>
      <c r="E551" s="33" t="s">
        <v>330</v>
      </c>
      <c r="F551" s="33" t="s">
        <v>181</v>
      </c>
      <c r="G551" s="33" t="s">
        <v>181</v>
      </c>
      <c r="H551" s="33" t="s">
        <v>189</v>
      </c>
      <c r="I551" s="39">
        <v>46171.0</v>
      </c>
      <c r="J551" s="39">
        <v>46178.0</v>
      </c>
      <c r="K551" s="39">
        <v>46178.0</v>
      </c>
      <c r="L551" s="40">
        <v>4106.7</v>
      </c>
      <c r="M551" s="40">
        <v>0.0</v>
      </c>
    </row>
    <row r="552" ht="15.75" customHeight="1">
      <c r="A552" s="33" t="s">
        <v>706</v>
      </c>
      <c r="B552" s="39">
        <v>46145.0</v>
      </c>
      <c r="C552" s="33" t="s">
        <v>178</v>
      </c>
      <c r="D552" s="33" t="s">
        <v>196</v>
      </c>
      <c r="E552" s="33" t="s">
        <v>180</v>
      </c>
      <c r="F552" s="33" t="s">
        <v>181</v>
      </c>
      <c r="G552" s="33" t="s">
        <v>189</v>
      </c>
      <c r="H552" s="33" t="s">
        <v>181</v>
      </c>
      <c r="I552" s="39">
        <v>46209.0</v>
      </c>
      <c r="J552" s="33"/>
      <c r="K552" s="33"/>
      <c r="L552" s="40">
        <v>0.0</v>
      </c>
      <c r="M552" s="40">
        <v>1467.27</v>
      </c>
    </row>
    <row r="553" ht="15.75" customHeight="1">
      <c r="A553" s="33" t="s">
        <v>478</v>
      </c>
      <c r="B553" s="39">
        <v>45896.0</v>
      </c>
      <c r="C553" s="33" t="s">
        <v>202</v>
      </c>
      <c r="D553" s="33" t="s">
        <v>200</v>
      </c>
      <c r="E553" s="33" t="s">
        <v>180</v>
      </c>
      <c r="F553" s="33" t="s">
        <v>189</v>
      </c>
      <c r="G553" s="33" t="s">
        <v>181</v>
      </c>
      <c r="H553" s="33" t="s">
        <v>189</v>
      </c>
      <c r="I553" s="39">
        <v>46184.0</v>
      </c>
      <c r="J553" s="39">
        <v>46215.0</v>
      </c>
      <c r="K553" s="39">
        <v>46033.0</v>
      </c>
      <c r="L553" s="40">
        <v>0.0</v>
      </c>
      <c r="M553" s="40">
        <v>0.0</v>
      </c>
    </row>
    <row r="554" ht="15.75" customHeight="1">
      <c r="A554" s="33" t="s">
        <v>1473</v>
      </c>
      <c r="B554" s="39">
        <v>46160.0</v>
      </c>
      <c r="C554" s="33" t="s">
        <v>178</v>
      </c>
      <c r="D554" s="33" t="s">
        <v>188</v>
      </c>
      <c r="E554" s="33" t="s">
        <v>180</v>
      </c>
      <c r="F554" s="33" t="s">
        <v>181</v>
      </c>
      <c r="G554" s="33" t="s">
        <v>181</v>
      </c>
      <c r="H554" s="33" t="s">
        <v>189</v>
      </c>
      <c r="I554" s="39">
        <v>46213.0</v>
      </c>
      <c r="J554" s="39">
        <v>46229.0</v>
      </c>
      <c r="K554" s="39">
        <v>46229.0</v>
      </c>
      <c r="L554" s="40">
        <v>1030.51</v>
      </c>
      <c r="M554" s="40">
        <v>722.86</v>
      </c>
    </row>
    <row r="555" ht="15.75" customHeight="1">
      <c r="A555" s="33" t="s">
        <v>955</v>
      </c>
      <c r="B555" s="39">
        <v>45851.0</v>
      </c>
      <c r="C555" s="33" t="s">
        <v>178</v>
      </c>
      <c r="D555" s="33" t="s">
        <v>196</v>
      </c>
      <c r="E555" s="33" t="s">
        <v>180</v>
      </c>
      <c r="F555" s="33" t="s">
        <v>181</v>
      </c>
      <c r="G555" s="33" t="s">
        <v>181</v>
      </c>
      <c r="H555" s="33" t="s">
        <v>189</v>
      </c>
      <c r="I555" s="39">
        <v>46251.0</v>
      </c>
      <c r="J555" s="39">
        <v>46170.0</v>
      </c>
      <c r="K555" s="39">
        <v>46170.0</v>
      </c>
      <c r="L555" s="40">
        <v>0.0</v>
      </c>
      <c r="M555" s="40">
        <v>698.39</v>
      </c>
    </row>
    <row r="556" ht="15.75" customHeight="1">
      <c r="A556" s="33" t="s">
        <v>3342</v>
      </c>
      <c r="B556" s="39">
        <v>46255.0</v>
      </c>
      <c r="C556" s="33" t="s">
        <v>187</v>
      </c>
      <c r="D556" s="33" t="s">
        <v>188</v>
      </c>
      <c r="E556" s="33" t="s">
        <v>222</v>
      </c>
      <c r="F556" s="33" t="s">
        <v>181</v>
      </c>
      <c r="G556" s="33" t="s">
        <v>181</v>
      </c>
      <c r="H556" s="33" t="s">
        <v>189</v>
      </c>
      <c r="I556" s="39">
        <v>46087.0</v>
      </c>
      <c r="J556" s="39">
        <v>46213.0</v>
      </c>
      <c r="K556" s="39">
        <v>46213.0</v>
      </c>
      <c r="L556" s="40">
        <v>0.0</v>
      </c>
      <c r="M556" s="40">
        <v>595.6</v>
      </c>
    </row>
    <row r="557" ht="15.75" customHeight="1">
      <c r="A557" s="33" t="s">
        <v>3162</v>
      </c>
      <c r="B557" s="39">
        <v>45964.0</v>
      </c>
      <c r="C557" s="33" t="s">
        <v>178</v>
      </c>
      <c r="D557" s="33" t="s">
        <v>188</v>
      </c>
      <c r="E557" s="33" t="s">
        <v>180</v>
      </c>
      <c r="F557" s="33" t="s">
        <v>181</v>
      </c>
      <c r="G557" s="33" t="s">
        <v>189</v>
      </c>
      <c r="H557" s="33" t="s">
        <v>181</v>
      </c>
      <c r="I557" s="39">
        <v>46213.0</v>
      </c>
      <c r="J557" s="33"/>
      <c r="K557" s="33"/>
      <c r="L557" s="40">
        <v>17504.33</v>
      </c>
      <c r="M557" s="40">
        <v>1712.09</v>
      </c>
    </row>
    <row r="558" ht="15.75" customHeight="1">
      <c r="A558" s="33" t="s">
        <v>3352</v>
      </c>
      <c r="B558" s="39">
        <v>46104.0</v>
      </c>
      <c r="C558" s="33" t="s">
        <v>184</v>
      </c>
      <c r="D558" s="33" t="s">
        <v>188</v>
      </c>
      <c r="E558" s="33" t="s">
        <v>180</v>
      </c>
      <c r="F558" s="33" t="s">
        <v>181</v>
      </c>
      <c r="G558" s="33" t="s">
        <v>181</v>
      </c>
      <c r="H558" s="33" t="s">
        <v>189</v>
      </c>
      <c r="I558" s="39">
        <v>46240.0</v>
      </c>
      <c r="J558" s="39">
        <v>46240.0</v>
      </c>
      <c r="K558" s="39">
        <v>46240.0</v>
      </c>
      <c r="L558" s="40">
        <v>0.0</v>
      </c>
      <c r="M558" s="40">
        <v>1373.34</v>
      </c>
    </row>
    <row r="559" ht="15.75" customHeight="1">
      <c r="A559" s="33" t="s">
        <v>2610</v>
      </c>
      <c r="B559" s="39">
        <v>46189.0</v>
      </c>
      <c r="C559" s="33" t="s">
        <v>178</v>
      </c>
      <c r="D559" s="33" t="s">
        <v>188</v>
      </c>
      <c r="E559" s="33" t="s">
        <v>180</v>
      </c>
      <c r="F559" s="33" t="s">
        <v>181</v>
      </c>
      <c r="G559" s="33" t="s">
        <v>181</v>
      </c>
      <c r="H559" s="33" t="s">
        <v>181</v>
      </c>
      <c r="I559" s="39">
        <v>46198.0</v>
      </c>
      <c r="J559" s="39">
        <v>46234.0</v>
      </c>
      <c r="K559" s="39">
        <v>46234.0</v>
      </c>
      <c r="L559" s="40">
        <v>8079.45</v>
      </c>
      <c r="M559" s="40">
        <v>394.85</v>
      </c>
    </row>
    <row r="560" ht="15.75" customHeight="1">
      <c r="A560" s="33" t="s">
        <v>2568</v>
      </c>
      <c r="B560" s="39">
        <v>46139.0</v>
      </c>
      <c r="C560" s="33" t="s">
        <v>187</v>
      </c>
      <c r="D560" s="33" t="s">
        <v>228</v>
      </c>
      <c r="E560" s="33" t="s">
        <v>180</v>
      </c>
      <c r="F560" s="33" t="s">
        <v>189</v>
      </c>
      <c r="G560" s="33" t="s">
        <v>181</v>
      </c>
      <c r="H560" s="33" t="s">
        <v>189</v>
      </c>
      <c r="I560" s="39">
        <v>46231.0</v>
      </c>
      <c r="J560" s="39">
        <v>46162.0</v>
      </c>
      <c r="K560" s="39">
        <v>46056.0</v>
      </c>
      <c r="L560" s="40">
        <v>0.0</v>
      </c>
      <c r="M560" s="40">
        <v>0.0</v>
      </c>
    </row>
    <row r="561" ht="15.75" customHeight="1">
      <c r="A561" s="33" t="s">
        <v>905</v>
      </c>
      <c r="B561" s="39">
        <v>46174.0</v>
      </c>
      <c r="C561" s="33" t="s">
        <v>202</v>
      </c>
      <c r="D561" s="33" t="s">
        <v>237</v>
      </c>
      <c r="E561" s="33" t="s">
        <v>180</v>
      </c>
      <c r="F561" s="33" t="s">
        <v>181</v>
      </c>
      <c r="G561" s="33" t="s">
        <v>181</v>
      </c>
      <c r="H561" s="33" t="s">
        <v>181</v>
      </c>
      <c r="I561" s="39">
        <v>46232.0</v>
      </c>
      <c r="J561" s="39">
        <v>46208.0</v>
      </c>
      <c r="K561" s="39">
        <v>46043.0</v>
      </c>
      <c r="L561" s="40">
        <v>3156.08</v>
      </c>
      <c r="M561" s="40">
        <v>5019.48</v>
      </c>
    </row>
    <row r="562" ht="15.75" customHeight="1">
      <c r="A562" s="33" t="s">
        <v>1141</v>
      </c>
      <c r="B562" s="39">
        <v>45983.0</v>
      </c>
      <c r="C562" s="33" t="s">
        <v>187</v>
      </c>
      <c r="D562" s="33" t="s">
        <v>237</v>
      </c>
      <c r="E562" s="33" t="s">
        <v>180</v>
      </c>
      <c r="F562" s="33" t="s">
        <v>181</v>
      </c>
      <c r="G562" s="33" t="s">
        <v>181</v>
      </c>
      <c r="H562" s="33" t="s">
        <v>189</v>
      </c>
      <c r="I562" s="39">
        <v>46190.0</v>
      </c>
      <c r="J562" s="39">
        <v>46158.0</v>
      </c>
      <c r="K562" s="39">
        <v>46117.0</v>
      </c>
      <c r="L562" s="40">
        <v>0.0</v>
      </c>
      <c r="M562" s="40">
        <v>2710.34</v>
      </c>
    </row>
    <row r="563" ht="15.75" customHeight="1">
      <c r="A563" s="33" t="s">
        <v>615</v>
      </c>
      <c r="B563" s="39">
        <v>45684.0</v>
      </c>
      <c r="C563" s="33" t="s">
        <v>202</v>
      </c>
      <c r="D563" s="33" t="s">
        <v>237</v>
      </c>
      <c r="E563" s="33" t="s">
        <v>180</v>
      </c>
      <c r="F563" s="33" t="s">
        <v>181</v>
      </c>
      <c r="G563" s="33" t="s">
        <v>181</v>
      </c>
      <c r="H563" s="33" t="s">
        <v>181</v>
      </c>
      <c r="I563" s="39">
        <v>46187.0</v>
      </c>
      <c r="J563" s="39">
        <v>46150.0</v>
      </c>
      <c r="K563" s="39">
        <v>46076.0</v>
      </c>
      <c r="L563" s="40">
        <v>0.0</v>
      </c>
      <c r="M563" s="40">
        <v>1938.27</v>
      </c>
    </row>
    <row r="564" ht="15.75" customHeight="1">
      <c r="A564" s="33" t="s">
        <v>1806</v>
      </c>
      <c r="B564" s="39">
        <v>45957.0</v>
      </c>
      <c r="C564" s="33" t="s">
        <v>202</v>
      </c>
      <c r="D564" s="33" t="s">
        <v>200</v>
      </c>
      <c r="E564" s="33" t="s">
        <v>180</v>
      </c>
      <c r="F564" s="33" t="s">
        <v>181</v>
      </c>
      <c r="G564" s="33" t="s">
        <v>181</v>
      </c>
      <c r="H564" s="33" t="s">
        <v>189</v>
      </c>
      <c r="I564" s="39">
        <v>46218.0</v>
      </c>
      <c r="J564" s="39">
        <v>46238.0</v>
      </c>
      <c r="K564" s="39">
        <v>46238.0</v>
      </c>
      <c r="L564" s="40">
        <v>25863.34</v>
      </c>
      <c r="M564" s="40">
        <v>258.73</v>
      </c>
    </row>
    <row r="565" ht="15.75" customHeight="1">
      <c r="A565" s="33" t="s">
        <v>1080</v>
      </c>
      <c r="B565" s="39">
        <v>45768.0</v>
      </c>
      <c r="C565" s="33" t="s">
        <v>184</v>
      </c>
      <c r="D565" s="33" t="s">
        <v>185</v>
      </c>
      <c r="E565" s="33" t="s">
        <v>180</v>
      </c>
      <c r="F565" s="33" t="s">
        <v>189</v>
      </c>
      <c r="G565" s="33" t="s">
        <v>181</v>
      </c>
      <c r="H565" s="33" t="s">
        <v>189</v>
      </c>
      <c r="I565" s="39">
        <v>46232.0</v>
      </c>
      <c r="J565" s="39">
        <v>46257.0</v>
      </c>
      <c r="K565" s="39">
        <v>46257.0</v>
      </c>
      <c r="L565" s="40">
        <v>0.0</v>
      </c>
      <c r="M565" s="40">
        <v>0.0</v>
      </c>
    </row>
    <row r="566" ht="15.75" customHeight="1">
      <c r="A566" s="33" t="s">
        <v>3295</v>
      </c>
      <c r="B566" s="39">
        <v>46197.0</v>
      </c>
      <c r="C566" s="33" t="s">
        <v>178</v>
      </c>
      <c r="D566" s="33" t="s">
        <v>228</v>
      </c>
      <c r="E566" s="33" t="s">
        <v>222</v>
      </c>
      <c r="F566" s="33" t="s">
        <v>181</v>
      </c>
      <c r="G566" s="33" t="s">
        <v>181</v>
      </c>
      <c r="H566" s="33" t="s">
        <v>189</v>
      </c>
      <c r="I566" s="39">
        <v>46106.0</v>
      </c>
      <c r="J566" s="39">
        <v>46257.0</v>
      </c>
      <c r="K566" s="39">
        <v>46257.0</v>
      </c>
      <c r="L566" s="40">
        <v>0.0</v>
      </c>
      <c r="M566" s="40">
        <v>2283.96</v>
      </c>
    </row>
    <row r="567" ht="15.75" customHeight="1">
      <c r="A567" s="33" t="s">
        <v>1059</v>
      </c>
      <c r="B567" s="39">
        <v>45801.0</v>
      </c>
      <c r="C567" s="33" t="s">
        <v>178</v>
      </c>
      <c r="D567" s="33" t="s">
        <v>200</v>
      </c>
      <c r="E567" s="33" t="s">
        <v>180</v>
      </c>
      <c r="F567" s="33" t="s">
        <v>181</v>
      </c>
      <c r="G567" s="33" t="s">
        <v>181</v>
      </c>
      <c r="H567" s="33" t="s">
        <v>181</v>
      </c>
      <c r="I567" s="39">
        <v>46250.0</v>
      </c>
      <c r="J567" s="39">
        <v>46224.0</v>
      </c>
      <c r="K567" s="39">
        <v>46165.0</v>
      </c>
      <c r="L567" s="40">
        <v>0.0</v>
      </c>
      <c r="M567" s="40">
        <v>1862.08</v>
      </c>
    </row>
    <row r="568" ht="15.75" customHeight="1">
      <c r="A568" s="33" t="s">
        <v>548</v>
      </c>
      <c r="B568" s="39">
        <v>45796.0</v>
      </c>
      <c r="C568" s="33" t="s">
        <v>187</v>
      </c>
      <c r="D568" s="33" t="s">
        <v>200</v>
      </c>
      <c r="E568" s="33" t="s">
        <v>180</v>
      </c>
      <c r="F568" s="33" t="s">
        <v>181</v>
      </c>
      <c r="G568" s="33" t="s">
        <v>181</v>
      </c>
      <c r="H568" s="33" t="s">
        <v>181</v>
      </c>
      <c r="I568" s="39">
        <v>46198.0</v>
      </c>
      <c r="J568" s="39">
        <v>46175.0</v>
      </c>
      <c r="K568" s="39">
        <v>46097.0</v>
      </c>
      <c r="L568" s="40">
        <v>0.0</v>
      </c>
      <c r="M568" s="40">
        <v>3084.64</v>
      </c>
    </row>
    <row r="569" ht="15.75" customHeight="1">
      <c r="A569" s="33" t="s">
        <v>3400</v>
      </c>
      <c r="B569" s="39">
        <v>45809.0</v>
      </c>
      <c r="C569" s="33" t="s">
        <v>184</v>
      </c>
      <c r="D569" s="33" t="s">
        <v>200</v>
      </c>
      <c r="E569" s="33" t="s">
        <v>180</v>
      </c>
      <c r="F569" s="33" t="s">
        <v>181</v>
      </c>
      <c r="G569" s="33" t="s">
        <v>189</v>
      </c>
      <c r="H569" s="33" t="s">
        <v>189</v>
      </c>
      <c r="I569" s="39">
        <v>46213.0</v>
      </c>
      <c r="J569" s="33"/>
      <c r="K569" s="33"/>
      <c r="L569" s="40">
        <v>0.0</v>
      </c>
      <c r="M569" s="40">
        <v>991.49</v>
      </c>
    </row>
    <row r="570" ht="15.75" customHeight="1">
      <c r="A570" s="33" t="s">
        <v>1396</v>
      </c>
      <c r="B570" s="39">
        <v>46048.0</v>
      </c>
      <c r="C570" s="33" t="s">
        <v>178</v>
      </c>
      <c r="D570" s="33" t="s">
        <v>188</v>
      </c>
      <c r="E570" s="33" t="s">
        <v>180</v>
      </c>
      <c r="F570" s="33" t="s">
        <v>181</v>
      </c>
      <c r="G570" s="33" t="s">
        <v>189</v>
      </c>
      <c r="H570" s="33" t="s">
        <v>189</v>
      </c>
      <c r="I570" s="39">
        <v>46189.0</v>
      </c>
      <c r="J570" s="33"/>
      <c r="K570" s="33"/>
      <c r="L570" s="40">
        <v>41471.85</v>
      </c>
      <c r="M570" s="40">
        <v>1211.66</v>
      </c>
    </row>
    <row r="571" ht="15.75" customHeight="1">
      <c r="A571" s="33" t="s">
        <v>3407</v>
      </c>
      <c r="B571" s="39">
        <v>46004.0</v>
      </c>
      <c r="C571" s="33" t="s">
        <v>178</v>
      </c>
      <c r="D571" s="33" t="s">
        <v>179</v>
      </c>
      <c r="E571" s="33" t="s">
        <v>180</v>
      </c>
      <c r="F571" s="33" t="s">
        <v>181</v>
      </c>
      <c r="G571" s="33" t="s">
        <v>181</v>
      </c>
      <c r="H571" s="33" t="s">
        <v>189</v>
      </c>
      <c r="I571" s="39">
        <v>46228.0</v>
      </c>
      <c r="J571" s="39">
        <v>46038.0</v>
      </c>
      <c r="K571" s="39">
        <v>46038.0</v>
      </c>
      <c r="L571" s="40">
        <v>0.0</v>
      </c>
      <c r="M571" s="40">
        <v>2067.1</v>
      </c>
    </row>
    <row r="572" ht="15.75" customHeight="1">
      <c r="A572" s="33" t="s">
        <v>3412</v>
      </c>
      <c r="B572" s="39">
        <v>46233.0</v>
      </c>
      <c r="C572" s="33" t="s">
        <v>184</v>
      </c>
      <c r="D572" s="33" t="s">
        <v>188</v>
      </c>
      <c r="E572" s="33" t="s">
        <v>180</v>
      </c>
      <c r="F572" s="33" t="s">
        <v>181</v>
      </c>
      <c r="G572" s="33" t="s">
        <v>189</v>
      </c>
      <c r="H572" s="33" t="s">
        <v>189</v>
      </c>
      <c r="I572" s="39">
        <v>46191.0</v>
      </c>
      <c r="J572" s="33"/>
      <c r="K572" s="33"/>
      <c r="L572" s="40">
        <v>0.0</v>
      </c>
      <c r="M572" s="40">
        <v>1175.12</v>
      </c>
    </row>
    <row r="573" ht="15.75" customHeight="1">
      <c r="A573" s="33" t="s">
        <v>2469</v>
      </c>
      <c r="B573" s="39">
        <v>45910.0</v>
      </c>
      <c r="C573" s="33" t="s">
        <v>187</v>
      </c>
      <c r="D573" s="33" t="s">
        <v>237</v>
      </c>
      <c r="E573" s="33" t="s">
        <v>180</v>
      </c>
      <c r="F573" s="33" t="s">
        <v>181</v>
      </c>
      <c r="G573" s="33" t="s">
        <v>181</v>
      </c>
      <c r="H573" s="33" t="s">
        <v>189</v>
      </c>
      <c r="I573" s="39">
        <v>46264.0</v>
      </c>
      <c r="J573" s="39">
        <v>46239.0</v>
      </c>
      <c r="K573" s="39">
        <v>46084.0</v>
      </c>
      <c r="L573" s="40">
        <v>0.0</v>
      </c>
      <c r="M573" s="40">
        <v>2262.5</v>
      </c>
    </row>
    <row r="574" ht="15.75" customHeight="1">
      <c r="A574" s="33" t="s">
        <v>2562</v>
      </c>
      <c r="B574" s="39">
        <v>45829.0</v>
      </c>
      <c r="C574" s="33" t="s">
        <v>184</v>
      </c>
      <c r="D574" s="33" t="s">
        <v>200</v>
      </c>
      <c r="E574" s="33" t="s">
        <v>180</v>
      </c>
      <c r="F574" s="33" t="s">
        <v>181</v>
      </c>
      <c r="G574" s="33" t="s">
        <v>181</v>
      </c>
      <c r="H574" s="33" t="s">
        <v>189</v>
      </c>
      <c r="I574" s="39">
        <v>46197.0</v>
      </c>
      <c r="J574" s="39">
        <v>46093.0</v>
      </c>
      <c r="K574" s="39">
        <v>45985.0</v>
      </c>
      <c r="L574" s="40">
        <v>0.0</v>
      </c>
      <c r="M574" s="40">
        <v>705.43</v>
      </c>
    </row>
    <row r="575" ht="15.75" customHeight="1">
      <c r="A575" s="33" t="s">
        <v>3426</v>
      </c>
      <c r="B575" s="39">
        <v>45687.0</v>
      </c>
      <c r="C575" s="33" t="s">
        <v>202</v>
      </c>
      <c r="D575" s="33" t="s">
        <v>237</v>
      </c>
      <c r="E575" s="33" t="s">
        <v>180</v>
      </c>
      <c r="F575" s="33" t="s">
        <v>181</v>
      </c>
      <c r="G575" s="33" t="s">
        <v>189</v>
      </c>
      <c r="H575" s="33" t="s">
        <v>181</v>
      </c>
      <c r="I575" s="39">
        <v>46259.0</v>
      </c>
      <c r="J575" s="33"/>
      <c r="K575" s="33"/>
      <c r="L575" s="40">
        <v>0.0</v>
      </c>
      <c r="M575" s="40">
        <v>1616.44</v>
      </c>
    </row>
    <row r="576" ht="15.75" customHeight="1">
      <c r="A576" s="33" t="s">
        <v>3431</v>
      </c>
      <c r="B576" s="39">
        <v>45662.0</v>
      </c>
      <c r="C576" s="33" t="s">
        <v>187</v>
      </c>
      <c r="D576" s="33" t="s">
        <v>188</v>
      </c>
      <c r="E576" s="33" t="s">
        <v>330</v>
      </c>
      <c r="F576" s="33" t="s">
        <v>181</v>
      </c>
      <c r="G576" s="33" t="s">
        <v>189</v>
      </c>
      <c r="H576" s="33" t="s">
        <v>189</v>
      </c>
      <c r="I576" s="39">
        <v>45790.0</v>
      </c>
      <c r="J576" s="33"/>
      <c r="K576" s="33"/>
      <c r="L576" s="40">
        <v>0.0</v>
      </c>
      <c r="M576" s="40">
        <v>0.0</v>
      </c>
    </row>
    <row r="577" ht="15.75" customHeight="1">
      <c r="A577" s="33" t="s">
        <v>1585</v>
      </c>
      <c r="B577" s="39">
        <v>45884.0</v>
      </c>
      <c r="C577" s="33" t="s">
        <v>178</v>
      </c>
      <c r="D577" s="33" t="s">
        <v>179</v>
      </c>
      <c r="E577" s="33" t="s">
        <v>180</v>
      </c>
      <c r="F577" s="33" t="s">
        <v>181</v>
      </c>
      <c r="G577" s="33" t="s">
        <v>189</v>
      </c>
      <c r="H577" s="33" t="s">
        <v>189</v>
      </c>
      <c r="I577" s="39">
        <v>46248.0</v>
      </c>
      <c r="J577" s="33"/>
      <c r="K577" s="33"/>
      <c r="L577" s="40">
        <v>29253.48</v>
      </c>
      <c r="M577" s="40">
        <v>2983.86</v>
      </c>
    </row>
    <row r="578" ht="15.75" customHeight="1">
      <c r="A578" s="33" t="s">
        <v>1237</v>
      </c>
      <c r="B578" s="39">
        <v>46219.0</v>
      </c>
      <c r="C578" s="33" t="s">
        <v>184</v>
      </c>
      <c r="D578" s="33" t="s">
        <v>194</v>
      </c>
      <c r="E578" s="33" t="s">
        <v>180</v>
      </c>
      <c r="F578" s="33" t="s">
        <v>189</v>
      </c>
      <c r="G578" s="33" t="s">
        <v>181</v>
      </c>
      <c r="H578" s="33" t="s">
        <v>189</v>
      </c>
      <c r="I578" s="39">
        <v>46179.0</v>
      </c>
      <c r="J578" s="39">
        <v>46252.0</v>
      </c>
      <c r="K578" s="39">
        <v>46252.0</v>
      </c>
      <c r="L578" s="40">
        <v>18024.78</v>
      </c>
      <c r="M578" s="40">
        <v>0.0</v>
      </c>
    </row>
    <row r="579" ht="15.75" customHeight="1">
      <c r="A579" s="33" t="s">
        <v>2080</v>
      </c>
      <c r="B579" s="39">
        <v>45975.0</v>
      </c>
      <c r="C579" s="33" t="s">
        <v>178</v>
      </c>
      <c r="D579" s="33" t="s">
        <v>188</v>
      </c>
      <c r="E579" s="33" t="s">
        <v>180</v>
      </c>
      <c r="F579" s="33" t="s">
        <v>181</v>
      </c>
      <c r="G579" s="33" t="s">
        <v>181</v>
      </c>
      <c r="H579" s="33" t="s">
        <v>189</v>
      </c>
      <c r="I579" s="39">
        <v>46196.0</v>
      </c>
      <c r="J579" s="39">
        <v>46260.0</v>
      </c>
      <c r="K579" s="39">
        <v>46188.0</v>
      </c>
      <c r="L579" s="40">
        <v>0.0</v>
      </c>
      <c r="M579" s="40">
        <v>5805.11</v>
      </c>
    </row>
    <row r="580" ht="15.75" customHeight="1">
      <c r="A580" s="33" t="s">
        <v>1145</v>
      </c>
      <c r="B580" s="39">
        <v>46200.0</v>
      </c>
      <c r="C580" s="33" t="s">
        <v>187</v>
      </c>
      <c r="D580" s="33" t="s">
        <v>179</v>
      </c>
      <c r="E580" s="33" t="s">
        <v>180</v>
      </c>
      <c r="F580" s="33" t="s">
        <v>181</v>
      </c>
      <c r="G580" s="33" t="s">
        <v>181</v>
      </c>
      <c r="H580" s="33" t="s">
        <v>189</v>
      </c>
      <c r="I580" s="39">
        <v>46256.0</v>
      </c>
      <c r="J580" s="39">
        <v>46242.0</v>
      </c>
      <c r="K580" s="39">
        <v>46242.0</v>
      </c>
      <c r="L580" s="40">
        <v>0.0</v>
      </c>
      <c r="M580" s="40">
        <v>4913.49</v>
      </c>
    </row>
    <row r="581" ht="15.75" customHeight="1">
      <c r="A581" s="33" t="s">
        <v>2987</v>
      </c>
      <c r="B581" s="39">
        <v>45719.0</v>
      </c>
      <c r="C581" s="33" t="s">
        <v>178</v>
      </c>
      <c r="D581" s="33" t="s">
        <v>200</v>
      </c>
      <c r="E581" s="33" t="s">
        <v>180</v>
      </c>
      <c r="F581" s="33" t="s">
        <v>181</v>
      </c>
      <c r="G581" s="33" t="s">
        <v>181</v>
      </c>
      <c r="H581" s="33" t="s">
        <v>189</v>
      </c>
      <c r="I581" s="39">
        <v>46185.0</v>
      </c>
      <c r="J581" s="39">
        <v>46130.0</v>
      </c>
      <c r="K581" s="39">
        <v>46055.0</v>
      </c>
      <c r="L581" s="40">
        <v>11714.65</v>
      </c>
      <c r="M581" s="40">
        <v>348.3</v>
      </c>
    </row>
    <row r="582" ht="15.75" customHeight="1">
      <c r="A582" s="33" t="s">
        <v>3452</v>
      </c>
      <c r="B582" s="39">
        <v>45714.0</v>
      </c>
      <c r="C582" s="33" t="s">
        <v>202</v>
      </c>
      <c r="D582" s="33" t="s">
        <v>194</v>
      </c>
      <c r="E582" s="33" t="s">
        <v>180</v>
      </c>
      <c r="F582" s="33" t="s">
        <v>181</v>
      </c>
      <c r="G582" s="33" t="s">
        <v>181</v>
      </c>
      <c r="H582" s="33" t="s">
        <v>189</v>
      </c>
      <c r="I582" s="39">
        <v>46243.0</v>
      </c>
      <c r="J582" s="39">
        <v>46155.0</v>
      </c>
      <c r="K582" s="39">
        <v>46112.0</v>
      </c>
      <c r="L582" s="40">
        <v>0.0</v>
      </c>
      <c r="M582" s="40">
        <v>2398.25</v>
      </c>
    </row>
    <row r="583" ht="15.75" customHeight="1">
      <c r="A583" s="33" t="s">
        <v>1957</v>
      </c>
      <c r="B583" s="39">
        <v>46163.0</v>
      </c>
      <c r="C583" s="33" t="s">
        <v>187</v>
      </c>
      <c r="D583" s="33" t="s">
        <v>185</v>
      </c>
      <c r="E583" s="33" t="s">
        <v>180</v>
      </c>
      <c r="F583" s="33" t="s">
        <v>181</v>
      </c>
      <c r="G583" s="33" t="s">
        <v>181</v>
      </c>
      <c r="H583" s="33" t="s">
        <v>181</v>
      </c>
      <c r="I583" s="39">
        <v>46216.0</v>
      </c>
      <c r="J583" s="39">
        <v>46255.0</v>
      </c>
      <c r="K583" s="39">
        <v>46255.0</v>
      </c>
      <c r="L583" s="40">
        <v>0.0</v>
      </c>
      <c r="M583" s="40">
        <v>991.36</v>
      </c>
    </row>
    <row r="584" ht="15.75" customHeight="1">
      <c r="A584" s="33" t="s">
        <v>497</v>
      </c>
      <c r="B584" s="39">
        <v>45722.0</v>
      </c>
      <c r="C584" s="33" t="s">
        <v>202</v>
      </c>
      <c r="D584" s="33" t="s">
        <v>179</v>
      </c>
      <c r="E584" s="33" t="s">
        <v>180</v>
      </c>
      <c r="F584" s="33" t="s">
        <v>181</v>
      </c>
      <c r="G584" s="33" t="s">
        <v>181</v>
      </c>
      <c r="H584" s="33" t="s">
        <v>189</v>
      </c>
      <c r="I584" s="39">
        <v>46258.0</v>
      </c>
      <c r="J584" s="39">
        <v>46230.0</v>
      </c>
      <c r="K584" s="39">
        <v>46230.0</v>
      </c>
      <c r="L584" s="40">
        <v>0.0</v>
      </c>
      <c r="M584" s="40">
        <v>689.26</v>
      </c>
    </row>
    <row r="585" ht="15.75" customHeight="1">
      <c r="A585" s="33" t="s">
        <v>438</v>
      </c>
      <c r="B585" s="39">
        <v>45689.0</v>
      </c>
      <c r="C585" s="33" t="s">
        <v>184</v>
      </c>
      <c r="D585" s="33" t="s">
        <v>194</v>
      </c>
      <c r="E585" s="33" t="s">
        <v>180</v>
      </c>
      <c r="F585" s="33" t="s">
        <v>181</v>
      </c>
      <c r="G585" s="33" t="s">
        <v>181</v>
      </c>
      <c r="H585" s="33" t="s">
        <v>189</v>
      </c>
      <c r="I585" s="39">
        <v>46256.0</v>
      </c>
      <c r="J585" s="39">
        <v>46254.0</v>
      </c>
      <c r="K585" s="39">
        <v>46254.0</v>
      </c>
      <c r="L585" s="40">
        <v>11508.65</v>
      </c>
      <c r="M585" s="40">
        <v>2353.39</v>
      </c>
    </row>
    <row r="586" ht="15.75" customHeight="1">
      <c r="A586" s="33" t="s">
        <v>2161</v>
      </c>
      <c r="B586" s="39">
        <v>45903.0</v>
      </c>
      <c r="C586" s="33" t="s">
        <v>178</v>
      </c>
      <c r="D586" s="33" t="s">
        <v>237</v>
      </c>
      <c r="E586" s="33" t="s">
        <v>330</v>
      </c>
      <c r="F586" s="33" t="s">
        <v>181</v>
      </c>
      <c r="G586" s="33" t="s">
        <v>181</v>
      </c>
      <c r="H586" s="33" t="s">
        <v>189</v>
      </c>
      <c r="I586" s="39">
        <v>45951.0</v>
      </c>
      <c r="J586" s="39">
        <v>46232.0</v>
      </c>
      <c r="K586" s="39">
        <v>46200.0</v>
      </c>
      <c r="L586" s="40">
        <v>44756.48</v>
      </c>
      <c r="M586" s="40">
        <v>0.0</v>
      </c>
    </row>
    <row r="587" ht="15.75" customHeight="1">
      <c r="A587" s="33" t="s">
        <v>931</v>
      </c>
      <c r="B587" s="39">
        <v>46219.0</v>
      </c>
      <c r="C587" s="33" t="s">
        <v>187</v>
      </c>
      <c r="D587" s="33" t="s">
        <v>237</v>
      </c>
      <c r="E587" s="33" t="s">
        <v>180</v>
      </c>
      <c r="F587" s="33" t="s">
        <v>181</v>
      </c>
      <c r="G587" s="33" t="s">
        <v>181</v>
      </c>
      <c r="H587" s="33" t="s">
        <v>189</v>
      </c>
      <c r="I587" s="39">
        <v>46217.0</v>
      </c>
      <c r="J587" s="39">
        <v>46210.0</v>
      </c>
      <c r="K587" s="39">
        <v>46210.0</v>
      </c>
      <c r="L587" s="40">
        <v>23728.13</v>
      </c>
      <c r="M587" s="40">
        <v>3611.38</v>
      </c>
    </row>
    <row r="588" ht="15.75" customHeight="1">
      <c r="A588" s="33" t="s">
        <v>1216</v>
      </c>
      <c r="B588" s="39">
        <v>46076.0</v>
      </c>
      <c r="C588" s="33" t="s">
        <v>178</v>
      </c>
      <c r="D588" s="33" t="s">
        <v>188</v>
      </c>
      <c r="E588" s="33" t="s">
        <v>180</v>
      </c>
      <c r="F588" s="33" t="s">
        <v>189</v>
      </c>
      <c r="G588" s="33" t="s">
        <v>181</v>
      </c>
      <c r="H588" s="33" t="s">
        <v>181</v>
      </c>
      <c r="I588" s="39">
        <v>46217.0</v>
      </c>
      <c r="J588" s="39">
        <v>46192.0</v>
      </c>
      <c r="K588" s="39">
        <v>46192.0</v>
      </c>
      <c r="L588" s="40">
        <v>0.0</v>
      </c>
      <c r="M588" s="40">
        <v>0.0</v>
      </c>
    </row>
    <row r="589" ht="15.75" customHeight="1">
      <c r="A589" s="33" t="s">
        <v>1945</v>
      </c>
      <c r="B589" s="39">
        <v>45718.0</v>
      </c>
      <c r="C589" s="33" t="s">
        <v>178</v>
      </c>
      <c r="D589" s="33" t="s">
        <v>188</v>
      </c>
      <c r="E589" s="33" t="s">
        <v>180</v>
      </c>
      <c r="F589" s="33" t="s">
        <v>181</v>
      </c>
      <c r="G589" s="33" t="s">
        <v>181</v>
      </c>
      <c r="H589" s="33" t="s">
        <v>181</v>
      </c>
      <c r="I589" s="39">
        <v>46188.0</v>
      </c>
      <c r="J589" s="39">
        <v>46162.0</v>
      </c>
      <c r="K589" s="39">
        <v>46003.0</v>
      </c>
      <c r="L589" s="40">
        <v>28962.15</v>
      </c>
      <c r="M589" s="40">
        <v>2387.1</v>
      </c>
    </row>
    <row r="590" ht="15.75" customHeight="1">
      <c r="A590" s="33" t="s">
        <v>1056</v>
      </c>
      <c r="B590" s="39">
        <v>46166.0</v>
      </c>
      <c r="C590" s="33" t="s">
        <v>178</v>
      </c>
      <c r="D590" s="33" t="s">
        <v>188</v>
      </c>
      <c r="E590" s="33" t="s">
        <v>330</v>
      </c>
      <c r="F590" s="33" t="s">
        <v>181</v>
      </c>
      <c r="G590" s="33" t="s">
        <v>181</v>
      </c>
      <c r="H590" s="33" t="s">
        <v>181</v>
      </c>
      <c r="I590" s="39">
        <v>46182.0</v>
      </c>
      <c r="J590" s="39">
        <v>46252.0</v>
      </c>
      <c r="K590" s="39">
        <v>46132.0</v>
      </c>
      <c r="L590" s="40">
        <v>2827.83</v>
      </c>
      <c r="M590" s="40">
        <v>0.0</v>
      </c>
    </row>
    <row r="591" ht="15.75" customHeight="1">
      <c r="A591" s="33" t="s">
        <v>565</v>
      </c>
      <c r="B591" s="39">
        <v>46170.0</v>
      </c>
      <c r="C591" s="33" t="s">
        <v>178</v>
      </c>
      <c r="D591" s="33" t="s">
        <v>188</v>
      </c>
      <c r="E591" s="33" t="s">
        <v>180</v>
      </c>
      <c r="F591" s="33" t="s">
        <v>181</v>
      </c>
      <c r="G591" s="33" t="s">
        <v>181</v>
      </c>
      <c r="H591" s="33" t="s">
        <v>189</v>
      </c>
      <c r="I591" s="39">
        <v>46198.0</v>
      </c>
      <c r="J591" s="39">
        <v>46231.0</v>
      </c>
      <c r="K591" s="39">
        <v>46231.0</v>
      </c>
      <c r="L591" s="40">
        <v>0.0</v>
      </c>
      <c r="M591" s="40">
        <v>2070.1</v>
      </c>
    </row>
    <row r="592" ht="15.75" customHeight="1">
      <c r="A592" s="33" t="s">
        <v>1001</v>
      </c>
      <c r="B592" s="39">
        <v>46144.0</v>
      </c>
      <c r="C592" s="33" t="s">
        <v>178</v>
      </c>
      <c r="D592" s="33" t="s">
        <v>237</v>
      </c>
      <c r="E592" s="33" t="s">
        <v>180</v>
      </c>
      <c r="F592" s="33" t="s">
        <v>181</v>
      </c>
      <c r="G592" s="33" t="s">
        <v>181</v>
      </c>
      <c r="H592" s="33" t="s">
        <v>181</v>
      </c>
      <c r="I592" s="39">
        <v>46265.0</v>
      </c>
      <c r="J592" s="39">
        <v>46213.0</v>
      </c>
      <c r="K592" s="39">
        <v>46173.0</v>
      </c>
      <c r="L592" s="40">
        <v>38109.56</v>
      </c>
      <c r="M592" s="40">
        <v>619.03</v>
      </c>
    </row>
    <row r="593" ht="15.75" customHeight="1">
      <c r="A593" s="33" t="s">
        <v>2051</v>
      </c>
      <c r="B593" s="39">
        <v>46205.0</v>
      </c>
      <c r="C593" s="33" t="s">
        <v>187</v>
      </c>
      <c r="D593" s="33" t="s">
        <v>237</v>
      </c>
      <c r="E593" s="33" t="s">
        <v>180</v>
      </c>
      <c r="F593" s="33" t="s">
        <v>181</v>
      </c>
      <c r="G593" s="33" t="s">
        <v>189</v>
      </c>
      <c r="H593" s="33" t="s">
        <v>189</v>
      </c>
      <c r="I593" s="39">
        <v>46239.0</v>
      </c>
      <c r="J593" s="33"/>
      <c r="K593" s="33"/>
      <c r="L593" s="40">
        <v>34694.81</v>
      </c>
      <c r="M593" s="40">
        <v>1334.39</v>
      </c>
    </row>
    <row r="594" ht="15.75" customHeight="1">
      <c r="A594" s="33" t="s">
        <v>1906</v>
      </c>
      <c r="B594" s="39">
        <v>45803.0</v>
      </c>
      <c r="C594" s="33" t="s">
        <v>187</v>
      </c>
      <c r="D594" s="33" t="s">
        <v>188</v>
      </c>
      <c r="E594" s="33" t="s">
        <v>180</v>
      </c>
      <c r="F594" s="33" t="s">
        <v>181</v>
      </c>
      <c r="G594" s="33" t="s">
        <v>181</v>
      </c>
      <c r="H594" s="33" t="s">
        <v>189</v>
      </c>
      <c r="I594" s="39">
        <v>46250.0</v>
      </c>
      <c r="J594" s="39">
        <v>46264.0</v>
      </c>
      <c r="K594" s="39">
        <v>46264.0</v>
      </c>
      <c r="L594" s="40">
        <v>8463.19</v>
      </c>
      <c r="M594" s="40">
        <v>4030.87</v>
      </c>
    </row>
    <row r="595" ht="15.75" customHeight="1">
      <c r="A595" s="33" t="s">
        <v>2914</v>
      </c>
      <c r="B595" s="39">
        <v>46252.0</v>
      </c>
      <c r="C595" s="33" t="s">
        <v>187</v>
      </c>
      <c r="D595" s="33" t="s">
        <v>196</v>
      </c>
      <c r="E595" s="33" t="s">
        <v>180</v>
      </c>
      <c r="F595" s="33" t="s">
        <v>181</v>
      </c>
      <c r="G595" s="33" t="s">
        <v>181</v>
      </c>
      <c r="H595" s="33" t="s">
        <v>189</v>
      </c>
      <c r="I595" s="39">
        <v>46254.0</v>
      </c>
      <c r="J595" s="39">
        <v>46247.0</v>
      </c>
      <c r="K595" s="39">
        <v>46247.0</v>
      </c>
      <c r="L595" s="40">
        <v>19509.8</v>
      </c>
      <c r="M595" s="40">
        <v>1574.43</v>
      </c>
    </row>
    <row r="596" ht="15.75" customHeight="1">
      <c r="A596" s="33" t="s">
        <v>1421</v>
      </c>
      <c r="B596" s="39">
        <v>45852.0</v>
      </c>
      <c r="C596" s="33" t="s">
        <v>178</v>
      </c>
      <c r="D596" s="33" t="s">
        <v>188</v>
      </c>
      <c r="E596" s="33" t="s">
        <v>330</v>
      </c>
      <c r="F596" s="33" t="s">
        <v>181</v>
      </c>
      <c r="G596" s="33" t="s">
        <v>181</v>
      </c>
      <c r="H596" s="33" t="s">
        <v>181</v>
      </c>
      <c r="I596" s="39">
        <v>45968.0</v>
      </c>
      <c r="J596" s="39">
        <v>46250.0</v>
      </c>
      <c r="K596" s="39">
        <v>46250.0</v>
      </c>
      <c r="L596" s="40">
        <v>0.0</v>
      </c>
      <c r="M596" s="40">
        <v>0.0</v>
      </c>
    </row>
    <row r="597" ht="15.75" customHeight="1">
      <c r="A597" s="33" t="s">
        <v>2779</v>
      </c>
      <c r="B597" s="39">
        <v>46144.0</v>
      </c>
      <c r="C597" s="33" t="s">
        <v>178</v>
      </c>
      <c r="D597" s="33" t="s">
        <v>185</v>
      </c>
      <c r="E597" s="33" t="s">
        <v>180</v>
      </c>
      <c r="F597" s="33" t="s">
        <v>189</v>
      </c>
      <c r="G597" s="33" t="s">
        <v>189</v>
      </c>
      <c r="H597" s="33" t="s">
        <v>189</v>
      </c>
      <c r="I597" s="39">
        <v>46184.0</v>
      </c>
      <c r="J597" s="33"/>
      <c r="K597" s="33"/>
      <c r="L597" s="40">
        <v>36962.27</v>
      </c>
      <c r="M597" s="40">
        <v>0.0</v>
      </c>
    </row>
    <row r="598" ht="15.75" customHeight="1">
      <c r="A598" s="33" t="s">
        <v>415</v>
      </c>
      <c r="B598" s="39">
        <v>46009.0</v>
      </c>
      <c r="C598" s="33" t="s">
        <v>178</v>
      </c>
      <c r="D598" s="33" t="s">
        <v>188</v>
      </c>
      <c r="E598" s="33" t="s">
        <v>180</v>
      </c>
      <c r="F598" s="33" t="s">
        <v>181</v>
      </c>
      <c r="G598" s="33" t="s">
        <v>189</v>
      </c>
      <c r="H598" s="33" t="s">
        <v>181</v>
      </c>
      <c r="I598" s="39">
        <v>46205.0</v>
      </c>
      <c r="J598" s="33"/>
      <c r="K598" s="33"/>
      <c r="L598" s="40">
        <v>0.0</v>
      </c>
      <c r="M598" s="40">
        <v>4318.4</v>
      </c>
    </row>
    <row r="599" ht="15.75" customHeight="1">
      <c r="A599" s="33" t="s">
        <v>426</v>
      </c>
      <c r="B599" s="39">
        <v>46131.0</v>
      </c>
      <c r="C599" s="33" t="s">
        <v>184</v>
      </c>
      <c r="D599" s="33" t="s">
        <v>179</v>
      </c>
      <c r="E599" s="33" t="s">
        <v>180</v>
      </c>
      <c r="F599" s="33" t="s">
        <v>181</v>
      </c>
      <c r="G599" s="33" t="s">
        <v>181</v>
      </c>
      <c r="H599" s="33" t="s">
        <v>189</v>
      </c>
      <c r="I599" s="39">
        <v>46189.0</v>
      </c>
      <c r="J599" s="39">
        <v>46195.0</v>
      </c>
      <c r="K599" s="39">
        <v>46195.0</v>
      </c>
      <c r="L599" s="40">
        <v>32981.67</v>
      </c>
      <c r="M599" s="40">
        <v>2023.11</v>
      </c>
    </row>
    <row r="600" ht="15.75" customHeight="1">
      <c r="A600" s="33" t="s">
        <v>1524</v>
      </c>
      <c r="B600" s="39">
        <v>46039.0</v>
      </c>
      <c r="C600" s="33" t="s">
        <v>184</v>
      </c>
      <c r="D600" s="33" t="s">
        <v>228</v>
      </c>
      <c r="E600" s="33" t="s">
        <v>222</v>
      </c>
      <c r="F600" s="33" t="s">
        <v>181</v>
      </c>
      <c r="G600" s="33" t="s">
        <v>181</v>
      </c>
      <c r="H600" s="33" t="s">
        <v>181</v>
      </c>
      <c r="I600" s="39">
        <v>46146.0</v>
      </c>
      <c r="J600" s="39">
        <v>46161.0</v>
      </c>
      <c r="K600" s="39">
        <v>46161.0</v>
      </c>
      <c r="L600" s="40">
        <v>0.0</v>
      </c>
      <c r="M600" s="40">
        <v>3756.19</v>
      </c>
    </row>
    <row r="601" ht="15.75" customHeight="1">
      <c r="A601" s="33" t="s">
        <v>2165</v>
      </c>
      <c r="B601" s="39">
        <v>46047.0</v>
      </c>
      <c r="C601" s="33" t="s">
        <v>178</v>
      </c>
      <c r="D601" s="33" t="s">
        <v>185</v>
      </c>
      <c r="E601" s="33" t="s">
        <v>222</v>
      </c>
      <c r="F601" s="33" t="s">
        <v>181</v>
      </c>
      <c r="G601" s="33" t="s">
        <v>181</v>
      </c>
      <c r="H601" s="33" t="s">
        <v>181</v>
      </c>
      <c r="I601" s="39">
        <v>46226.0</v>
      </c>
      <c r="J601" s="39">
        <v>46219.0</v>
      </c>
      <c r="K601" s="39">
        <v>46159.0</v>
      </c>
      <c r="L601" s="40">
        <v>17375.23</v>
      </c>
      <c r="M601" s="40">
        <v>1593.15</v>
      </c>
    </row>
    <row r="602" ht="15.75" customHeight="1">
      <c r="A602" s="33" t="s">
        <v>2702</v>
      </c>
      <c r="B602" s="39">
        <v>46032.0</v>
      </c>
      <c r="C602" s="33" t="s">
        <v>187</v>
      </c>
      <c r="D602" s="33" t="s">
        <v>200</v>
      </c>
      <c r="E602" s="33" t="s">
        <v>180</v>
      </c>
      <c r="F602" s="33" t="s">
        <v>181</v>
      </c>
      <c r="G602" s="33" t="s">
        <v>189</v>
      </c>
      <c r="H602" s="33" t="s">
        <v>181</v>
      </c>
      <c r="I602" s="39">
        <v>46234.0</v>
      </c>
      <c r="J602" s="33"/>
      <c r="K602" s="33"/>
      <c r="L602" s="40">
        <v>0.0</v>
      </c>
      <c r="M602" s="40">
        <v>824.29</v>
      </c>
    </row>
    <row r="603" ht="15.75" customHeight="1">
      <c r="A603" s="33" t="s">
        <v>2836</v>
      </c>
      <c r="B603" s="39">
        <v>46130.0</v>
      </c>
      <c r="C603" s="33" t="s">
        <v>178</v>
      </c>
      <c r="D603" s="33" t="s">
        <v>196</v>
      </c>
      <c r="E603" s="33" t="s">
        <v>180</v>
      </c>
      <c r="F603" s="33" t="s">
        <v>181</v>
      </c>
      <c r="G603" s="33" t="s">
        <v>181</v>
      </c>
      <c r="H603" s="33" t="s">
        <v>189</v>
      </c>
      <c r="I603" s="39">
        <v>46191.0</v>
      </c>
      <c r="J603" s="39">
        <v>46140.0</v>
      </c>
      <c r="K603" s="39">
        <v>45796.0</v>
      </c>
      <c r="L603" s="40">
        <v>0.0</v>
      </c>
      <c r="M603" s="40">
        <v>210.09</v>
      </c>
    </row>
    <row r="604" ht="15.75" customHeight="1">
      <c r="A604" s="33" t="s">
        <v>2129</v>
      </c>
      <c r="B604" s="39">
        <v>46106.0</v>
      </c>
      <c r="C604" s="33" t="s">
        <v>178</v>
      </c>
      <c r="D604" s="33" t="s">
        <v>228</v>
      </c>
      <c r="E604" s="33" t="s">
        <v>180</v>
      </c>
      <c r="F604" s="33" t="s">
        <v>181</v>
      </c>
      <c r="G604" s="33" t="s">
        <v>181</v>
      </c>
      <c r="H604" s="33" t="s">
        <v>181</v>
      </c>
      <c r="I604" s="39">
        <v>46262.0</v>
      </c>
      <c r="J604" s="39">
        <v>46227.0</v>
      </c>
      <c r="K604" s="39">
        <v>46106.0</v>
      </c>
      <c r="L604" s="40">
        <v>0.0</v>
      </c>
      <c r="M604" s="40">
        <v>1566.82</v>
      </c>
    </row>
    <row r="605" ht="15.75" customHeight="1">
      <c r="A605" s="33" t="s">
        <v>2493</v>
      </c>
      <c r="B605" s="39">
        <v>45739.0</v>
      </c>
      <c r="C605" s="33" t="s">
        <v>178</v>
      </c>
      <c r="D605" s="33" t="s">
        <v>196</v>
      </c>
      <c r="E605" s="33" t="s">
        <v>180</v>
      </c>
      <c r="F605" s="33" t="s">
        <v>189</v>
      </c>
      <c r="G605" s="33" t="s">
        <v>189</v>
      </c>
      <c r="H605" s="33" t="s">
        <v>189</v>
      </c>
      <c r="I605" s="39">
        <v>46257.0</v>
      </c>
      <c r="J605" s="33"/>
      <c r="K605" s="33"/>
      <c r="L605" s="40">
        <v>0.0</v>
      </c>
      <c r="M605" s="40">
        <v>0.0</v>
      </c>
    </row>
    <row r="606" ht="15.75" customHeight="1">
      <c r="A606" s="33" t="s">
        <v>3079</v>
      </c>
      <c r="B606" s="39">
        <v>46159.0</v>
      </c>
      <c r="C606" s="33" t="s">
        <v>178</v>
      </c>
      <c r="D606" s="33" t="s">
        <v>194</v>
      </c>
      <c r="E606" s="33" t="s">
        <v>222</v>
      </c>
      <c r="F606" s="33" t="s">
        <v>181</v>
      </c>
      <c r="G606" s="33" t="s">
        <v>189</v>
      </c>
      <c r="H606" s="33" t="s">
        <v>189</v>
      </c>
      <c r="I606" s="39">
        <v>46110.0</v>
      </c>
      <c r="J606" s="33"/>
      <c r="K606" s="33"/>
      <c r="L606" s="40">
        <v>0.0</v>
      </c>
      <c r="M606" s="40">
        <v>1865.3</v>
      </c>
    </row>
    <row r="607" ht="15.75" customHeight="1">
      <c r="A607" s="33" t="s">
        <v>320</v>
      </c>
      <c r="B607" s="39">
        <v>45983.0</v>
      </c>
      <c r="C607" s="33" t="s">
        <v>187</v>
      </c>
      <c r="D607" s="33" t="s">
        <v>196</v>
      </c>
      <c r="E607" s="33" t="s">
        <v>180</v>
      </c>
      <c r="F607" s="33" t="s">
        <v>181</v>
      </c>
      <c r="G607" s="33" t="s">
        <v>181</v>
      </c>
      <c r="H607" s="33" t="s">
        <v>189</v>
      </c>
      <c r="I607" s="39">
        <v>46260.0</v>
      </c>
      <c r="J607" s="39">
        <v>46256.0</v>
      </c>
      <c r="K607" s="39">
        <v>46256.0</v>
      </c>
      <c r="L607" s="40">
        <v>21643.71</v>
      </c>
      <c r="M607" s="40">
        <v>3523.35</v>
      </c>
    </row>
    <row r="608" ht="15.75" customHeight="1">
      <c r="A608" s="33" t="s">
        <v>3177</v>
      </c>
      <c r="B608" s="39">
        <v>45854.0</v>
      </c>
      <c r="C608" s="33" t="s">
        <v>184</v>
      </c>
      <c r="D608" s="33" t="s">
        <v>196</v>
      </c>
      <c r="E608" s="33" t="s">
        <v>180</v>
      </c>
      <c r="F608" s="33" t="s">
        <v>181</v>
      </c>
      <c r="G608" s="33" t="s">
        <v>181</v>
      </c>
      <c r="H608" s="33" t="s">
        <v>181</v>
      </c>
      <c r="I608" s="39">
        <v>46179.0</v>
      </c>
      <c r="J608" s="39">
        <v>46250.0</v>
      </c>
      <c r="K608" s="39">
        <v>46203.0</v>
      </c>
      <c r="L608" s="40">
        <v>8896.42</v>
      </c>
      <c r="M608" s="40">
        <v>29.51</v>
      </c>
    </row>
    <row r="609" ht="15.75" customHeight="1">
      <c r="A609" s="33" t="s">
        <v>1147</v>
      </c>
      <c r="B609" s="39">
        <v>45970.0</v>
      </c>
      <c r="C609" s="33" t="s">
        <v>178</v>
      </c>
      <c r="D609" s="33" t="s">
        <v>188</v>
      </c>
      <c r="E609" s="33" t="s">
        <v>180</v>
      </c>
      <c r="F609" s="33" t="s">
        <v>181</v>
      </c>
      <c r="G609" s="33" t="s">
        <v>181</v>
      </c>
      <c r="H609" s="33" t="s">
        <v>181</v>
      </c>
      <c r="I609" s="39">
        <v>46197.0</v>
      </c>
      <c r="J609" s="39">
        <v>46242.0</v>
      </c>
      <c r="K609" s="39">
        <v>46033.0</v>
      </c>
      <c r="L609" s="40">
        <v>36067.8</v>
      </c>
      <c r="M609" s="40">
        <v>2538.59</v>
      </c>
    </row>
    <row r="610" ht="15.75" customHeight="1">
      <c r="A610" s="33" t="s">
        <v>553</v>
      </c>
      <c r="B610" s="39">
        <v>46244.0</v>
      </c>
      <c r="C610" s="33" t="s">
        <v>202</v>
      </c>
      <c r="D610" s="33" t="s">
        <v>194</v>
      </c>
      <c r="E610" s="33" t="s">
        <v>180</v>
      </c>
      <c r="F610" s="33" t="s">
        <v>181</v>
      </c>
      <c r="G610" s="33" t="s">
        <v>181</v>
      </c>
      <c r="H610" s="33" t="s">
        <v>189</v>
      </c>
      <c r="I610" s="39">
        <v>46206.0</v>
      </c>
      <c r="J610" s="39">
        <v>46258.0</v>
      </c>
      <c r="K610" s="39">
        <v>46149.0</v>
      </c>
      <c r="L610" s="40">
        <v>0.0</v>
      </c>
      <c r="M610" s="40">
        <v>1751.52</v>
      </c>
    </row>
    <row r="611" ht="15.75" customHeight="1">
      <c r="A611" s="33" t="s">
        <v>1346</v>
      </c>
      <c r="B611" s="39">
        <v>46178.0</v>
      </c>
      <c r="C611" s="33" t="s">
        <v>187</v>
      </c>
      <c r="D611" s="33" t="s">
        <v>179</v>
      </c>
      <c r="E611" s="33" t="s">
        <v>222</v>
      </c>
      <c r="F611" s="33" t="s">
        <v>189</v>
      </c>
      <c r="G611" s="33" t="s">
        <v>181</v>
      </c>
      <c r="H611" s="33" t="s">
        <v>181</v>
      </c>
      <c r="I611" s="39">
        <v>46155.0</v>
      </c>
      <c r="J611" s="39">
        <v>46260.0</v>
      </c>
      <c r="K611" s="39">
        <v>46231.0</v>
      </c>
      <c r="L611" s="40">
        <v>0.0</v>
      </c>
      <c r="M611" s="40">
        <v>0.0</v>
      </c>
    </row>
    <row r="612" ht="15.75" customHeight="1">
      <c r="A612" s="33" t="s">
        <v>1969</v>
      </c>
      <c r="B612" s="39">
        <v>46164.0</v>
      </c>
      <c r="C612" s="33" t="s">
        <v>184</v>
      </c>
      <c r="D612" s="33" t="s">
        <v>228</v>
      </c>
      <c r="E612" s="33" t="s">
        <v>180</v>
      </c>
      <c r="F612" s="33" t="s">
        <v>181</v>
      </c>
      <c r="G612" s="33" t="s">
        <v>189</v>
      </c>
      <c r="H612" s="33" t="s">
        <v>189</v>
      </c>
      <c r="I612" s="39">
        <v>46257.0</v>
      </c>
      <c r="J612" s="33"/>
      <c r="K612" s="33"/>
      <c r="L612" s="40">
        <v>31798.27</v>
      </c>
      <c r="M612" s="40">
        <v>1526.01</v>
      </c>
    </row>
    <row r="613" ht="15.75" customHeight="1">
      <c r="A613" s="33" t="s">
        <v>2857</v>
      </c>
      <c r="B613" s="39">
        <v>45938.0</v>
      </c>
      <c r="C613" s="33" t="s">
        <v>187</v>
      </c>
      <c r="D613" s="33" t="s">
        <v>237</v>
      </c>
      <c r="E613" s="33" t="s">
        <v>180</v>
      </c>
      <c r="F613" s="33" t="s">
        <v>189</v>
      </c>
      <c r="G613" s="33" t="s">
        <v>189</v>
      </c>
      <c r="H613" s="33" t="s">
        <v>189</v>
      </c>
      <c r="I613" s="39">
        <v>46228.0</v>
      </c>
      <c r="J613" s="33"/>
      <c r="K613" s="33"/>
      <c r="L613" s="40">
        <v>0.0</v>
      </c>
      <c r="M613" s="40">
        <v>0.0</v>
      </c>
    </row>
    <row r="614" ht="15.75" customHeight="1">
      <c r="A614" s="33" t="s">
        <v>1245</v>
      </c>
      <c r="B614" s="39">
        <v>46133.0</v>
      </c>
      <c r="C614" s="33" t="s">
        <v>178</v>
      </c>
      <c r="D614" s="33" t="s">
        <v>179</v>
      </c>
      <c r="E614" s="33" t="s">
        <v>180</v>
      </c>
      <c r="F614" s="33" t="s">
        <v>181</v>
      </c>
      <c r="G614" s="33" t="s">
        <v>181</v>
      </c>
      <c r="H614" s="33" t="s">
        <v>189</v>
      </c>
      <c r="I614" s="39">
        <v>46193.0</v>
      </c>
      <c r="J614" s="39">
        <v>46259.0</v>
      </c>
      <c r="K614" s="39">
        <v>46259.0</v>
      </c>
      <c r="L614" s="40">
        <v>0.0</v>
      </c>
      <c r="M614" s="40">
        <v>5631.21</v>
      </c>
    </row>
    <row r="615" ht="15.75" customHeight="1">
      <c r="A615" s="33" t="s">
        <v>1309</v>
      </c>
      <c r="B615" s="39">
        <v>45891.0</v>
      </c>
      <c r="C615" s="33" t="s">
        <v>187</v>
      </c>
      <c r="D615" s="33" t="s">
        <v>188</v>
      </c>
      <c r="E615" s="33" t="s">
        <v>330</v>
      </c>
      <c r="F615" s="33" t="s">
        <v>181</v>
      </c>
      <c r="G615" s="33" t="s">
        <v>181</v>
      </c>
      <c r="H615" s="33" t="s">
        <v>181</v>
      </c>
      <c r="I615" s="39">
        <v>46071.0</v>
      </c>
      <c r="J615" s="39">
        <v>46065.0</v>
      </c>
      <c r="K615" s="39">
        <v>45905.0</v>
      </c>
      <c r="L615" s="40">
        <v>0.0</v>
      </c>
      <c r="M615" s="40">
        <v>0.0</v>
      </c>
    </row>
    <row r="616" ht="15.75" customHeight="1">
      <c r="A616" s="33" t="s">
        <v>815</v>
      </c>
      <c r="B616" s="39">
        <v>46074.0</v>
      </c>
      <c r="C616" s="33" t="s">
        <v>178</v>
      </c>
      <c r="D616" s="33" t="s">
        <v>237</v>
      </c>
      <c r="E616" s="33" t="s">
        <v>180</v>
      </c>
      <c r="F616" s="33" t="s">
        <v>181</v>
      </c>
      <c r="G616" s="33" t="s">
        <v>181</v>
      </c>
      <c r="H616" s="33" t="s">
        <v>189</v>
      </c>
      <c r="I616" s="39">
        <v>46225.0</v>
      </c>
      <c r="J616" s="39">
        <v>46242.0</v>
      </c>
      <c r="K616" s="39">
        <v>46059.0</v>
      </c>
      <c r="L616" s="40">
        <v>15891.2</v>
      </c>
      <c r="M616" s="40">
        <v>4428.48</v>
      </c>
    </row>
    <row r="617" ht="15.75" customHeight="1">
      <c r="A617" s="33" t="s">
        <v>3572</v>
      </c>
      <c r="B617" s="39">
        <v>46046.0</v>
      </c>
      <c r="C617" s="33" t="s">
        <v>184</v>
      </c>
      <c r="D617" s="33" t="s">
        <v>185</v>
      </c>
      <c r="E617" s="33" t="s">
        <v>222</v>
      </c>
      <c r="F617" s="33" t="s">
        <v>181</v>
      </c>
      <c r="G617" s="33" t="s">
        <v>181</v>
      </c>
      <c r="H617" s="33" t="s">
        <v>181</v>
      </c>
      <c r="I617" s="39">
        <v>46109.0</v>
      </c>
      <c r="J617" s="39">
        <v>46251.0</v>
      </c>
      <c r="K617" s="39">
        <v>46113.0</v>
      </c>
      <c r="L617" s="40">
        <v>0.0</v>
      </c>
      <c r="M617" s="40">
        <v>969.07</v>
      </c>
    </row>
    <row r="618" ht="15.75" customHeight="1">
      <c r="A618" s="33" t="s">
        <v>3575</v>
      </c>
      <c r="B618" s="39">
        <v>45809.0</v>
      </c>
      <c r="C618" s="33" t="s">
        <v>178</v>
      </c>
      <c r="D618" s="33" t="s">
        <v>200</v>
      </c>
      <c r="E618" s="33" t="s">
        <v>180</v>
      </c>
      <c r="F618" s="33" t="s">
        <v>181</v>
      </c>
      <c r="G618" s="33" t="s">
        <v>189</v>
      </c>
      <c r="H618" s="33" t="s">
        <v>189</v>
      </c>
      <c r="I618" s="39">
        <v>46196.0</v>
      </c>
      <c r="J618" s="33"/>
      <c r="K618" s="33"/>
      <c r="L618" s="40">
        <v>0.0</v>
      </c>
      <c r="M618" s="40">
        <v>1285.13</v>
      </c>
    </row>
    <row r="619" ht="15.75" customHeight="1">
      <c r="A619" s="33" t="s">
        <v>861</v>
      </c>
      <c r="B619" s="39">
        <v>45819.0</v>
      </c>
      <c r="C619" s="33" t="s">
        <v>187</v>
      </c>
      <c r="D619" s="33" t="s">
        <v>237</v>
      </c>
      <c r="E619" s="33" t="s">
        <v>180</v>
      </c>
      <c r="F619" s="33" t="s">
        <v>181</v>
      </c>
      <c r="G619" s="33" t="s">
        <v>181</v>
      </c>
      <c r="H619" s="33" t="s">
        <v>181</v>
      </c>
      <c r="I619" s="39">
        <v>46260.0</v>
      </c>
      <c r="J619" s="39">
        <v>46244.0</v>
      </c>
      <c r="K619" s="39">
        <v>46244.0</v>
      </c>
      <c r="L619" s="40">
        <v>23.08</v>
      </c>
      <c r="M619" s="40">
        <v>3544.96</v>
      </c>
    </row>
    <row r="620" ht="15.75" customHeight="1">
      <c r="A620" s="33" t="s">
        <v>1703</v>
      </c>
      <c r="B620" s="39">
        <v>45695.0</v>
      </c>
      <c r="C620" s="33" t="s">
        <v>178</v>
      </c>
      <c r="D620" s="33" t="s">
        <v>196</v>
      </c>
      <c r="E620" s="33" t="s">
        <v>180</v>
      </c>
      <c r="F620" s="33" t="s">
        <v>181</v>
      </c>
      <c r="G620" s="33" t="s">
        <v>181</v>
      </c>
      <c r="H620" s="33" t="s">
        <v>189</v>
      </c>
      <c r="I620" s="39">
        <v>46210.0</v>
      </c>
      <c r="J620" s="39">
        <v>46251.0</v>
      </c>
      <c r="K620" s="39">
        <v>46001.0</v>
      </c>
      <c r="L620" s="40">
        <v>0.0</v>
      </c>
      <c r="M620" s="40">
        <v>856.34</v>
      </c>
    </row>
    <row r="621" ht="15.75" customHeight="1">
      <c r="A621" s="33" t="s">
        <v>2073</v>
      </c>
      <c r="B621" s="39">
        <v>45742.0</v>
      </c>
      <c r="C621" s="33" t="s">
        <v>178</v>
      </c>
      <c r="D621" s="33" t="s">
        <v>194</v>
      </c>
      <c r="E621" s="33" t="s">
        <v>180</v>
      </c>
      <c r="F621" s="33" t="s">
        <v>189</v>
      </c>
      <c r="G621" s="33" t="s">
        <v>181</v>
      </c>
      <c r="H621" s="33" t="s">
        <v>189</v>
      </c>
      <c r="I621" s="39">
        <v>46210.0</v>
      </c>
      <c r="J621" s="39">
        <v>45953.0</v>
      </c>
      <c r="K621" s="39">
        <v>45953.0</v>
      </c>
      <c r="L621" s="40">
        <v>0.0</v>
      </c>
      <c r="M621" s="40">
        <v>0.0</v>
      </c>
    </row>
    <row r="622" ht="15.75" customHeight="1">
      <c r="A622" s="33" t="s">
        <v>2303</v>
      </c>
      <c r="B622" s="39">
        <v>45921.0</v>
      </c>
      <c r="C622" s="33" t="s">
        <v>184</v>
      </c>
      <c r="D622" s="33" t="s">
        <v>194</v>
      </c>
      <c r="E622" s="33" t="s">
        <v>180</v>
      </c>
      <c r="F622" s="33" t="s">
        <v>181</v>
      </c>
      <c r="G622" s="33" t="s">
        <v>181</v>
      </c>
      <c r="H622" s="33" t="s">
        <v>181</v>
      </c>
      <c r="I622" s="39">
        <v>46217.0</v>
      </c>
      <c r="J622" s="39">
        <v>46251.0</v>
      </c>
      <c r="K622" s="39">
        <v>46206.0</v>
      </c>
      <c r="L622" s="40">
        <v>28134.15</v>
      </c>
      <c r="M622" s="40">
        <v>895.71</v>
      </c>
    </row>
    <row r="623" ht="15.75" customHeight="1">
      <c r="A623" s="33" t="s">
        <v>3190</v>
      </c>
      <c r="B623" s="39">
        <v>45948.0</v>
      </c>
      <c r="C623" s="33" t="s">
        <v>187</v>
      </c>
      <c r="D623" s="33" t="s">
        <v>188</v>
      </c>
      <c r="E623" s="33" t="s">
        <v>180</v>
      </c>
      <c r="F623" s="33" t="s">
        <v>181</v>
      </c>
      <c r="G623" s="33" t="s">
        <v>181</v>
      </c>
      <c r="H623" s="33" t="s">
        <v>181</v>
      </c>
      <c r="I623" s="39">
        <v>46196.0</v>
      </c>
      <c r="J623" s="39">
        <v>46226.0</v>
      </c>
      <c r="K623" s="39">
        <v>45925.0</v>
      </c>
      <c r="L623" s="40">
        <v>10317.75</v>
      </c>
      <c r="M623" s="40">
        <v>765.19</v>
      </c>
    </row>
    <row r="624" ht="15.75" customHeight="1">
      <c r="A624" s="33" t="s">
        <v>1276</v>
      </c>
      <c r="B624" s="39">
        <v>45758.0</v>
      </c>
      <c r="C624" s="33" t="s">
        <v>178</v>
      </c>
      <c r="D624" s="33" t="s">
        <v>185</v>
      </c>
      <c r="E624" s="33" t="s">
        <v>180</v>
      </c>
      <c r="F624" s="33" t="s">
        <v>181</v>
      </c>
      <c r="G624" s="33" t="s">
        <v>189</v>
      </c>
      <c r="H624" s="33" t="s">
        <v>181</v>
      </c>
      <c r="I624" s="39">
        <v>46185.0</v>
      </c>
      <c r="J624" s="33"/>
      <c r="K624" s="33"/>
      <c r="L624" s="40">
        <v>4731.95</v>
      </c>
      <c r="M624" s="40">
        <v>1153.38</v>
      </c>
    </row>
    <row r="625" ht="15.75" customHeight="1">
      <c r="A625" s="33" t="s">
        <v>3590</v>
      </c>
      <c r="B625" s="39">
        <v>45911.0</v>
      </c>
      <c r="C625" s="33" t="s">
        <v>184</v>
      </c>
      <c r="D625" s="33" t="s">
        <v>200</v>
      </c>
      <c r="E625" s="33" t="s">
        <v>180</v>
      </c>
      <c r="F625" s="33" t="s">
        <v>181</v>
      </c>
      <c r="G625" s="33" t="s">
        <v>189</v>
      </c>
      <c r="H625" s="33" t="s">
        <v>181</v>
      </c>
      <c r="I625" s="39">
        <v>46216.0</v>
      </c>
      <c r="J625" s="33"/>
      <c r="K625" s="33"/>
      <c r="L625" s="40">
        <v>0.0</v>
      </c>
      <c r="M625" s="40">
        <v>2082.65</v>
      </c>
    </row>
    <row r="626" ht="15.75" customHeight="1">
      <c r="A626" s="33" t="s">
        <v>3434</v>
      </c>
      <c r="B626" s="39">
        <v>46024.0</v>
      </c>
      <c r="C626" s="33" t="s">
        <v>184</v>
      </c>
      <c r="D626" s="33" t="s">
        <v>237</v>
      </c>
      <c r="E626" s="33" t="s">
        <v>180</v>
      </c>
      <c r="F626" s="33" t="s">
        <v>189</v>
      </c>
      <c r="G626" s="33" t="s">
        <v>181</v>
      </c>
      <c r="H626" s="33" t="s">
        <v>181</v>
      </c>
      <c r="I626" s="39">
        <v>46237.0</v>
      </c>
      <c r="J626" s="39">
        <v>46076.0</v>
      </c>
      <c r="K626" s="39">
        <v>46076.0</v>
      </c>
      <c r="L626" s="40">
        <v>0.0</v>
      </c>
      <c r="M626" s="40">
        <v>0.0</v>
      </c>
    </row>
    <row r="627" ht="15.75" customHeight="1">
      <c r="A627" s="33" t="s">
        <v>2872</v>
      </c>
      <c r="B627" s="39">
        <v>45799.0</v>
      </c>
      <c r="C627" s="33" t="s">
        <v>178</v>
      </c>
      <c r="D627" s="33" t="s">
        <v>185</v>
      </c>
      <c r="E627" s="33" t="s">
        <v>180</v>
      </c>
      <c r="F627" s="33" t="s">
        <v>181</v>
      </c>
      <c r="G627" s="33" t="s">
        <v>189</v>
      </c>
      <c r="H627" s="33" t="s">
        <v>189</v>
      </c>
      <c r="I627" s="39">
        <v>46177.0</v>
      </c>
      <c r="J627" s="33"/>
      <c r="K627" s="33"/>
      <c r="L627" s="40">
        <v>13829.15</v>
      </c>
      <c r="M627" s="40">
        <v>2520.76</v>
      </c>
    </row>
    <row r="628" ht="15.75" customHeight="1">
      <c r="A628" s="33" t="s">
        <v>686</v>
      </c>
      <c r="B628" s="39">
        <v>45863.0</v>
      </c>
      <c r="C628" s="33" t="s">
        <v>202</v>
      </c>
      <c r="D628" s="33" t="s">
        <v>188</v>
      </c>
      <c r="E628" s="33" t="s">
        <v>180</v>
      </c>
      <c r="F628" s="33" t="s">
        <v>181</v>
      </c>
      <c r="G628" s="33" t="s">
        <v>181</v>
      </c>
      <c r="H628" s="33" t="s">
        <v>189</v>
      </c>
      <c r="I628" s="39">
        <v>46179.0</v>
      </c>
      <c r="J628" s="39">
        <v>46248.0</v>
      </c>
      <c r="K628" s="39">
        <v>46227.0</v>
      </c>
      <c r="L628" s="40">
        <v>0.0</v>
      </c>
      <c r="M628" s="40">
        <v>1952.34</v>
      </c>
    </row>
    <row r="629" ht="15.75" customHeight="1">
      <c r="A629" s="33" t="s">
        <v>3228</v>
      </c>
      <c r="B629" s="39">
        <v>45881.0</v>
      </c>
      <c r="C629" s="33" t="s">
        <v>202</v>
      </c>
      <c r="D629" s="33" t="s">
        <v>188</v>
      </c>
      <c r="E629" s="33" t="s">
        <v>180</v>
      </c>
      <c r="F629" s="33" t="s">
        <v>181</v>
      </c>
      <c r="G629" s="33" t="s">
        <v>189</v>
      </c>
      <c r="H629" s="33" t="s">
        <v>181</v>
      </c>
      <c r="I629" s="39">
        <v>46204.0</v>
      </c>
      <c r="J629" s="33"/>
      <c r="K629" s="33"/>
      <c r="L629" s="40">
        <v>0.0</v>
      </c>
      <c r="M629" s="40">
        <v>1369.84</v>
      </c>
    </row>
    <row r="630" ht="15.75" customHeight="1">
      <c r="A630" s="33" t="s">
        <v>2087</v>
      </c>
      <c r="B630" s="39">
        <v>45964.0</v>
      </c>
      <c r="C630" s="33" t="s">
        <v>187</v>
      </c>
      <c r="D630" s="33" t="s">
        <v>237</v>
      </c>
      <c r="E630" s="33" t="s">
        <v>222</v>
      </c>
      <c r="F630" s="33" t="s">
        <v>181</v>
      </c>
      <c r="G630" s="33" t="s">
        <v>181</v>
      </c>
      <c r="H630" s="33" t="s">
        <v>189</v>
      </c>
      <c r="I630" s="39">
        <v>46139.0</v>
      </c>
      <c r="J630" s="39">
        <v>46262.0</v>
      </c>
      <c r="K630" s="39">
        <v>46025.0</v>
      </c>
      <c r="L630" s="40">
        <v>0.0</v>
      </c>
      <c r="M630" s="40">
        <v>1800.45</v>
      </c>
    </row>
    <row r="631" ht="15.75" customHeight="1">
      <c r="A631" s="33" t="s">
        <v>587</v>
      </c>
      <c r="B631" s="39">
        <v>45880.0</v>
      </c>
      <c r="C631" s="33" t="s">
        <v>178</v>
      </c>
      <c r="D631" s="33" t="s">
        <v>179</v>
      </c>
      <c r="E631" s="33" t="s">
        <v>330</v>
      </c>
      <c r="F631" s="33" t="s">
        <v>181</v>
      </c>
      <c r="G631" s="33" t="s">
        <v>181</v>
      </c>
      <c r="H631" s="33" t="s">
        <v>181</v>
      </c>
      <c r="I631" s="39">
        <v>45900.0</v>
      </c>
      <c r="J631" s="39">
        <v>46230.0</v>
      </c>
      <c r="K631" s="39">
        <v>46230.0</v>
      </c>
      <c r="L631" s="40">
        <v>0.0</v>
      </c>
      <c r="M631" s="40">
        <v>0.0</v>
      </c>
    </row>
    <row r="632" ht="15.75" customHeight="1">
      <c r="A632" s="33" t="s">
        <v>3605</v>
      </c>
      <c r="B632" s="39">
        <v>46105.0</v>
      </c>
      <c r="C632" s="33" t="s">
        <v>178</v>
      </c>
      <c r="D632" s="33" t="s">
        <v>228</v>
      </c>
      <c r="E632" s="33" t="s">
        <v>180</v>
      </c>
      <c r="F632" s="33" t="s">
        <v>181</v>
      </c>
      <c r="G632" s="33" t="s">
        <v>189</v>
      </c>
      <c r="H632" s="33" t="s">
        <v>189</v>
      </c>
      <c r="I632" s="39">
        <v>46229.0</v>
      </c>
      <c r="J632" s="33"/>
      <c r="K632" s="33"/>
      <c r="L632" s="40">
        <v>0.0</v>
      </c>
      <c r="M632" s="40">
        <v>1763.37</v>
      </c>
    </row>
    <row r="633" ht="15.75" customHeight="1">
      <c r="A633" s="33" t="s">
        <v>1908</v>
      </c>
      <c r="B633" s="39">
        <v>45856.0</v>
      </c>
      <c r="C633" s="33" t="s">
        <v>184</v>
      </c>
      <c r="D633" s="33" t="s">
        <v>185</v>
      </c>
      <c r="E633" s="33" t="s">
        <v>180</v>
      </c>
      <c r="F633" s="33" t="s">
        <v>181</v>
      </c>
      <c r="G633" s="33" t="s">
        <v>181</v>
      </c>
      <c r="H633" s="33" t="s">
        <v>181</v>
      </c>
      <c r="I633" s="39">
        <v>46248.0</v>
      </c>
      <c r="J633" s="39">
        <v>46232.0</v>
      </c>
      <c r="K633" s="39">
        <v>46019.0</v>
      </c>
      <c r="L633" s="40">
        <v>0.0</v>
      </c>
      <c r="M633" s="40">
        <v>1293.81</v>
      </c>
    </row>
    <row r="634" ht="15.75" customHeight="1">
      <c r="A634" s="33" t="s">
        <v>929</v>
      </c>
      <c r="B634" s="39">
        <v>45921.0</v>
      </c>
      <c r="C634" s="33" t="s">
        <v>184</v>
      </c>
      <c r="D634" s="33" t="s">
        <v>188</v>
      </c>
      <c r="E634" s="33" t="s">
        <v>180</v>
      </c>
      <c r="F634" s="33" t="s">
        <v>181</v>
      </c>
      <c r="G634" s="33" t="s">
        <v>181</v>
      </c>
      <c r="H634" s="33" t="s">
        <v>189</v>
      </c>
      <c r="I634" s="39">
        <v>46219.0</v>
      </c>
      <c r="J634" s="39">
        <v>46208.0</v>
      </c>
      <c r="K634" s="39">
        <v>46178.0</v>
      </c>
      <c r="L634" s="40">
        <v>0.0</v>
      </c>
      <c r="M634" s="40">
        <v>169.34</v>
      </c>
    </row>
    <row r="635" ht="15.75" customHeight="1">
      <c r="A635" s="33" t="s">
        <v>1085</v>
      </c>
      <c r="B635" s="39">
        <v>45888.0</v>
      </c>
      <c r="C635" s="33" t="s">
        <v>184</v>
      </c>
      <c r="D635" s="33" t="s">
        <v>185</v>
      </c>
      <c r="E635" s="33" t="s">
        <v>180</v>
      </c>
      <c r="F635" s="33" t="s">
        <v>181</v>
      </c>
      <c r="G635" s="33" t="s">
        <v>181</v>
      </c>
      <c r="H635" s="33" t="s">
        <v>189</v>
      </c>
      <c r="I635" s="39">
        <v>46191.0</v>
      </c>
      <c r="J635" s="39">
        <v>46175.0</v>
      </c>
      <c r="K635" s="39">
        <v>46175.0</v>
      </c>
      <c r="L635" s="40">
        <v>12500.32</v>
      </c>
      <c r="M635" s="40">
        <v>1648.74</v>
      </c>
    </row>
    <row r="636" ht="15.75" customHeight="1">
      <c r="A636" s="33" t="s">
        <v>3613</v>
      </c>
      <c r="B636" s="39">
        <v>45769.0</v>
      </c>
      <c r="C636" s="33" t="s">
        <v>184</v>
      </c>
      <c r="D636" s="33" t="s">
        <v>194</v>
      </c>
      <c r="E636" s="33" t="s">
        <v>222</v>
      </c>
      <c r="F636" s="33" t="s">
        <v>181</v>
      </c>
      <c r="G636" s="33" t="s">
        <v>181</v>
      </c>
      <c r="H636" s="33" t="s">
        <v>181</v>
      </c>
      <c r="I636" s="39">
        <v>46201.0</v>
      </c>
      <c r="J636" s="39">
        <v>45983.0</v>
      </c>
      <c r="K636" s="39">
        <v>45983.0</v>
      </c>
      <c r="L636" s="40">
        <v>0.0</v>
      </c>
      <c r="M636" s="40">
        <v>3440.2</v>
      </c>
    </row>
    <row r="637" ht="15.75" customHeight="1">
      <c r="A637" s="33" t="s">
        <v>2268</v>
      </c>
      <c r="B637" s="39">
        <v>46074.0</v>
      </c>
      <c r="C637" s="33" t="s">
        <v>187</v>
      </c>
      <c r="D637" s="33" t="s">
        <v>188</v>
      </c>
      <c r="E637" s="33" t="s">
        <v>180</v>
      </c>
      <c r="F637" s="33" t="s">
        <v>189</v>
      </c>
      <c r="G637" s="33" t="s">
        <v>181</v>
      </c>
      <c r="H637" s="33" t="s">
        <v>181</v>
      </c>
      <c r="I637" s="39">
        <v>46176.0</v>
      </c>
      <c r="J637" s="39">
        <v>46216.0</v>
      </c>
      <c r="K637" s="39">
        <v>46152.0</v>
      </c>
      <c r="L637" s="40">
        <v>21735.88</v>
      </c>
      <c r="M637" s="40">
        <v>0.0</v>
      </c>
    </row>
    <row r="638" ht="15.75" customHeight="1">
      <c r="A638" s="33" t="s">
        <v>1981</v>
      </c>
      <c r="B638" s="39">
        <v>45800.0</v>
      </c>
      <c r="C638" s="33" t="s">
        <v>184</v>
      </c>
      <c r="D638" s="33" t="s">
        <v>228</v>
      </c>
      <c r="E638" s="33" t="s">
        <v>180</v>
      </c>
      <c r="F638" s="33" t="s">
        <v>181</v>
      </c>
      <c r="G638" s="33" t="s">
        <v>181</v>
      </c>
      <c r="H638" s="33" t="s">
        <v>189</v>
      </c>
      <c r="I638" s="39">
        <v>46254.0</v>
      </c>
      <c r="J638" s="39">
        <v>46064.0</v>
      </c>
      <c r="K638" s="39">
        <v>45834.0</v>
      </c>
      <c r="L638" s="40">
        <v>15849.79</v>
      </c>
      <c r="M638" s="40">
        <v>384.3</v>
      </c>
    </row>
    <row r="639" ht="15.75" customHeight="1">
      <c r="A639" s="33" t="s">
        <v>2520</v>
      </c>
      <c r="B639" s="39">
        <v>45838.0</v>
      </c>
      <c r="C639" s="33" t="s">
        <v>184</v>
      </c>
      <c r="D639" s="33" t="s">
        <v>194</v>
      </c>
      <c r="E639" s="33" t="s">
        <v>180</v>
      </c>
      <c r="F639" s="33" t="s">
        <v>181</v>
      </c>
      <c r="G639" s="33" t="s">
        <v>189</v>
      </c>
      <c r="H639" s="33" t="s">
        <v>189</v>
      </c>
      <c r="I639" s="39">
        <v>46257.0</v>
      </c>
      <c r="J639" s="33"/>
      <c r="K639" s="33"/>
      <c r="L639" s="40">
        <v>0.0</v>
      </c>
      <c r="M639" s="40">
        <v>600.1</v>
      </c>
    </row>
    <row r="640" ht="15.75" customHeight="1">
      <c r="A640" s="33" t="s">
        <v>1758</v>
      </c>
      <c r="B640" s="39">
        <v>46139.0</v>
      </c>
      <c r="C640" s="33" t="s">
        <v>202</v>
      </c>
      <c r="D640" s="33" t="s">
        <v>185</v>
      </c>
      <c r="E640" s="33" t="s">
        <v>180</v>
      </c>
      <c r="F640" s="33" t="s">
        <v>181</v>
      </c>
      <c r="G640" s="33" t="s">
        <v>181</v>
      </c>
      <c r="H640" s="33" t="s">
        <v>189</v>
      </c>
      <c r="I640" s="39">
        <v>46178.0</v>
      </c>
      <c r="J640" s="39">
        <v>46247.0</v>
      </c>
      <c r="K640" s="39">
        <v>45691.0</v>
      </c>
      <c r="L640" s="40">
        <v>23169.9</v>
      </c>
      <c r="M640" s="40">
        <v>1183.52</v>
      </c>
    </row>
    <row r="641" ht="15.75" customHeight="1">
      <c r="A641" s="33" t="s">
        <v>2816</v>
      </c>
      <c r="B641" s="39">
        <v>46233.0</v>
      </c>
      <c r="C641" s="33" t="s">
        <v>202</v>
      </c>
      <c r="D641" s="33" t="s">
        <v>185</v>
      </c>
      <c r="E641" s="33" t="s">
        <v>222</v>
      </c>
      <c r="F641" s="33" t="s">
        <v>181</v>
      </c>
      <c r="G641" s="33" t="s">
        <v>181</v>
      </c>
      <c r="H641" s="33" t="s">
        <v>189</v>
      </c>
      <c r="I641" s="39">
        <v>46220.0</v>
      </c>
      <c r="J641" s="39">
        <v>46255.0</v>
      </c>
      <c r="K641" s="39">
        <v>46017.0</v>
      </c>
      <c r="L641" s="40">
        <v>19561.59</v>
      </c>
      <c r="M641" s="40">
        <v>1053.62</v>
      </c>
    </row>
    <row r="642" ht="15.75" customHeight="1">
      <c r="A642" s="33" t="s">
        <v>1051</v>
      </c>
      <c r="B642" s="39">
        <v>46065.0</v>
      </c>
      <c r="C642" s="33" t="s">
        <v>178</v>
      </c>
      <c r="D642" s="33" t="s">
        <v>228</v>
      </c>
      <c r="E642" s="33" t="s">
        <v>180</v>
      </c>
      <c r="F642" s="33" t="s">
        <v>189</v>
      </c>
      <c r="G642" s="33" t="s">
        <v>181</v>
      </c>
      <c r="H642" s="33" t="s">
        <v>189</v>
      </c>
      <c r="I642" s="39">
        <v>46199.0</v>
      </c>
      <c r="J642" s="39">
        <v>46159.0</v>
      </c>
      <c r="K642" s="39">
        <v>46159.0</v>
      </c>
      <c r="L642" s="40">
        <v>0.0</v>
      </c>
      <c r="M642" s="40">
        <v>0.0</v>
      </c>
    </row>
    <row r="643" ht="15.75" customHeight="1">
      <c r="A643" s="33" t="s">
        <v>2418</v>
      </c>
      <c r="B643" s="39">
        <v>46214.0</v>
      </c>
      <c r="C643" s="33" t="s">
        <v>187</v>
      </c>
      <c r="D643" s="33" t="s">
        <v>196</v>
      </c>
      <c r="E643" s="33" t="s">
        <v>180</v>
      </c>
      <c r="F643" s="33" t="s">
        <v>181</v>
      </c>
      <c r="G643" s="33" t="s">
        <v>189</v>
      </c>
      <c r="H643" s="33" t="s">
        <v>189</v>
      </c>
      <c r="I643" s="39">
        <v>46197.0</v>
      </c>
      <c r="J643" s="33"/>
      <c r="K643" s="33"/>
      <c r="L643" s="40">
        <v>6039.65</v>
      </c>
      <c r="M643" s="40">
        <v>1882.27</v>
      </c>
    </row>
    <row r="644" ht="15.75" customHeight="1">
      <c r="A644" s="33" t="s">
        <v>1737</v>
      </c>
      <c r="B644" s="39">
        <v>46176.0</v>
      </c>
      <c r="C644" s="33" t="s">
        <v>178</v>
      </c>
      <c r="D644" s="33" t="s">
        <v>194</v>
      </c>
      <c r="E644" s="33" t="s">
        <v>180</v>
      </c>
      <c r="F644" s="33" t="s">
        <v>181</v>
      </c>
      <c r="G644" s="33" t="s">
        <v>181</v>
      </c>
      <c r="H644" s="33" t="s">
        <v>189</v>
      </c>
      <c r="I644" s="39">
        <v>46236.0</v>
      </c>
      <c r="J644" s="39">
        <v>46243.0</v>
      </c>
      <c r="K644" s="39">
        <v>46194.0</v>
      </c>
      <c r="L644" s="40">
        <v>0.0</v>
      </c>
      <c r="M644" s="40">
        <v>5263.35</v>
      </c>
    </row>
    <row r="645" ht="15.75" customHeight="1">
      <c r="A645" s="33" t="s">
        <v>1725</v>
      </c>
      <c r="B645" s="39">
        <v>45949.0</v>
      </c>
      <c r="C645" s="33" t="s">
        <v>178</v>
      </c>
      <c r="D645" s="33" t="s">
        <v>228</v>
      </c>
      <c r="E645" s="33" t="s">
        <v>222</v>
      </c>
      <c r="F645" s="33" t="s">
        <v>181</v>
      </c>
      <c r="G645" s="33" t="s">
        <v>181</v>
      </c>
      <c r="H645" s="33" t="s">
        <v>189</v>
      </c>
      <c r="I645" s="39">
        <v>46225.0</v>
      </c>
      <c r="J645" s="39">
        <v>46242.0</v>
      </c>
      <c r="K645" s="39">
        <v>46027.0</v>
      </c>
      <c r="L645" s="40">
        <v>0.0</v>
      </c>
      <c r="M645" s="40">
        <v>727.96</v>
      </c>
    </row>
    <row r="646" ht="15.75" customHeight="1">
      <c r="A646" s="33" t="s">
        <v>558</v>
      </c>
      <c r="B646" s="39">
        <v>46125.0</v>
      </c>
      <c r="C646" s="33" t="s">
        <v>202</v>
      </c>
      <c r="D646" s="33" t="s">
        <v>228</v>
      </c>
      <c r="E646" s="33" t="s">
        <v>180</v>
      </c>
      <c r="F646" s="33" t="s">
        <v>181</v>
      </c>
      <c r="G646" s="33" t="s">
        <v>181</v>
      </c>
      <c r="H646" s="33" t="s">
        <v>189</v>
      </c>
      <c r="I646" s="39">
        <v>46238.0</v>
      </c>
      <c r="J646" s="39">
        <v>46250.0</v>
      </c>
      <c r="K646" s="39">
        <v>46202.0</v>
      </c>
      <c r="L646" s="40">
        <v>27996.73</v>
      </c>
      <c r="M646" s="40">
        <v>1035.42</v>
      </c>
    </row>
    <row r="647" ht="15.75" customHeight="1">
      <c r="A647" s="33" t="s">
        <v>3305</v>
      </c>
      <c r="B647" s="39">
        <v>45857.0</v>
      </c>
      <c r="C647" s="33" t="s">
        <v>178</v>
      </c>
      <c r="D647" s="33" t="s">
        <v>185</v>
      </c>
      <c r="E647" s="33" t="s">
        <v>222</v>
      </c>
      <c r="F647" s="33" t="s">
        <v>181</v>
      </c>
      <c r="G647" s="33" t="s">
        <v>181</v>
      </c>
      <c r="H647" s="33" t="s">
        <v>181</v>
      </c>
      <c r="I647" s="39">
        <v>46224.0</v>
      </c>
      <c r="J647" s="39">
        <v>46250.0</v>
      </c>
      <c r="K647" s="39">
        <v>46250.0</v>
      </c>
      <c r="L647" s="40">
        <v>24733.06</v>
      </c>
      <c r="M647" s="40">
        <v>1549.04</v>
      </c>
    </row>
    <row r="648" ht="15.75" customHeight="1">
      <c r="A648" s="33" t="s">
        <v>3652</v>
      </c>
      <c r="B648" s="39">
        <v>45937.0</v>
      </c>
      <c r="C648" s="33" t="s">
        <v>178</v>
      </c>
      <c r="D648" s="33" t="s">
        <v>228</v>
      </c>
      <c r="E648" s="33" t="s">
        <v>222</v>
      </c>
      <c r="F648" s="33" t="s">
        <v>181</v>
      </c>
      <c r="G648" s="33" t="s">
        <v>189</v>
      </c>
      <c r="H648" s="33" t="s">
        <v>189</v>
      </c>
      <c r="I648" s="39">
        <v>46134.0</v>
      </c>
      <c r="J648" s="33"/>
      <c r="K648" s="33"/>
      <c r="L648" s="40">
        <v>0.0</v>
      </c>
      <c r="M648" s="40">
        <v>970.74</v>
      </c>
    </row>
    <row r="649" ht="15.75" customHeight="1">
      <c r="A649" s="33" t="s">
        <v>1393</v>
      </c>
      <c r="B649" s="39">
        <v>45983.0</v>
      </c>
      <c r="C649" s="33" t="s">
        <v>184</v>
      </c>
      <c r="D649" s="33" t="s">
        <v>188</v>
      </c>
      <c r="E649" s="33" t="s">
        <v>180</v>
      </c>
      <c r="F649" s="33" t="s">
        <v>181</v>
      </c>
      <c r="G649" s="33" t="s">
        <v>181</v>
      </c>
      <c r="H649" s="33" t="s">
        <v>181</v>
      </c>
      <c r="I649" s="39">
        <v>46186.0</v>
      </c>
      <c r="J649" s="39">
        <v>46243.0</v>
      </c>
      <c r="K649" s="39">
        <v>46243.0</v>
      </c>
      <c r="L649" s="40">
        <v>0.0</v>
      </c>
      <c r="M649" s="40">
        <v>1874.88</v>
      </c>
    </row>
    <row r="650" ht="15.75" customHeight="1">
      <c r="A650" s="33" t="s">
        <v>2205</v>
      </c>
      <c r="B650" s="39">
        <v>46241.0</v>
      </c>
      <c r="C650" s="33" t="s">
        <v>184</v>
      </c>
      <c r="D650" s="33" t="s">
        <v>194</v>
      </c>
      <c r="E650" s="33" t="s">
        <v>222</v>
      </c>
      <c r="F650" s="33" t="s">
        <v>181</v>
      </c>
      <c r="G650" s="33" t="s">
        <v>189</v>
      </c>
      <c r="H650" s="33" t="s">
        <v>181</v>
      </c>
      <c r="I650" s="39">
        <v>46086.0</v>
      </c>
      <c r="J650" s="33"/>
      <c r="K650" s="33"/>
      <c r="L650" s="40">
        <v>15803.28</v>
      </c>
      <c r="M650" s="40">
        <v>2463.94</v>
      </c>
    </row>
    <row r="651" ht="15.75" customHeight="1">
      <c r="A651" s="33" t="s">
        <v>1828</v>
      </c>
      <c r="B651" s="39">
        <v>46173.0</v>
      </c>
      <c r="C651" s="33" t="s">
        <v>178</v>
      </c>
      <c r="D651" s="33" t="s">
        <v>185</v>
      </c>
      <c r="E651" s="33" t="s">
        <v>180</v>
      </c>
      <c r="F651" s="33" t="s">
        <v>181</v>
      </c>
      <c r="G651" s="33" t="s">
        <v>181</v>
      </c>
      <c r="H651" s="33" t="s">
        <v>189</v>
      </c>
      <c r="I651" s="39">
        <v>46193.0</v>
      </c>
      <c r="J651" s="39">
        <v>46255.0</v>
      </c>
      <c r="K651" s="39">
        <v>46255.0</v>
      </c>
      <c r="L651" s="40">
        <v>16512.74</v>
      </c>
      <c r="M651" s="40">
        <v>1058.42</v>
      </c>
    </row>
    <row r="652" ht="15.75" customHeight="1">
      <c r="A652" s="33" t="s">
        <v>767</v>
      </c>
      <c r="B652" s="39">
        <v>45954.0</v>
      </c>
      <c r="C652" s="33" t="s">
        <v>178</v>
      </c>
      <c r="D652" s="33" t="s">
        <v>188</v>
      </c>
      <c r="E652" s="33" t="s">
        <v>180</v>
      </c>
      <c r="F652" s="33" t="s">
        <v>181</v>
      </c>
      <c r="G652" s="33" t="s">
        <v>181</v>
      </c>
      <c r="H652" s="33" t="s">
        <v>181</v>
      </c>
      <c r="I652" s="39">
        <v>46196.0</v>
      </c>
      <c r="J652" s="39">
        <v>46217.0</v>
      </c>
      <c r="K652" s="39">
        <v>45741.0</v>
      </c>
      <c r="L652" s="40">
        <v>29966.35</v>
      </c>
      <c r="M652" s="40">
        <v>3102.51</v>
      </c>
    </row>
    <row r="653" ht="15.75" customHeight="1">
      <c r="A653" s="33" t="s">
        <v>1616</v>
      </c>
      <c r="B653" s="39">
        <v>46054.0</v>
      </c>
      <c r="C653" s="33" t="s">
        <v>178</v>
      </c>
      <c r="D653" s="33" t="s">
        <v>179</v>
      </c>
      <c r="E653" s="33" t="s">
        <v>180</v>
      </c>
      <c r="F653" s="33" t="s">
        <v>181</v>
      </c>
      <c r="G653" s="33" t="s">
        <v>181</v>
      </c>
      <c r="H653" s="33" t="s">
        <v>181</v>
      </c>
      <c r="I653" s="39">
        <v>46186.0</v>
      </c>
      <c r="J653" s="39">
        <v>46164.0</v>
      </c>
      <c r="K653" s="39">
        <v>46052.0</v>
      </c>
      <c r="L653" s="40">
        <v>683.62</v>
      </c>
      <c r="M653" s="40">
        <v>1319.47</v>
      </c>
    </row>
    <row r="654" ht="15.75" customHeight="1">
      <c r="A654" s="33" t="s">
        <v>1700</v>
      </c>
      <c r="B654" s="39">
        <v>45780.0</v>
      </c>
      <c r="C654" s="33" t="s">
        <v>184</v>
      </c>
      <c r="D654" s="33" t="s">
        <v>194</v>
      </c>
      <c r="E654" s="33" t="s">
        <v>180</v>
      </c>
      <c r="F654" s="33" t="s">
        <v>181</v>
      </c>
      <c r="G654" s="33" t="s">
        <v>181</v>
      </c>
      <c r="H654" s="33" t="s">
        <v>181</v>
      </c>
      <c r="I654" s="39">
        <v>46196.0</v>
      </c>
      <c r="J654" s="39">
        <v>46185.0</v>
      </c>
      <c r="K654" s="39">
        <v>46185.0</v>
      </c>
      <c r="L654" s="40">
        <v>0.0</v>
      </c>
      <c r="M654" s="40">
        <v>963.38</v>
      </c>
    </row>
    <row r="655" ht="15.75" customHeight="1">
      <c r="A655" s="33" t="s">
        <v>1901</v>
      </c>
      <c r="B655" s="39">
        <v>46146.0</v>
      </c>
      <c r="C655" s="33" t="s">
        <v>184</v>
      </c>
      <c r="D655" s="33" t="s">
        <v>200</v>
      </c>
      <c r="E655" s="33" t="s">
        <v>180</v>
      </c>
      <c r="F655" s="33" t="s">
        <v>181</v>
      </c>
      <c r="G655" s="33" t="s">
        <v>181</v>
      </c>
      <c r="H655" s="33" t="s">
        <v>189</v>
      </c>
      <c r="I655" s="39">
        <v>46207.0</v>
      </c>
      <c r="J655" s="39">
        <v>46255.0</v>
      </c>
      <c r="K655" s="39">
        <v>46015.0</v>
      </c>
      <c r="L655" s="40">
        <v>1524.57</v>
      </c>
      <c r="M655" s="40">
        <v>478.78</v>
      </c>
    </row>
    <row r="656" ht="15.75" customHeight="1">
      <c r="A656" s="33" t="s">
        <v>1016</v>
      </c>
      <c r="B656" s="39">
        <v>45993.0</v>
      </c>
      <c r="C656" s="33" t="s">
        <v>178</v>
      </c>
      <c r="D656" s="33" t="s">
        <v>179</v>
      </c>
      <c r="E656" s="33" t="s">
        <v>180</v>
      </c>
      <c r="F656" s="33" t="s">
        <v>181</v>
      </c>
      <c r="G656" s="33" t="s">
        <v>181</v>
      </c>
      <c r="H656" s="33" t="s">
        <v>189</v>
      </c>
      <c r="I656" s="39">
        <v>46176.0</v>
      </c>
      <c r="J656" s="39">
        <v>46248.0</v>
      </c>
      <c r="K656" s="39">
        <v>45765.0</v>
      </c>
      <c r="L656" s="40">
        <v>42680.58</v>
      </c>
      <c r="M656" s="40">
        <v>2638.01</v>
      </c>
    </row>
    <row r="657" ht="15.75" customHeight="1">
      <c r="A657" s="33" t="s">
        <v>3687</v>
      </c>
      <c r="B657" s="39">
        <v>45981.0</v>
      </c>
      <c r="C657" s="33" t="s">
        <v>184</v>
      </c>
      <c r="D657" s="33" t="s">
        <v>237</v>
      </c>
      <c r="E657" s="33" t="s">
        <v>180</v>
      </c>
      <c r="F657" s="33" t="s">
        <v>181</v>
      </c>
      <c r="G657" s="33" t="s">
        <v>181</v>
      </c>
      <c r="H657" s="33" t="s">
        <v>181</v>
      </c>
      <c r="I657" s="39">
        <v>46236.0</v>
      </c>
      <c r="J657" s="39">
        <v>46261.0</v>
      </c>
      <c r="K657" s="39">
        <v>46261.0</v>
      </c>
      <c r="L657" s="40">
        <v>0.0</v>
      </c>
      <c r="M657" s="40">
        <v>2123.28</v>
      </c>
    </row>
    <row r="658" ht="15.75" customHeight="1">
      <c r="A658" s="33" t="s">
        <v>1856</v>
      </c>
      <c r="B658" s="39">
        <v>46123.0</v>
      </c>
      <c r="C658" s="33" t="s">
        <v>178</v>
      </c>
      <c r="D658" s="33" t="s">
        <v>194</v>
      </c>
      <c r="E658" s="33" t="s">
        <v>180</v>
      </c>
      <c r="F658" s="33" t="s">
        <v>181</v>
      </c>
      <c r="G658" s="33" t="s">
        <v>181</v>
      </c>
      <c r="H658" s="33" t="s">
        <v>181</v>
      </c>
      <c r="I658" s="39">
        <v>46228.0</v>
      </c>
      <c r="J658" s="39">
        <v>46087.0</v>
      </c>
      <c r="K658" s="39">
        <v>46087.0</v>
      </c>
      <c r="L658" s="40">
        <v>1645.93</v>
      </c>
      <c r="M658" s="40">
        <v>692.48</v>
      </c>
    </row>
    <row r="659" ht="15.75" customHeight="1">
      <c r="A659" s="33" t="s">
        <v>3344</v>
      </c>
      <c r="B659" s="39">
        <v>46042.0</v>
      </c>
      <c r="C659" s="33" t="s">
        <v>178</v>
      </c>
      <c r="D659" s="33" t="s">
        <v>179</v>
      </c>
      <c r="E659" s="33" t="s">
        <v>180</v>
      </c>
      <c r="F659" s="33" t="s">
        <v>181</v>
      </c>
      <c r="G659" s="33" t="s">
        <v>181</v>
      </c>
      <c r="H659" s="33" t="s">
        <v>189</v>
      </c>
      <c r="I659" s="39">
        <v>46184.0</v>
      </c>
      <c r="J659" s="39">
        <v>46181.0</v>
      </c>
      <c r="K659" s="39">
        <v>46148.0</v>
      </c>
      <c r="L659" s="40">
        <v>2948.11</v>
      </c>
      <c r="M659" s="40">
        <v>871.53</v>
      </c>
    </row>
    <row r="660" ht="15.75" customHeight="1">
      <c r="A660" s="33" t="s">
        <v>665</v>
      </c>
      <c r="B660" s="39">
        <v>45701.0</v>
      </c>
      <c r="C660" s="33" t="s">
        <v>184</v>
      </c>
      <c r="D660" s="33" t="s">
        <v>188</v>
      </c>
      <c r="E660" s="33" t="s">
        <v>180</v>
      </c>
      <c r="F660" s="33" t="s">
        <v>181</v>
      </c>
      <c r="G660" s="33" t="s">
        <v>181</v>
      </c>
      <c r="H660" s="33" t="s">
        <v>189</v>
      </c>
      <c r="I660" s="39">
        <v>46238.0</v>
      </c>
      <c r="J660" s="39">
        <v>46221.0</v>
      </c>
      <c r="K660" s="39">
        <v>45677.0</v>
      </c>
      <c r="L660" s="40">
        <v>52219.97</v>
      </c>
      <c r="M660" s="40">
        <v>2000.4</v>
      </c>
    </row>
    <row r="661" ht="15.75" customHeight="1">
      <c r="A661" s="33" t="s">
        <v>1424</v>
      </c>
      <c r="B661" s="39">
        <v>45832.0</v>
      </c>
      <c r="C661" s="33" t="s">
        <v>178</v>
      </c>
      <c r="D661" s="33" t="s">
        <v>228</v>
      </c>
      <c r="E661" s="33" t="s">
        <v>180</v>
      </c>
      <c r="F661" s="33" t="s">
        <v>181</v>
      </c>
      <c r="G661" s="33" t="s">
        <v>181</v>
      </c>
      <c r="H661" s="33" t="s">
        <v>181</v>
      </c>
      <c r="I661" s="39">
        <v>46239.0</v>
      </c>
      <c r="J661" s="39">
        <v>46201.0</v>
      </c>
      <c r="K661" s="39">
        <v>46201.0</v>
      </c>
      <c r="L661" s="40">
        <v>0.0</v>
      </c>
      <c r="M661" s="40">
        <v>2524.36</v>
      </c>
    </row>
    <row r="662" ht="15.75" customHeight="1">
      <c r="A662" s="33" t="s">
        <v>3598</v>
      </c>
      <c r="B662" s="39">
        <v>45765.0</v>
      </c>
      <c r="C662" s="33" t="s">
        <v>178</v>
      </c>
      <c r="D662" s="33" t="s">
        <v>179</v>
      </c>
      <c r="E662" s="33" t="s">
        <v>330</v>
      </c>
      <c r="F662" s="33" t="s">
        <v>189</v>
      </c>
      <c r="G662" s="33" t="s">
        <v>181</v>
      </c>
      <c r="H662" s="33" t="s">
        <v>189</v>
      </c>
      <c r="I662" s="39">
        <v>45795.0</v>
      </c>
      <c r="J662" s="39">
        <v>46244.0</v>
      </c>
      <c r="K662" s="39">
        <v>46166.0</v>
      </c>
      <c r="L662" s="40">
        <v>0.0</v>
      </c>
      <c r="M662" s="40">
        <v>0.0</v>
      </c>
    </row>
    <row r="663" ht="15.75" customHeight="1">
      <c r="A663" s="33" t="s">
        <v>378</v>
      </c>
      <c r="B663" s="39">
        <v>46104.0</v>
      </c>
      <c r="C663" s="33" t="s">
        <v>178</v>
      </c>
      <c r="D663" s="33" t="s">
        <v>200</v>
      </c>
      <c r="E663" s="33" t="s">
        <v>330</v>
      </c>
      <c r="F663" s="33" t="s">
        <v>181</v>
      </c>
      <c r="G663" s="33" t="s">
        <v>181</v>
      </c>
      <c r="H663" s="33" t="s">
        <v>189</v>
      </c>
      <c r="I663" s="39">
        <v>46148.0</v>
      </c>
      <c r="J663" s="39">
        <v>46072.0</v>
      </c>
      <c r="K663" s="39">
        <v>45979.0</v>
      </c>
      <c r="L663" s="40">
        <v>0.0</v>
      </c>
      <c r="M663" s="40">
        <v>0.0</v>
      </c>
    </row>
    <row r="664" ht="15.75" customHeight="1">
      <c r="A664" s="33" t="s">
        <v>1645</v>
      </c>
      <c r="B664" s="39">
        <v>45679.0</v>
      </c>
      <c r="C664" s="33" t="s">
        <v>187</v>
      </c>
      <c r="D664" s="33" t="s">
        <v>194</v>
      </c>
      <c r="E664" s="33" t="s">
        <v>180</v>
      </c>
      <c r="F664" s="33" t="s">
        <v>181</v>
      </c>
      <c r="G664" s="33" t="s">
        <v>181</v>
      </c>
      <c r="H664" s="33" t="s">
        <v>181</v>
      </c>
      <c r="I664" s="39">
        <v>46212.0</v>
      </c>
      <c r="J664" s="39">
        <v>46208.0</v>
      </c>
      <c r="K664" s="39">
        <v>46136.0</v>
      </c>
      <c r="L664" s="40">
        <v>0.0</v>
      </c>
      <c r="M664" s="40">
        <v>2628.62</v>
      </c>
    </row>
    <row r="665" ht="15.75" customHeight="1">
      <c r="A665" s="33" t="s">
        <v>1034</v>
      </c>
      <c r="B665" s="39">
        <v>45780.0</v>
      </c>
      <c r="C665" s="33" t="s">
        <v>184</v>
      </c>
      <c r="D665" s="33" t="s">
        <v>185</v>
      </c>
      <c r="E665" s="33" t="s">
        <v>180</v>
      </c>
      <c r="F665" s="33" t="s">
        <v>181</v>
      </c>
      <c r="G665" s="33" t="s">
        <v>181</v>
      </c>
      <c r="H665" s="33" t="s">
        <v>189</v>
      </c>
      <c r="I665" s="39">
        <v>46186.0</v>
      </c>
      <c r="J665" s="39">
        <v>46253.0</v>
      </c>
      <c r="K665" s="33"/>
      <c r="L665" s="40">
        <v>43737.32</v>
      </c>
      <c r="M665" s="40">
        <v>6327.8</v>
      </c>
    </row>
    <row r="666" ht="15.75" customHeight="1">
      <c r="A666" s="33" t="s">
        <v>2340</v>
      </c>
      <c r="B666" s="39">
        <v>46020.0</v>
      </c>
      <c r="C666" s="33" t="s">
        <v>184</v>
      </c>
      <c r="D666" s="33" t="s">
        <v>188</v>
      </c>
      <c r="E666" s="33" t="s">
        <v>180</v>
      </c>
      <c r="F666" s="33" t="s">
        <v>181</v>
      </c>
      <c r="G666" s="33" t="s">
        <v>181</v>
      </c>
      <c r="H666" s="33" t="s">
        <v>189</v>
      </c>
      <c r="I666" s="39">
        <v>46253.0</v>
      </c>
      <c r="J666" s="39">
        <v>46258.0</v>
      </c>
      <c r="K666" s="39">
        <v>46258.0</v>
      </c>
      <c r="L666" s="40">
        <v>0.0</v>
      </c>
      <c r="M666" s="40">
        <v>3139.45</v>
      </c>
    </row>
    <row r="667" ht="15.75" customHeight="1">
      <c r="A667" s="33" t="s">
        <v>1554</v>
      </c>
      <c r="B667" s="39">
        <v>46079.0</v>
      </c>
      <c r="C667" s="33" t="s">
        <v>178</v>
      </c>
      <c r="D667" s="33" t="s">
        <v>200</v>
      </c>
      <c r="E667" s="33" t="s">
        <v>180</v>
      </c>
      <c r="F667" s="33" t="s">
        <v>181</v>
      </c>
      <c r="G667" s="33" t="s">
        <v>181</v>
      </c>
      <c r="H667" s="33" t="s">
        <v>189</v>
      </c>
      <c r="I667" s="39">
        <v>46204.0</v>
      </c>
      <c r="J667" s="39">
        <v>45971.0</v>
      </c>
      <c r="K667" s="39">
        <v>45753.0</v>
      </c>
      <c r="L667" s="40">
        <v>0.0</v>
      </c>
      <c r="M667" s="40">
        <v>2685.06</v>
      </c>
    </row>
    <row r="668" ht="15.75" customHeight="1">
      <c r="A668" s="33" t="s">
        <v>923</v>
      </c>
      <c r="B668" s="39">
        <v>45963.0</v>
      </c>
      <c r="C668" s="33" t="s">
        <v>178</v>
      </c>
      <c r="D668" s="33" t="s">
        <v>228</v>
      </c>
      <c r="E668" s="33" t="s">
        <v>180</v>
      </c>
      <c r="F668" s="33" t="s">
        <v>181</v>
      </c>
      <c r="G668" s="33" t="s">
        <v>181</v>
      </c>
      <c r="H668" s="33" t="s">
        <v>189</v>
      </c>
      <c r="I668" s="39">
        <v>46197.0</v>
      </c>
      <c r="J668" s="39">
        <v>46229.0</v>
      </c>
      <c r="K668" s="39">
        <v>46229.0</v>
      </c>
      <c r="L668" s="40">
        <v>0.0</v>
      </c>
      <c r="M668" s="40">
        <v>1139.19</v>
      </c>
    </row>
    <row r="669" ht="15.75" customHeight="1">
      <c r="A669" s="33" t="s">
        <v>3195</v>
      </c>
      <c r="B669" s="39">
        <v>46180.0</v>
      </c>
      <c r="C669" s="33" t="s">
        <v>184</v>
      </c>
      <c r="D669" s="33" t="s">
        <v>196</v>
      </c>
      <c r="E669" s="33" t="s">
        <v>180</v>
      </c>
      <c r="F669" s="33" t="s">
        <v>181</v>
      </c>
      <c r="G669" s="33" t="s">
        <v>181</v>
      </c>
      <c r="H669" s="33" t="s">
        <v>189</v>
      </c>
      <c r="I669" s="39">
        <v>46185.0</v>
      </c>
      <c r="J669" s="39">
        <v>46152.0</v>
      </c>
      <c r="K669" s="39">
        <v>46152.0</v>
      </c>
      <c r="L669" s="40">
        <v>1692.4</v>
      </c>
      <c r="M669" s="40">
        <v>632.07</v>
      </c>
    </row>
    <row r="670" ht="15.75" customHeight="1">
      <c r="A670" s="33" t="s">
        <v>2911</v>
      </c>
      <c r="B670" s="39">
        <v>46215.0</v>
      </c>
      <c r="C670" s="33" t="s">
        <v>178</v>
      </c>
      <c r="D670" s="33" t="s">
        <v>237</v>
      </c>
      <c r="E670" s="33" t="s">
        <v>180</v>
      </c>
      <c r="F670" s="33" t="s">
        <v>181</v>
      </c>
      <c r="G670" s="33" t="s">
        <v>181</v>
      </c>
      <c r="H670" s="33" t="s">
        <v>189</v>
      </c>
      <c r="I670" s="39">
        <v>46198.0</v>
      </c>
      <c r="J670" s="39">
        <v>46260.0</v>
      </c>
      <c r="K670" s="39">
        <v>46086.0</v>
      </c>
      <c r="L670" s="40">
        <v>0.0</v>
      </c>
      <c r="M670" s="40">
        <v>4036.38</v>
      </c>
    </row>
    <row r="671" ht="15.75" customHeight="1">
      <c r="A671" s="33" t="s">
        <v>1232</v>
      </c>
      <c r="B671" s="39">
        <v>45738.0</v>
      </c>
      <c r="C671" s="33" t="s">
        <v>184</v>
      </c>
      <c r="D671" s="33" t="s">
        <v>194</v>
      </c>
      <c r="E671" s="33" t="s">
        <v>180</v>
      </c>
      <c r="F671" s="33" t="s">
        <v>181</v>
      </c>
      <c r="G671" s="33" t="s">
        <v>181</v>
      </c>
      <c r="H671" s="33" t="s">
        <v>189</v>
      </c>
      <c r="I671" s="39">
        <v>46251.0</v>
      </c>
      <c r="J671" s="39">
        <v>46208.0</v>
      </c>
      <c r="K671" s="39">
        <v>45924.0</v>
      </c>
      <c r="L671" s="40">
        <v>0.0</v>
      </c>
      <c r="M671" s="40">
        <v>1184.67</v>
      </c>
    </row>
    <row r="672" ht="15.75" customHeight="1">
      <c r="A672" s="33" t="s">
        <v>2245</v>
      </c>
      <c r="B672" s="39">
        <v>46236.0</v>
      </c>
      <c r="C672" s="33" t="s">
        <v>187</v>
      </c>
      <c r="D672" s="33" t="s">
        <v>179</v>
      </c>
      <c r="E672" s="33" t="s">
        <v>180</v>
      </c>
      <c r="F672" s="33" t="s">
        <v>181</v>
      </c>
      <c r="G672" s="33" t="s">
        <v>189</v>
      </c>
      <c r="H672" s="33" t="s">
        <v>189</v>
      </c>
      <c r="I672" s="39">
        <v>46221.0</v>
      </c>
      <c r="J672" s="33"/>
      <c r="K672" s="33"/>
      <c r="L672" s="40">
        <v>0.0</v>
      </c>
      <c r="M672" s="40">
        <v>2322.06</v>
      </c>
    </row>
    <row r="673" ht="15.75" customHeight="1">
      <c r="A673" s="33" t="s">
        <v>1359</v>
      </c>
      <c r="B673" s="39">
        <v>46030.0</v>
      </c>
      <c r="C673" s="33" t="s">
        <v>178</v>
      </c>
      <c r="D673" s="33" t="s">
        <v>188</v>
      </c>
      <c r="E673" s="33" t="s">
        <v>180</v>
      </c>
      <c r="F673" s="33" t="s">
        <v>189</v>
      </c>
      <c r="G673" s="33" t="s">
        <v>181</v>
      </c>
      <c r="H673" s="33" t="s">
        <v>189</v>
      </c>
      <c r="I673" s="39">
        <v>46180.0</v>
      </c>
      <c r="J673" s="39">
        <v>46185.0</v>
      </c>
      <c r="K673" s="39">
        <v>46009.0</v>
      </c>
      <c r="L673" s="40">
        <v>3805.07</v>
      </c>
      <c r="M673" s="40">
        <v>0.0</v>
      </c>
    </row>
    <row r="674" ht="15.75" customHeight="1">
      <c r="A674" s="33" t="s">
        <v>3428</v>
      </c>
      <c r="B674" s="39">
        <v>46044.0</v>
      </c>
      <c r="C674" s="33" t="s">
        <v>184</v>
      </c>
      <c r="D674" s="33" t="s">
        <v>196</v>
      </c>
      <c r="E674" s="33" t="s">
        <v>222</v>
      </c>
      <c r="F674" s="33" t="s">
        <v>181</v>
      </c>
      <c r="G674" s="33" t="s">
        <v>189</v>
      </c>
      <c r="H674" s="33" t="s">
        <v>189</v>
      </c>
      <c r="I674" s="39">
        <v>46099.0</v>
      </c>
      <c r="J674" s="33"/>
      <c r="K674" s="33"/>
      <c r="L674" s="40">
        <v>2691.43</v>
      </c>
      <c r="M674" s="40">
        <v>456.8</v>
      </c>
    </row>
    <row r="675" ht="15.75" customHeight="1">
      <c r="A675" s="33" t="s">
        <v>1152</v>
      </c>
      <c r="B675" s="39">
        <v>45715.0</v>
      </c>
      <c r="C675" s="33" t="s">
        <v>178</v>
      </c>
      <c r="D675" s="33" t="s">
        <v>228</v>
      </c>
      <c r="E675" s="33" t="s">
        <v>180</v>
      </c>
      <c r="F675" s="33" t="s">
        <v>181</v>
      </c>
      <c r="G675" s="33" t="s">
        <v>181</v>
      </c>
      <c r="H675" s="33" t="s">
        <v>189</v>
      </c>
      <c r="I675" s="39">
        <v>46210.0</v>
      </c>
      <c r="J675" s="39">
        <v>46096.0</v>
      </c>
      <c r="K675" s="39">
        <v>46038.0</v>
      </c>
      <c r="L675" s="40">
        <v>0.0</v>
      </c>
      <c r="M675" s="40">
        <v>304.85</v>
      </c>
    </row>
    <row r="676" ht="15.75" customHeight="1">
      <c r="A676" s="33" t="s">
        <v>1132</v>
      </c>
      <c r="B676" s="39">
        <v>46035.0</v>
      </c>
      <c r="C676" s="33" t="s">
        <v>178</v>
      </c>
      <c r="D676" s="33" t="s">
        <v>200</v>
      </c>
      <c r="E676" s="33" t="s">
        <v>180</v>
      </c>
      <c r="F676" s="33" t="s">
        <v>181</v>
      </c>
      <c r="G676" s="33" t="s">
        <v>181</v>
      </c>
      <c r="H676" s="33" t="s">
        <v>181</v>
      </c>
      <c r="I676" s="39">
        <v>46179.0</v>
      </c>
      <c r="J676" s="39">
        <v>46177.0</v>
      </c>
      <c r="K676" s="39">
        <v>46118.0</v>
      </c>
      <c r="L676" s="40">
        <v>44373.68</v>
      </c>
      <c r="M676" s="40">
        <v>3120.31</v>
      </c>
    </row>
    <row r="677" ht="15.75" customHeight="1">
      <c r="A677" s="33" t="s">
        <v>817</v>
      </c>
      <c r="B677" s="39">
        <v>46098.0</v>
      </c>
      <c r="C677" s="33" t="s">
        <v>202</v>
      </c>
      <c r="D677" s="33" t="s">
        <v>228</v>
      </c>
      <c r="E677" s="33" t="s">
        <v>180</v>
      </c>
      <c r="F677" s="33" t="s">
        <v>181</v>
      </c>
      <c r="G677" s="33" t="s">
        <v>181</v>
      </c>
      <c r="H677" s="33" t="s">
        <v>181</v>
      </c>
      <c r="I677" s="39">
        <v>46205.0</v>
      </c>
      <c r="J677" s="39">
        <v>46184.0</v>
      </c>
      <c r="K677" s="39">
        <v>45923.0</v>
      </c>
      <c r="L677" s="40">
        <v>0.0</v>
      </c>
      <c r="M677" s="40">
        <v>945.85</v>
      </c>
    </row>
    <row r="678" ht="15.75" customHeight="1">
      <c r="A678" s="33" t="s">
        <v>530</v>
      </c>
      <c r="B678" s="39">
        <v>46010.0</v>
      </c>
      <c r="C678" s="33" t="s">
        <v>202</v>
      </c>
      <c r="D678" s="33" t="s">
        <v>228</v>
      </c>
      <c r="E678" s="33" t="s">
        <v>180</v>
      </c>
      <c r="F678" s="33" t="s">
        <v>181</v>
      </c>
      <c r="G678" s="33" t="s">
        <v>181</v>
      </c>
      <c r="H678" s="33" t="s">
        <v>189</v>
      </c>
      <c r="I678" s="39">
        <v>46260.0</v>
      </c>
      <c r="J678" s="39">
        <v>46218.0</v>
      </c>
      <c r="K678" s="39">
        <v>45922.0</v>
      </c>
      <c r="L678" s="40">
        <v>19069.9</v>
      </c>
      <c r="M678" s="40">
        <v>2308.27</v>
      </c>
    </row>
    <row r="679" ht="15.75" customHeight="1">
      <c r="A679" s="33" t="s">
        <v>1186</v>
      </c>
      <c r="B679" s="39">
        <v>45709.0</v>
      </c>
      <c r="C679" s="33" t="s">
        <v>187</v>
      </c>
      <c r="D679" s="33" t="s">
        <v>228</v>
      </c>
      <c r="E679" s="33" t="s">
        <v>180</v>
      </c>
      <c r="F679" s="33" t="s">
        <v>181</v>
      </c>
      <c r="G679" s="33" t="s">
        <v>189</v>
      </c>
      <c r="H679" s="33" t="s">
        <v>189</v>
      </c>
      <c r="I679" s="39">
        <v>46183.0</v>
      </c>
      <c r="J679" s="33"/>
      <c r="K679" s="33"/>
      <c r="L679" s="40">
        <v>35068.29</v>
      </c>
      <c r="M679" s="40">
        <v>954.59</v>
      </c>
    </row>
    <row r="680" ht="15.75" customHeight="1">
      <c r="A680" s="33" t="s">
        <v>3612</v>
      </c>
      <c r="B680" s="39">
        <v>45975.0</v>
      </c>
      <c r="C680" s="33" t="s">
        <v>187</v>
      </c>
      <c r="D680" s="33" t="s">
        <v>185</v>
      </c>
      <c r="E680" s="33" t="s">
        <v>180</v>
      </c>
      <c r="F680" s="33" t="s">
        <v>181</v>
      </c>
      <c r="G680" s="33" t="s">
        <v>181</v>
      </c>
      <c r="H680" s="33" t="s">
        <v>181</v>
      </c>
      <c r="I680" s="39">
        <v>46250.0</v>
      </c>
      <c r="J680" s="39">
        <v>46242.0</v>
      </c>
      <c r="K680" s="39">
        <v>46242.0</v>
      </c>
      <c r="L680" s="40">
        <v>0.0</v>
      </c>
      <c r="M680" s="40">
        <v>2485.85</v>
      </c>
    </row>
    <row r="681" ht="15.75" customHeight="1">
      <c r="A681" s="33" t="s">
        <v>2180</v>
      </c>
      <c r="B681" s="39">
        <v>46226.0</v>
      </c>
      <c r="C681" s="33" t="s">
        <v>184</v>
      </c>
      <c r="D681" s="33" t="s">
        <v>237</v>
      </c>
      <c r="E681" s="33" t="s">
        <v>180</v>
      </c>
      <c r="F681" s="33" t="s">
        <v>189</v>
      </c>
      <c r="G681" s="33" t="s">
        <v>189</v>
      </c>
      <c r="H681" s="33" t="s">
        <v>189</v>
      </c>
      <c r="I681" s="39">
        <v>46231.0</v>
      </c>
      <c r="J681" s="33"/>
      <c r="K681" s="33"/>
      <c r="L681" s="40">
        <v>3469.81</v>
      </c>
      <c r="M681" s="40">
        <v>0.0</v>
      </c>
    </row>
    <row r="682" ht="15.75" customHeight="1">
      <c r="A682" s="33" t="s">
        <v>314</v>
      </c>
      <c r="B682" s="39">
        <v>46097.0</v>
      </c>
      <c r="C682" s="33" t="s">
        <v>184</v>
      </c>
      <c r="D682" s="33" t="s">
        <v>185</v>
      </c>
      <c r="E682" s="33" t="s">
        <v>180</v>
      </c>
      <c r="F682" s="33" t="s">
        <v>181</v>
      </c>
      <c r="G682" s="33" t="s">
        <v>181</v>
      </c>
      <c r="H682" s="33" t="s">
        <v>181</v>
      </c>
      <c r="I682" s="39">
        <v>46244.0</v>
      </c>
      <c r="J682" s="39">
        <v>46084.0</v>
      </c>
      <c r="K682" s="39">
        <v>46080.0</v>
      </c>
      <c r="L682" s="40">
        <v>0.0</v>
      </c>
      <c r="M682" s="40">
        <v>1619.48</v>
      </c>
    </row>
    <row r="683" ht="15.75" customHeight="1">
      <c r="A683" s="33" t="s">
        <v>1932</v>
      </c>
      <c r="B683" s="39">
        <v>45741.0</v>
      </c>
      <c r="C683" s="33" t="s">
        <v>202</v>
      </c>
      <c r="D683" s="33" t="s">
        <v>185</v>
      </c>
      <c r="E683" s="33" t="s">
        <v>180</v>
      </c>
      <c r="F683" s="33" t="s">
        <v>181</v>
      </c>
      <c r="G683" s="33" t="s">
        <v>189</v>
      </c>
      <c r="H683" s="33" t="s">
        <v>189</v>
      </c>
      <c r="I683" s="39">
        <v>46201.0</v>
      </c>
      <c r="J683" s="33"/>
      <c r="K683" s="33"/>
      <c r="L683" s="40">
        <v>0.0</v>
      </c>
      <c r="M683" s="40">
        <v>1414.65</v>
      </c>
    </row>
    <row r="684" ht="15.75" customHeight="1">
      <c r="A684" s="33" t="s">
        <v>3774</v>
      </c>
      <c r="B684" s="39">
        <v>46240.0</v>
      </c>
      <c r="C684" s="33" t="s">
        <v>178</v>
      </c>
      <c r="D684" s="33" t="s">
        <v>179</v>
      </c>
      <c r="E684" s="33" t="s">
        <v>180</v>
      </c>
      <c r="F684" s="33" t="s">
        <v>181</v>
      </c>
      <c r="G684" s="33" t="s">
        <v>189</v>
      </c>
      <c r="H684" s="33" t="s">
        <v>189</v>
      </c>
      <c r="I684" s="39">
        <v>46263.0</v>
      </c>
      <c r="J684" s="33"/>
      <c r="K684" s="33"/>
      <c r="L684" s="40">
        <v>0.0</v>
      </c>
      <c r="M684" s="40">
        <v>2159.52</v>
      </c>
    </row>
    <row r="685" ht="15.75" customHeight="1">
      <c r="A685" s="33" t="s">
        <v>2622</v>
      </c>
      <c r="B685" s="39">
        <v>46240.0</v>
      </c>
      <c r="C685" s="33" t="s">
        <v>187</v>
      </c>
      <c r="D685" s="33" t="s">
        <v>179</v>
      </c>
      <c r="E685" s="33" t="s">
        <v>180</v>
      </c>
      <c r="F685" s="33" t="s">
        <v>181</v>
      </c>
      <c r="G685" s="33" t="s">
        <v>181</v>
      </c>
      <c r="H685" s="33" t="s">
        <v>181</v>
      </c>
      <c r="I685" s="39">
        <v>46208.0</v>
      </c>
      <c r="J685" s="39">
        <v>46250.0</v>
      </c>
      <c r="K685" s="39">
        <v>46250.0</v>
      </c>
      <c r="L685" s="40">
        <v>0.0</v>
      </c>
      <c r="M685" s="40">
        <v>2403.17</v>
      </c>
    </row>
    <row r="686" ht="15.75" customHeight="1">
      <c r="A686" s="33" t="s">
        <v>721</v>
      </c>
      <c r="B686" s="39">
        <v>45760.0</v>
      </c>
      <c r="C686" s="33" t="s">
        <v>184</v>
      </c>
      <c r="D686" s="33" t="s">
        <v>185</v>
      </c>
      <c r="E686" s="33" t="s">
        <v>180</v>
      </c>
      <c r="F686" s="33" t="s">
        <v>181</v>
      </c>
      <c r="G686" s="33" t="s">
        <v>181</v>
      </c>
      <c r="H686" s="33" t="s">
        <v>189</v>
      </c>
      <c r="I686" s="39">
        <v>46188.0</v>
      </c>
      <c r="J686" s="39">
        <v>46131.0</v>
      </c>
      <c r="K686" s="39">
        <v>46043.0</v>
      </c>
      <c r="L686" s="40">
        <v>0.0</v>
      </c>
      <c r="M686" s="40">
        <v>1021.36</v>
      </c>
    </row>
    <row r="687" ht="15.75" customHeight="1">
      <c r="A687" s="33" t="s">
        <v>2177</v>
      </c>
      <c r="B687" s="39">
        <v>46144.0</v>
      </c>
      <c r="C687" s="33" t="s">
        <v>178</v>
      </c>
      <c r="D687" s="33" t="s">
        <v>188</v>
      </c>
      <c r="E687" s="33" t="s">
        <v>222</v>
      </c>
      <c r="F687" s="33" t="s">
        <v>181</v>
      </c>
      <c r="G687" s="33" t="s">
        <v>181</v>
      </c>
      <c r="H687" s="33" t="s">
        <v>181</v>
      </c>
      <c r="I687" s="39">
        <v>46117.0</v>
      </c>
      <c r="J687" s="39">
        <v>46223.0</v>
      </c>
      <c r="K687" s="39">
        <v>46223.0</v>
      </c>
      <c r="L687" s="40">
        <v>0.0</v>
      </c>
      <c r="M687" s="40">
        <v>2321.19</v>
      </c>
    </row>
    <row r="688" ht="15.75" customHeight="1">
      <c r="A688" s="33" t="s">
        <v>1721</v>
      </c>
      <c r="B688" s="39">
        <v>45904.0</v>
      </c>
      <c r="C688" s="33" t="s">
        <v>202</v>
      </c>
      <c r="D688" s="33" t="s">
        <v>185</v>
      </c>
      <c r="E688" s="33" t="s">
        <v>180</v>
      </c>
      <c r="F688" s="33" t="s">
        <v>181</v>
      </c>
      <c r="G688" s="33" t="s">
        <v>181</v>
      </c>
      <c r="H688" s="33" t="s">
        <v>189</v>
      </c>
      <c r="I688" s="39">
        <v>46238.0</v>
      </c>
      <c r="J688" s="39">
        <v>46223.0</v>
      </c>
      <c r="K688" s="39">
        <v>45787.0</v>
      </c>
      <c r="L688" s="40">
        <v>62034.3</v>
      </c>
      <c r="M688" s="40">
        <v>2449.03</v>
      </c>
    </row>
    <row r="689" ht="15.75" customHeight="1">
      <c r="A689" s="33" t="s">
        <v>3793</v>
      </c>
      <c r="B689" s="39">
        <v>46018.0</v>
      </c>
      <c r="C689" s="33" t="s">
        <v>178</v>
      </c>
      <c r="D689" s="33" t="s">
        <v>200</v>
      </c>
      <c r="E689" s="33" t="s">
        <v>180</v>
      </c>
      <c r="F689" s="33" t="s">
        <v>181</v>
      </c>
      <c r="G689" s="33" t="s">
        <v>189</v>
      </c>
      <c r="H689" s="33" t="s">
        <v>181</v>
      </c>
      <c r="I689" s="39">
        <v>46185.0</v>
      </c>
      <c r="J689" s="33"/>
      <c r="K689" s="33"/>
      <c r="L689" s="40">
        <v>0.0</v>
      </c>
      <c r="M689" s="40">
        <v>3080.71</v>
      </c>
    </row>
    <row r="690" ht="15.75" customHeight="1">
      <c r="A690" s="33" t="s">
        <v>275</v>
      </c>
      <c r="B690" s="39">
        <v>45928.0</v>
      </c>
      <c r="C690" s="33" t="s">
        <v>178</v>
      </c>
      <c r="D690" s="33" t="s">
        <v>196</v>
      </c>
      <c r="E690" s="33" t="s">
        <v>222</v>
      </c>
      <c r="F690" s="33" t="s">
        <v>181</v>
      </c>
      <c r="G690" s="33" t="s">
        <v>181</v>
      </c>
      <c r="H690" s="33" t="s">
        <v>189</v>
      </c>
      <c r="I690" s="39">
        <v>46181.0</v>
      </c>
      <c r="J690" s="39">
        <v>46181.0</v>
      </c>
      <c r="K690" s="39">
        <v>46181.0</v>
      </c>
      <c r="L690" s="40">
        <v>0.0</v>
      </c>
      <c r="M690" s="40">
        <v>3761.27</v>
      </c>
    </row>
    <row r="691" ht="15.75" customHeight="1">
      <c r="A691" s="33" t="s">
        <v>961</v>
      </c>
      <c r="B691" s="39">
        <v>46133.0</v>
      </c>
      <c r="C691" s="33" t="s">
        <v>187</v>
      </c>
      <c r="D691" s="33" t="s">
        <v>200</v>
      </c>
      <c r="E691" s="33" t="s">
        <v>180</v>
      </c>
      <c r="F691" s="33" t="s">
        <v>181</v>
      </c>
      <c r="G691" s="33" t="s">
        <v>181</v>
      </c>
      <c r="H691" s="33" t="s">
        <v>189</v>
      </c>
      <c r="I691" s="39">
        <v>46204.0</v>
      </c>
      <c r="J691" s="39">
        <v>46238.0</v>
      </c>
      <c r="K691" s="39">
        <v>46085.0</v>
      </c>
      <c r="L691" s="40">
        <v>0.0</v>
      </c>
      <c r="M691" s="40">
        <v>1667.61</v>
      </c>
    </row>
    <row r="692" ht="15.75" customHeight="1">
      <c r="A692" s="33" t="s">
        <v>3807</v>
      </c>
      <c r="B692" s="39">
        <v>46262.0</v>
      </c>
      <c r="C692" s="33" t="s">
        <v>178</v>
      </c>
      <c r="D692" s="33" t="s">
        <v>196</v>
      </c>
      <c r="E692" s="33" t="s">
        <v>180</v>
      </c>
      <c r="F692" s="33" t="s">
        <v>189</v>
      </c>
      <c r="G692" s="33" t="s">
        <v>181</v>
      </c>
      <c r="H692" s="33" t="s">
        <v>181</v>
      </c>
      <c r="I692" s="39">
        <v>46220.0</v>
      </c>
      <c r="J692" s="39">
        <v>46263.0</v>
      </c>
      <c r="K692" s="39">
        <v>46028.0</v>
      </c>
      <c r="L692" s="40">
        <v>0.0</v>
      </c>
      <c r="M692" s="40">
        <v>0.0</v>
      </c>
    </row>
    <row r="693" ht="15.75" customHeight="1">
      <c r="A693" s="33" t="s">
        <v>2021</v>
      </c>
      <c r="B693" s="39">
        <v>46140.0</v>
      </c>
      <c r="C693" s="33" t="s">
        <v>184</v>
      </c>
      <c r="D693" s="33" t="s">
        <v>228</v>
      </c>
      <c r="E693" s="33" t="s">
        <v>180</v>
      </c>
      <c r="F693" s="33" t="s">
        <v>181</v>
      </c>
      <c r="G693" s="33" t="s">
        <v>181</v>
      </c>
      <c r="H693" s="33" t="s">
        <v>181</v>
      </c>
      <c r="I693" s="39">
        <v>46259.0</v>
      </c>
      <c r="J693" s="39">
        <v>46125.0</v>
      </c>
      <c r="K693" s="39">
        <v>45858.0</v>
      </c>
      <c r="L693" s="40">
        <v>0.0</v>
      </c>
      <c r="M693" s="40">
        <v>961.23</v>
      </c>
    </row>
    <row r="694" ht="15.75" customHeight="1">
      <c r="A694" s="33" t="s">
        <v>1914</v>
      </c>
      <c r="B694" s="39">
        <v>46223.0</v>
      </c>
      <c r="C694" s="33" t="s">
        <v>184</v>
      </c>
      <c r="D694" s="33" t="s">
        <v>185</v>
      </c>
      <c r="E694" s="33" t="s">
        <v>180</v>
      </c>
      <c r="F694" s="33" t="s">
        <v>181</v>
      </c>
      <c r="G694" s="33" t="s">
        <v>189</v>
      </c>
      <c r="H694" s="33" t="s">
        <v>181</v>
      </c>
      <c r="I694" s="39">
        <v>46265.0</v>
      </c>
      <c r="J694" s="33"/>
      <c r="K694" s="33"/>
      <c r="L694" s="40">
        <v>0.0</v>
      </c>
      <c r="M694" s="40">
        <v>781.72</v>
      </c>
    </row>
    <row r="695" ht="15.75" customHeight="1">
      <c r="A695" s="33" t="s">
        <v>981</v>
      </c>
      <c r="B695" s="39">
        <v>46232.0</v>
      </c>
      <c r="C695" s="33" t="s">
        <v>184</v>
      </c>
      <c r="D695" s="33" t="s">
        <v>188</v>
      </c>
      <c r="E695" s="33" t="s">
        <v>180</v>
      </c>
      <c r="F695" s="33" t="s">
        <v>189</v>
      </c>
      <c r="G695" s="33" t="s">
        <v>181</v>
      </c>
      <c r="H695" s="33" t="s">
        <v>189</v>
      </c>
      <c r="I695" s="39">
        <v>46249.0</v>
      </c>
      <c r="J695" s="39">
        <v>46251.0</v>
      </c>
      <c r="K695" s="39">
        <v>46251.0</v>
      </c>
      <c r="L695" s="40">
        <v>0.0</v>
      </c>
      <c r="M695" s="40">
        <v>0.0</v>
      </c>
    </row>
    <row r="696" ht="15.75" customHeight="1">
      <c r="A696" s="33" t="s">
        <v>2842</v>
      </c>
      <c r="B696" s="39">
        <v>45712.0</v>
      </c>
      <c r="C696" s="33" t="s">
        <v>178</v>
      </c>
      <c r="D696" s="33" t="s">
        <v>196</v>
      </c>
      <c r="E696" s="33" t="s">
        <v>222</v>
      </c>
      <c r="F696" s="33" t="s">
        <v>189</v>
      </c>
      <c r="G696" s="33" t="s">
        <v>189</v>
      </c>
      <c r="H696" s="33" t="s">
        <v>189</v>
      </c>
      <c r="I696" s="39">
        <v>46095.0</v>
      </c>
      <c r="J696" s="33"/>
      <c r="K696" s="33"/>
      <c r="L696" s="40">
        <v>25159.58</v>
      </c>
      <c r="M696" s="40">
        <v>0.0</v>
      </c>
    </row>
    <row r="697" ht="15.75" customHeight="1">
      <c r="A697" s="33" t="s">
        <v>1321</v>
      </c>
      <c r="B697" s="39">
        <v>45811.0</v>
      </c>
      <c r="C697" s="33" t="s">
        <v>178</v>
      </c>
      <c r="D697" s="33" t="s">
        <v>185</v>
      </c>
      <c r="E697" s="33" t="s">
        <v>330</v>
      </c>
      <c r="F697" s="33" t="s">
        <v>181</v>
      </c>
      <c r="G697" s="33" t="s">
        <v>189</v>
      </c>
      <c r="H697" s="33" t="s">
        <v>189</v>
      </c>
      <c r="I697" s="39">
        <v>46001.0</v>
      </c>
      <c r="J697" s="33"/>
      <c r="K697" s="33"/>
      <c r="L697" s="40">
        <v>23811.53</v>
      </c>
      <c r="M697" s="40">
        <v>0.0</v>
      </c>
    </row>
    <row r="698" ht="15.75" customHeight="1">
      <c r="A698" s="33" t="s">
        <v>870</v>
      </c>
      <c r="B698" s="39">
        <v>46096.0</v>
      </c>
      <c r="C698" s="33" t="s">
        <v>187</v>
      </c>
      <c r="D698" s="33" t="s">
        <v>237</v>
      </c>
      <c r="E698" s="33" t="s">
        <v>180</v>
      </c>
      <c r="F698" s="33" t="s">
        <v>181</v>
      </c>
      <c r="G698" s="33" t="s">
        <v>181</v>
      </c>
      <c r="H698" s="33" t="s">
        <v>189</v>
      </c>
      <c r="I698" s="39">
        <v>46229.0</v>
      </c>
      <c r="J698" s="39">
        <v>46235.0</v>
      </c>
      <c r="K698" s="39">
        <v>46235.0</v>
      </c>
      <c r="L698" s="40">
        <v>0.0</v>
      </c>
      <c r="M698" s="40">
        <v>1152.78</v>
      </c>
    </row>
    <row r="699" ht="15.75" customHeight="1">
      <c r="A699" s="33" t="s">
        <v>1174</v>
      </c>
      <c r="B699" s="39">
        <v>46016.0</v>
      </c>
      <c r="C699" s="33" t="s">
        <v>184</v>
      </c>
      <c r="D699" s="33" t="s">
        <v>179</v>
      </c>
      <c r="E699" s="33" t="s">
        <v>180</v>
      </c>
      <c r="F699" s="33" t="s">
        <v>181</v>
      </c>
      <c r="G699" s="33" t="s">
        <v>181</v>
      </c>
      <c r="H699" s="33" t="s">
        <v>189</v>
      </c>
      <c r="I699" s="39">
        <v>46178.0</v>
      </c>
      <c r="J699" s="39">
        <v>46191.0</v>
      </c>
      <c r="K699" s="39">
        <v>46191.0</v>
      </c>
      <c r="L699" s="40">
        <v>0.0</v>
      </c>
      <c r="M699" s="40">
        <v>1296.56</v>
      </c>
    </row>
    <row r="700" ht="15.75" customHeight="1">
      <c r="A700" s="33" t="s">
        <v>1285</v>
      </c>
      <c r="B700" s="39">
        <v>45688.0</v>
      </c>
      <c r="C700" s="33" t="s">
        <v>202</v>
      </c>
      <c r="D700" s="33" t="s">
        <v>194</v>
      </c>
      <c r="E700" s="33" t="s">
        <v>180</v>
      </c>
      <c r="F700" s="33" t="s">
        <v>181</v>
      </c>
      <c r="G700" s="33" t="s">
        <v>181</v>
      </c>
      <c r="H700" s="33" t="s">
        <v>189</v>
      </c>
      <c r="I700" s="39">
        <v>46261.0</v>
      </c>
      <c r="J700" s="39">
        <v>46177.0</v>
      </c>
      <c r="K700" s="39">
        <v>45966.0</v>
      </c>
      <c r="L700" s="40">
        <v>0.0</v>
      </c>
      <c r="M700" s="40">
        <v>1631.76</v>
      </c>
    </row>
    <row r="701" ht="15.75" customHeight="1">
      <c r="A701" s="33" t="s">
        <v>1669</v>
      </c>
      <c r="B701" s="39">
        <v>45715.0</v>
      </c>
      <c r="C701" s="33" t="s">
        <v>184</v>
      </c>
      <c r="D701" s="33" t="s">
        <v>200</v>
      </c>
      <c r="E701" s="33" t="s">
        <v>180</v>
      </c>
      <c r="F701" s="33" t="s">
        <v>181</v>
      </c>
      <c r="G701" s="33" t="s">
        <v>181</v>
      </c>
      <c r="H701" s="33" t="s">
        <v>189</v>
      </c>
      <c r="I701" s="39">
        <v>46178.0</v>
      </c>
      <c r="J701" s="39">
        <v>46237.0</v>
      </c>
      <c r="K701" s="39">
        <v>46237.0</v>
      </c>
      <c r="L701" s="40">
        <v>0.0</v>
      </c>
      <c r="M701" s="40">
        <v>1912.3</v>
      </c>
    </row>
    <row r="702" ht="15.75" customHeight="1">
      <c r="A702" s="33" t="s">
        <v>2252</v>
      </c>
      <c r="B702" s="39">
        <v>45973.0</v>
      </c>
      <c r="C702" s="33" t="s">
        <v>178</v>
      </c>
      <c r="D702" s="33" t="s">
        <v>185</v>
      </c>
      <c r="E702" s="33" t="s">
        <v>180</v>
      </c>
      <c r="F702" s="33" t="s">
        <v>181</v>
      </c>
      <c r="G702" s="33" t="s">
        <v>181</v>
      </c>
      <c r="H702" s="33" t="s">
        <v>189</v>
      </c>
      <c r="I702" s="39">
        <v>46245.0</v>
      </c>
      <c r="J702" s="39">
        <v>46187.0</v>
      </c>
      <c r="K702" s="39">
        <v>46187.0</v>
      </c>
      <c r="L702" s="40">
        <v>1303.37</v>
      </c>
      <c r="M702" s="40">
        <v>1993.53</v>
      </c>
    </row>
    <row r="703" ht="15.75" customHeight="1">
      <c r="A703" s="33" t="s">
        <v>3846</v>
      </c>
      <c r="B703" s="39">
        <v>46032.0</v>
      </c>
      <c r="C703" s="33" t="s">
        <v>184</v>
      </c>
      <c r="D703" s="33" t="s">
        <v>179</v>
      </c>
      <c r="E703" s="33" t="s">
        <v>180</v>
      </c>
      <c r="F703" s="33" t="s">
        <v>181</v>
      </c>
      <c r="G703" s="33" t="s">
        <v>189</v>
      </c>
      <c r="H703" s="33" t="s">
        <v>189</v>
      </c>
      <c r="I703" s="39">
        <v>46262.0</v>
      </c>
      <c r="J703" s="33"/>
      <c r="K703" s="33"/>
      <c r="L703" s="40">
        <v>0.0</v>
      </c>
      <c r="M703" s="40">
        <v>2804.21</v>
      </c>
    </row>
    <row r="704" ht="15.75" customHeight="1">
      <c r="A704" s="33" t="s">
        <v>3850</v>
      </c>
      <c r="B704" s="39">
        <v>45759.0</v>
      </c>
      <c r="C704" s="33" t="s">
        <v>178</v>
      </c>
      <c r="D704" s="33" t="s">
        <v>188</v>
      </c>
      <c r="E704" s="33" t="s">
        <v>180</v>
      </c>
      <c r="F704" s="33" t="s">
        <v>189</v>
      </c>
      <c r="G704" s="33" t="s">
        <v>181</v>
      </c>
      <c r="H704" s="33" t="s">
        <v>189</v>
      </c>
      <c r="I704" s="39">
        <v>46197.0</v>
      </c>
      <c r="J704" s="39">
        <v>46244.0</v>
      </c>
      <c r="K704" s="39">
        <v>46170.0</v>
      </c>
      <c r="L704" s="40">
        <v>0.0</v>
      </c>
      <c r="M704" s="40">
        <v>0.0</v>
      </c>
    </row>
    <row r="705" ht="15.75" customHeight="1">
      <c r="A705" s="33" t="s">
        <v>3853</v>
      </c>
      <c r="B705" s="39">
        <v>45761.0</v>
      </c>
      <c r="C705" s="33" t="s">
        <v>178</v>
      </c>
      <c r="D705" s="33" t="s">
        <v>179</v>
      </c>
      <c r="E705" s="33" t="s">
        <v>180</v>
      </c>
      <c r="F705" s="33" t="s">
        <v>181</v>
      </c>
      <c r="G705" s="33" t="s">
        <v>189</v>
      </c>
      <c r="H705" s="33" t="s">
        <v>189</v>
      </c>
      <c r="I705" s="39">
        <v>46231.0</v>
      </c>
      <c r="J705" s="33"/>
      <c r="K705" s="33"/>
      <c r="L705" s="40">
        <v>0.0</v>
      </c>
      <c r="M705" s="40">
        <v>4019.58</v>
      </c>
    </row>
    <row r="706" ht="15.75" customHeight="1">
      <c r="A706" s="33" t="s">
        <v>3857</v>
      </c>
      <c r="B706" s="39">
        <v>45736.0</v>
      </c>
      <c r="C706" s="33" t="s">
        <v>202</v>
      </c>
      <c r="D706" s="33" t="s">
        <v>237</v>
      </c>
      <c r="E706" s="33" t="s">
        <v>180</v>
      </c>
      <c r="F706" s="33" t="s">
        <v>181</v>
      </c>
      <c r="G706" s="33" t="s">
        <v>189</v>
      </c>
      <c r="H706" s="33" t="s">
        <v>181</v>
      </c>
      <c r="I706" s="39">
        <v>46239.0</v>
      </c>
      <c r="J706" s="33"/>
      <c r="K706" s="33"/>
      <c r="L706" s="40">
        <v>0.0</v>
      </c>
      <c r="M706" s="40">
        <v>2005.75</v>
      </c>
    </row>
    <row r="707" ht="15.75" customHeight="1">
      <c r="A707" s="33" t="s">
        <v>3442</v>
      </c>
      <c r="B707" s="39">
        <v>46000.0</v>
      </c>
      <c r="C707" s="33" t="s">
        <v>178</v>
      </c>
      <c r="D707" s="33" t="s">
        <v>196</v>
      </c>
      <c r="E707" s="33" t="s">
        <v>180</v>
      </c>
      <c r="F707" s="33" t="s">
        <v>181</v>
      </c>
      <c r="G707" s="33" t="s">
        <v>189</v>
      </c>
      <c r="H707" s="33" t="s">
        <v>181</v>
      </c>
      <c r="I707" s="39">
        <v>46197.0</v>
      </c>
      <c r="J707" s="33"/>
      <c r="K707" s="33"/>
      <c r="L707" s="40">
        <v>22357.33</v>
      </c>
      <c r="M707" s="40">
        <v>1154.85</v>
      </c>
    </row>
    <row r="708" ht="15.75" customHeight="1">
      <c r="A708" s="33" t="s">
        <v>1966</v>
      </c>
      <c r="B708" s="39">
        <v>45662.0</v>
      </c>
      <c r="C708" s="33" t="s">
        <v>178</v>
      </c>
      <c r="D708" s="33" t="s">
        <v>196</v>
      </c>
      <c r="E708" s="33" t="s">
        <v>180</v>
      </c>
      <c r="F708" s="33" t="s">
        <v>189</v>
      </c>
      <c r="G708" s="33" t="s">
        <v>181</v>
      </c>
      <c r="H708" s="33" t="s">
        <v>189</v>
      </c>
      <c r="I708" s="39">
        <v>46236.0</v>
      </c>
      <c r="J708" s="39">
        <v>46155.0</v>
      </c>
      <c r="K708" s="39">
        <v>46128.0</v>
      </c>
      <c r="L708" s="40">
        <v>0.0</v>
      </c>
      <c r="M708" s="40">
        <v>0.0</v>
      </c>
    </row>
    <row r="709" ht="15.75" customHeight="1">
      <c r="A709" s="33" t="s">
        <v>3864</v>
      </c>
      <c r="B709" s="39">
        <v>46005.0</v>
      </c>
      <c r="C709" s="33" t="s">
        <v>178</v>
      </c>
      <c r="D709" s="33" t="s">
        <v>200</v>
      </c>
      <c r="E709" s="33" t="s">
        <v>222</v>
      </c>
      <c r="F709" s="33" t="s">
        <v>189</v>
      </c>
      <c r="G709" s="33" t="s">
        <v>181</v>
      </c>
      <c r="H709" s="33" t="s">
        <v>181</v>
      </c>
      <c r="I709" s="39">
        <v>46122.0</v>
      </c>
      <c r="J709" s="39">
        <v>46148.0</v>
      </c>
      <c r="K709" s="39">
        <v>46148.0</v>
      </c>
      <c r="L709" s="40">
        <v>0.0</v>
      </c>
      <c r="M709" s="40">
        <v>0.0</v>
      </c>
    </row>
    <row r="710" ht="15.75" customHeight="1">
      <c r="A710" s="33" t="s">
        <v>2063</v>
      </c>
      <c r="B710" s="39">
        <v>45946.0</v>
      </c>
      <c r="C710" s="33" t="s">
        <v>178</v>
      </c>
      <c r="D710" s="33" t="s">
        <v>200</v>
      </c>
      <c r="E710" s="33" t="s">
        <v>180</v>
      </c>
      <c r="F710" s="33" t="s">
        <v>181</v>
      </c>
      <c r="G710" s="33" t="s">
        <v>181</v>
      </c>
      <c r="H710" s="33" t="s">
        <v>189</v>
      </c>
      <c r="I710" s="39">
        <v>46248.0</v>
      </c>
      <c r="J710" s="39">
        <v>46219.0</v>
      </c>
      <c r="K710" s="39">
        <v>46171.0</v>
      </c>
      <c r="L710" s="40">
        <v>0.0</v>
      </c>
      <c r="M710" s="40">
        <v>2765.65</v>
      </c>
    </row>
    <row r="711" ht="15.75" customHeight="1">
      <c r="A711" s="33" t="s">
        <v>317</v>
      </c>
      <c r="B711" s="39">
        <v>45940.0</v>
      </c>
      <c r="C711" s="33" t="s">
        <v>184</v>
      </c>
      <c r="D711" s="33" t="s">
        <v>237</v>
      </c>
      <c r="E711" s="33" t="s">
        <v>180</v>
      </c>
      <c r="F711" s="33" t="s">
        <v>181</v>
      </c>
      <c r="G711" s="33" t="s">
        <v>181</v>
      </c>
      <c r="H711" s="33" t="s">
        <v>189</v>
      </c>
      <c r="I711" s="39">
        <v>46258.0</v>
      </c>
      <c r="J711" s="39">
        <v>46124.0</v>
      </c>
      <c r="K711" s="39">
        <v>45898.0</v>
      </c>
      <c r="L711" s="40">
        <v>0.0</v>
      </c>
      <c r="M711" s="40">
        <v>2650.54</v>
      </c>
    </row>
    <row r="712" ht="15.75" customHeight="1">
      <c r="A712" s="33" t="s">
        <v>3552</v>
      </c>
      <c r="B712" s="39">
        <v>46070.0</v>
      </c>
      <c r="C712" s="33" t="s">
        <v>178</v>
      </c>
      <c r="D712" s="33" t="s">
        <v>194</v>
      </c>
      <c r="E712" s="33" t="s">
        <v>180</v>
      </c>
      <c r="F712" s="33" t="s">
        <v>181</v>
      </c>
      <c r="G712" s="33" t="s">
        <v>181</v>
      </c>
      <c r="H712" s="33" t="s">
        <v>189</v>
      </c>
      <c r="I712" s="39">
        <v>46236.0</v>
      </c>
      <c r="J712" s="39">
        <v>46186.0</v>
      </c>
      <c r="K712" s="39">
        <v>46093.0</v>
      </c>
      <c r="L712" s="40">
        <v>0.0</v>
      </c>
      <c r="M712" s="40">
        <v>1065.05</v>
      </c>
    </row>
    <row r="713" ht="15.75" customHeight="1">
      <c r="A713" s="33" t="s">
        <v>1188</v>
      </c>
      <c r="B713" s="39">
        <v>45975.0</v>
      </c>
      <c r="C713" s="33" t="s">
        <v>187</v>
      </c>
      <c r="D713" s="33" t="s">
        <v>179</v>
      </c>
      <c r="E713" s="33" t="s">
        <v>180</v>
      </c>
      <c r="F713" s="33" t="s">
        <v>181</v>
      </c>
      <c r="G713" s="33" t="s">
        <v>181</v>
      </c>
      <c r="H713" s="33" t="s">
        <v>189</v>
      </c>
      <c r="I713" s="39">
        <v>46211.0</v>
      </c>
      <c r="J713" s="39">
        <v>46131.0</v>
      </c>
      <c r="K713" s="39">
        <v>45939.0</v>
      </c>
      <c r="L713" s="40">
        <v>0.0</v>
      </c>
      <c r="M713" s="40">
        <v>2680.51</v>
      </c>
    </row>
    <row r="714" ht="15.75" customHeight="1">
      <c r="A714" s="33" t="s">
        <v>1054</v>
      </c>
      <c r="B714" s="39">
        <v>46099.0</v>
      </c>
      <c r="C714" s="33" t="s">
        <v>184</v>
      </c>
      <c r="D714" s="33" t="s">
        <v>188</v>
      </c>
      <c r="E714" s="33" t="s">
        <v>330</v>
      </c>
      <c r="F714" s="33" t="s">
        <v>181</v>
      </c>
      <c r="G714" s="33" t="s">
        <v>181</v>
      </c>
      <c r="H714" s="33" t="s">
        <v>181</v>
      </c>
      <c r="I714" s="39">
        <v>46136.0</v>
      </c>
      <c r="J714" s="39">
        <v>46242.0</v>
      </c>
      <c r="K714" s="39">
        <v>46242.0</v>
      </c>
      <c r="L714" s="40">
        <v>0.0</v>
      </c>
      <c r="M714" s="40">
        <v>0.0</v>
      </c>
    </row>
    <row r="715" ht="15.75" customHeight="1">
      <c r="A715" s="33" t="s">
        <v>777</v>
      </c>
      <c r="B715" s="39">
        <v>46121.0</v>
      </c>
      <c r="C715" s="33" t="s">
        <v>178</v>
      </c>
      <c r="D715" s="33" t="s">
        <v>194</v>
      </c>
      <c r="E715" s="33" t="s">
        <v>222</v>
      </c>
      <c r="F715" s="33" t="s">
        <v>181</v>
      </c>
      <c r="G715" s="33" t="s">
        <v>181</v>
      </c>
      <c r="H715" s="33" t="s">
        <v>189</v>
      </c>
      <c r="I715" s="39">
        <v>46213.0</v>
      </c>
      <c r="J715" s="39">
        <v>46264.0</v>
      </c>
      <c r="K715" s="39">
        <v>46047.0</v>
      </c>
      <c r="L715" s="40">
        <v>23924.34</v>
      </c>
      <c r="M715" s="40">
        <v>776.82</v>
      </c>
    </row>
    <row r="716" ht="15.75" customHeight="1">
      <c r="A716" s="33" t="s">
        <v>483</v>
      </c>
      <c r="B716" s="39">
        <v>46216.0</v>
      </c>
      <c r="C716" s="33" t="s">
        <v>178</v>
      </c>
      <c r="D716" s="33" t="s">
        <v>228</v>
      </c>
      <c r="E716" s="33" t="s">
        <v>180</v>
      </c>
      <c r="F716" s="33" t="s">
        <v>181</v>
      </c>
      <c r="G716" s="33" t="s">
        <v>181</v>
      </c>
      <c r="H716" s="33" t="s">
        <v>181</v>
      </c>
      <c r="I716" s="39">
        <v>46198.0</v>
      </c>
      <c r="J716" s="39">
        <v>46123.0</v>
      </c>
      <c r="K716" s="39">
        <v>46123.0</v>
      </c>
      <c r="L716" s="40">
        <v>39326.11</v>
      </c>
      <c r="M716" s="40">
        <v>638.95</v>
      </c>
    </row>
    <row r="717" ht="15.75" customHeight="1">
      <c r="A717" s="33" t="s">
        <v>1019</v>
      </c>
      <c r="B717" s="39">
        <v>46143.0</v>
      </c>
      <c r="C717" s="33" t="s">
        <v>184</v>
      </c>
      <c r="D717" s="33" t="s">
        <v>237</v>
      </c>
      <c r="E717" s="33" t="s">
        <v>180</v>
      </c>
      <c r="F717" s="33" t="s">
        <v>181</v>
      </c>
      <c r="G717" s="33" t="s">
        <v>181</v>
      </c>
      <c r="H717" s="33" t="s">
        <v>189</v>
      </c>
      <c r="I717" s="39">
        <v>46221.0</v>
      </c>
      <c r="J717" s="39">
        <v>46221.0</v>
      </c>
      <c r="K717" s="39">
        <v>46032.0</v>
      </c>
      <c r="L717" s="40">
        <v>0.0</v>
      </c>
      <c r="M717" s="40">
        <v>817.28</v>
      </c>
    </row>
    <row r="718" ht="15.75" customHeight="1">
      <c r="A718" s="33" t="s">
        <v>1693</v>
      </c>
      <c r="B718" s="39">
        <v>45972.0</v>
      </c>
      <c r="C718" s="33" t="s">
        <v>184</v>
      </c>
      <c r="D718" s="33" t="s">
        <v>228</v>
      </c>
      <c r="E718" s="33" t="s">
        <v>180</v>
      </c>
      <c r="F718" s="33" t="s">
        <v>181</v>
      </c>
      <c r="G718" s="33" t="s">
        <v>181</v>
      </c>
      <c r="H718" s="33" t="s">
        <v>189</v>
      </c>
      <c r="I718" s="39">
        <v>46227.0</v>
      </c>
      <c r="J718" s="39">
        <v>46243.0</v>
      </c>
      <c r="K718" s="39">
        <v>46208.0</v>
      </c>
      <c r="L718" s="40">
        <v>41845.09</v>
      </c>
      <c r="M718" s="40">
        <v>2805.74</v>
      </c>
    </row>
    <row r="719" ht="15.75" customHeight="1">
      <c r="A719" s="33" t="s">
        <v>3895</v>
      </c>
      <c r="B719" s="39">
        <v>45956.0</v>
      </c>
      <c r="C719" s="33" t="s">
        <v>202</v>
      </c>
      <c r="D719" s="33" t="s">
        <v>179</v>
      </c>
      <c r="E719" s="33" t="s">
        <v>180</v>
      </c>
      <c r="F719" s="33" t="s">
        <v>181</v>
      </c>
      <c r="G719" s="33" t="s">
        <v>189</v>
      </c>
      <c r="H719" s="33" t="s">
        <v>189</v>
      </c>
      <c r="I719" s="39">
        <v>46244.0</v>
      </c>
      <c r="J719" s="33"/>
      <c r="K719" s="33"/>
      <c r="L719" s="40">
        <v>0.0</v>
      </c>
      <c r="M719" s="40">
        <v>1397.36</v>
      </c>
    </row>
    <row r="720" ht="15.75" customHeight="1">
      <c r="A720" s="33" t="s">
        <v>875</v>
      </c>
      <c r="B720" s="39">
        <v>45801.0</v>
      </c>
      <c r="C720" s="33" t="s">
        <v>184</v>
      </c>
      <c r="D720" s="33" t="s">
        <v>194</v>
      </c>
      <c r="E720" s="33" t="s">
        <v>180</v>
      </c>
      <c r="F720" s="33" t="s">
        <v>181</v>
      </c>
      <c r="G720" s="33" t="s">
        <v>181</v>
      </c>
      <c r="H720" s="33" t="s">
        <v>189</v>
      </c>
      <c r="I720" s="39">
        <v>46264.0</v>
      </c>
      <c r="J720" s="39">
        <v>46249.0</v>
      </c>
      <c r="K720" s="39">
        <v>46249.0</v>
      </c>
      <c r="L720" s="40">
        <v>0.0</v>
      </c>
      <c r="M720" s="40">
        <v>3037.53</v>
      </c>
    </row>
    <row r="721" ht="15.75" customHeight="1">
      <c r="A721" s="33" t="s">
        <v>2526</v>
      </c>
      <c r="B721" s="39">
        <v>46021.0</v>
      </c>
      <c r="C721" s="33" t="s">
        <v>178</v>
      </c>
      <c r="D721" s="33" t="s">
        <v>196</v>
      </c>
      <c r="E721" s="33" t="s">
        <v>180</v>
      </c>
      <c r="F721" s="33" t="s">
        <v>181</v>
      </c>
      <c r="G721" s="33" t="s">
        <v>189</v>
      </c>
      <c r="H721" s="33" t="s">
        <v>189</v>
      </c>
      <c r="I721" s="39">
        <v>46261.0</v>
      </c>
      <c r="J721" s="33"/>
      <c r="K721" s="33"/>
      <c r="L721" s="40">
        <v>0.0</v>
      </c>
      <c r="M721" s="40">
        <v>4253.73</v>
      </c>
    </row>
    <row r="722" ht="15.75" customHeight="1">
      <c r="A722" s="33" t="s">
        <v>305</v>
      </c>
      <c r="B722" s="39">
        <v>45742.0</v>
      </c>
      <c r="C722" s="33" t="s">
        <v>178</v>
      </c>
      <c r="D722" s="33" t="s">
        <v>228</v>
      </c>
      <c r="E722" s="33" t="s">
        <v>180</v>
      </c>
      <c r="F722" s="33" t="s">
        <v>181</v>
      </c>
      <c r="G722" s="33" t="s">
        <v>189</v>
      </c>
      <c r="H722" s="33" t="s">
        <v>189</v>
      </c>
      <c r="I722" s="39">
        <v>46204.0</v>
      </c>
      <c r="J722" s="33"/>
      <c r="K722" s="33"/>
      <c r="L722" s="40">
        <v>2737.53</v>
      </c>
      <c r="M722" s="40">
        <v>4112.68</v>
      </c>
    </row>
    <row r="723" ht="15.75" customHeight="1">
      <c r="A723" s="33" t="s">
        <v>579</v>
      </c>
      <c r="B723" s="39">
        <v>46223.0</v>
      </c>
      <c r="C723" s="33" t="s">
        <v>187</v>
      </c>
      <c r="D723" s="33" t="s">
        <v>185</v>
      </c>
      <c r="E723" s="33" t="s">
        <v>180</v>
      </c>
      <c r="F723" s="33" t="s">
        <v>181</v>
      </c>
      <c r="G723" s="33" t="s">
        <v>181</v>
      </c>
      <c r="H723" s="33" t="s">
        <v>189</v>
      </c>
      <c r="I723" s="39">
        <v>46258.0</v>
      </c>
      <c r="J723" s="39">
        <v>46247.0</v>
      </c>
      <c r="K723" s="39">
        <v>46247.0</v>
      </c>
      <c r="L723" s="40">
        <v>0.0</v>
      </c>
      <c r="M723" s="40">
        <v>1039.34</v>
      </c>
    </row>
    <row r="724" ht="15.75" customHeight="1">
      <c r="A724" s="33" t="s">
        <v>1463</v>
      </c>
      <c r="B724" s="39">
        <v>46170.0</v>
      </c>
      <c r="C724" s="33" t="s">
        <v>178</v>
      </c>
      <c r="D724" s="33" t="s">
        <v>228</v>
      </c>
      <c r="E724" s="33" t="s">
        <v>180</v>
      </c>
      <c r="F724" s="33" t="s">
        <v>181</v>
      </c>
      <c r="G724" s="33" t="s">
        <v>181</v>
      </c>
      <c r="H724" s="33" t="s">
        <v>189</v>
      </c>
      <c r="I724" s="39">
        <v>46243.0</v>
      </c>
      <c r="J724" s="39">
        <v>46112.0</v>
      </c>
      <c r="K724" s="39">
        <v>46112.0</v>
      </c>
      <c r="L724" s="40">
        <v>11037.78</v>
      </c>
      <c r="M724" s="40">
        <v>1442.47</v>
      </c>
    </row>
    <row r="725" ht="15.75" customHeight="1">
      <c r="A725" s="33" t="s">
        <v>949</v>
      </c>
      <c r="B725" s="39">
        <v>45730.0</v>
      </c>
      <c r="C725" s="33" t="s">
        <v>184</v>
      </c>
      <c r="D725" s="33" t="s">
        <v>237</v>
      </c>
      <c r="E725" s="33" t="s">
        <v>180</v>
      </c>
      <c r="F725" s="33" t="s">
        <v>181</v>
      </c>
      <c r="G725" s="33" t="s">
        <v>181</v>
      </c>
      <c r="H725" s="33" t="s">
        <v>181</v>
      </c>
      <c r="I725" s="39">
        <v>46184.0</v>
      </c>
      <c r="J725" s="39">
        <v>46171.0</v>
      </c>
      <c r="K725" s="39">
        <v>46171.0</v>
      </c>
      <c r="L725" s="40">
        <v>12247.52</v>
      </c>
      <c r="M725" s="40">
        <v>1667.0</v>
      </c>
    </row>
    <row r="726" ht="15.75" customHeight="1">
      <c r="A726" s="33" t="s">
        <v>423</v>
      </c>
      <c r="B726" s="39">
        <v>46135.0</v>
      </c>
      <c r="C726" s="33" t="s">
        <v>202</v>
      </c>
      <c r="D726" s="33" t="s">
        <v>228</v>
      </c>
      <c r="E726" s="33" t="s">
        <v>180</v>
      </c>
      <c r="F726" s="33" t="s">
        <v>189</v>
      </c>
      <c r="G726" s="33" t="s">
        <v>181</v>
      </c>
      <c r="H726" s="33" t="s">
        <v>181</v>
      </c>
      <c r="I726" s="39">
        <v>46235.0</v>
      </c>
      <c r="J726" s="39">
        <v>46123.0</v>
      </c>
      <c r="K726" s="39">
        <v>45942.0</v>
      </c>
      <c r="L726" s="40">
        <v>5829.59</v>
      </c>
      <c r="M726" s="40">
        <v>0.0</v>
      </c>
    </row>
    <row r="727" ht="15.75" customHeight="1">
      <c r="A727" s="33" t="s">
        <v>850</v>
      </c>
      <c r="B727" s="39">
        <v>45729.0</v>
      </c>
      <c r="C727" s="33" t="s">
        <v>184</v>
      </c>
      <c r="D727" s="33" t="s">
        <v>179</v>
      </c>
      <c r="E727" s="33" t="s">
        <v>180</v>
      </c>
      <c r="F727" s="33" t="s">
        <v>181</v>
      </c>
      <c r="G727" s="33" t="s">
        <v>181</v>
      </c>
      <c r="H727" s="33" t="s">
        <v>189</v>
      </c>
      <c r="I727" s="39">
        <v>46198.0</v>
      </c>
      <c r="J727" s="39">
        <v>46264.0</v>
      </c>
      <c r="K727" s="39">
        <v>46264.0</v>
      </c>
      <c r="L727" s="40">
        <v>36423.57</v>
      </c>
      <c r="M727" s="40">
        <v>4654.69</v>
      </c>
    </row>
    <row r="728" ht="15.75" customHeight="1">
      <c r="A728" s="33" t="s">
        <v>2264</v>
      </c>
      <c r="B728" s="39">
        <v>46095.0</v>
      </c>
      <c r="C728" s="33" t="s">
        <v>202</v>
      </c>
      <c r="D728" s="33" t="s">
        <v>237</v>
      </c>
      <c r="E728" s="33" t="s">
        <v>180</v>
      </c>
      <c r="F728" s="33" t="s">
        <v>189</v>
      </c>
      <c r="G728" s="33" t="s">
        <v>181</v>
      </c>
      <c r="H728" s="33" t="s">
        <v>181</v>
      </c>
      <c r="I728" s="39">
        <v>46235.0</v>
      </c>
      <c r="J728" s="39">
        <v>46138.0</v>
      </c>
      <c r="K728" s="39">
        <v>46138.0</v>
      </c>
      <c r="L728" s="40">
        <v>12062.7</v>
      </c>
      <c r="M728" s="40">
        <v>0.0</v>
      </c>
    </row>
    <row r="729" ht="15.75" customHeight="1">
      <c r="A729" s="33" t="s">
        <v>3928</v>
      </c>
      <c r="B729" s="39">
        <v>45711.0</v>
      </c>
      <c r="C729" s="33" t="s">
        <v>178</v>
      </c>
      <c r="D729" s="33" t="s">
        <v>179</v>
      </c>
      <c r="E729" s="33" t="s">
        <v>180</v>
      </c>
      <c r="F729" s="33" t="s">
        <v>189</v>
      </c>
      <c r="G729" s="33" t="s">
        <v>189</v>
      </c>
      <c r="H729" s="33" t="s">
        <v>189</v>
      </c>
      <c r="I729" s="39">
        <v>46182.0</v>
      </c>
      <c r="J729" s="33"/>
      <c r="K729" s="33"/>
      <c r="L729" s="40">
        <v>0.0</v>
      </c>
      <c r="M729" s="40">
        <v>0.0</v>
      </c>
    </row>
    <row r="730" ht="15.75" customHeight="1">
      <c r="A730" s="33" t="s">
        <v>1205</v>
      </c>
      <c r="B730" s="39">
        <v>45954.0</v>
      </c>
      <c r="C730" s="33" t="s">
        <v>178</v>
      </c>
      <c r="D730" s="33" t="s">
        <v>185</v>
      </c>
      <c r="E730" s="33" t="s">
        <v>180</v>
      </c>
      <c r="F730" s="33" t="s">
        <v>181</v>
      </c>
      <c r="G730" s="33" t="s">
        <v>189</v>
      </c>
      <c r="H730" s="33" t="s">
        <v>189</v>
      </c>
      <c r="I730" s="39">
        <v>46192.0</v>
      </c>
      <c r="J730" s="33"/>
      <c r="K730" s="33"/>
      <c r="L730" s="40">
        <v>27605.93</v>
      </c>
      <c r="M730" s="40">
        <v>1023.21</v>
      </c>
    </row>
    <row r="731" ht="15.75" customHeight="1">
      <c r="A731" s="33" t="s">
        <v>3936</v>
      </c>
      <c r="B731" s="39">
        <v>46057.0</v>
      </c>
      <c r="C731" s="33" t="s">
        <v>178</v>
      </c>
      <c r="D731" s="33" t="s">
        <v>196</v>
      </c>
      <c r="E731" s="33" t="s">
        <v>180</v>
      </c>
      <c r="F731" s="33" t="s">
        <v>181</v>
      </c>
      <c r="G731" s="33" t="s">
        <v>189</v>
      </c>
      <c r="H731" s="33" t="s">
        <v>189</v>
      </c>
      <c r="I731" s="39">
        <v>46223.0</v>
      </c>
      <c r="J731" s="33"/>
      <c r="K731" s="33"/>
      <c r="L731" s="40">
        <v>0.0</v>
      </c>
      <c r="M731" s="40">
        <v>3371.48</v>
      </c>
    </row>
    <row r="732" ht="15.75" customHeight="1">
      <c r="A732" s="33" t="s">
        <v>902</v>
      </c>
      <c r="B732" s="39">
        <v>46100.0</v>
      </c>
      <c r="C732" s="33" t="s">
        <v>184</v>
      </c>
      <c r="D732" s="33" t="s">
        <v>188</v>
      </c>
      <c r="E732" s="33" t="s">
        <v>222</v>
      </c>
      <c r="F732" s="33" t="s">
        <v>181</v>
      </c>
      <c r="G732" s="33" t="s">
        <v>181</v>
      </c>
      <c r="H732" s="33" t="s">
        <v>181</v>
      </c>
      <c r="I732" s="39">
        <v>46133.0</v>
      </c>
      <c r="J732" s="39">
        <v>46244.0</v>
      </c>
      <c r="K732" s="39">
        <v>46224.0</v>
      </c>
      <c r="L732" s="40">
        <v>29181.72</v>
      </c>
      <c r="M732" s="40">
        <v>2309.14</v>
      </c>
    </row>
    <row r="733" ht="15.75" customHeight="1">
      <c r="A733" s="33" t="s">
        <v>2478</v>
      </c>
      <c r="B733" s="39">
        <v>45912.0</v>
      </c>
      <c r="C733" s="33" t="s">
        <v>178</v>
      </c>
      <c r="D733" s="33" t="s">
        <v>185</v>
      </c>
      <c r="E733" s="33" t="s">
        <v>222</v>
      </c>
      <c r="F733" s="33" t="s">
        <v>181</v>
      </c>
      <c r="G733" s="33" t="s">
        <v>181</v>
      </c>
      <c r="H733" s="33" t="s">
        <v>189</v>
      </c>
      <c r="I733" s="39">
        <v>46173.0</v>
      </c>
      <c r="J733" s="39">
        <v>46218.0</v>
      </c>
      <c r="K733" s="39">
        <v>46086.0</v>
      </c>
      <c r="L733" s="40">
        <v>11610.69</v>
      </c>
      <c r="M733" s="40">
        <v>168.9</v>
      </c>
    </row>
    <row r="734" ht="15.75" customHeight="1">
      <c r="A734" s="33" t="s">
        <v>336</v>
      </c>
      <c r="B734" s="39">
        <v>46217.0</v>
      </c>
      <c r="C734" s="33" t="s">
        <v>178</v>
      </c>
      <c r="D734" s="33" t="s">
        <v>188</v>
      </c>
      <c r="E734" s="33" t="s">
        <v>180</v>
      </c>
      <c r="F734" s="33" t="s">
        <v>181</v>
      </c>
      <c r="G734" s="33" t="s">
        <v>189</v>
      </c>
      <c r="H734" s="33" t="s">
        <v>181</v>
      </c>
      <c r="I734" s="39">
        <v>46181.0</v>
      </c>
      <c r="J734" s="33"/>
      <c r="K734" s="33"/>
      <c r="L734" s="40">
        <v>11503.54</v>
      </c>
      <c r="M734" s="40">
        <v>1360.0</v>
      </c>
    </row>
    <row r="735" ht="15.75" customHeight="1">
      <c r="A735" s="33" t="s">
        <v>1742</v>
      </c>
      <c r="B735" s="39">
        <v>46128.0</v>
      </c>
      <c r="C735" s="33" t="s">
        <v>178</v>
      </c>
      <c r="D735" s="33" t="s">
        <v>196</v>
      </c>
      <c r="E735" s="33" t="s">
        <v>180</v>
      </c>
      <c r="F735" s="33" t="s">
        <v>181</v>
      </c>
      <c r="G735" s="33" t="s">
        <v>181</v>
      </c>
      <c r="H735" s="33" t="s">
        <v>189</v>
      </c>
      <c r="I735" s="39">
        <v>46233.0</v>
      </c>
      <c r="J735" s="39">
        <v>46198.0</v>
      </c>
      <c r="K735" s="39">
        <v>46198.0</v>
      </c>
      <c r="L735" s="40">
        <v>5322.76</v>
      </c>
      <c r="M735" s="40">
        <v>737.05</v>
      </c>
    </row>
    <row r="736" ht="15.75" customHeight="1">
      <c r="A736" s="33" t="s">
        <v>496</v>
      </c>
      <c r="B736" s="39">
        <v>45784.0</v>
      </c>
      <c r="C736" s="33" t="s">
        <v>178</v>
      </c>
      <c r="D736" s="33" t="s">
        <v>188</v>
      </c>
      <c r="E736" s="33" t="s">
        <v>180</v>
      </c>
      <c r="F736" s="33" t="s">
        <v>189</v>
      </c>
      <c r="G736" s="33" t="s">
        <v>181</v>
      </c>
      <c r="H736" s="33" t="s">
        <v>189</v>
      </c>
      <c r="I736" s="39">
        <v>46190.0</v>
      </c>
      <c r="J736" s="39">
        <v>46106.0</v>
      </c>
      <c r="K736" s="39">
        <v>46106.0</v>
      </c>
      <c r="L736" s="40">
        <v>35526.45</v>
      </c>
      <c r="M736" s="40">
        <v>0.0</v>
      </c>
    </row>
    <row r="737" ht="15.75" customHeight="1">
      <c r="A737" s="33" t="s">
        <v>487</v>
      </c>
      <c r="B737" s="39">
        <v>46065.0</v>
      </c>
      <c r="C737" s="33" t="s">
        <v>184</v>
      </c>
      <c r="D737" s="33" t="s">
        <v>228</v>
      </c>
      <c r="E737" s="33" t="s">
        <v>180</v>
      </c>
      <c r="F737" s="33" t="s">
        <v>181</v>
      </c>
      <c r="G737" s="33" t="s">
        <v>181</v>
      </c>
      <c r="H737" s="33" t="s">
        <v>181</v>
      </c>
      <c r="I737" s="39">
        <v>46210.0</v>
      </c>
      <c r="J737" s="39">
        <v>46133.0</v>
      </c>
      <c r="K737" s="39">
        <v>46129.0</v>
      </c>
      <c r="L737" s="40">
        <v>0.0</v>
      </c>
      <c r="M737" s="40">
        <v>1324.5</v>
      </c>
    </row>
    <row r="738" ht="15.75" customHeight="1">
      <c r="A738" s="33" t="s">
        <v>2625</v>
      </c>
      <c r="B738" s="39">
        <v>46101.0</v>
      </c>
      <c r="C738" s="33" t="s">
        <v>178</v>
      </c>
      <c r="D738" s="33" t="s">
        <v>196</v>
      </c>
      <c r="E738" s="33" t="s">
        <v>180</v>
      </c>
      <c r="F738" s="33" t="s">
        <v>181</v>
      </c>
      <c r="G738" s="33" t="s">
        <v>181</v>
      </c>
      <c r="H738" s="33" t="s">
        <v>181</v>
      </c>
      <c r="I738" s="39">
        <v>46208.0</v>
      </c>
      <c r="J738" s="39">
        <v>46130.0</v>
      </c>
      <c r="K738" s="39">
        <v>46130.0</v>
      </c>
      <c r="L738" s="40">
        <v>22438.89</v>
      </c>
      <c r="M738" s="40">
        <v>179.77</v>
      </c>
    </row>
    <row r="739" ht="15.75" customHeight="1">
      <c r="A739" s="33" t="s">
        <v>2259</v>
      </c>
      <c r="B739" s="39">
        <v>45860.0</v>
      </c>
      <c r="C739" s="33" t="s">
        <v>184</v>
      </c>
      <c r="D739" s="33" t="s">
        <v>200</v>
      </c>
      <c r="E739" s="33" t="s">
        <v>180</v>
      </c>
      <c r="F739" s="33" t="s">
        <v>181</v>
      </c>
      <c r="G739" s="33" t="s">
        <v>181</v>
      </c>
      <c r="H739" s="33" t="s">
        <v>181</v>
      </c>
      <c r="I739" s="39">
        <v>46234.0</v>
      </c>
      <c r="J739" s="39">
        <v>46206.0</v>
      </c>
      <c r="K739" s="39">
        <v>45998.0</v>
      </c>
      <c r="L739" s="40">
        <v>28225.04</v>
      </c>
      <c r="M739" s="40">
        <v>4844.77</v>
      </c>
    </row>
    <row r="740" ht="15.75" customHeight="1">
      <c r="A740" s="33" t="s">
        <v>284</v>
      </c>
      <c r="B740" s="39">
        <v>46106.0</v>
      </c>
      <c r="C740" s="33" t="s">
        <v>178</v>
      </c>
      <c r="D740" s="33" t="s">
        <v>179</v>
      </c>
      <c r="E740" s="33" t="s">
        <v>180</v>
      </c>
      <c r="F740" s="33" t="s">
        <v>181</v>
      </c>
      <c r="G740" s="33" t="s">
        <v>181</v>
      </c>
      <c r="H740" s="33" t="s">
        <v>189</v>
      </c>
      <c r="I740" s="39">
        <v>46191.0</v>
      </c>
      <c r="J740" s="39">
        <v>46174.0</v>
      </c>
      <c r="K740" s="39">
        <v>46148.0</v>
      </c>
      <c r="L740" s="40">
        <v>17884.28</v>
      </c>
      <c r="M740" s="40">
        <v>1229.26</v>
      </c>
    </row>
    <row r="741" ht="15.75" customHeight="1">
      <c r="A741" s="33" t="s">
        <v>786</v>
      </c>
      <c r="B741" s="39">
        <v>46203.0</v>
      </c>
      <c r="C741" s="33" t="s">
        <v>187</v>
      </c>
      <c r="D741" s="33" t="s">
        <v>185</v>
      </c>
      <c r="E741" s="33" t="s">
        <v>180</v>
      </c>
      <c r="F741" s="33" t="s">
        <v>181</v>
      </c>
      <c r="G741" s="33" t="s">
        <v>181</v>
      </c>
      <c r="H741" s="33" t="s">
        <v>189</v>
      </c>
      <c r="I741" s="39">
        <v>46198.0</v>
      </c>
      <c r="J741" s="39">
        <v>46231.0</v>
      </c>
      <c r="K741" s="39">
        <v>46231.0</v>
      </c>
      <c r="L741" s="40">
        <v>17656.0</v>
      </c>
      <c r="M741" s="40">
        <v>1334.74</v>
      </c>
    </row>
    <row r="742" ht="15.75" customHeight="1">
      <c r="A742" s="33" t="s">
        <v>2153</v>
      </c>
      <c r="B742" s="39">
        <v>46153.0</v>
      </c>
      <c r="C742" s="33" t="s">
        <v>178</v>
      </c>
      <c r="D742" s="33" t="s">
        <v>179</v>
      </c>
      <c r="E742" s="33" t="s">
        <v>180</v>
      </c>
      <c r="F742" s="33" t="s">
        <v>181</v>
      </c>
      <c r="G742" s="33" t="s">
        <v>181</v>
      </c>
      <c r="H742" s="33" t="s">
        <v>181</v>
      </c>
      <c r="I742" s="39">
        <v>46192.0</v>
      </c>
      <c r="J742" s="39">
        <v>46212.0</v>
      </c>
      <c r="K742" s="39">
        <v>46199.0</v>
      </c>
      <c r="L742" s="40">
        <v>0.0</v>
      </c>
      <c r="M742" s="40">
        <v>4540.75</v>
      </c>
    </row>
    <row r="743" ht="15.75" customHeight="1">
      <c r="A743" s="33" t="s">
        <v>3978</v>
      </c>
      <c r="B743" s="39">
        <v>46120.0</v>
      </c>
      <c r="C743" s="33" t="s">
        <v>178</v>
      </c>
      <c r="D743" s="33" t="s">
        <v>194</v>
      </c>
      <c r="E743" s="33" t="s">
        <v>180</v>
      </c>
      <c r="F743" s="33" t="s">
        <v>181</v>
      </c>
      <c r="G743" s="33" t="s">
        <v>181</v>
      </c>
      <c r="H743" s="33" t="s">
        <v>181</v>
      </c>
      <c r="I743" s="39">
        <v>46193.0</v>
      </c>
      <c r="J743" s="39">
        <v>46216.0</v>
      </c>
      <c r="K743" s="39">
        <v>45972.0</v>
      </c>
      <c r="L743" s="40">
        <v>0.0</v>
      </c>
      <c r="M743" s="40">
        <v>544.61</v>
      </c>
    </row>
    <row r="744" ht="15.75" customHeight="1">
      <c r="A744" s="33" t="s">
        <v>1092</v>
      </c>
      <c r="B744" s="39">
        <v>46043.0</v>
      </c>
      <c r="C744" s="33" t="s">
        <v>184</v>
      </c>
      <c r="D744" s="33" t="s">
        <v>237</v>
      </c>
      <c r="E744" s="33" t="s">
        <v>180</v>
      </c>
      <c r="F744" s="33" t="s">
        <v>181</v>
      </c>
      <c r="G744" s="33" t="s">
        <v>181</v>
      </c>
      <c r="H744" s="33" t="s">
        <v>189</v>
      </c>
      <c r="I744" s="39">
        <v>46251.0</v>
      </c>
      <c r="J744" s="39">
        <v>46260.0</v>
      </c>
      <c r="K744" s="39">
        <v>46210.0</v>
      </c>
      <c r="L744" s="40">
        <v>0.0</v>
      </c>
      <c r="M744" s="40">
        <v>2372.37</v>
      </c>
    </row>
    <row r="745" ht="15.75" customHeight="1">
      <c r="A745" s="33" t="s">
        <v>3985</v>
      </c>
      <c r="B745" s="39">
        <v>45822.0</v>
      </c>
      <c r="C745" s="33" t="s">
        <v>184</v>
      </c>
      <c r="D745" s="33" t="s">
        <v>188</v>
      </c>
      <c r="E745" s="33" t="s">
        <v>180</v>
      </c>
      <c r="F745" s="33" t="s">
        <v>181</v>
      </c>
      <c r="G745" s="33" t="s">
        <v>181</v>
      </c>
      <c r="H745" s="33" t="s">
        <v>181</v>
      </c>
      <c r="I745" s="39">
        <v>46187.0</v>
      </c>
      <c r="J745" s="39">
        <v>46241.0</v>
      </c>
      <c r="K745" s="39">
        <v>46241.0</v>
      </c>
      <c r="L745" s="40">
        <v>0.0</v>
      </c>
      <c r="M745" s="40">
        <v>938.49</v>
      </c>
    </row>
    <row r="746" ht="15.75" customHeight="1">
      <c r="A746" s="33" t="s">
        <v>2667</v>
      </c>
      <c r="B746" s="39">
        <v>46140.0</v>
      </c>
      <c r="C746" s="33" t="s">
        <v>184</v>
      </c>
      <c r="D746" s="33" t="s">
        <v>179</v>
      </c>
      <c r="E746" s="33" t="s">
        <v>180</v>
      </c>
      <c r="F746" s="33" t="s">
        <v>181</v>
      </c>
      <c r="G746" s="33" t="s">
        <v>189</v>
      </c>
      <c r="H746" s="33" t="s">
        <v>189</v>
      </c>
      <c r="I746" s="39">
        <v>46190.0</v>
      </c>
      <c r="J746" s="33"/>
      <c r="K746" s="33"/>
      <c r="L746" s="40">
        <v>0.0</v>
      </c>
      <c r="M746" s="40">
        <v>313.54</v>
      </c>
    </row>
    <row r="747" ht="15.75" customHeight="1">
      <c r="A747" s="33" t="s">
        <v>1637</v>
      </c>
      <c r="B747" s="39">
        <v>45879.0</v>
      </c>
      <c r="C747" s="33" t="s">
        <v>178</v>
      </c>
      <c r="D747" s="33" t="s">
        <v>200</v>
      </c>
      <c r="E747" s="33" t="s">
        <v>180</v>
      </c>
      <c r="F747" s="33" t="s">
        <v>181</v>
      </c>
      <c r="G747" s="33" t="s">
        <v>181</v>
      </c>
      <c r="H747" s="33" t="s">
        <v>189</v>
      </c>
      <c r="I747" s="39">
        <v>46244.0</v>
      </c>
      <c r="J747" s="39">
        <v>46256.0</v>
      </c>
      <c r="K747" s="39">
        <v>46144.0</v>
      </c>
      <c r="L747" s="40">
        <v>0.0</v>
      </c>
      <c r="M747" s="40">
        <v>2581.11</v>
      </c>
    </row>
    <row r="748" ht="15.75" customHeight="1">
      <c r="A748" s="33" t="s">
        <v>858</v>
      </c>
      <c r="B748" s="39">
        <v>45981.0</v>
      </c>
      <c r="C748" s="33" t="s">
        <v>178</v>
      </c>
      <c r="D748" s="33" t="s">
        <v>196</v>
      </c>
      <c r="E748" s="33" t="s">
        <v>180</v>
      </c>
      <c r="F748" s="33" t="s">
        <v>189</v>
      </c>
      <c r="G748" s="33" t="s">
        <v>181</v>
      </c>
      <c r="H748" s="33" t="s">
        <v>189</v>
      </c>
      <c r="I748" s="39">
        <v>46177.0</v>
      </c>
      <c r="J748" s="39">
        <v>46164.0</v>
      </c>
      <c r="K748" s="39">
        <v>46164.0</v>
      </c>
      <c r="L748" s="40">
        <v>34475.15</v>
      </c>
      <c r="M748" s="40">
        <v>0.0</v>
      </c>
    </row>
    <row r="749" ht="15.75" customHeight="1">
      <c r="A749" s="33" t="s">
        <v>3242</v>
      </c>
      <c r="B749" s="39">
        <v>45848.0</v>
      </c>
      <c r="C749" s="33" t="s">
        <v>187</v>
      </c>
      <c r="D749" s="33" t="s">
        <v>228</v>
      </c>
      <c r="E749" s="33" t="s">
        <v>180</v>
      </c>
      <c r="F749" s="33" t="s">
        <v>181</v>
      </c>
      <c r="G749" s="33" t="s">
        <v>189</v>
      </c>
      <c r="H749" s="33" t="s">
        <v>189</v>
      </c>
      <c r="I749" s="39">
        <v>46218.0</v>
      </c>
      <c r="J749" s="33"/>
      <c r="K749" s="33"/>
      <c r="L749" s="40">
        <v>2115.06</v>
      </c>
      <c r="M749" s="40">
        <v>3835.08</v>
      </c>
    </row>
    <row r="750" ht="15.75" customHeight="1">
      <c r="A750" s="33" t="s">
        <v>1314</v>
      </c>
      <c r="B750" s="39">
        <v>45848.0</v>
      </c>
      <c r="C750" s="33" t="s">
        <v>178</v>
      </c>
      <c r="D750" s="33" t="s">
        <v>228</v>
      </c>
      <c r="E750" s="33" t="s">
        <v>180</v>
      </c>
      <c r="F750" s="33" t="s">
        <v>181</v>
      </c>
      <c r="G750" s="33" t="s">
        <v>181</v>
      </c>
      <c r="H750" s="33" t="s">
        <v>189</v>
      </c>
      <c r="I750" s="39">
        <v>46237.0</v>
      </c>
      <c r="J750" s="39">
        <v>46161.0</v>
      </c>
      <c r="K750" s="39">
        <v>46142.0</v>
      </c>
      <c r="L750" s="40">
        <v>0.0</v>
      </c>
      <c r="M750" s="40">
        <v>1594.89</v>
      </c>
    </row>
    <row r="751" ht="15.75" customHeight="1">
      <c r="A751" s="33" t="s">
        <v>1448</v>
      </c>
      <c r="B751" s="39">
        <v>45753.0</v>
      </c>
      <c r="C751" s="33" t="s">
        <v>187</v>
      </c>
      <c r="D751" s="33" t="s">
        <v>237</v>
      </c>
      <c r="E751" s="33" t="s">
        <v>222</v>
      </c>
      <c r="F751" s="33" t="s">
        <v>181</v>
      </c>
      <c r="G751" s="33" t="s">
        <v>189</v>
      </c>
      <c r="H751" s="33" t="s">
        <v>189</v>
      </c>
      <c r="I751" s="39">
        <v>46201.0</v>
      </c>
      <c r="J751" s="33"/>
      <c r="K751" s="33"/>
      <c r="L751" s="40">
        <v>20630.55</v>
      </c>
      <c r="M751" s="40">
        <v>2854.65</v>
      </c>
    </row>
    <row r="752" ht="15.75" customHeight="1">
      <c r="A752" s="33" t="s">
        <v>1571</v>
      </c>
      <c r="B752" s="39">
        <v>46241.0</v>
      </c>
      <c r="C752" s="33" t="s">
        <v>202</v>
      </c>
      <c r="D752" s="33" t="s">
        <v>237</v>
      </c>
      <c r="E752" s="33" t="s">
        <v>180</v>
      </c>
      <c r="F752" s="33" t="s">
        <v>181</v>
      </c>
      <c r="G752" s="33" t="s">
        <v>181</v>
      </c>
      <c r="H752" s="33" t="s">
        <v>181</v>
      </c>
      <c r="I752" s="39">
        <v>46233.0</v>
      </c>
      <c r="J752" s="39">
        <v>46248.0</v>
      </c>
      <c r="K752" s="39">
        <v>46233.0</v>
      </c>
      <c r="L752" s="40">
        <v>14461.87</v>
      </c>
      <c r="M752" s="40">
        <v>1019.88</v>
      </c>
    </row>
    <row r="753" ht="15.75" customHeight="1">
      <c r="A753" s="33" t="s">
        <v>444</v>
      </c>
      <c r="B753" s="39">
        <v>45747.0</v>
      </c>
      <c r="C753" s="33" t="s">
        <v>202</v>
      </c>
      <c r="D753" s="33" t="s">
        <v>194</v>
      </c>
      <c r="E753" s="33" t="s">
        <v>180</v>
      </c>
      <c r="F753" s="33" t="s">
        <v>181</v>
      </c>
      <c r="G753" s="33" t="s">
        <v>181</v>
      </c>
      <c r="H753" s="33" t="s">
        <v>181</v>
      </c>
      <c r="I753" s="39">
        <v>46262.0</v>
      </c>
      <c r="J753" s="39">
        <v>46259.0</v>
      </c>
      <c r="K753" s="39">
        <v>46259.0</v>
      </c>
      <c r="L753" s="40">
        <v>0.0</v>
      </c>
      <c r="M753" s="40">
        <v>2429.13</v>
      </c>
    </row>
    <row r="754" ht="15.75" customHeight="1">
      <c r="A754" s="33" t="s">
        <v>2456</v>
      </c>
      <c r="B754" s="39">
        <v>45710.0</v>
      </c>
      <c r="C754" s="33" t="s">
        <v>184</v>
      </c>
      <c r="D754" s="33" t="s">
        <v>237</v>
      </c>
      <c r="E754" s="33" t="s">
        <v>180</v>
      </c>
      <c r="F754" s="33" t="s">
        <v>181</v>
      </c>
      <c r="G754" s="33" t="s">
        <v>181</v>
      </c>
      <c r="H754" s="33" t="s">
        <v>189</v>
      </c>
      <c r="I754" s="39">
        <v>46203.0</v>
      </c>
      <c r="J754" s="39">
        <v>46234.0</v>
      </c>
      <c r="K754" s="39">
        <v>46127.0</v>
      </c>
      <c r="L754" s="40">
        <v>29510.11</v>
      </c>
      <c r="M754" s="40">
        <v>1708.65</v>
      </c>
    </row>
    <row r="755" ht="15.75" customHeight="1">
      <c r="A755" s="33" t="s">
        <v>2741</v>
      </c>
      <c r="B755" s="39">
        <v>46226.0</v>
      </c>
      <c r="C755" s="33" t="s">
        <v>187</v>
      </c>
      <c r="D755" s="33" t="s">
        <v>196</v>
      </c>
      <c r="E755" s="33" t="s">
        <v>222</v>
      </c>
      <c r="F755" s="33" t="s">
        <v>189</v>
      </c>
      <c r="G755" s="33" t="s">
        <v>181</v>
      </c>
      <c r="H755" s="33" t="s">
        <v>181</v>
      </c>
      <c r="I755" s="39">
        <v>46129.0</v>
      </c>
      <c r="J755" s="39">
        <v>46242.0</v>
      </c>
      <c r="K755" s="39">
        <v>46242.0</v>
      </c>
      <c r="L755" s="40">
        <v>0.0</v>
      </c>
      <c r="M755" s="40">
        <v>0.0</v>
      </c>
    </row>
    <row r="756" ht="15.75" customHeight="1">
      <c r="A756" s="33" t="s">
        <v>397</v>
      </c>
      <c r="B756" s="39">
        <v>45994.0</v>
      </c>
      <c r="C756" s="33" t="s">
        <v>178</v>
      </c>
      <c r="D756" s="33" t="s">
        <v>185</v>
      </c>
      <c r="E756" s="33" t="s">
        <v>180</v>
      </c>
      <c r="F756" s="33" t="s">
        <v>181</v>
      </c>
      <c r="G756" s="33" t="s">
        <v>189</v>
      </c>
      <c r="H756" s="33" t="s">
        <v>189</v>
      </c>
      <c r="I756" s="39">
        <v>46205.0</v>
      </c>
      <c r="J756" s="33"/>
      <c r="K756" s="33"/>
      <c r="L756" s="40">
        <v>3398.42</v>
      </c>
      <c r="M756" s="40">
        <v>1115.07</v>
      </c>
    </row>
    <row r="757" ht="15.75" customHeight="1">
      <c r="A757" s="33" t="s">
        <v>2627</v>
      </c>
      <c r="B757" s="39">
        <v>45923.0</v>
      </c>
      <c r="C757" s="33" t="s">
        <v>178</v>
      </c>
      <c r="D757" s="33" t="s">
        <v>185</v>
      </c>
      <c r="E757" s="33" t="s">
        <v>222</v>
      </c>
      <c r="F757" s="33" t="s">
        <v>181</v>
      </c>
      <c r="G757" s="33" t="s">
        <v>189</v>
      </c>
      <c r="H757" s="33" t="s">
        <v>189</v>
      </c>
      <c r="I757" s="39">
        <v>46153.0</v>
      </c>
      <c r="J757" s="33"/>
      <c r="K757" s="33"/>
      <c r="L757" s="40">
        <v>29837.44</v>
      </c>
      <c r="M757" s="40">
        <v>708.33</v>
      </c>
    </row>
    <row r="758" ht="15.75" customHeight="1">
      <c r="A758" s="33" t="s">
        <v>4028</v>
      </c>
      <c r="B758" s="39">
        <v>46105.0</v>
      </c>
      <c r="C758" s="33" t="s">
        <v>187</v>
      </c>
      <c r="D758" s="33" t="s">
        <v>185</v>
      </c>
      <c r="E758" s="33" t="s">
        <v>180</v>
      </c>
      <c r="F758" s="33" t="s">
        <v>181</v>
      </c>
      <c r="G758" s="33" t="s">
        <v>189</v>
      </c>
      <c r="H758" s="33" t="s">
        <v>189</v>
      </c>
      <c r="I758" s="39">
        <v>46233.0</v>
      </c>
      <c r="J758" s="33"/>
      <c r="K758" s="33"/>
      <c r="L758" s="40">
        <v>0.0</v>
      </c>
      <c r="M758" s="40">
        <v>3787.74</v>
      </c>
    </row>
    <row r="759" ht="15.75" customHeight="1">
      <c r="A759" s="33" t="s">
        <v>762</v>
      </c>
      <c r="B759" s="39">
        <v>45890.0</v>
      </c>
      <c r="C759" s="33" t="s">
        <v>202</v>
      </c>
      <c r="D759" s="33" t="s">
        <v>194</v>
      </c>
      <c r="E759" s="33" t="s">
        <v>180</v>
      </c>
      <c r="F759" s="33" t="s">
        <v>181</v>
      </c>
      <c r="G759" s="33" t="s">
        <v>189</v>
      </c>
      <c r="H759" s="33" t="s">
        <v>181</v>
      </c>
      <c r="I759" s="39">
        <v>46200.0</v>
      </c>
      <c r="J759" s="33"/>
      <c r="K759" s="33"/>
      <c r="L759" s="40">
        <v>3830.18</v>
      </c>
      <c r="M759" s="40">
        <v>1755.93</v>
      </c>
    </row>
    <row r="760" ht="15.75" customHeight="1">
      <c r="A760" s="33" t="s">
        <v>278</v>
      </c>
      <c r="B760" s="39">
        <v>45735.0</v>
      </c>
      <c r="C760" s="33" t="s">
        <v>178</v>
      </c>
      <c r="D760" s="33" t="s">
        <v>185</v>
      </c>
      <c r="E760" s="33" t="s">
        <v>180</v>
      </c>
      <c r="F760" s="33" t="s">
        <v>181</v>
      </c>
      <c r="G760" s="33" t="s">
        <v>181</v>
      </c>
      <c r="H760" s="33" t="s">
        <v>189</v>
      </c>
      <c r="I760" s="39">
        <v>46187.0</v>
      </c>
      <c r="J760" s="39">
        <v>46113.0</v>
      </c>
      <c r="K760" s="39">
        <v>45880.0</v>
      </c>
      <c r="L760" s="40">
        <v>15892.4</v>
      </c>
      <c r="M760" s="40">
        <v>1263.59</v>
      </c>
    </row>
    <row r="761" ht="15.75" customHeight="1">
      <c r="A761" s="33" t="s">
        <v>596</v>
      </c>
      <c r="B761" s="39">
        <v>46100.0</v>
      </c>
      <c r="C761" s="33" t="s">
        <v>178</v>
      </c>
      <c r="D761" s="33" t="s">
        <v>237</v>
      </c>
      <c r="E761" s="33" t="s">
        <v>180</v>
      </c>
      <c r="F761" s="33" t="s">
        <v>181</v>
      </c>
      <c r="G761" s="33" t="s">
        <v>189</v>
      </c>
      <c r="H761" s="33" t="s">
        <v>189</v>
      </c>
      <c r="I761" s="39">
        <v>46258.0</v>
      </c>
      <c r="J761" s="33"/>
      <c r="K761" s="33"/>
      <c r="L761" s="40">
        <v>2732.22</v>
      </c>
      <c r="M761" s="40">
        <v>1391.64</v>
      </c>
    </row>
    <row r="762" ht="15.75" customHeight="1">
      <c r="A762" s="33" t="s">
        <v>984</v>
      </c>
      <c r="B762" s="39">
        <v>45764.0</v>
      </c>
      <c r="C762" s="33" t="s">
        <v>184</v>
      </c>
      <c r="D762" s="33" t="s">
        <v>237</v>
      </c>
      <c r="E762" s="33" t="s">
        <v>180</v>
      </c>
      <c r="F762" s="33" t="s">
        <v>181</v>
      </c>
      <c r="G762" s="33" t="s">
        <v>181</v>
      </c>
      <c r="H762" s="33" t="s">
        <v>181</v>
      </c>
      <c r="I762" s="39">
        <v>46231.0</v>
      </c>
      <c r="J762" s="39">
        <v>46264.0</v>
      </c>
      <c r="K762" s="39">
        <v>46024.0</v>
      </c>
      <c r="L762" s="40">
        <v>560.14</v>
      </c>
      <c r="M762" s="40">
        <v>2481.04</v>
      </c>
    </row>
    <row r="763" ht="15.75" customHeight="1">
      <c r="A763" s="33" t="s">
        <v>2886</v>
      </c>
      <c r="B763" s="39">
        <v>45993.0</v>
      </c>
      <c r="C763" s="33" t="s">
        <v>184</v>
      </c>
      <c r="D763" s="33" t="s">
        <v>179</v>
      </c>
      <c r="E763" s="33" t="s">
        <v>180</v>
      </c>
      <c r="F763" s="33" t="s">
        <v>181</v>
      </c>
      <c r="G763" s="33" t="s">
        <v>189</v>
      </c>
      <c r="H763" s="33" t="s">
        <v>189</v>
      </c>
      <c r="I763" s="39">
        <v>46176.0</v>
      </c>
      <c r="J763" s="33"/>
      <c r="K763" s="33"/>
      <c r="L763" s="40">
        <v>9759.99</v>
      </c>
      <c r="M763" s="40">
        <v>2792.03</v>
      </c>
    </row>
    <row r="764" ht="15.75" customHeight="1">
      <c r="A764" s="33" t="s">
        <v>1749</v>
      </c>
      <c r="B764" s="39">
        <v>46234.0</v>
      </c>
      <c r="C764" s="33" t="s">
        <v>202</v>
      </c>
      <c r="D764" s="33" t="s">
        <v>185</v>
      </c>
      <c r="E764" s="33" t="s">
        <v>180</v>
      </c>
      <c r="F764" s="33" t="s">
        <v>181</v>
      </c>
      <c r="G764" s="33" t="s">
        <v>181</v>
      </c>
      <c r="H764" s="33" t="s">
        <v>189</v>
      </c>
      <c r="I764" s="39">
        <v>46188.0</v>
      </c>
      <c r="J764" s="39">
        <v>46207.0</v>
      </c>
      <c r="K764" s="39">
        <v>46207.0</v>
      </c>
      <c r="L764" s="40">
        <v>7799.92</v>
      </c>
      <c r="M764" s="40">
        <v>1716.5</v>
      </c>
    </row>
    <row r="765" ht="15.75" customHeight="1">
      <c r="A765" s="33" t="s">
        <v>2559</v>
      </c>
      <c r="B765" s="39">
        <v>46226.0</v>
      </c>
      <c r="C765" s="33" t="s">
        <v>178</v>
      </c>
      <c r="D765" s="33" t="s">
        <v>194</v>
      </c>
      <c r="E765" s="33" t="s">
        <v>222</v>
      </c>
      <c r="F765" s="33" t="s">
        <v>181</v>
      </c>
      <c r="G765" s="33" t="s">
        <v>181</v>
      </c>
      <c r="H765" s="33" t="s">
        <v>189</v>
      </c>
      <c r="I765" s="39">
        <v>46086.0</v>
      </c>
      <c r="J765" s="39">
        <v>46017.0</v>
      </c>
      <c r="K765" s="39">
        <v>46017.0</v>
      </c>
      <c r="L765" s="40">
        <v>4907.71</v>
      </c>
      <c r="M765" s="40">
        <v>2338.22</v>
      </c>
    </row>
    <row r="766" ht="15.75" customHeight="1">
      <c r="A766" s="33" t="s">
        <v>2348</v>
      </c>
      <c r="B766" s="39">
        <v>45876.0</v>
      </c>
      <c r="C766" s="33" t="s">
        <v>178</v>
      </c>
      <c r="D766" s="33" t="s">
        <v>196</v>
      </c>
      <c r="E766" s="33" t="s">
        <v>180</v>
      </c>
      <c r="F766" s="33" t="s">
        <v>181</v>
      </c>
      <c r="G766" s="33" t="s">
        <v>189</v>
      </c>
      <c r="H766" s="33" t="s">
        <v>189</v>
      </c>
      <c r="I766" s="39">
        <v>46249.0</v>
      </c>
      <c r="J766" s="33"/>
      <c r="K766" s="33"/>
      <c r="L766" s="40">
        <v>0.0</v>
      </c>
      <c r="M766" s="40">
        <v>1321.38</v>
      </c>
    </row>
    <row r="767" ht="15.75" customHeight="1">
      <c r="A767" s="33" t="s">
        <v>4066</v>
      </c>
      <c r="B767" s="39">
        <v>46131.0</v>
      </c>
      <c r="C767" s="33" t="s">
        <v>202</v>
      </c>
      <c r="D767" s="33" t="s">
        <v>200</v>
      </c>
      <c r="E767" s="33" t="s">
        <v>180</v>
      </c>
      <c r="F767" s="33" t="s">
        <v>181</v>
      </c>
      <c r="G767" s="33" t="s">
        <v>189</v>
      </c>
      <c r="H767" s="33" t="s">
        <v>181</v>
      </c>
      <c r="I767" s="39">
        <v>46224.0</v>
      </c>
      <c r="J767" s="33"/>
      <c r="K767" s="33"/>
      <c r="L767" s="40">
        <v>0.0</v>
      </c>
      <c r="M767" s="40">
        <v>1452.22</v>
      </c>
    </row>
    <row r="768" ht="15.75" customHeight="1">
      <c r="A768" s="33" t="s">
        <v>1530</v>
      </c>
      <c r="B768" s="39">
        <v>46029.0</v>
      </c>
      <c r="C768" s="33" t="s">
        <v>178</v>
      </c>
      <c r="D768" s="33" t="s">
        <v>228</v>
      </c>
      <c r="E768" s="33" t="s">
        <v>180</v>
      </c>
      <c r="F768" s="33" t="s">
        <v>181</v>
      </c>
      <c r="G768" s="33" t="s">
        <v>181</v>
      </c>
      <c r="H768" s="33" t="s">
        <v>189</v>
      </c>
      <c r="I768" s="39">
        <v>46254.0</v>
      </c>
      <c r="J768" s="39">
        <v>46240.0</v>
      </c>
      <c r="K768" s="39">
        <v>45841.0</v>
      </c>
      <c r="L768" s="40">
        <v>0.0</v>
      </c>
      <c r="M768" s="40">
        <v>2609.32</v>
      </c>
    </row>
    <row r="769" ht="15.75" customHeight="1">
      <c r="A769" s="33" t="s">
        <v>2676</v>
      </c>
      <c r="B769" s="39">
        <v>45948.0</v>
      </c>
      <c r="C769" s="33" t="s">
        <v>202</v>
      </c>
      <c r="D769" s="33" t="s">
        <v>196</v>
      </c>
      <c r="E769" s="33" t="s">
        <v>222</v>
      </c>
      <c r="F769" s="33" t="s">
        <v>181</v>
      </c>
      <c r="G769" s="33" t="s">
        <v>181</v>
      </c>
      <c r="H769" s="33" t="s">
        <v>189</v>
      </c>
      <c r="I769" s="39">
        <v>46105.0</v>
      </c>
      <c r="J769" s="39">
        <v>46128.0</v>
      </c>
      <c r="K769" s="39">
        <v>45974.0</v>
      </c>
      <c r="L769" s="40">
        <v>0.0</v>
      </c>
      <c r="M769" s="40">
        <v>1285.83</v>
      </c>
    </row>
    <row r="770" ht="15.75" customHeight="1">
      <c r="A770" s="33" t="s">
        <v>1062</v>
      </c>
      <c r="B770" s="39">
        <v>45742.0</v>
      </c>
      <c r="C770" s="33" t="s">
        <v>187</v>
      </c>
      <c r="D770" s="33" t="s">
        <v>228</v>
      </c>
      <c r="E770" s="33" t="s">
        <v>222</v>
      </c>
      <c r="F770" s="33" t="s">
        <v>181</v>
      </c>
      <c r="G770" s="33" t="s">
        <v>181</v>
      </c>
      <c r="H770" s="33" t="s">
        <v>181</v>
      </c>
      <c r="I770" s="39">
        <v>46157.0</v>
      </c>
      <c r="J770" s="39">
        <v>46078.0</v>
      </c>
      <c r="K770" s="39">
        <v>46078.0</v>
      </c>
      <c r="L770" s="40">
        <v>0.0</v>
      </c>
      <c r="M770" s="40">
        <v>660.31</v>
      </c>
    </row>
    <row r="771" ht="15.75" customHeight="1">
      <c r="A771" s="33" t="s">
        <v>1926</v>
      </c>
      <c r="B771" s="39">
        <v>45886.0</v>
      </c>
      <c r="C771" s="33" t="s">
        <v>178</v>
      </c>
      <c r="D771" s="33" t="s">
        <v>185</v>
      </c>
      <c r="E771" s="33" t="s">
        <v>180</v>
      </c>
      <c r="F771" s="33" t="s">
        <v>189</v>
      </c>
      <c r="G771" s="33" t="s">
        <v>189</v>
      </c>
      <c r="H771" s="33" t="s">
        <v>189</v>
      </c>
      <c r="I771" s="39">
        <v>46244.0</v>
      </c>
      <c r="J771" s="33"/>
      <c r="K771" s="33"/>
      <c r="L771" s="40">
        <v>13944.7</v>
      </c>
      <c r="M771" s="40">
        <v>0.0</v>
      </c>
    </row>
    <row r="772" ht="15.75" customHeight="1">
      <c r="A772" s="33" t="s">
        <v>1735</v>
      </c>
      <c r="B772" s="39">
        <v>46053.0</v>
      </c>
      <c r="C772" s="33" t="s">
        <v>178</v>
      </c>
      <c r="D772" s="33" t="s">
        <v>188</v>
      </c>
      <c r="E772" s="33" t="s">
        <v>330</v>
      </c>
      <c r="F772" s="33" t="s">
        <v>181</v>
      </c>
      <c r="G772" s="33" t="s">
        <v>181</v>
      </c>
      <c r="H772" s="33" t="s">
        <v>181</v>
      </c>
      <c r="I772" s="39">
        <v>46071.0</v>
      </c>
      <c r="J772" s="39">
        <v>46227.0</v>
      </c>
      <c r="K772" s="39">
        <v>46227.0</v>
      </c>
      <c r="L772" s="40">
        <v>0.0</v>
      </c>
      <c r="M772" s="40">
        <v>0.0</v>
      </c>
    </row>
    <row r="773" ht="15.75" customHeight="1">
      <c r="A773" s="33" t="s">
        <v>1979</v>
      </c>
      <c r="B773" s="39">
        <v>46256.0</v>
      </c>
      <c r="C773" s="33" t="s">
        <v>178</v>
      </c>
      <c r="D773" s="33" t="s">
        <v>200</v>
      </c>
      <c r="E773" s="33" t="s">
        <v>222</v>
      </c>
      <c r="F773" s="33" t="s">
        <v>181</v>
      </c>
      <c r="G773" s="33" t="s">
        <v>181</v>
      </c>
      <c r="H773" s="33" t="s">
        <v>181</v>
      </c>
      <c r="I773" s="39">
        <v>46125.0</v>
      </c>
      <c r="J773" s="39">
        <v>46234.0</v>
      </c>
      <c r="K773" s="39">
        <v>46117.0</v>
      </c>
      <c r="L773" s="40">
        <v>0.0</v>
      </c>
      <c r="M773" s="40">
        <v>2216.1</v>
      </c>
    </row>
    <row r="774" ht="15.75" customHeight="1">
      <c r="A774" s="33" t="s">
        <v>895</v>
      </c>
      <c r="B774" s="39">
        <v>45660.0</v>
      </c>
      <c r="C774" s="33" t="s">
        <v>184</v>
      </c>
      <c r="D774" s="33" t="s">
        <v>200</v>
      </c>
      <c r="E774" s="33" t="s">
        <v>222</v>
      </c>
      <c r="F774" s="33" t="s">
        <v>181</v>
      </c>
      <c r="G774" s="33" t="s">
        <v>181</v>
      </c>
      <c r="H774" s="33" t="s">
        <v>189</v>
      </c>
      <c r="I774" s="39">
        <v>46114.0</v>
      </c>
      <c r="J774" s="39">
        <v>46230.0</v>
      </c>
      <c r="K774" s="39">
        <v>46230.0</v>
      </c>
      <c r="L774" s="40">
        <v>0.0</v>
      </c>
      <c r="M774" s="40">
        <v>3112.87</v>
      </c>
    </row>
    <row r="775" ht="15.75" customHeight="1">
      <c r="A775" s="33" t="s">
        <v>2144</v>
      </c>
      <c r="B775" s="39">
        <v>46093.0</v>
      </c>
      <c r="C775" s="33" t="s">
        <v>187</v>
      </c>
      <c r="D775" s="33" t="s">
        <v>179</v>
      </c>
      <c r="E775" s="33" t="s">
        <v>222</v>
      </c>
      <c r="F775" s="33" t="s">
        <v>181</v>
      </c>
      <c r="G775" s="33" t="s">
        <v>181</v>
      </c>
      <c r="H775" s="33" t="s">
        <v>181</v>
      </c>
      <c r="I775" s="39">
        <v>46103.0</v>
      </c>
      <c r="J775" s="39">
        <v>46228.0</v>
      </c>
      <c r="K775" s="39">
        <v>45919.0</v>
      </c>
      <c r="L775" s="40">
        <v>0.0</v>
      </c>
      <c r="M775" s="40">
        <v>2490.59</v>
      </c>
    </row>
    <row r="776" ht="15.75" customHeight="1">
      <c r="A776" s="33" t="s">
        <v>2729</v>
      </c>
      <c r="B776" s="39">
        <v>46171.0</v>
      </c>
      <c r="C776" s="33" t="s">
        <v>178</v>
      </c>
      <c r="D776" s="33" t="s">
        <v>196</v>
      </c>
      <c r="E776" s="33" t="s">
        <v>180</v>
      </c>
      <c r="F776" s="33" t="s">
        <v>181</v>
      </c>
      <c r="G776" s="33" t="s">
        <v>181</v>
      </c>
      <c r="H776" s="33" t="s">
        <v>189</v>
      </c>
      <c r="I776" s="39">
        <v>46178.0</v>
      </c>
      <c r="J776" s="39">
        <v>46255.0</v>
      </c>
      <c r="K776" s="39">
        <v>46255.0</v>
      </c>
      <c r="L776" s="40">
        <v>31436.07</v>
      </c>
      <c r="M776" s="40">
        <v>2173.47</v>
      </c>
    </row>
    <row r="777" ht="15.75" customHeight="1">
      <c r="A777" s="33" t="s">
        <v>1972</v>
      </c>
      <c r="B777" s="39">
        <v>46235.0</v>
      </c>
      <c r="C777" s="33" t="s">
        <v>184</v>
      </c>
      <c r="D777" s="33" t="s">
        <v>188</v>
      </c>
      <c r="E777" s="33" t="s">
        <v>180</v>
      </c>
      <c r="F777" s="33" t="s">
        <v>181</v>
      </c>
      <c r="G777" s="33" t="s">
        <v>181</v>
      </c>
      <c r="H777" s="33" t="s">
        <v>181</v>
      </c>
      <c r="I777" s="39">
        <v>46192.0</v>
      </c>
      <c r="J777" s="39">
        <v>46258.0</v>
      </c>
      <c r="K777" s="39">
        <v>46164.0</v>
      </c>
      <c r="L777" s="40">
        <v>0.0</v>
      </c>
      <c r="M777" s="40">
        <v>578.2</v>
      </c>
    </row>
    <row r="778" ht="15.75" customHeight="1">
      <c r="A778" s="33" t="s">
        <v>4104</v>
      </c>
      <c r="B778" s="39">
        <v>45915.0</v>
      </c>
      <c r="C778" s="33" t="s">
        <v>202</v>
      </c>
      <c r="D778" s="33" t="s">
        <v>228</v>
      </c>
      <c r="E778" s="33" t="s">
        <v>180</v>
      </c>
      <c r="F778" s="33" t="s">
        <v>181</v>
      </c>
      <c r="G778" s="33" t="s">
        <v>189</v>
      </c>
      <c r="H778" s="33" t="s">
        <v>189</v>
      </c>
      <c r="I778" s="39">
        <v>46195.0</v>
      </c>
      <c r="J778" s="33"/>
      <c r="K778" s="33"/>
      <c r="L778" s="40">
        <v>0.0</v>
      </c>
      <c r="M778" s="40">
        <v>1682.3</v>
      </c>
    </row>
    <row r="779" ht="15.75" customHeight="1">
      <c r="A779" s="33" t="s">
        <v>358</v>
      </c>
      <c r="B779" s="39">
        <v>45729.0</v>
      </c>
      <c r="C779" s="33" t="s">
        <v>202</v>
      </c>
      <c r="D779" s="33" t="s">
        <v>228</v>
      </c>
      <c r="E779" s="33" t="s">
        <v>180</v>
      </c>
      <c r="F779" s="33" t="s">
        <v>189</v>
      </c>
      <c r="G779" s="33" t="s">
        <v>189</v>
      </c>
      <c r="H779" s="33" t="s">
        <v>181</v>
      </c>
      <c r="I779" s="39">
        <v>46192.0</v>
      </c>
      <c r="J779" s="33"/>
      <c r="K779" s="33"/>
      <c r="L779" s="40">
        <v>6309.79</v>
      </c>
      <c r="M779" s="40">
        <v>0.0</v>
      </c>
    </row>
    <row r="780" ht="15.75" customHeight="1">
      <c r="A780" s="33" t="s">
        <v>4112</v>
      </c>
      <c r="B780" s="39">
        <v>45822.0</v>
      </c>
      <c r="C780" s="33" t="s">
        <v>184</v>
      </c>
      <c r="D780" s="33" t="s">
        <v>237</v>
      </c>
      <c r="E780" s="33" t="s">
        <v>180</v>
      </c>
      <c r="F780" s="33" t="s">
        <v>181</v>
      </c>
      <c r="G780" s="33" t="s">
        <v>189</v>
      </c>
      <c r="H780" s="33" t="s">
        <v>189</v>
      </c>
      <c r="I780" s="39">
        <v>46176.0</v>
      </c>
      <c r="J780" s="33"/>
      <c r="K780" s="33"/>
      <c r="L780" s="40">
        <v>0.0</v>
      </c>
      <c r="M780" s="40">
        <v>1159.46</v>
      </c>
    </row>
    <row r="781" ht="15.75" customHeight="1">
      <c r="A781" s="33" t="s">
        <v>2086</v>
      </c>
      <c r="B781" s="39">
        <v>46174.0</v>
      </c>
      <c r="C781" s="33" t="s">
        <v>178</v>
      </c>
      <c r="D781" s="33" t="s">
        <v>185</v>
      </c>
      <c r="E781" s="33" t="s">
        <v>180</v>
      </c>
      <c r="F781" s="33" t="s">
        <v>189</v>
      </c>
      <c r="G781" s="33" t="s">
        <v>181</v>
      </c>
      <c r="H781" s="33" t="s">
        <v>181</v>
      </c>
      <c r="I781" s="39">
        <v>46224.0</v>
      </c>
      <c r="J781" s="39">
        <v>46112.0</v>
      </c>
      <c r="K781" s="39">
        <v>45934.0</v>
      </c>
      <c r="L781" s="40">
        <v>0.0</v>
      </c>
      <c r="M781" s="40">
        <v>0.0</v>
      </c>
    </row>
    <row r="782" ht="15.75" customHeight="1">
      <c r="A782" s="33" t="s">
        <v>692</v>
      </c>
      <c r="B782" s="39">
        <v>46190.0</v>
      </c>
      <c r="C782" s="33" t="s">
        <v>178</v>
      </c>
      <c r="D782" s="33" t="s">
        <v>185</v>
      </c>
      <c r="E782" s="33" t="s">
        <v>330</v>
      </c>
      <c r="F782" s="33" t="s">
        <v>181</v>
      </c>
      <c r="G782" s="33" t="s">
        <v>181</v>
      </c>
      <c r="H782" s="33" t="s">
        <v>189</v>
      </c>
      <c r="I782" s="39">
        <v>46246.0</v>
      </c>
      <c r="J782" s="39">
        <v>46200.0</v>
      </c>
      <c r="K782" s="39">
        <v>45951.0</v>
      </c>
      <c r="L782" s="40">
        <v>19714.07</v>
      </c>
      <c r="M782" s="40">
        <v>0.0</v>
      </c>
    </row>
    <row r="783" ht="15.75" customHeight="1">
      <c r="A783" s="33" t="s">
        <v>1642</v>
      </c>
      <c r="B783" s="39">
        <v>46044.0</v>
      </c>
      <c r="C783" s="33" t="s">
        <v>202</v>
      </c>
      <c r="D783" s="33" t="s">
        <v>188</v>
      </c>
      <c r="E783" s="33" t="s">
        <v>180</v>
      </c>
      <c r="F783" s="33" t="s">
        <v>181</v>
      </c>
      <c r="G783" s="33" t="s">
        <v>189</v>
      </c>
      <c r="H783" s="33" t="s">
        <v>181</v>
      </c>
      <c r="I783" s="39">
        <v>46192.0</v>
      </c>
      <c r="J783" s="33"/>
      <c r="K783" s="33"/>
      <c r="L783" s="40">
        <v>1409.42</v>
      </c>
      <c r="M783" s="40">
        <v>4836.93</v>
      </c>
    </row>
    <row r="784" ht="15.75" customHeight="1">
      <c r="A784" s="33" t="s">
        <v>334</v>
      </c>
      <c r="B784" s="39">
        <v>45732.0</v>
      </c>
      <c r="C784" s="33" t="s">
        <v>178</v>
      </c>
      <c r="D784" s="33" t="s">
        <v>185</v>
      </c>
      <c r="E784" s="33" t="s">
        <v>330</v>
      </c>
      <c r="F784" s="33" t="s">
        <v>181</v>
      </c>
      <c r="G784" s="33" t="s">
        <v>189</v>
      </c>
      <c r="H784" s="33" t="s">
        <v>181</v>
      </c>
      <c r="I784" s="39">
        <v>45755.0</v>
      </c>
      <c r="J784" s="33"/>
      <c r="K784" s="33"/>
      <c r="L784" s="40">
        <v>34539.92</v>
      </c>
      <c r="M784" s="40">
        <v>0.0</v>
      </c>
    </row>
    <row r="785" ht="15.75" customHeight="1">
      <c r="A785" s="33" t="s">
        <v>1192</v>
      </c>
      <c r="B785" s="39">
        <v>45732.0</v>
      </c>
      <c r="C785" s="33" t="s">
        <v>187</v>
      </c>
      <c r="D785" s="33" t="s">
        <v>188</v>
      </c>
      <c r="E785" s="33" t="s">
        <v>180</v>
      </c>
      <c r="F785" s="33" t="s">
        <v>181</v>
      </c>
      <c r="G785" s="33" t="s">
        <v>181</v>
      </c>
      <c r="H785" s="33" t="s">
        <v>189</v>
      </c>
      <c r="I785" s="39">
        <v>46203.0</v>
      </c>
      <c r="J785" s="39">
        <v>46188.0</v>
      </c>
      <c r="K785" s="39">
        <v>46083.0</v>
      </c>
      <c r="L785" s="40">
        <v>0.0</v>
      </c>
      <c r="M785" s="40">
        <v>542.38</v>
      </c>
    </row>
    <row r="786" ht="15.75" customHeight="1">
      <c r="A786" s="33" t="s">
        <v>1722</v>
      </c>
      <c r="B786" s="39">
        <v>45948.0</v>
      </c>
      <c r="C786" s="33" t="s">
        <v>178</v>
      </c>
      <c r="D786" s="33" t="s">
        <v>237</v>
      </c>
      <c r="E786" s="33" t="s">
        <v>180</v>
      </c>
      <c r="F786" s="33" t="s">
        <v>181</v>
      </c>
      <c r="G786" s="33" t="s">
        <v>181</v>
      </c>
      <c r="H786" s="33" t="s">
        <v>189</v>
      </c>
      <c r="I786" s="39">
        <v>46235.0</v>
      </c>
      <c r="J786" s="39">
        <v>46260.0</v>
      </c>
      <c r="K786" s="39">
        <v>46260.0</v>
      </c>
      <c r="L786" s="40">
        <v>0.0</v>
      </c>
      <c r="M786" s="40">
        <v>2087.98</v>
      </c>
    </row>
    <row r="787" ht="15.75" customHeight="1">
      <c r="A787" s="33" t="s">
        <v>4138</v>
      </c>
      <c r="B787" s="39">
        <v>46015.0</v>
      </c>
      <c r="C787" s="33" t="s">
        <v>178</v>
      </c>
      <c r="D787" s="33" t="s">
        <v>194</v>
      </c>
      <c r="E787" s="33" t="s">
        <v>180</v>
      </c>
      <c r="F787" s="33" t="s">
        <v>181</v>
      </c>
      <c r="G787" s="33" t="s">
        <v>189</v>
      </c>
      <c r="H787" s="33" t="s">
        <v>189</v>
      </c>
      <c r="I787" s="39">
        <v>46254.0</v>
      </c>
      <c r="J787" s="33"/>
      <c r="K787" s="33"/>
      <c r="L787" s="40">
        <v>0.0</v>
      </c>
      <c r="M787" s="40">
        <v>1165.05</v>
      </c>
    </row>
    <row r="788" ht="15.75" customHeight="1">
      <c r="A788" s="33" t="s">
        <v>4142</v>
      </c>
      <c r="B788" s="39">
        <v>45677.0</v>
      </c>
      <c r="C788" s="33" t="s">
        <v>178</v>
      </c>
      <c r="D788" s="33" t="s">
        <v>196</v>
      </c>
      <c r="E788" s="33" t="s">
        <v>180</v>
      </c>
      <c r="F788" s="33" t="s">
        <v>181</v>
      </c>
      <c r="G788" s="33" t="s">
        <v>181</v>
      </c>
      <c r="H788" s="33" t="s">
        <v>181</v>
      </c>
      <c r="I788" s="39">
        <v>46250.0</v>
      </c>
      <c r="J788" s="39">
        <v>45903.0</v>
      </c>
      <c r="K788" s="33"/>
      <c r="L788" s="40">
        <v>0.0</v>
      </c>
      <c r="M788" s="40">
        <v>2655.39</v>
      </c>
    </row>
    <row r="789" ht="15.75" customHeight="1">
      <c r="A789" s="33" t="s">
        <v>685</v>
      </c>
      <c r="B789" s="39">
        <v>46074.0</v>
      </c>
      <c r="C789" s="33" t="s">
        <v>178</v>
      </c>
      <c r="D789" s="33" t="s">
        <v>179</v>
      </c>
      <c r="E789" s="33" t="s">
        <v>180</v>
      </c>
      <c r="F789" s="33" t="s">
        <v>181</v>
      </c>
      <c r="G789" s="33" t="s">
        <v>189</v>
      </c>
      <c r="H789" s="33" t="s">
        <v>181</v>
      </c>
      <c r="I789" s="39">
        <v>46255.0</v>
      </c>
      <c r="J789" s="33"/>
      <c r="K789" s="33"/>
      <c r="L789" s="40">
        <v>2893.65</v>
      </c>
      <c r="M789" s="40">
        <v>2953.75</v>
      </c>
    </row>
    <row r="790" ht="15.75" customHeight="1">
      <c r="A790" s="33" t="s">
        <v>3633</v>
      </c>
      <c r="B790" s="39">
        <v>45988.0</v>
      </c>
      <c r="C790" s="33" t="s">
        <v>178</v>
      </c>
      <c r="D790" s="33" t="s">
        <v>237</v>
      </c>
      <c r="E790" s="33" t="s">
        <v>180</v>
      </c>
      <c r="F790" s="33" t="s">
        <v>181</v>
      </c>
      <c r="G790" s="33" t="s">
        <v>181</v>
      </c>
      <c r="H790" s="33" t="s">
        <v>189</v>
      </c>
      <c r="I790" s="39">
        <v>46185.0</v>
      </c>
      <c r="J790" s="39">
        <v>46259.0</v>
      </c>
      <c r="K790" s="39">
        <v>46070.0</v>
      </c>
      <c r="L790" s="40">
        <v>0.0</v>
      </c>
      <c r="M790" s="40">
        <v>1646.38</v>
      </c>
    </row>
    <row r="791" ht="15.75" customHeight="1">
      <c r="A791" s="33" t="s">
        <v>4154</v>
      </c>
      <c r="B791" s="39">
        <v>45665.0</v>
      </c>
      <c r="C791" s="33" t="s">
        <v>178</v>
      </c>
      <c r="D791" s="33" t="s">
        <v>200</v>
      </c>
      <c r="E791" s="33" t="s">
        <v>180</v>
      </c>
      <c r="F791" s="33" t="s">
        <v>181</v>
      </c>
      <c r="G791" s="33" t="s">
        <v>181</v>
      </c>
      <c r="H791" s="33" t="s">
        <v>189</v>
      </c>
      <c r="I791" s="39">
        <v>46196.0</v>
      </c>
      <c r="J791" s="39">
        <v>46129.0</v>
      </c>
      <c r="K791" s="39">
        <v>46129.0</v>
      </c>
      <c r="L791" s="40">
        <v>0.0</v>
      </c>
      <c r="M791" s="40">
        <v>1296.46</v>
      </c>
    </row>
    <row r="792" ht="15.75" customHeight="1">
      <c r="A792" s="33" t="s">
        <v>1883</v>
      </c>
      <c r="B792" s="39">
        <v>45716.0</v>
      </c>
      <c r="C792" s="33" t="s">
        <v>184</v>
      </c>
      <c r="D792" s="33" t="s">
        <v>194</v>
      </c>
      <c r="E792" s="33" t="s">
        <v>180</v>
      </c>
      <c r="F792" s="33" t="s">
        <v>181</v>
      </c>
      <c r="G792" s="33" t="s">
        <v>181</v>
      </c>
      <c r="H792" s="33" t="s">
        <v>181</v>
      </c>
      <c r="I792" s="39">
        <v>46256.0</v>
      </c>
      <c r="J792" s="39">
        <v>46204.0</v>
      </c>
      <c r="K792" s="39">
        <v>46204.0</v>
      </c>
      <c r="L792" s="40">
        <v>25969.46</v>
      </c>
      <c r="M792" s="40">
        <v>2169.66</v>
      </c>
    </row>
    <row r="793" ht="15.75" customHeight="1">
      <c r="A793" s="33" t="s">
        <v>290</v>
      </c>
      <c r="B793" s="39">
        <v>45933.0</v>
      </c>
      <c r="C793" s="33" t="s">
        <v>178</v>
      </c>
      <c r="D793" s="33" t="s">
        <v>200</v>
      </c>
      <c r="E793" s="33" t="s">
        <v>180</v>
      </c>
      <c r="F793" s="33" t="s">
        <v>189</v>
      </c>
      <c r="G793" s="33" t="s">
        <v>181</v>
      </c>
      <c r="H793" s="33" t="s">
        <v>189</v>
      </c>
      <c r="I793" s="39">
        <v>46209.0</v>
      </c>
      <c r="J793" s="39">
        <v>46223.0</v>
      </c>
      <c r="K793" s="39">
        <v>46089.0</v>
      </c>
      <c r="L793" s="40">
        <v>29346.1</v>
      </c>
      <c r="M793" s="40">
        <v>0.0</v>
      </c>
    </row>
    <row r="794" ht="15.75" customHeight="1">
      <c r="A794" s="33" t="s">
        <v>614</v>
      </c>
      <c r="B794" s="39">
        <v>46096.0</v>
      </c>
      <c r="C794" s="33" t="s">
        <v>178</v>
      </c>
      <c r="D794" s="33" t="s">
        <v>196</v>
      </c>
      <c r="E794" s="33" t="s">
        <v>222</v>
      </c>
      <c r="F794" s="33" t="s">
        <v>181</v>
      </c>
      <c r="G794" s="33" t="s">
        <v>189</v>
      </c>
      <c r="H794" s="33" t="s">
        <v>189</v>
      </c>
      <c r="I794" s="39">
        <v>46136.0</v>
      </c>
      <c r="J794" s="33"/>
      <c r="K794" s="33"/>
      <c r="L794" s="40">
        <v>23544.82</v>
      </c>
      <c r="M794" s="40">
        <v>1061.96</v>
      </c>
    </row>
    <row r="795" ht="15.75" customHeight="1">
      <c r="A795" s="33" t="s">
        <v>3059</v>
      </c>
      <c r="B795" s="39">
        <v>46159.0</v>
      </c>
      <c r="C795" s="33" t="s">
        <v>178</v>
      </c>
      <c r="D795" s="33" t="s">
        <v>200</v>
      </c>
      <c r="E795" s="33" t="s">
        <v>180</v>
      </c>
      <c r="F795" s="33" t="s">
        <v>181</v>
      </c>
      <c r="G795" s="33" t="s">
        <v>181</v>
      </c>
      <c r="H795" s="33" t="s">
        <v>189</v>
      </c>
      <c r="I795" s="39">
        <v>46219.0</v>
      </c>
      <c r="J795" s="39">
        <v>46127.0</v>
      </c>
      <c r="K795" s="39">
        <v>46127.0</v>
      </c>
      <c r="L795" s="40">
        <v>0.0</v>
      </c>
      <c r="M795" s="40">
        <v>3011.36</v>
      </c>
    </row>
    <row r="796" ht="15.75" customHeight="1">
      <c r="A796" s="33" t="s">
        <v>4175</v>
      </c>
      <c r="B796" s="39">
        <v>45919.0</v>
      </c>
      <c r="C796" s="33" t="s">
        <v>178</v>
      </c>
      <c r="D796" s="33" t="s">
        <v>179</v>
      </c>
      <c r="E796" s="33" t="s">
        <v>180</v>
      </c>
      <c r="F796" s="33" t="s">
        <v>181</v>
      </c>
      <c r="G796" s="33" t="s">
        <v>181</v>
      </c>
      <c r="H796" s="33" t="s">
        <v>189</v>
      </c>
      <c r="I796" s="39">
        <v>46211.0</v>
      </c>
      <c r="J796" s="39">
        <v>46154.0</v>
      </c>
      <c r="K796" s="39">
        <v>46154.0</v>
      </c>
      <c r="L796" s="40">
        <v>0.0</v>
      </c>
      <c r="M796" s="40">
        <v>2503.52</v>
      </c>
    </row>
    <row r="797" ht="15.75" customHeight="1">
      <c r="A797" s="33" t="s">
        <v>4179</v>
      </c>
      <c r="B797" s="39">
        <v>45837.0</v>
      </c>
      <c r="C797" s="33" t="s">
        <v>178</v>
      </c>
      <c r="D797" s="33" t="s">
        <v>228</v>
      </c>
      <c r="E797" s="33" t="s">
        <v>180</v>
      </c>
      <c r="F797" s="33" t="s">
        <v>189</v>
      </c>
      <c r="G797" s="33" t="s">
        <v>189</v>
      </c>
      <c r="H797" s="33" t="s">
        <v>189</v>
      </c>
      <c r="I797" s="39">
        <v>46184.0</v>
      </c>
      <c r="J797" s="33"/>
      <c r="K797" s="33"/>
      <c r="L797" s="40">
        <v>0.0</v>
      </c>
      <c r="M797" s="40">
        <v>0.0</v>
      </c>
    </row>
    <row r="798" ht="15.75" customHeight="1">
      <c r="A798" s="33" t="s">
        <v>741</v>
      </c>
      <c r="B798" s="39">
        <v>46245.0</v>
      </c>
      <c r="C798" s="33" t="s">
        <v>187</v>
      </c>
      <c r="D798" s="33" t="s">
        <v>194</v>
      </c>
      <c r="E798" s="33" t="s">
        <v>330</v>
      </c>
      <c r="F798" s="33" t="s">
        <v>181</v>
      </c>
      <c r="G798" s="33" t="s">
        <v>189</v>
      </c>
      <c r="H798" s="33" t="s">
        <v>181</v>
      </c>
      <c r="I798" s="39">
        <v>46255.0</v>
      </c>
      <c r="J798" s="33"/>
      <c r="K798" s="33"/>
      <c r="L798" s="40">
        <v>0.0</v>
      </c>
      <c r="M798" s="40">
        <v>0.0</v>
      </c>
    </row>
    <row r="799" ht="15.75" customHeight="1">
      <c r="A799" s="33" t="s">
        <v>3013</v>
      </c>
      <c r="B799" s="39">
        <v>45936.0</v>
      </c>
      <c r="C799" s="33" t="s">
        <v>178</v>
      </c>
      <c r="D799" s="33" t="s">
        <v>237</v>
      </c>
      <c r="E799" s="33" t="s">
        <v>180</v>
      </c>
      <c r="F799" s="33" t="s">
        <v>181</v>
      </c>
      <c r="G799" s="33" t="s">
        <v>189</v>
      </c>
      <c r="H799" s="33" t="s">
        <v>189</v>
      </c>
      <c r="I799" s="39">
        <v>46206.0</v>
      </c>
      <c r="J799" s="33"/>
      <c r="K799" s="33"/>
      <c r="L799" s="40">
        <v>7489.54</v>
      </c>
      <c r="M799" s="40">
        <v>743.58</v>
      </c>
    </row>
    <row r="800" ht="15.75" customHeight="1">
      <c r="A800" s="33" t="s">
        <v>4000</v>
      </c>
      <c r="B800" s="39">
        <v>45849.0</v>
      </c>
      <c r="C800" s="33" t="s">
        <v>184</v>
      </c>
      <c r="D800" s="33" t="s">
        <v>194</v>
      </c>
      <c r="E800" s="33" t="s">
        <v>180</v>
      </c>
      <c r="F800" s="33" t="s">
        <v>189</v>
      </c>
      <c r="G800" s="33" t="s">
        <v>181</v>
      </c>
      <c r="H800" s="33" t="s">
        <v>181</v>
      </c>
      <c r="I800" s="39">
        <v>46214.0</v>
      </c>
      <c r="J800" s="39">
        <v>46264.0</v>
      </c>
      <c r="K800" s="39">
        <v>46264.0</v>
      </c>
      <c r="L800" s="40">
        <v>0.0</v>
      </c>
      <c r="M800" s="40">
        <v>0.0</v>
      </c>
    </row>
    <row r="801" ht="15.75" customHeight="1">
      <c r="A801" s="33" t="s">
        <v>4196</v>
      </c>
      <c r="B801" s="39">
        <v>45926.0</v>
      </c>
      <c r="C801" s="33" t="s">
        <v>184</v>
      </c>
      <c r="D801" s="33" t="s">
        <v>237</v>
      </c>
      <c r="E801" s="33" t="s">
        <v>180</v>
      </c>
      <c r="F801" s="33" t="s">
        <v>189</v>
      </c>
      <c r="G801" s="33" t="s">
        <v>189</v>
      </c>
      <c r="H801" s="33" t="s">
        <v>189</v>
      </c>
      <c r="I801" s="39">
        <v>46230.0</v>
      </c>
      <c r="J801" s="33"/>
      <c r="K801" s="33"/>
      <c r="L801" s="40">
        <v>0.0</v>
      </c>
      <c r="M801" s="40">
        <v>0.0</v>
      </c>
    </row>
    <row r="802" ht="15.75" customHeight="1">
      <c r="A802" s="33" t="s">
        <v>1247</v>
      </c>
      <c r="B802" s="39">
        <v>45665.0</v>
      </c>
      <c r="C802" s="33" t="s">
        <v>178</v>
      </c>
      <c r="D802" s="33" t="s">
        <v>194</v>
      </c>
      <c r="E802" s="33" t="s">
        <v>180</v>
      </c>
      <c r="F802" s="33" t="s">
        <v>181</v>
      </c>
      <c r="G802" s="33" t="s">
        <v>181</v>
      </c>
      <c r="H802" s="33" t="s">
        <v>189</v>
      </c>
      <c r="I802" s="39">
        <v>46185.0</v>
      </c>
      <c r="J802" s="39">
        <v>46130.0</v>
      </c>
      <c r="K802" s="39">
        <v>46130.0</v>
      </c>
      <c r="L802" s="40">
        <v>16901.17</v>
      </c>
      <c r="M802" s="40">
        <v>2016.12</v>
      </c>
    </row>
    <row r="803" ht="15.75" customHeight="1">
      <c r="A803" s="33" t="s">
        <v>1239</v>
      </c>
      <c r="B803" s="39">
        <v>45841.0</v>
      </c>
      <c r="C803" s="33" t="s">
        <v>178</v>
      </c>
      <c r="D803" s="33" t="s">
        <v>200</v>
      </c>
      <c r="E803" s="33" t="s">
        <v>180</v>
      </c>
      <c r="F803" s="33" t="s">
        <v>181</v>
      </c>
      <c r="G803" s="33" t="s">
        <v>181</v>
      </c>
      <c r="H803" s="33" t="s">
        <v>189</v>
      </c>
      <c r="I803" s="39">
        <v>46228.0</v>
      </c>
      <c r="J803" s="39">
        <v>46250.0</v>
      </c>
      <c r="K803" s="39">
        <v>45797.0</v>
      </c>
      <c r="L803" s="40">
        <v>0.0</v>
      </c>
      <c r="M803" s="40">
        <v>3383.21</v>
      </c>
    </row>
    <row r="804" ht="15.75" customHeight="1">
      <c r="A804" s="33" t="s">
        <v>2958</v>
      </c>
      <c r="B804" s="39">
        <v>45970.0</v>
      </c>
      <c r="C804" s="33" t="s">
        <v>178</v>
      </c>
      <c r="D804" s="33" t="s">
        <v>196</v>
      </c>
      <c r="E804" s="33" t="s">
        <v>180</v>
      </c>
      <c r="F804" s="33" t="s">
        <v>181</v>
      </c>
      <c r="G804" s="33" t="s">
        <v>181</v>
      </c>
      <c r="H804" s="33" t="s">
        <v>181</v>
      </c>
      <c r="I804" s="39">
        <v>46194.0</v>
      </c>
      <c r="J804" s="39">
        <v>46233.0</v>
      </c>
      <c r="K804" s="39">
        <v>46233.0</v>
      </c>
      <c r="L804" s="40">
        <v>32351.76</v>
      </c>
      <c r="M804" s="40">
        <v>2873.87</v>
      </c>
    </row>
    <row r="805" ht="15.75" customHeight="1">
      <c r="A805" s="33" t="s">
        <v>1819</v>
      </c>
      <c r="B805" s="39">
        <v>46215.0</v>
      </c>
      <c r="C805" s="33" t="s">
        <v>187</v>
      </c>
      <c r="D805" s="33" t="s">
        <v>188</v>
      </c>
      <c r="E805" s="33" t="s">
        <v>180</v>
      </c>
      <c r="F805" s="33" t="s">
        <v>181</v>
      </c>
      <c r="G805" s="33" t="s">
        <v>181</v>
      </c>
      <c r="H805" s="33" t="s">
        <v>181</v>
      </c>
      <c r="I805" s="39">
        <v>46211.0</v>
      </c>
      <c r="J805" s="39">
        <v>46204.0</v>
      </c>
      <c r="K805" s="39">
        <v>46204.0</v>
      </c>
      <c r="L805" s="40">
        <v>0.0</v>
      </c>
      <c r="M805" s="40">
        <v>650.76</v>
      </c>
    </row>
    <row r="806" ht="15.75" customHeight="1">
      <c r="A806" s="33" t="s">
        <v>561</v>
      </c>
      <c r="B806" s="39">
        <v>46106.0</v>
      </c>
      <c r="C806" s="33" t="s">
        <v>178</v>
      </c>
      <c r="D806" s="33" t="s">
        <v>194</v>
      </c>
      <c r="E806" s="33" t="s">
        <v>180</v>
      </c>
      <c r="F806" s="33" t="s">
        <v>181</v>
      </c>
      <c r="G806" s="33" t="s">
        <v>189</v>
      </c>
      <c r="H806" s="33" t="s">
        <v>189</v>
      </c>
      <c r="I806" s="39">
        <v>46204.0</v>
      </c>
      <c r="J806" s="33"/>
      <c r="K806" s="33"/>
      <c r="L806" s="40">
        <v>34898.48</v>
      </c>
      <c r="M806" s="40">
        <v>2333.47</v>
      </c>
    </row>
    <row r="807" ht="15.75" customHeight="1">
      <c r="A807" s="33" t="s">
        <v>3128</v>
      </c>
      <c r="B807" s="39">
        <v>46132.0</v>
      </c>
      <c r="C807" s="33" t="s">
        <v>184</v>
      </c>
      <c r="D807" s="33" t="s">
        <v>179</v>
      </c>
      <c r="E807" s="33" t="s">
        <v>180</v>
      </c>
      <c r="F807" s="33" t="s">
        <v>181</v>
      </c>
      <c r="G807" s="33" t="s">
        <v>181</v>
      </c>
      <c r="H807" s="33" t="s">
        <v>189</v>
      </c>
      <c r="I807" s="39">
        <v>46197.0</v>
      </c>
      <c r="J807" s="39">
        <v>46257.0</v>
      </c>
      <c r="K807" s="39">
        <v>46235.0</v>
      </c>
      <c r="L807" s="40">
        <v>0.0</v>
      </c>
      <c r="M807" s="40">
        <v>2503.45</v>
      </c>
    </row>
    <row r="808" ht="15.75" customHeight="1">
      <c r="A808" s="33" t="s">
        <v>1802</v>
      </c>
      <c r="B808" s="39">
        <v>45988.0</v>
      </c>
      <c r="C808" s="33" t="s">
        <v>184</v>
      </c>
      <c r="D808" s="33" t="s">
        <v>185</v>
      </c>
      <c r="E808" s="33" t="s">
        <v>330</v>
      </c>
      <c r="F808" s="33" t="s">
        <v>181</v>
      </c>
      <c r="G808" s="33" t="s">
        <v>181</v>
      </c>
      <c r="H808" s="33" t="s">
        <v>189</v>
      </c>
      <c r="I808" s="39">
        <v>46135.0</v>
      </c>
      <c r="J808" s="39">
        <v>46223.0</v>
      </c>
      <c r="K808" s="39">
        <v>46163.0</v>
      </c>
      <c r="L808" s="40">
        <v>0.0</v>
      </c>
      <c r="M808" s="40">
        <v>0.0</v>
      </c>
    </row>
    <row r="809" ht="15.75" customHeight="1">
      <c r="A809" s="33" t="s">
        <v>1774</v>
      </c>
      <c r="B809" s="39">
        <v>45725.0</v>
      </c>
      <c r="C809" s="33" t="s">
        <v>184</v>
      </c>
      <c r="D809" s="33" t="s">
        <v>185</v>
      </c>
      <c r="E809" s="33" t="s">
        <v>180</v>
      </c>
      <c r="F809" s="33" t="s">
        <v>181</v>
      </c>
      <c r="G809" s="33" t="s">
        <v>189</v>
      </c>
      <c r="H809" s="33" t="s">
        <v>189</v>
      </c>
      <c r="I809" s="39">
        <v>46215.0</v>
      </c>
      <c r="J809" s="33"/>
      <c r="K809" s="33"/>
      <c r="L809" s="40">
        <v>8970.5</v>
      </c>
      <c r="M809" s="40">
        <v>1761.34</v>
      </c>
    </row>
    <row r="810" ht="15.75" customHeight="1">
      <c r="A810" s="33" t="s">
        <v>1224</v>
      </c>
      <c r="B810" s="39">
        <v>45895.0</v>
      </c>
      <c r="C810" s="33" t="s">
        <v>202</v>
      </c>
      <c r="D810" s="33" t="s">
        <v>194</v>
      </c>
      <c r="E810" s="33" t="s">
        <v>180</v>
      </c>
      <c r="F810" s="33" t="s">
        <v>181</v>
      </c>
      <c r="G810" s="33" t="s">
        <v>181</v>
      </c>
      <c r="H810" s="33" t="s">
        <v>189</v>
      </c>
      <c r="I810" s="39">
        <v>46210.0</v>
      </c>
      <c r="J810" s="39">
        <v>46260.0</v>
      </c>
      <c r="K810" s="39">
        <v>46260.0</v>
      </c>
      <c r="L810" s="40">
        <v>15342.03</v>
      </c>
      <c r="M810" s="40">
        <v>2775.11</v>
      </c>
    </row>
    <row r="811" ht="15.75" customHeight="1">
      <c r="A811" s="33" t="s">
        <v>2040</v>
      </c>
      <c r="B811" s="39">
        <v>46263.0</v>
      </c>
      <c r="C811" s="33" t="s">
        <v>184</v>
      </c>
      <c r="D811" s="33" t="s">
        <v>196</v>
      </c>
      <c r="E811" s="33" t="s">
        <v>180</v>
      </c>
      <c r="F811" s="33" t="s">
        <v>181</v>
      </c>
      <c r="G811" s="33" t="s">
        <v>181</v>
      </c>
      <c r="H811" s="33" t="s">
        <v>181</v>
      </c>
      <c r="I811" s="39">
        <v>46220.0</v>
      </c>
      <c r="J811" s="39">
        <v>46223.0</v>
      </c>
      <c r="K811" s="39">
        <v>46175.0</v>
      </c>
      <c r="L811" s="40">
        <v>0.0</v>
      </c>
      <c r="M811" s="40">
        <v>1896.6</v>
      </c>
    </row>
    <row r="812" ht="15.75" customHeight="1">
      <c r="A812" s="33" t="s">
        <v>1811</v>
      </c>
      <c r="B812" s="39">
        <v>45684.0</v>
      </c>
      <c r="C812" s="33" t="s">
        <v>178</v>
      </c>
      <c r="D812" s="33" t="s">
        <v>179</v>
      </c>
      <c r="E812" s="33" t="s">
        <v>180</v>
      </c>
      <c r="F812" s="33" t="s">
        <v>189</v>
      </c>
      <c r="G812" s="33" t="s">
        <v>189</v>
      </c>
      <c r="H812" s="33" t="s">
        <v>189</v>
      </c>
      <c r="I812" s="39">
        <v>46235.0</v>
      </c>
      <c r="J812" s="33"/>
      <c r="K812" s="33"/>
      <c r="L812" s="40">
        <v>28865.6</v>
      </c>
      <c r="M812" s="40">
        <v>0.0</v>
      </c>
    </row>
    <row r="813" ht="15.75" customHeight="1">
      <c r="A813" s="33" t="s">
        <v>4242</v>
      </c>
      <c r="B813" s="39">
        <v>46191.0</v>
      </c>
      <c r="C813" s="33" t="s">
        <v>178</v>
      </c>
      <c r="D813" s="33" t="s">
        <v>228</v>
      </c>
      <c r="E813" s="33" t="s">
        <v>180</v>
      </c>
      <c r="F813" s="33" t="s">
        <v>181</v>
      </c>
      <c r="G813" s="33" t="s">
        <v>189</v>
      </c>
      <c r="H813" s="33" t="s">
        <v>181</v>
      </c>
      <c r="I813" s="39">
        <v>46200.0</v>
      </c>
      <c r="J813" s="33"/>
      <c r="K813" s="33"/>
      <c r="L813" s="40">
        <v>0.0</v>
      </c>
      <c r="M813" s="40">
        <v>257.17</v>
      </c>
    </row>
    <row r="814" ht="15.75" customHeight="1">
      <c r="A814" s="33" t="s">
        <v>2812</v>
      </c>
      <c r="B814" s="39">
        <v>46073.0</v>
      </c>
      <c r="C814" s="33" t="s">
        <v>178</v>
      </c>
      <c r="D814" s="33" t="s">
        <v>188</v>
      </c>
      <c r="E814" s="33" t="s">
        <v>180</v>
      </c>
      <c r="F814" s="33" t="s">
        <v>181</v>
      </c>
      <c r="G814" s="33" t="s">
        <v>189</v>
      </c>
      <c r="H814" s="33" t="s">
        <v>189</v>
      </c>
      <c r="I814" s="39">
        <v>46186.0</v>
      </c>
      <c r="J814" s="33"/>
      <c r="K814" s="33"/>
      <c r="L814" s="40">
        <v>954.66</v>
      </c>
      <c r="M814" s="40">
        <v>910.2</v>
      </c>
    </row>
    <row r="815" ht="15.75" customHeight="1">
      <c r="A815" s="33" t="s">
        <v>1896</v>
      </c>
      <c r="B815" s="39">
        <v>45830.0</v>
      </c>
      <c r="C815" s="33" t="s">
        <v>184</v>
      </c>
      <c r="D815" s="33" t="s">
        <v>188</v>
      </c>
      <c r="E815" s="33" t="s">
        <v>180</v>
      </c>
      <c r="F815" s="33" t="s">
        <v>181</v>
      </c>
      <c r="G815" s="33" t="s">
        <v>189</v>
      </c>
      <c r="H815" s="33" t="s">
        <v>181</v>
      </c>
      <c r="I815" s="39">
        <v>46202.0</v>
      </c>
      <c r="J815" s="33"/>
      <c r="K815" s="33"/>
      <c r="L815" s="40">
        <v>7281.97</v>
      </c>
      <c r="M815" s="40">
        <v>1239.72</v>
      </c>
    </row>
    <row r="816" ht="15.75" customHeight="1">
      <c r="A816" s="33" t="s">
        <v>1028</v>
      </c>
      <c r="B816" s="39">
        <v>46130.0</v>
      </c>
      <c r="C816" s="33" t="s">
        <v>202</v>
      </c>
      <c r="D816" s="33" t="s">
        <v>196</v>
      </c>
      <c r="E816" s="33" t="s">
        <v>180</v>
      </c>
      <c r="F816" s="33" t="s">
        <v>181</v>
      </c>
      <c r="G816" s="33" t="s">
        <v>189</v>
      </c>
      <c r="H816" s="33" t="s">
        <v>181</v>
      </c>
      <c r="I816" s="39">
        <v>46196.0</v>
      </c>
      <c r="J816" s="33"/>
      <c r="K816" s="33"/>
      <c r="L816" s="40">
        <v>12863.32</v>
      </c>
      <c r="M816" s="40">
        <v>931.04</v>
      </c>
    </row>
    <row r="817" ht="15.75" customHeight="1">
      <c r="A817" s="33" t="s">
        <v>4258</v>
      </c>
      <c r="B817" s="39">
        <v>46165.0</v>
      </c>
      <c r="C817" s="33" t="s">
        <v>184</v>
      </c>
      <c r="D817" s="33" t="s">
        <v>179</v>
      </c>
      <c r="E817" s="33" t="s">
        <v>180</v>
      </c>
      <c r="F817" s="33" t="s">
        <v>181</v>
      </c>
      <c r="G817" s="33" t="s">
        <v>189</v>
      </c>
      <c r="H817" s="33" t="s">
        <v>189</v>
      </c>
      <c r="I817" s="39">
        <v>46191.0</v>
      </c>
      <c r="J817" s="33"/>
      <c r="K817" s="33"/>
      <c r="L817" s="40">
        <v>0.0</v>
      </c>
      <c r="M817" s="40">
        <v>2997.28</v>
      </c>
    </row>
    <row r="818" ht="15.75" customHeight="1">
      <c r="A818" s="33" t="s">
        <v>1660</v>
      </c>
      <c r="B818" s="39">
        <v>45684.0</v>
      </c>
      <c r="C818" s="33" t="s">
        <v>178</v>
      </c>
      <c r="D818" s="33" t="s">
        <v>188</v>
      </c>
      <c r="E818" s="33" t="s">
        <v>180</v>
      </c>
      <c r="F818" s="33" t="s">
        <v>181</v>
      </c>
      <c r="G818" s="33" t="s">
        <v>181</v>
      </c>
      <c r="H818" s="33" t="s">
        <v>189</v>
      </c>
      <c r="I818" s="39">
        <v>46232.0</v>
      </c>
      <c r="J818" s="39">
        <v>46216.0</v>
      </c>
      <c r="K818" s="39">
        <v>45965.0</v>
      </c>
      <c r="L818" s="40">
        <v>42786.85</v>
      </c>
      <c r="M818" s="40">
        <v>2273.64</v>
      </c>
    </row>
    <row r="819" ht="15.75" customHeight="1">
      <c r="A819" s="33" t="s">
        <v>260</v>
      </c>
      <c r="B819" s="39">
        <v>45722.0</v>
      </c>
      <c r="C819" s="33" t="s">
        <v>184</v>
      </c>
      <c r="D819" s="33" t="s">
        <v>179</v>
      </c>
      <c r="E819" s="33" t="s">
        <v>222</v>
      </c>
      <c r="F819" s="33" t="s">
        <v>189</v>
      </c>
      <c r="G819" s="33" t="s">
        <v>181</v>
      </c>
      <c r="H819" s="33" t="s">
        <v>181</v>
      </c>
      <c r="I819" s="39">
        <v>46225.0</v>
      </c>
      <c r="J819" s="39">
        <v>46168.0</v>
      </c>
      <c r="K819" s="39">
        <v>46168.0</v>
      </c>
      <c r="L819" s="40">
        <v>8154.89</v>
      </c>
      <c r="M819" s="40">
        <v>0.0</v>
      </c>
    </row>
    <row r="820" ht="15.75" customHeight="1">
      <c r="A820" s="33" t="s">
        <v>1067</v>
      </c>
      <c r="B820" s="39">
        <v>46062.0</v>
      </c>
      <c r="C820" s="33" t="s">
        <v>202</v>
      </c>
      <c r="D820" s="33" t="s">
        <v>200</v>
      </c>
      <c r="E820" s="33" t="s">
        <v>180</v>
      </c>
      <c r="F820" s="33" t="s">
        <v>181</v>
      </c>
      <c r="G820" s="33" t="s">
        <v>181</v>
      </c>
      <c r="H820" s="33" t="s">
        <v>181</v>
      </c>
      <c r="I820" s="39">
        <v>46235.0</v>
      </c>
      <c r="J820" s="39">
        <v>46026.0</v>
      </c>
      <c r="K820" s="39">
        <v>46026.0</v>
      </c>
      <c r="L820" s="40">
        <v>48935.69</v>
      </c>
      <c r="M820" s="40">
        <v>574.89</v>
      </c>
    </row>
    <row r="821" ht="15.75" customHeight="1">
      <c r="A821" s="33" t="s">
        <v>2544</v>
      </c>
      <c r="B821" s="39">
        <v>46264.0</v>
      </c>
      <c r="C821" s="33" t="s">
        <v>202</v>
      </c>
      <c r="D821" s="33" t="s">
        <v>179</v>
      </c>
      <c r="E821" s="33" t="s">
        <v>180</v>
      </c>
      <c r="F821" s="33" t="s">
        <v>189</v>
      </c>
      <c r="G821" s="33" t="s">
        <v>189</v>
      </c>
      <c r="H821" s="33" t="s">
        <v>189</v>
      </c>
      <c r="I821" s="39">
        <v>46198.0</v>
      </c>
      <c r="J821" s="33"/>
      <c r="K821" s="33"/>
      <c r="L821" s="40">
        <v>3371.09</v>
      </c>
      <c r="M821" s="40">
        <v>0.0</v>
      </c>
    </row>
    <row r="822" ht="15.75" customHeight="1">
      <c r="A822" s="33" t="s">
        <v>1994</v>
      </c>
      <c r="B822" s="39">
        <v>45672.0</v>
      </c>
      <c r="C822" s="33" t="s">
        <v>184</v>
      </c>
      <c r="D822" s="33" t="s">
        <v>185</v>
      </c>
      <c r="E822" s="33" t="s">
        <v>180</v>
      </c>
      <c r="F822" s="33" t="s">
        <v>189</v>
      </c>
      <c r="G822" s="33" t="s">
        <v>181</v>
      </c>
      <c r="H822" s="33" t="s">
        <v>181</v>
      </c>
      <c r="I822" s="39">
        <v>46192.0</v>
      </c>
      <c r="J822" s="39">
        <v>46257.0</v>
      </c>
      <c r="K822" s="39">
        <v>46257.0</v>
      </c>
      <c r="L822" s="40">
        <v>0.0</v>
      </c>
      <c r="M822" s="40">
        <v>0.0</v>
      </c>
    </row>
    <row r="823" ht="15.75" customHeight="1">
      <c r="A823" s="33" t="s">
        <v>1647</v>
      </c>
      <c r="B823" s="39">
        <v>46062.0</v>
      </c>
      <c r="C823" s="33" t="s">
        <v>178</v>
      </c>
      <c r="D823" s="33" t="s">
        <v>196</v>
      </c>
      <c r="E823" s="33" t="s">
        <v>180</v>
      </c>
      <c r="F823" s="33" t="s">
        <v>189</v>
      </c>
      <c r="G823" s="33" t="s">
        <v>189</v>
      </c>
      <c r="H823" s="33" t="s">
        <v>181</v>
      </c>
      <c r="I823" s="39">
        <v>46219.0</v>
      </c>
      <c r="J823" s="33"/>
      <c r="K823" s="33"/>
      <c r="L823" s="40">
        <v>21980.38</v>
      </c>
      <c r="M823" s="40">
        <v>0.0</v>
      </c>
    </row>
    <row r="824" ht="15.75" customHeight="1">
      <c r="A824" s="33" t="s">
        <v>4287</v>
      </c>
      <c r="B824" s="39">
        <v>45740.0</v>
      </c>
      <c r="C824" s="33" t="s">
        <v>178</v>
      </c>
      <c r="D824" s="33" t="s">
        <v>185</v>
      </c>
      <c r="E824" s="33" t="s">
        <v>222</v>
      </c>
      <c r="F824" s="33" t="s">
        <v>181</v>
      </c>
      <c r="G824" s="33" t="s">
        <v>181</v>
      </c>
      <c r="H824" s="33" t="s">
        <v>189</v>
      </c>
      <c r="I824" s="39">
        <v>46118.0</v>
      </c>
      <c r="J824" s="39">
        <v>46064.0</v>
      </c>
      <c r="K824" s="39">
        <v>46064.0</v>
      </c>
      <c r="L824" s="40">
        <v>0.0</v>
      </c>
      <c r="M824" s="40">
        <v>2240.35</v>
      </c>
    </row>
    <row r="825" ht="15.75" customHeight="1">
      <c r="A825" s="33" t="s">
        <v>2508</v>
      </c>
      <c r="B825" s="39">
        <v>46052.0</v>
      </c>
      <c r="C825" s="33" t="s">
        <v>202</v>
      </c>
      <c r="D825" s="33" t="s">
        <v>188</v>
      </c>
      <c r="E825" s="33" t="s">
        <v>180</v>
      </c>
      <c r="F825" s="33" t="s">
        <v>189</v>
      </c>
      <c r="G825" s="33" t="s">
        <v>181</v>
      </c>
      <c r="H825" s="33" t="s">
        <v>181</v>
      </c>
      <c r="I825" s="39">
        <v>46259.0</v>
      </c>
      <c r="J825" s="39">
        <v>46228.0</v>
      </c>
      <c r="K825" s="39">
        <v>46183.0</v>
      </c>
      <c r="L825" s="40">
        <v>3822.67</v>
      </c>
      <c r="M825" s="40">
        <v>0.0</v>
      </c>
    </row>
    <row r="826" ht="15.75" customHeight="1">
      <c r="A826" s="33" t="s">
        <v>367</v>
      </c>
      <c r="B826" s="39">
        <v>46036.0</v>
      </c>
      <c r="C826" s="33" t="s">
        <v>178</v>
      </c>
      <c r="D826" s="33" t="s">
        <v>196</v>
      </c>
      <c r="E826" s="33" t="s">
        <v>180</v>
      </c>
      <c r="F826" s="33" t="s">
        <v>181</v>
      </c>
      <c r="G826" s="33" t="s">
        <v>181</v>
      </c>
      <c r="H826" s="33" t="s">
        <v>189</v>
      </c>
      <c r="I826" s="39">
        <v>46208.0</v>
      </c>
      <c r="J826" s="39">
        <v>46256.0</v>
      </c>
      <c r="K826" s="39">
        <v>46256.0</v>
      </c>
      <c r="L826" s="40">
        <v>0.0</v>
      </c>
      <c r="M826" s="40">
        <v>3150.15</v>
      </c>
    </row>
    <row r="827" ht="15.75" customHeight="1">
      <c r="A827" s="33" t="s">
        <v>2669</v>
      </c>
      <c r="B827" s="39">
        <v>45712.0</v>
      </c>
      <c r="C827" s="33" t="s">
        <v>178</v>
      </c>
      <c r="D827" s="33" t="s">
        <v>188</v>
      </c>
      <c r="E827" s="33" t="s">
        <v>180</v>
      </c>
      <c r="F827" s="33" t="s">
        <v>181</v>
      </c>
      <c r="G827" s="33" t="s">
        <v>181</v>
      </c>
      <c r="H827" s="33" t="s">
        <v>189</v>
      </c>
      <c r="I827" s="39">
        <v>46204.0</v>
      </c>
      <c r="J827" s="39">
        <v>46261.0</v>
      </c>
      <c r="K827" s="39">
        <v>46261.0</v>
      </c>
      <c r="L827" s="40">
        <v>1269.7</v>
      </c>
      <c r="M827" s="40">
        <v>1473.7</v>
      </c>
    </row>
    <row r="828" ht="15.75" customHeight="1">
      <c r="A828" s="33" t="s">
        <v>1305</v>
      </c>
      <c r="B828" s="39">
        <v>46071.0</v>
      </c>
      <c r="C828" s="33" t="s">
        <v>178</v>
      </c>
      <c r="D828" s="33" t="s">
        <v>188</v>
      </c>
      <c r="E828" s="33" t="s">
        <v>180</v>
      </c>
      <c r="F828" s="33" t="s">
        <v>181</v>
      </c>
      <c r="G828" s="33" t="s">
        <v>181</v>
      </c>
      <c r="H828" s="33" t="s">
        <v>181</v>
      </c>
      <c r="I828" s="39">
        <v>46220.0</v>
      </c>
      <c r="J828" s="39">
        <v>46241.0</v>
      </c>
      <c r="K828" s="39">
        <v>45899.0</v>
      </c>
      <c r="L828" s="40">
        <v>17249.94</v>
      </c>
      <c r="M828" s="40">
        <v>2141.35</v>
      </c>
    </row>
    <row r="829" ht="15.75" customHeight="1">
      <c r="A829" s="33" t="s">
        <v>1987</v>
      </c>
      <c r="B829" s="39">
        <v>46202.0</v>
      </c>
      <c r="C829" s="33" t="s">
        <v>178</v>
      </c>
      <c r="D829" s="33" t="s">
        <v>194</v>
      </c>
      <c r="E829" s="33" t="s">
        <v>222</v>
      </c>
      <c r="F829" s="33" t="s">
        <v>181</v>
      </c>
      <c r="G829" s="33" t="s">
        <v>181</v>
      </c>
      <c r="H829" s="33" t="s">
        <v>181</v>
      </c>
      <c r="I829" s="39">
        <v>46128.0</v>
      </c>
      <c r="J829" s="39">
        <v>46099.0</v>
      </c>
      <c r="K829" s="39">
        <v>45850.0</v>
      </c>
      <c r="L829" s="40">
        <v>0.0</v>
      </c>
      <c r="M829" s="40">
        <v>1839.63</v>
      </c>
    </row>
    <row r="830" ht="15.75" customHeight="1">
      <c r="A830" s="33" t="s">
        <v>4308</v>
      </c>
      <c r="B830" s="39">
        <v>46182.0</v>
      </c>
      <c r="C830" s="33" t="s">
        <v>184</v>
      </c>
      <c r="D830" s="33" t="s">
        <v>188</v>
      </c>
      <c r="E830" s="33" t="s">
        <v>180</v>
      </c>
      <c r="F830" s="33" t="s">
        <v>181</v>
      </c>
      <c r="G830" s="33" t="s">
        <v>189</v>
      </c>
      <c r="H830" s="33" t="s">
        <v>181</v>
      </c>
      <c r="I830" s="39">
        <v>46221.0</v>
      </c>
      <c r="J830" s="33"/>
      <c r="K830" s="33"/>
      <c r="L830" s="40">
        <v>0.0</v>
      </c>
      <c r="M830" s="40">
        <v>706.75</v>
      </c>
    </row>
    <row r="831" ht="15.75" customHeight="1">
      <c r="A831" s="33" t="s">
        <v>514</v>
      </c>
      <c r="B831" s="39">
        <v>45675.0</v>
      </c>
      <c r="C831" s="33" t="s">
        <v>202</v>
      </c>
      <c r="D831" s="33" t="s">
        <v>194</v>
      </c>
      <c r="E831" s="33" t="s">
        <v>180</v>
      </c>
      <c r="F831" s="33" t="s">
        <v>181</v>
      </c>
      <c r="G831" s="33" t="s">
        <v>181</v>
      </c>
      <c r="H831" s="33" t="s">
        <v>181</v>
      </c>
      <c r="I831" s="39">
        <v>46218.0</v>
      </c>
      <c r="J831" s="39">
        <v>46211.0</v>
      </c>
      <c r="K831" s="39">
        <v>46185.0</v>
      </c>
      <c r="L831" s="40">
        <v>5011.31</v>
      </c>
      <c r="M831" s="40">
        <v>2246.08</v>
      </c>
    </row>
    <row r="832" ht="15.75" customHeight="1">
      <c r="A832" s="33" t="s">
        <v>2299</v>
      </c>
      <c r="B832" s="39">
        <v>45807.0</v>
      </c>
      <c r="C832" s="33" t="s">
        <v>178</v>
      </c>
      <c r="D832" s="33" t="s">
        <v>237</v>
      </c>
      <c r="E832" s="33" t="s">
        <v>180</v>
      </c>
      <c r="F832" s="33" t="s">
        <v>181</v>
      </c>
      <c r="G832" s="33" t="s">
        <v>181</v>
      </c>
      <c r="H832" s="33" t="s">
        <v>181</v>
      </c>
      <c r="I832" s="39">
        <v>46211.0</v>
      </c>
      <c r="J832" s="39">
        <v>46252.0</v>
      </c>
      <c r="K832" s="39">
        <v>46252.0</v>
      </c>
      <c r="L832" s="40">
        <v>902.44</v>
      </c>
      <c r="M832" s="40">
        <v>1143.27</v>
      </c>
    </row>
    <row r="833" ht="15.75" customHeight="1">
      <c r="A833" s="33" t="s">
        <v>2658</v>
      </c>
      <c r="B833" s="39">
        <v>45804.0</v>
      </c>
      <c r="C833" s="33" t="s">
        <v>178</v>
      </c>
      <c r="D833" s="33" t="s">
        <v>194</v>
      </c>
      <c r="E833" s="33" t="s">
        <v>180</v>
      </c>
      <c r="F833" s="33" t="s">
        <v>181</v>
      </c>
      <c r="G833" s="33" t="s">
        <v>181</v>
      </c>
      <c r="H833" s="33" t="s">
        <v>189</v>
      </c>
      <c r="I833" s="39">
        <v>46194.0</v>
      </c>
      <c r="J833" s="39">
        <v>46179.0</v>
      </c>
      <c r="K833" s="39">
        <v>45792.0</v>
      </c>
      <c r="L833" s="40">
        <v>32199.05</v>
      </c>
      <c r="M833" s="40">
        <v>4185.76</v>
      </c>
    </row>
    <row r="834" ht="15.75" customHeight="1">
      <c r="A834" s="33" t="s">
        <v>3075</v>
      </c>
      <c r="B834" s="39">
        <v>45933.0</v>
      </c>
      <c r="C834" s="33" t="s">
        <v>178</v>
      </c>
      <c r="D834" s="33" t="s">
        <v>194</v>
      </c>
      <c r="E834" s="33" t="s">
        <v>180</v>
      </c>
      <c r="F834" s="33" t="s">
        <v>189</v>
      </c>
      <c r="G834" s="33" t="s">
        <v>181</v>
      </c>
      <c r="H834" s="33" t="s">
        <v>189</v>
      </c>
      <c r="I834" s="39">
        <v>46243.0</v>
      </c>
      <c r="J834" s="39">
        <v>46257.0</v>
      </c>
      <c r="K834" s="33"/>
      <c r="L834" s="40">
        <v>0.0</v>
      </c>
      <c r="M834" s="40">
        <v>0.0</v>
      </c>
    </row>
    <row r="835" ht="15.75" customHeight="1">
      <c r="A835" s="33" t="s">
        <v>1561</v>
      </c>
      <c r="B835" s="39">
        <v>45744.0</v>
      </c>
      <c r="C835" s="33" t="s">
        <v>187</v>
      </c>
      <c r="D835" s="33" t="s">
        <v>179</v>
      </c>
      <c r="E835" s="33" t="s">
        <v>180</v>
      </c>
      <c r="F835" s="33" t="s">
        <v>181</v>
      </c>
      <c r="G835" s="33" t="s">
        <v>181</v>
      </c>
      <c r="H835" s="33" t="s">
        <v>189</v>
      </c>
      <c r="I835" s="39">
        <v>46238.0</v>
      </c>
      <c r="J835" s="39">
        <v>46237.0</v>
      </c>
      <c r="K835" s="39">
        <v>46183.0</v>
      </c>
      <c r="L835" s="40">
        <v>35174.57</v>
      </c>
      <c r="M835" s="40">
        <v>668.52</v>
      </c>
    </row>
    <row r="836" ht="15.75" customHeight="1">
      <c r="A836" s="33" t="s">
        <v>3138</v>
      </c>
      <c r="B836" s="39">
        <v>46176.0</v>
      </c>
      <c r="C836" s="33" t="s">
        <v>184</v>
      </c>
      <c r="D836" s="33" t="s">
        <v>194</v>
      </c>
      <c r="E836" s="33" t="s">
        <v>180</v>
      </c>
      <c r="F836" s="33" t="s">
        <v>181</v>
      </c>
      <c r="G836" s="33" t="s">
        <v>189</v>
      </c>
      <c r="H836" s="33" t="s">
        <v>189</v>
      </c>
      <c r="I836" s="39">
        <v>46228.0</v>
      </c>
      <c r="J836" s="33"/>
      <c r="K836" s="33"/>
      <c r="L836" s="40">
        <v>36370.38</v>
      </c>
      <c r="M836" s="40">
        <v>1699.04</v>
      </c>
    </row>
    <row r="837" ht="15.75" customHeight="1">
      <c r="A837" s="33" t="s">
        <v>354</v>
      </c>
      <c r="B837" s="39">
        <v>46129.0</v>
      </c>
      <c r="C837" s="33" t="s">
        <v>184</v>
      </c>
      <c r="D837" s="33" t="s">
        <v>194</v>
      </c>
      <c r="E837" s="33" t="s">
        <v>180</v>
      </c>
      <c r="F837" s="33" t="s">
        <v>181</v>
      </c>
      <c r="G837" s="33" t="s">
        <v>189</v>
      </c>
      <c r="H837" s="33" t="s">
        <v>189</v>
      </c>
      <c r="I837" s="39">
        <v>46247.0</v>
      </c>
      <c r="J837" s="33"/>
      <c r="K837" s="33"/>
      <c r="L837" s="40">
        <v>0.0</v>
      </c>
      <c r="M837" s="40">
        <v>3267.93</v>
      </c>
    </row>
    <row r="838" ht="15.75" customHeight="1">
      <c r="A838" s="33" t="s">
        <v>1505</v>
      </c>
      <c r="B838" s="39">
        <v>46148.0</v>
      </c>
      <c r="C838" s="33" t="s">
        <v>178</v>
      </c>
      <c r="D838" s="33" t="s">
        <v>194</v>
      </c>
      <c r="E838" s="33" t="s">
        <v>180</v>
      </c>
      <c r="F838" s="33" t="s">
        <v>181</v>
      </c>
      <c r="G838" s="33" t="s">
        <v>181</v>
      </c>
      <c r="H838" s="33" t="s">
        <v>189</v>
      </c>
      <c r="I838" s="39">
        <v>46235.0</v>
      </c>
      <c r="J838" s="39">
        <v>46260.0</v>
      </c>
      <c r="K838" s="39">
        <v>46237.0</v>
      </c>
      <c r="L838" s="40">
        <v>12379.81</v>
      </c>
      <c r="M838" s="40">
        <v>1255.18</v>
      </c>
    </row>
    <row r="839" ht="15.75" customHeight="1">
      <c r="A839" s="33" t="s">
        <v>4153</v>
      </c>
      <c r="B839" s="39">
        <v>45778.0</v>
      </c>
      <c r="C839" s="33" t="s">
        <v>178</v>
      </c>
      <c r="D839" s="33" t="s">
        <v>188</v>
      </c>
      <c r="E839" s="33" t="s">
        <v>180</v>
      </c>
      <c r="F839" s="33" t="s">
        <v>181</v>
      </c>
      <c r="G839" s="33" t="s">
        <v>181</v>
      </c>
      <c r="H839" s="33" t="s">
        <v>181</v>
      </c>
      <c r="I839" s="39">
        <v>46234.0</v>
      </c>
      <c r="J839" s="39">
        <v>46119.0</v>
      </c>
      <c r="K839" s="39">
        <v>45969.0</v>
      </c>
      <c r="L839" s="40">
        <v>0.0</v>
      </c>
      <c r="M839" s="40">
        <v>2217.06</v>
      </c>
    </row>
    <row r="840" ht="15.75" customHeight="1">
      <c r="A840" s="33" t="s">
        <v>1576</v>
      </c>
      <c r="B840" s="39">
        <v>45666.0</v>
      </c>
      <c r="C840" s="33" t="s">
        <v>202</v>
      </c>
      <c r="D840" s="33" t="s">
        <v>228</v>
      </c>
      <c r="E840" s="33" t="s">
        <v>222</v>
      </c>
      <c r="F840" s="33" t="s">
        <v>181</v>
      </c>
      <c r="G840" s="33" t="s">
        <v>181</v>
      </c>
      <c r="H840" s="33" t="s">
        <v>181</v>
      </c>
      <c r="I840" s="39">
        <v>46188.0</v>
      </c>
      <c r="J840" s="39">
        <v>46264.0</v>
      </c>
      <c r="K840" s="39">
        <v>46243.0</v>
      </c>
      <c r="L840" s="40">
        <v>53866.53</v>
      </c>
      <c r="M840" s="40">
        <v>9660.86</v>
      </c>
    </row>
    <row r="841" ht="15.75" customHeight="1">
      <c r="A841" s="33" t="s">
        <v>1581</v>
      </c>
      <c r="B841" s="39">
        <v>46210.0</v>
      </c>
      <c r="C841" s="33" t="s">
        <v>202</v>
      </c>
      <c r="D841" s="33" t="s">
        <v>185</v>
      </c>
      <c r="E841" s="33" t="s">
        <v>180</v>
      </c>
      <c r="F841" s="33" t="s">
        <v>181</v>
      </c>
      <c r="G841" s="33" t="s">
        <v>181</v>
      </c>
      <c r="H841" s="33" t="s">
        <v>181</v>
      </c>
      <c r="I841" s="39">
        <v>46229.0</v>
      </c>
      <c r="J841" s="39">
        <v>46199.0</v>
      </c>
      <c r="K841" s="39">
        <v>45884.0</v>
      </c>
      <c r="L841" s="40">
        <v>30192.42</v>
      </c>
      <c r="M841" s="40">
        <v>3115.29</v>
      </c>
    </row>
    <row r="842" ht="15.75" customHeight="1">
      <c r="A842" s="33" t="s">
        <v>592</v>
      </c>
      <c r="B842" s="39">
        <v>45833.0</v>
      </c>
      <c r="C842" s="33" t="s">
        <v>202</v>
      </c>
      <c r="D842" s="33" t="s">
        <v>200</v>
      </c>
      <c r="E842" s="33" t="s">
        <v>180</v>
      </c>
      <c r="F842" s="33" t="s">
        <v>181</v>
      </c>
      <c r="G842" s="33" t="s">
        <v>189</v>
      </c>
      <c r="H842" s="33" t="s">
        <v>181</v>
      </c>
      <c r="I842" s="39">
        <v>46220.0</v>
      </c>
      <c r="J842" s="33"/>
      <c r="K842" s="33"/>
      <c r="L842" s="40">
        <v>0.0</v>
      </c>
      <c r="M842" s="40">
        <v>2296.37</v>
      </c>
    </row>
    <row r="843" ht="15.75" customHeight="1">
      <c r="A843" s="33" t="s">
        <v>1503</v>
      </c>
      <c r="B843" s="39">
        <v>46056.0</v>
      </c>
      <c r="C843" s="33" t="s">
        <v>187</v>
      </c>
      <c r="D843" s="33" t="s">
        <v>228</v>
      </c>
      <c r="E843" s="33" t="s">
        <v>180</v>
      </c>
      <c r="F843" s="33" t="s">
        <v>181</v>
      </c>
      <c r="G843" s="33" t="s">
        <v>181</v>
      </c>
      <c r="H843" s="33" t="s">
        <v>181</v>
      </c>
      <c r="I843" s="39">
        <v>46203.0</v>
      </c>
      <c r="J843" s="39">
        <v>46147.0</v>
      </c>
      <c r="K843" s="39">
        <v>46147.0</v>
      </c>
      <c r="L843" s="40">
        <v>0.0</v>
      </c>
      <c r="M843" s="40">
        <v>2860.13</v>
      </c>
    </row>
    <row r="844" ht="15.75" customHeight="1">
      <c r="A844" s="33" t="s">
        <v>453</v>
      </c>
      <c r="B844" s="39">
        <v>46210.0</v>
      </c>
      <c r="C844" s="33" t="s">
        <v>202</v>
      </c>
      <c r="D844" s="33" t="s">
        <v>194</v>
      </c>
      <c r="E844" s="33" t="s">
        <v>222</v>
      </c>
      <c r="F844" s="33" t="s">
        <v>181</v>
      </c>
      <c r="G844" s="33" t="s">
        <v>189</v>
      </c>
      <c r="H844" s="33" t="s">
        <v>189</v>
      </c>
      <c r="I844" s="39">
        <v>46189.0</v>
      </c>
      <c r="J844" s="33"/>
      <c r="K844" s="33"/>
      <c r="L844" s="40">
        <v>32743.13</v>
      </c>
      <c r="M844" s="40">
        <v>2378.29</v>
      </c>
    </row>
    <row r="845" ht="15.75" customHeight="1">
      <c r="A845" s="33" t="s">
        <v>2327</v>
      </c>
      <c r="B845" s="39">
        <v>45679.0</v>
      </c>
      <c r="C845" s="33" t="s">
        <v>178</v>
      </c>
      <c r="D845" s="33" t="s">
        <v>185</v>
      </c>
      <c r="E845" s="33" t="s">
        <v>180</v>
      </c>
      <c r="F845" s="33" t="s">
        <v>189</v>
      </c>
      <c r="G845" s="33" t="s">
        <v>181</v>
      </c>
      <c r="H845" s="33" t="s">
        <v>189</v>
      </c>
      <c r="I845" s="39">
        <v>46189.0</v>
      </c>
      <c r="J845" s="39">
        <v>46211.0</v>
      </c>
      <c r="K845" s="39">
        <v>46209.0</v>
      </c>
      <c r="L845" s="40">
        <v>0.0</v>
      </c>
      <c r="M845" s="40">
        <v>0.0</v>
      </c>
    </row>
    <row r="846" ht="15.75" customHeight="1">
      <c r="A846" s="33" t="s">
        <v>1360</v>
      </c>
      <c r="B846" s="39">
        <v>45661.0</v>
      </c>
      <c r="C846" s="33" t="s">
        <v>178</v>
      </c>
      <c r="D846" s="33" t="s">
        <v>194</v>
      </c>
      <c r="E846" s="33" t="s">
        <v>180</v>
      </c>
      <c r="F846" s="33" t="s">
        <v>181</v>
      </c>
      <c r="G846" s="33" t="s">
        <v>181</v>
      </c>
      <c r="H846" s="33" t="s">
        <v>181</v>
      </c>
      <c r="I846" s="39">
        <v>46222.0</v>
      </c>
      <c r="J846" s="39">
        <v>46262.0</v>
      </c>
      <c r="K846" s="39">
        <v>46262.0</v>
      </c>
      <c r="L846" s="40">
        <v>37957.75</v>
      </c>
      <c r="M846" s="40">
        <v>878.48</v>
      </c>
    </row>
    <row r="847" ht="15.75" customHeight="1">
      <c r="A847" s="33" t="s">
        <v>474</v>
      </c>
      <c r="B847" s="39">
        <v>45661.0</v>
      </c>
      <c r="C847" s="33" t="s">
        <v>178</v>
      </c>
      <c r="D847" s="33" t="s">
        <v>200</v>
      </c>
      <c r="E847" s="33" t="s">
        <v>180</v>
      </c>
      <c r="F847" s="33" t="s">
        <v>189</v>
      </c>
      <c r="G847" s="33" t="s">
        <v>181</v>
      </c>
      <c r="H847" s="33" t="s">
        <v>189</v>
      </c>
      <c r="I847" s="39">
        <v>46201.0</v>
      </c>
      <c r="J847" s="39">
        <v>46201.0</v>
      </c>
      <c r="K847" s="39">
        <v>46137.0</v>
      </c>
      <c r="L847" s="40">
        <v>0.0</v>
      </c>
      <c r="M847" s="40">
        <v>0.0</v>
      </c>
    </row>
    <row r="848" ht="15.75" customHeight="1">
      <c r="A848" s="33" t="s">
        <v>888</v>
      </c>
      <c r="B848" s="39">
        <v>45752.0</v>
      </c>
      <c r="C848" s="33" t="s">
        <v>178</v>
      </c>
      <c r="D848" s="33" t="s">
        <v>237</v>
      </c>
      <c r="E848" s="33" t="s">
        <v>180</v>
      </c>
      <c r="F848" s="33" t="s">
        <v>181</v>
      </c>
      <c r="G848" s="33" t="s">
        <v>181</v>
      </c>
      <c r="H848" s="33" t="s">
        <v>189</v>
      </c>
      <c r="I848" s="39">
        <v>46255.0</v>
      </c>
      <c r="J848" s="39">
        <v>46217.0</v>
      </c>
      <c r="K848" s="39">
        <v>46217.0</v>
      </c>
      <c r="L848" s="40">
        <v>0.0</v>
      </c>
      <c r="M848" s="40">
        <v>2171.14</v>
      </c>
    </row>
    <row r="849" ht="15.75" customHeight="1">
      <c r="A849" s="33" t="s">
        <v>2594</v>
      </c>
      <c r="B849" s="39">
        <v>45689.0</v>
      </c>
      <c r="C849" s="33" t="s">
        <v>178</v>
      </c>
      <c r="D849" s="33" t="s">
        <v>179</v>
      </c>
      <c r="E849" s="33" t="s">
        <v>180</v>
      </c>
      <c r="F849" s="33" t="s">
        <v>181</v>
      </c>
      <c r="G849" s="33" t="s">
        <v>189</v>
      </c>
      <c r="H849" s="33" t="s">
        <v>189</v>
      </c>
      <c r="I849" s="39">
        <v>46250.0</v>
      </c>
      <c r="J849" s="33"/>
      <c r="K849" s="33"/>
      <c r="L849" s="40">
        <v>21598.39</v>
      </c>
      <c r="M849" s="40">
        <v>6083.91</v>
      </c>
    </row>
    <row r="850" ht="15.75" customHeight="1">
      <c r="A850" s="33" t="s">
        <v>3934</v>
      </c>
      <c r="B850" s="39">
        <v>46155.0</v>
      </c>
      <c r="C850" s="33" t="s">
        <v>187</v>
      </c>
      <c r="D850" s="33" t="s">
        <v>196</v>
      </c>
      <c r="E850" s="33" t="s">
        <v>180</v>
      </c>
      <c r="F850" s="33" t="s">
        <v>181</v>
      </c>
      <c r="G850" s="33" t="s">
        <v>181</v>
      </c>
      <c r="H850" s="33" t="s">
        <v>189</v>
      </c>
      <c r="I850" s="39">
        <v>46225.0</v>
      </c>
      <c r="J850" s="39">
        <v>46008.0</v>
      </c>
      <c r="K850" s="39">
        <v>46008.0</v>
      </c>
      <c r="L850" s="40">
        <v>0.0</v>
      </c>
      <c r="M850" s="40">
        <v>3725.91</v>
      </c>
    </row>
    <row r="851" ht="15.75" customHeight="1">
      <c r="A851" s="33" t="s">
        <v>1430</v>
      </c>
      <c r="B851" s="39">
        <v>46025.0</v>
      </c>
      <c r="C851" s="33" t="s">
        <v>178</v>
      </c>
      <c r="D851" s="33" t="s">
        <v>200</v>
      </c>
      <c r="E851" s="33" t="s">
        <v>180</v>
      </c>
      <c r="F851" s="33" t="s">
        <v>181</v>
      </c>
      <c r="G851" s="33" t="s">
        <v>189</v>
      </c>
      <c r="H851" s="33" t="s">
        <v>181</v>
      </c>
      <c r="I851" s="39">
        <v>46233.0</v>
      </c>
      <c r="J851" s="33"/>
      <c r="K851" s="33"/>
      <c r="L851" s="40">
        <v>20788.73</v>
      </c>
      <c r="M851" s="40">
        <v>1395.29</v>
      </c>
    </row>
    <row r="852" ht="15.75" customHeight="1">
      <c r="A852" s="33" t="s">
        <v>254</v>
      </c>
      <c r="B852" s="39">
        <v>46252.0</v>
      </c>
      <c r="C852" s="33" t="s">
        <v>178</v>
      </c>
      <c r="D852" s="33" t="s">
        <v>237</v>
      </c>
      <c r="E852" s="33" t="s">
        <v>222</v>
      </c>
      <c r="F852" s="33" t="s">
        <v>189</v>
      </c>
      <c r="G852" s="33" t="s">
        <v>189</v>
      </c>
      <c r="H852" s="33" t="s">
        <v>189</v>
      </c>
      <c r="I852" s="39">
        <v>46161.0</v>
      </c>
      <c r="J852" s="33"/>
      <c r="K852" s="33"/>
      <c r="L852" s="40">
        <v>6744.96</v>
      </c>
      <c r="M852" s="40">
        <v>0.0</v>
      </c>
    </row>
    <row r="853" ht="15.75" customHeight="1">
      <c r="A853" s="33" t="s">
        <v>728</v>
      </c>
      <c r="B853" s="39">
        <v>46144.0</v>
      </c>
      <c r="C853" s="33" t="s">
        <v>202</v>
      </c>
      <c r="D853" s="33" t="s">
        <v>228</v>
      </c>
      <c r="E853" s="33" t="s">
        <v>180</v>
      </c>
      <c r="F853" s="33" t="s">
        <v>181</v>
      </c>
      <c r="G853" s="33" t="s">
        <v>181</v>
      </c>
      <c r="H853" s="33" t="s">
        <v>189</v>
      </c>
      <c r="I853" s="39">
        <v>46251.0</v>
      </c>
      <c r="J853" s="39">
        <v>46223.0</v>
      </c>
      <c r="K853" s="39">
        <v>46047.0</v>
      </c>
      <c r="L853" s="40">
        <v>0.0</v>
      </c>
      <c r="M853" s="40">
        <v>1519.76</v>
      </c>
    </row>
    <row r="854" ht="15.75" customHeight="1">
      <c r="A854" s="33" t="s">
        <v>458</v>
      </c>
      <c r="B854" s="39">
        <v>46242.0</v>
      </c>
      <c r="C854" s="33" t="s">
        <v>184</v>
      </c>
      <c r="D854" s="33" t="s">
        <v>179</v>
      </c>
      <c r="E854" s="33" t="s">
        <v>180</v>
      </c>
      <c r="F854" s="33" t="s">
        <v>181</v>
      </c>
      <c r="G854" s="33" t="s">
        <v>181</v>
      </c>
      <c r="H854" s="33" t="s">
        <v>189</v>
      </c>
      <c r="I854" s="39">
        <v>46223.0</v>
      </c>
      <c r="J854" s="39">
        <v>46186.0</v>
      </c>
      <c r="K854" s="39">
        <v>46167.0</v>
      </c>
      <c r="L854" s="40">
        <v>29143.61</v>
      </c>
      <c r="M854" s="40">
        <v>6348.61</v>
      </c>
    </row>
    <row r="855" ht="15.75" customHeight="1">
      <c r="A855" s="33" t="s">
        <v>1527</v>
      </c>
      <c r="B855" s="39">
        <v>45802.0</v>
      </c>
      <c r="C855" s="33" t="s">
        <v>178</v>
      </c>
      <c r="D855" s="33" t="s">
        <v>200</v>
      </c>
      <c r="E855" s="33" t="s">
        <v>180</v>
      </c>
      <c r="F855" s="33" t="s">
        <v>181</v>
      </c>
      <c r="G855" s="33" t="s">
        <v>181</v>
      </c>
      <c r="H855" s="33" t="s">
        <v>189</v>
      </c>
      <c r="I855" s="39">
        <v>46204.0</v>
      </c>
      <c r="J855" s="39">
        <v>46263.0</v>
      </c>
      <c r="K855" s="39">
        <v>46142.0</v>
      </c>
      <c r="L855" s="40">
        <v>0.0</v>
      </c>
      <c r="M855" s="40">
        <v>1697.62</v>
      </c>
    </row>
    <row r="856" ht="15.75" customHeight="1">
      <c r="A856" s="33" t="s">
        <v>2953</v>
      </c>
      <c r="B856" s="39">
        <v>45832.0</v>
      </c>
      <c r="C856" s="33" t="s">
        <v>184</v>
      </c>
      <c r="D856" s="33" t="s">
        <v>237</v>
      </c>
      <c r="E856" s="33" t="s">
        <v>222</v>
      </c>
      <c r="F856" s="33" t="s">
        <v>181</v>
      </c>
      <c r="G856" s="33" t="s">
        <v>181</v>
      </c>
      <c r="H856" s="33" t="s">
        <v>189</v>
      </c>
      <c r="I856" s="39">
        <v>46126.0</v>
      </c>
      <c r="J856" s="39">
        <v>46185.0</v>
      </c>
      <c r="K856" s="39">
        <v>46185.0</v>
      </c>
      <c r="L856" s="40">
        <v>0.0</v>
      </c>
      <c r="M856" s="40">
        <v>1273.31</v>
      </c>
    </row>
    <row r="857" ht="15.75" customHeight="1">
      <c r="A857" s="33" t="s">
        <v>3326</v>
      </c>
      <c r="B857" s="39">
        <v>46173.0</v>
      </c>
      <c r="C857" s="33" t="s">
        <v>184</v>
      </c>
      <c r="D857" s="33" t="s">
        <v>237</v>
      </c>
      <c r="E857" s="33" t="s">
        <v>222</v>
      </c>
      <c r="F857" s="33" t="s">
        <v>189</v>
      </c>
      <c r="G857" s="33" t="s">
        <v>189</v>
      </c>
      <c r="H857" s="33" t="s">
        <v>181</v>
      </c>
      <c r="I857" s="39">
        <v>46198.0</v>
      </c>
      <c r="J857" s="33"/>
      <c r="K857" s="33"/>
      <c r="L857" s="40">
        <v>17259.43</v>
      </c>
      <c r="M857" s="40">
        <v>0.0</v>
      </c>
    </row>
    <row r="858" ht="15.75" customHeight="1">
      <c r="A858" s="33" t="s">
        <v>781</v>
      </c>
      <c r="B858" s="39">
        <v>45806.0</v>
      </c>
      <c r="C858" s="33" t="s">
        <v>202</v>
      </c>
      <c r="D858" s="33" t="s">
        <v>200</v>
      </c>
      <c r="E858" s="33" t="s">
        <v>180</v>
      </c>
      <c r="F858" s="33" t="s">
        <v>181</v>
      </c>
      <c r="G858" s="33" t="s">
        <v>181</v>
      </c>
      <c r="H858" s="33" t="s">
        <v>181</v>
      </c>
      <c r="I858" s="39">
        <v>46235.0</v>
      </c>
      <c r="J858" s="39">
        <v>46133.0</v>
      </c>
      <c r="K858" s="39">
        <v>46133.0</v>
      </c>
      <c r="L858" s="40">
        <v>0.0</v>
      </c>
      <c r="M858" s="40">
        <v>900.26</v>
      </c>
    </row>
    <row r="859" ht="15.75" customHeight="1">
      <c r="A859" s="33" t="s">
        <v>2286</v>
      </c>
      <c r="B859" s="39">
        <v>45692.0</v>
      </c>
      <c r="C859" s="33" t="s">
        <v>187</v>
      </c>
      <c r="D859" s="33" t="s">
        <v>196</v>
      </c>
      <c r="E859" s="33" t="s">
        <v>180</v>
      </c>
      <c r="F859" s="33" t="s">
        <v>181</v>
      </c>
      <c r="G859" s="33" t="s">
        <v>189</v>
      </c>
      <c r="H859" s="33" t="s">
        <v>189</v>
      </c>
      <c r="I859" s="39">
        <v>46218.0</v>
      </c>
      <c r="J859" s="33"/>
      <c r="K859" s="33"/>
      <c r="L859" s="40">
        <v>9298.63</v>
      </c>
      <c r="M859" s="40">
        <v>1940.86</v>
      </c>
    </row>
    <row r="860" ht="15.75" customHeight="1">
      <c r="A860" s="33" t="s">
        <v>2276</v>
      </c>
      <c r="B860" s="39">
        <v>46064.0</v>
      </c>
      <c r="C860" s="33" t="s">
        <v>178</v>
      </c>
      <c r="D860" s="33" t="s">
        <v>188</v>
      </c>
      <c r="E860" s="33" t="s">
        <v>180</v>
      </c>
      <c r="F860" s="33" t="s">
        <v>181</v>
      </c>
      <c r="G860" s="33" t="s">
        <v>181</v>
      </c>
      <c r="H860" s="33" t="s">
        <v>181</v>
      </c>
      <c r="I860" s="39">
        <v>46219.0</v>
      </c>
      <c r="J860" s="39">
        <v>46261.0</v>
      </c>
      <c r="K860" s="39">
        <v>46229.0</v>
      </c>
      <c r="L860" s="40">
        <v>22482.98</v>
      </c>
      <c r="M860" s="40">
        <v>1213.6</v>
      </c>
    </row>
    <row r="861" ht="15.75" customHeight="1">
      <c r="A861" s="33" t="s">
        <v>1340</v>
      </c>
      <c r="B861" s="39">
        <v>46144.0</v>
      </c>
      <c r="C861" s="33" t="s">
        <v>184</v>
      </c>
      <c r="D861" s="33" t="s">
        <v>237</v>
      </c>
      <c r="E861" s="33" t="s">
        <v>222</v>
      </c>
      <c r="F861" s="33" t="s">
        <v>181</v>
      </c>
      <c r="G861" s="33" t="s">
        <v>181</v>
      </c>
      <c r="H861" s="33" t="s">
        <v>189</v>
      </c>
      <c r="I861" s="39">
        <v>46117.0</v>
      </c>
      <c r="J861" s="39">
        <v>46214.0</v>
      </c>
      <c r="K861" s="39">
        <v>46214.0</v>
      </c>
      <c r="L861" s="40">
        <v>0.0</v>
      </c>
      <c r="M861" s="40">
        <v>1884.97</v>
      </c>
    </row>
    <row r="862" ht="15.75" customHeight="1">
      <c r="A862" s="33" t="s">
        <v>3134</v>
      </c>
      <c r="B862" s="39">
        <v>46245.0</v>
      </c>
      <c r="C862" s="33" t="s">
        <v>178</v>
      </c>
      <c r="D862" s="33" t="s">
        <v>194</v>
      </c>
      <c r="E862" s="33" t="s">
        <v>180</v>
      </c>
      <c r="F862" s="33" t="s">
        <v>181</v>
      </c>
      <c r="G862" s="33" t="s">
        <v>189</v>
      </c>
      <c r="H862" s="33" t="s">
        <v>189</v>
      </c>
      <c r="I862" s="39">
        <v>46230.0</v>
      </c>
      <c r="J862" s="33"/>
      <c r="K862" s="33"/>
      <c r="L862" s="40">
        <v>0.0</v>
      </c>
      <c r="M862" s="40">
        <v>2253.82</v>
      </c>
    </row>
    <row r="863" ht="15.75" customHeight="1">
      <c r="A863" s="33" t="s">
        <v>1651</v>
      </c>
      <c r="B863" s="39">
        <v>46221.0</v>
      </c>
      <c r="C863" s="33" t="s">
        <v>184</v>
      </c>
      <c r="D863" s="33" t="s">
        <v>188</v>
      </c>
      <c r="E863" s="33" t="s">
        <v>180</v>
      </c>
      <c r="F863" s="33" t="s">
        <v>181</v>
      </c>
      <c r="G863" s="33" t="s">
        <v>181</v>
      </c>
      <c r="H863" s="33" t="s">
        <v>189</v>
      </c>
      <c r="I863" s="39">
        <v>46205.0</v>
      </c>
      <c r="J863" s="39">
        <v>46173.0</v>
      </c>
      <c r="K863" s="39">
        <v>46090.0</v>
      </c>
      <c r="L863" s="40">
        <v>0.0</v>
      </c>
      <c r="M863" s="40">
        <v>4027.75</v>
      </c>
    </row>
    <row r="864" ht="15.75" customHeight="1">
      <c r="A864" s="33" t="s">
        <v>4325</v>
      </c>
      <c r="B864" s="39">
        <v>45730.0</v>
      </c>
      <c r="C864" s="33" t="s">
        <v>202</v>
      </c>
      <c r="D864" s="33" t="s">
        <v>237</v>
      </c>
      <c r="E864" s="33" t="s">
        <v>180</v>
      </c>
      <c r="F864" s="33" t="s">
        <v>181</v>
      </c>
      <c r="G864" s="33" t="s">
        <v>189</v>
      </c>
      <c r="H864" s="33" t="s">
        <v>181</v>
      </c>
      <c r="I864" s="39">
        <v>46186.0</v>
      </c>
      <c r="J864" s="33"/>
      <c r="K864" s="33"/>
      <c r="L864" s="40">
        <v>0.0</v>
      </c>
      <c r="M864" s="40">
        <v>1498.27</v>
      </c>
    </row>
    <row r="865" ht="15.75" customHeight="1">
      <c r="A865" s="33" t="s">
        <v>2199</v>
      </c>
      <c r="B865" s="39">
        <v>46126.0</v>
      </c>
      <c r="C865" s="33" t="s">
        <v>178</v>
      </c>
      <c r="D865" s="33" t="s">
        <v>185</v>
      </c>
      <c r="E865" s="33" t="s">
        <v>222</v>
      </c>
      <c r="F865" s="33" t="s">
        <v>181</v>
      </c>
      <c r="G865" s="33" t="s">
        <v>181</v>
      </c>
      <c r="H865" s="33" t="s">
        <v>189</v>
      </c>
      <c r="I865" s="39">
        <v>46190.0</v>
      </c>
      <c r="J865" s="39">
        <v>46217.0</v>
      </c>
      <c r="K865" s="39">
        <v>46038.0</v>
      </c>
      <c r="L865" s="40">
        <v>7388.46</v>
      </c>
      <c r="M865" s="40">
        <v>247.6</v>
      </c>
    </row>
    <row r="866" ht="15.75" customHeight="1">
      <c r="A866" s="33" t="s">
        <v>2529</v>
      </c>
      <c r="B866" s="39">
        <v>46171.0</v>
      </c>
      <c r="C866" s="33" t="s">
        <v>178</v>
      </c>
      <c r="D866" s="33" t="s">
        <v>185</v>
      </c>
      <c r="E866" s="33" t="s">
        <v>222</v>
      </c>
      <c r="F866" s="33" t="s">
        <v>181</v>
      </c>
      <c r="G866" s="33" t="s">
        <v>189</v>
      </c>
      <c r="H866" s="33" t="s">
        <v>181</v>
      </c>
      <c r="I866" s="39">
        <v>46112.0</v>
      </c>
      <c r="J866" s="33"/>
      <c r="K866" s="33"/>
      <c r="L866" s="40">
        <v>7525.28</v>
      </c>
      <c r="M866" s="40">
        <v>1442.27</v>
      </c>
    </row>
    <row r="867" ht="15.75" customHeight="1">
      <c r="A867" s="33" t="s">
        <v>3547</v>
      </c>
      <c r="B867" s="39">
        <v>46081.0</v>
      </c>
      <c r="C867" s="33" t="s">
        <v>187</v>
      </c>
      <c r="D867" s="33" t="s">
        <v>196</v>
      </c>
      <c r="E867" s="33" t="s">
        <v>330</v>
      </c>
      <c r="F867" s="33" t="s">
        <v>181</v>
      </c>
      <c r="G867" s="33" t="s">
        <v>189</v>
      </c>
      <c r="H867" s="33" t="s">
        <v>181</v>
      </c>
      <c r="I867" s="39">
        <v>46142.0</v>
      </c>
      <c r="J867" s="33"/>
      <c r="K867" s="33"/>
      <c r="L867" s="40">
        <v>4864.25</v>
      </c>
      <c r="M867" s="40">
        <v>0.0</v>
      </c>
    </row>
    <row r="868" ht="15.75" customHeight="1">
      <c r="A868" s="33" t="s">
        <v>1917</v>
      </c>
      <c r="B868" s="39">
        <v>46155.0</v>
      </c>
      <c r="C868" s="33" t="s">
        <v>202</v>
      </c>
      <c r="D868" s="33" t="s">
        <v>237</v>
      </c>
      <c r="E868" s="33" t="s">
        <v>180</v>
      </c>
      <c r="F868" s="33" t="s">
        <v>189</v>
      </c>
      <c r="G868" s="33" t="s">
        <v>189</v>
      </c>
      <c r="H868" s="33" t="s">
        <v>181</v>
      </c>
      <c r="I868" s="39">
        <v>46235.0</v>
      </c>
      <c r="J868" s="33"/>
      <c r="K868" s="33"/>
      <c r="L868" s="40">
        <v>36841.88</v>
      </c>
      <c r="M868" s="40">
        <v>0.0</v>
      </c>
    </row>
    <row r="869" ht="15.75" customHeight="1">
      <c r="A869" s="33" t="s">
        <v>2752</v>
      </c>
      <c r="B869" s="39">
        <v>46166.0</v>
      </c>
      <c r="C869" s="33" t="s">
        <v>178</v>
      </c>
      <c r="D869" s="33" t="s">
        <v>188</v>
      </c>
      <c r="E869" s="33" t="s">
        <v>180</v>
      </c>
      <c r="F869" s="33" t="s">
        <v>181</v>
      </c>
      <c r="G869" s="33" t="s">
        <v>181</v>
      </c>
      <c r="H869" s="33" t="s">
        <v>189</v>
      </c>
      <c r="I869" s="39">
        <v>46207.0</v>
      </c>
      <c r="J869" s="39">
        <v>46246.0</v>
      </c>
      <c r="K869" s="39">
        <v>46246.0</v>
      </c>
      <c r="L869" s="40">
        <v>0.0</v>
      </c>
      <c r="M869" s="40">
        <v>1370.54</v>
      </c>
    </row>
    <row r="870" ht="15.75" customHeight="1">
      <c r="A870" s="33" t="s">
        <v>1727</v>
      </c>
      <c r="B870" s="39">
        <v>45929.0</v>
      </c>
      <c r="C870" s="33" t="s">
        <v>187</v>
      </c>
      <c r="D870" s="33" t="s">
        <v>185</v>
      </c>
      <c r="E870" s="33" t="s">
        <v>222</v>
      </c>
      <c r="F870" s="33" t="s">
        <v>181</v>
      </c>
      <c r="G870" s="33" t="s">
        <v>189</v>
      </c>
      <c r="H870" s="33" t="s">
        <v>189</v>
      </c>
      <c r="I870" s="39">
        <v>46142.0</v>
      </c>
      <c r="J870" s="33"/>
      <c r="K870" s="33"/>
      <c r="L870" s="40">
        <v>12814.51</v>
      </c>
      <c r="M870" s="40">
        <v>1645.53</v>
      </c>
    </row>
    <row r="871" ht="15.75" customHeight="1">
      <c r="A871" s="33" t="s">
        <v>969</v>
      </c>
      <c r="B871" s="39">
        <v>45682.0</v>
      </c>
      <c r="C871" s="33" t="s">
        <v>184</v>
      </c>
      <c r="D871" s="33" t="s">
        <v>188</v>
      </c>
      <c r="E871" s="33" t="s">
        <v>180</v>
      </c>
      <c r="F871" s="33" t="s">
        <v>181</v>
      </c>
      <c r="G871" s="33" t="s">
        <v>181</v>
      </c>
      <c r="H871" s="33" t="s">
        <v>181</v>
      </c>
      <c r="I871" s="39">
        <v>46216.0</v>
      </c>
      <c r="J871" s="39">
        <v>46239.0</v>
      </c>
      <c r="K871" s="39">
        <v>46207.0</v>
      </c>
      <c r="L871" s="40">
        <v>5526.59</v>
      </c>
      <c r="M871" s="40">
        <v>351.84</v>
      </c>
    </row>
    <row r="872" ht="15.75" customHeight="1">
      <c r="A872" s="33" t="s">
        <v>1103</v>
      </c>
      <c r="B872" s="39">
        <v>45934.0</v>
      </c>
      <c r="C872" s="33" t="s">
        <v>202</v>
      </c>
      <c r="D872" s="33" t="s">
        <v>185</v>
      </c>
      <c r="E872" s="33" t="s">
        <v>180</v>
      </c>
      <c r="F872" s="33" t="s">
        <v>181</v>
      </c>
      <c r="G872" s="33" t="s">
        <v>189</v>
      </c>
      <c r="H872" s="33" t="s">
        <v>189</v>
      </c>
      <c r="I872" s="39">
        <v>46245.0</v>
      </c>
      <c r="J872" s="33"/>
      <c r="K872" s="33"/>
      <c r="L872" s="40">
        <v>21403.22</v>
      </c>
      <c r="M872" s="40">
        <v>693.41</v>
      </c>
    </row>
    <row r="873" ht="15.75" customHeight="1">
      <c r="A873" s="33" t="s">
        <v>1113</v>
      </c>
      <c r="B873" s="39">
        <v>45780.0</v>
      </c>
      <c r="C873" s="33" t="s">
        <v>202</v>
      </c>
      <c r="D873" s="33" t="s">
        <v>185</v>
      </c>
      <c r="E873" s="33" t="s">
        <v>330</v>
      </c>
      <c r="F873" s="33" t="s">
        <v>181</v>
      </c>
      <c r="G873" s="33" t="s">
        <v>181</v>
      </c>
      <c r="H873" s="33" t="s">
        <v>181</v>
      </c>
      <c r="I873" s="39">
        <v>45799.0</v>
      </c>
      <c r="J873" s="39">
        <v>46225.0</v>
      </c>
      <c r="K873" s="39">
        <v>45967.0</v>
      </c>
      <c r="L873" s="40">
        <v>44930.18</v>
      </c>
      <c r="M873" s="40">
        <v>0.0</v>
      </c>
    </row>
    <row r="874" ht="15.75" customHeight="1">
      <c r="A874" s="33" t="s">
        <v>1541</v>
      </c>
      <c r="B874" s="39">
        <v>45727.0</v>
      </c>
      <c r="C874" s="33" t="s">
        <v>178</v>
      </c>
      <c r="D874" s="33" t="s">
        <v>200</v>
      </c>
      <c r="E874" s="33" t="s">
        <v>180</v>
      </c>
      <c r="F874" s="33" t="s">
        <v>181</v>
      </c>
      <c r="G874" s="33" t="s">
        <v>181</v>
      </c>
      <c r="H874" s="33" t="s">
        <v>189</v>
      </c>
      <c r="I874" s="39">
        <v>46184.0</v>
      </c>
      <c r="J874" s="39">
        <v>46251.0</v>
      </c>
      <c r="K874" s="39">
        <v>46251.0</v>
      </c>
      <c r="L874" s="40">
        <v>0.0</v>
      </c>
      <c r="M874" s="40">
        <v>3111.96</v>
      </c>
    </row>
    <row r="875" ht="15.75" customHeight="1">
      <c r="A875" s="33" t="s">
        <v>2283</v>
      </c>
      <c r="B875" s="39">
        <v>45733.0</v>
      </c>
      <c r="C875" s="33" t="s">
        <v>184</v>
      </c>
      <c r="D875" s="33" t="s">
        <v>196</v>
      </c>
      <c r="E875" s="33" t="s">
        <v>180</v>
      </c>
      <c r="F875" s="33" t="s">
        <v>181</v>
      </c>
      <c r="G875" s="33" t="s">
        <v>181</v>
      </c>
      <c r="H875" s="33" t="s">
        <v>181</v>
      </c>
      <c r="I875" s="39">
        <v>46187.0</v>
      </c>
      <c r="J875" s="39">
        <v>46243.0</v>
      </c>
      <c r="K875" s="39">
        <v>46243.0</v>
      </c>
      <c r="L875" s="40">
        <v>0.0</v>
      </c>
      <c r="M875" s="40">
        <v>1725.52</v>
      </c>
    </row>
    <row r="876" ht="15.75" customHeight="1">
      <c r="A876" s="33" t="s">
        <v>1311</v>
      </c>
      <c r="B876" s="39">
        <v>46081.0</v>
      </c>
      <c r="C876" s="33" t="s">
        <v>178</v>
      </c>
      <c r="D876" s="33" t="s">
        <v>179</v>
      </c>
      <c r="E876" s="33" t="s">
        <v>180</v>
      </c>
      <c r="F876" s="33" t="s">
        <v>181</v>
      </c>
      <c r="G876" s="33" t="s">
        <v>181</v>
      </c>
      <c r="H876" s="33" t="s">
        <v>189</v>
      </c>
      <c r="I876" s="39">
        <v>46186.0</v>
      </c>
      <c r="J876" s="39">
        <v>46226.0</v>
      </c>
      <c r="K876" s="39">
        <v>46226.0</v>
      </c>
      <c r="L876" s="40">
        <v>42817.37</v>
      </c>
      <c r="M876" s="40">
        <v>2506.39</v>
      </c>
    </row>
    <row r="877" ht="15.75" customHeight="1">
      <c r="A877" s="33" t="s">
        <v>689</v>
      </c>
      <c r="B877" s="39">
        <v>45964.0</v>
      </c>
      <c r="C877" s="33" t="s">
        <v>184</v>
      </c>
      <c r="D877" s="33" t="s">
        <v>200</v>
      </c>
      <c r="E877" s="33" t="s">
        <v>180</v>
      </c>
      <c r="F877" s="33" t="s">
        <v>181</v>
      </c>
      <c r="G877" s="33" t="s">
        <v>181</v>
      </c>
      <c r="H877" s="33" t="s">
        <v>189</v>
      </c>
      <c r="I877" s="39">
        <v>46219.0</v>
      </c>
      <c r="J877" s="39">
        <v>46246.0</v>
      </c>
      <c r="K877" s="39">
        <v>46230.0</v>
      </c>
      <c r="L877" s="40">
        <v>8405.21</v>
      </c>
      <c r="M877" s="40">
        <v>613.13</v>
      </c>
    </row>
    <row r="878" ht="15.75" customHeight="1">
      <c r="A878" s="33" t="s">
        <v>3203</v>
      </c>
      <c r="B878" s="39">
        <v>45985.0</v>
      </c>
      <c r="C878" s="33" t="s">
        <v>178</v>
      </c>
      <c r="D878" s="33" t="s">
        <v>200</v>
      </c>
      <c r="E878" s="33" t="s">
        <v>180</v>
      </c>
      <c r="F878" s="33" t="s">
        <v>181</v>
      </c>
      <c r="G878" s="33" t="s">
        <v>189</v>
      </c>
      <c r="H878" s="33" t="s">
        <v>189</v>
      </c>
      <c r="I878" s="39">
        <v>46186.0</v>
      </c>
      <c r="J878" s="33"/>
      <c r="K878" s="33"/>
      <c r="L878" s="40">
        <v>12019.37</v>
      </c>
      <c r="M878" s="40">
        <v>989.85</v>
      </c>
    </row>
    <row r="879" ht="15.75" customHeight="1">
      <c r="A879" s="33" t="s">
        <v>2317</v>
      </c>
      <c r="B879" s="39">
        <v>46110.0</v>
      </c>
      <c r="C879" s="33" t="s">
        <v>202</v>
      </c>
      <c r="D879" s="33" t="s">
        <v>185</v>
      </c>
      <c r="E879" s="33" t="s">
        <v>180</v>
      </c>
      <c r="F879" s="33" t="s">
        <v>181</v>
      </c>
      <c r="G879" s="33" t="s">
        <v>181</v>
      </c>
      <c r="H879" s="33" t="s">
        <v>181</v>
      </c>
      <c r="I879" s="39">
        <v>46223.0</v>
      </c>
      <c r="J879" s="39">
        <v>46238.0</v>
      </c>
      <c r="K879" s="39">
        <v>46238.0</v>
      </c>
      <c r="L879" s="40">
        <v>0.0</v>
      </c>
      <c r="M879" s="40">
        <v>63.69</v>
      </c>
    </row>
    <row r="880" ht="15.75" customHeight="1">
      <c r="A880" s="33" t="s">
        <v>3535</v>
      </c>
      <c r="B880" s="39">
        <v>45990.0</v>
      </c>
      <c r="C880" s="33" t="s">
        <v>178</v>
      </c>
      <c r="D880" s="33" t="s">
        <v>179</v>
      </c>
      <c r="E880" s="33" t="s">
        <v>180</v>
      </c>
      <c r="F880" s="33" t="s">
        <v>181</v>
      </c>
      <c r="G880" s="33" t="s">
        <v>189</v>
      </c>
      <c r="H880" s="33" t="s">
        <v>189</v>
      </c>
      <c r="I880" s="39">
        <v>46259.0</v>
      </c>
      <c r="J880" s="33"/>
      <c r="K880" s="33"/>
      <c r="L880" s="40">
        <v>20614.96</v>
      </c>
      <c r="M880" s="40">
        <v>303.23</v>
      </c>
    </row>
    <row r="881" ht="15.75" customHeight="1">
      <c r="A881" s="33" t="s">
        <v>3440</v>
      </c>
      <c r="B881" s="39">
        <v>46040.0</v>
      </c>
      <c r="C881" s="33" t="s">
        <v>178</v>
      </c>
      <c r="D881" s="33" t="s">
        <v>194</v>
      </c>
      <c r="E881" s="33" t="s">
        <v>222</v>
      </c>
      <c r="F881" s="33" t="s">
        <v>181</v>
      </c>
      <c r="G881" s="33" t="s">
        <v>181</v>
      </c>
      <c r="H881" s="33" t="s">
        <v>189</v>
      </c>
      <c r="I881" s="39">
        <v>46205.0</v>
      </c>
      <c r="J881" s="39">
        <v>46256.0</v>
      </c>
      <c r="K881" s="39">
        <v>46212.0</v>
      </c>
      <c r="L881" s="40">
        <v>0.0</v>
      </c>
      <c r="M881" s="40">
        <v>5727.43</v>
      </c>
    </row>
    <row r="882" ht="15.75" customHeight="1">
      <c r="A882" s="33" t="s">
        <v>1437</v>
      </c>
      <c r="B882" s="39">
        <v>45710.0</v>
      </c>
      <c r="C882" s="33" t="s">
        <v>184</v>
      </c>
      <c r="D882" s="33" t="s">
        <v>179</v>
      </c>
      <c r="E882" s="33" t="s">
        <v>180</v>
      </c>
      <c r="F882" s="33" t="s">
        <v>181</v>
      </c>
      <c r="G882" s="33" t="s">
        <v>189</v>
      </c>
      <c r="H882" s="33" t="s">
        <v>189</v>
      </c>
      <c r="I882" s="39">
        <v>46241.0</v>
      </c>
      <c r="J882" s="33"/>
      <c r="K882" s="33"/>
      <c r="L882" s="40">
        <v>8361.44</v>
      </c>
      <c r="M882" s="40">
        <v>578.29</v>
      </c>
    </row>
    <row r="883" ht="15.75" customHeight="1">
      <c r="A883" s="33" t="s">
        <v>4469</v>
      </c>
      <c r="B883" s="39">
        <v>46174.0</v>
      </c>
      <c r="C883" s="33" t="s">
        <v>202</v>
      </c>
      <c r="D883" s="33" t="s">
        <v>185</v>
      </c>
      <c r="E883" s="33" t="s">
        <v>180</v>
      </c>
      <c r="F883" s="33" t="s">
        <v>189</v>
      </c>
      <c r="G883" s="33" t="s">
        <v>189</v>
      </c>
      <c r="H883" s="33" t="s">
        <v>189</v>
      </c>
      <c r="I883" s="39">
        <v>46232.0</v>
      </c>
      <c r="J883" s="33"/>
      <c r="K883" s="33"/>
      <c r="L883" s="40">
        <v>0.0</v>
      </c>
      <c r="M883" s="40">
        <v>0.0</v>
      </c>
    </row>
    <row r="884" ht="15.75" customHeight="1">
      <c r="A884" s="33" t="s">
        <v>1557</v>
      </c>
      <c r="B884" s="39">
        <v>45930.0</v>
      </c>
      <c r="C884" s="33" t="s">
        <v>202</v>
      </c>
      <c r="D884" s="33" t="s">
        <v>188</v>
      </c>
      <c r="E884" s="33" t="s">
        <v>180</v>
      </c>
      <c r="F884" s="33" t="s">
        <v>181</v>
      </c>
      <c r="G884" s="33" t="s">
        <v>181</v>
      </c>
      <c r="H884" s="33" t="s">
        <v>189</v>
      </c>
      <c r="I884" s="39">
        <v>46181.0</v>
      </c>
      <c r="J884" s="39">
        <v>46261.0</v>
      </c>
      <c r="K884" s="39">
        <v>45877.0</v>
      </c>
      <c r="L884" s="40">
        <v>29418.41</v>
      </c>
      <c r="M884" s="40">
        <v>806.22</v>
      </c>
    </row>
    <row r="885" ht="15.75" customHeight="1">
      <c r="A885" s="33" t="s">
        <v>281</v>
      </c>
      <c r="B885" s="39">
        <v>45752.0</v>
      </c>
      <c r="C885" s="33" t="s">
        <v>184</v>
      </c>
      <c r="D885" s="33" t="s">
        <v>196</v>
      </c>
      <c r="E885" s="33" t="s">
        <v>180</v>
      </c>
      <c r="F885" s="33" t="s">
        <v>181</v>
      </c>
      <c r="G885" s="33" t="s">
        <v>189</v>
      </c>
      <c r="H885" s="33" t="s">
        <v>181</v>
      </c>
      <c r="I885" s="39">
        <v>46236.0</v>
      </c>
      <c r="J885" s="33"/>
      <c r="K885" s="33"/>
      <c r="L885" s="40">
        <v>10846.57</v>
      </c>
      <c r="M885" s="40">
        <v>960.8</v>
      </c>
    </row>
    <row r="886" ht="15.75" customHeight="1">
      <c r="A886" s="33" t="s">
        <v>1342</v>
      </c>
      <c r="B886" s="39">
        <v>46151.0</v>
      </c>
      <c r="C886" s="33" t="s">
        <v>184</v>
      </c>
      <c r="D886" s="33" t="s">
        <v>185</v>
      </c>
      <c r="E886" s="33" t="s">
        <v>180</v>
      </c>
      <c r="F886" s="33" t="s">
        <v>181</v>
      </c>
      <c r="G886" s="33" t="s">
        <v>189</v>
      </c>
      <c r="H886" s="33" t="s">
        <v>189</v>
      </c>
      <c r="I886" s="39">
        <v>46210.0</v>
      </c>
      <c r="J886" s="33"/>
      <c r="K886" s="33"/>
      <c r="L886" s="40">
        <v>8996.8</v>
      </c>
      <c r="M886" s="40">
        <v>4655.92</v>
      </c>
    </row>
    <row r="887" ht="15.75" customHeight="1">
      <c r="A887" s="33" t="s">
        <v>2107</v>
      </c>
      <c r="B887" s="39">
        <v>46103.0</v>
      </c>
      <c r="C887" s="33" t="s">
        <v>184</v>
      </c>
      <c r="D887" s="33" t="s">
        <v>188</v>
      </c>
      <c r="E887" s="33" t="s">
        <v>180</v>
      </c>
      <c r="F887" s="33" t="s">
        <v>181</v>
      </c>
      <c r="G887" s="33" t="s">
        <v>189</v>
      </c>
      <c r="H887" s="33" t="s">
        <v>181</v>
      </c>
      <c r="I887" s="39">
        <v>46241.0</v>
      </c>
      <c r="J887" s="33"/>
      <c r="K887" s="33"/>
      <c r="L887" s="40">
        <v>0.0</v>
      </c>
      <c r="M887" s="40">
        <v>597.8</v>
      </c>
    </row>
    <row r="888" ht="15.75" customHeight="1">
      <c r="A888" s="33" t="s">
        <v>2957</v>
      </c>
      <c r="B888" s="39">
        <v>45690.0</v>
      </c>
      <c r="C888" s="33" t="s">
        <v>178</v>
      </c>
      <c r="D888" s="33" t="s">
        <v>237</v>
      </c>
      <c r="E888" s="33" t="s">
        <v>180</v>
      </c>
      <c r="F888" s="33" t="s">
        <v>181</v>
      </c>
      <c r="G888" s="33" t="s">
        <v>181</v>
      </c>
      <c r="H888" s="33" t="s">
        <v>189</v>
      </c>
      <c r="I888" s="39">
        <v>46208.0</v>
      </c>
      <c r="J888" s="39">
        <v>46228.0</v>
      </c>
      <c r="K888" s="39">
        <v>46228.0</v>
      </c>
      <c r="L888" s="40">
        <v>0.0</v>
      </c>
      <c r="M888" s="40">
        <v>1560.49</v>
      </c>
    </row>
    <row r="889" ht="15.75" customHeight="1">
      <c r="A889" s="33" t="s">
        <v>534</v>
      </c>
      <c r="B889" s="39">
        <v>45775.0</v>
      </c>
      <c r="C889" s="33" t="s">
        <v>202</v>
      </c>
      <c r="D889" s="33" t="s">
        <v>200</v>
      </c>
      <c r="E889" s="33" t="s">
        <v>180</v>
      </c>
      <c r="F889" s="33" t="s">
        <v>181</v>
      </c>
      <c r="G889" s="33" t="s">
        <v>181</v>
      </c>
      <c r="H889" s="33" t="s">
        <v>181</v>
      </c>
      <c r="I889" s="39">
        <v>46214.0</v>
      </c>
      <c r="J889" s="39">
        <v>46263.0</v>
      </c>
      <c r="K889" s="39">
        <v>46084.0</v>
      </c>
      <c r="L889" s="40">
        <v>23427.87</v>
      </c>
      <c r="M889" s="40">
        <v>1022.41</v>
      </c>
    </row>
    <row r="890" ht="15.75" customHeight="1">
      <c r="A890" s="33" t="s">
        <v>1116</v>
      </c>
      <c r="B890" s="39">
        <v>45667.0</v>
      </c>
      <c r="C890" s="33" t="s">
        <v>184</v>
      </c>
      <c r="D890" s="33" t="s">
        <v>200</v>
      </c>
      <c r="E890" s="33" t="s">
        <v>180</v>
      </c>
      <c r="F890" s="33" t="s">
        <v>181</v>
      </c>
      <c r="G890" s="33" t="s">
        <v>189</v>
      </c>
      <c r="H890" s="33" t="s">
        <v>181</v>
      </c>
      <c r="I890" s="39">
        <v>46252.0</v>
      </c>
      <c r="J890" s="33"/>
      <c r="K890" s="33"/>
      <c r="L890" s="40">
        <v>0.0</v>
      </c>
      <c r="M890" s="40">
        <v>1205.61</v>
      </c>
    </row>
    <row r="891" ht="15.75" customHeight="1">
      <c r="A891" s="33" t="s">
        <v>1077</v>
      </c>
      <c r="B891" s="39">
        <v>45822.0</v>
      </c>
      <c r="C891" s="33" t="s">
        <v>178</v>
      </c>
      <c r="D891" s="33" t="s">
        <v>179</v>
      </c>
      <c r="E891" s="33" t="s">
        <v>330</v>
      </c>
      <c r="F891" s="33" t="s">
        <v>181</v>
      </c>
      <c r="G891" s="33" t="s">
        <v>181</v>
      </c>
      <c r="H891" s="33" t="s">
        <v>189</v>
      </c>
      <c r="I891" s="39">
        <v>45914.0</v>
      </c>
      <c r="J891" s="39">
        <v>46045.0</v>
      </c>
      <c r="K891" s="39">
        <v>46045.0</v>
      </c>
      <c r="L891" s="40">
        <v>2338.57</v>
      </c>
      <c r="M891" s="40">
        <v>0.0</v>
      </c>
    </row>
    <row r="892" ht="15.75" customHeight="1">
      <c r="A892" s="33" t="s">
        <v>3310</v>
      </c>
      <c r="B892" s="39">
        <v>45718.0</v>
      </c>
      <c r="C892" s="33" t="s">
        <v>178</v>
      </c>
      <c r="D892" s="33" t="s">
        <v>194</v>
      </c>
      <c r="E892" s="33" t="s">
        <v>180</v>
      </c>
      <c r="F892" s="33" t="s">
        <v>189</v>
      </c>
      <c r="G892" s="33" t="s">
        <v>189</v>
      </c>
      <c r="H892" s="33" t="s">
        <v>189</v>
      </c>
      <c r="I892" s="39">
        <v>46256.0</v>
      </c>
      <c r="J892" s="33"/>
      <c r="K892" s="33"/>
      <c r="L892" s="40">
        <v>19033.12</v>
      </c>
      <c r="M892" s="40">
        <v>0.0</v>
      </c>
    </row>
    <row r="893" ht="15.75" customHeight="1">
      <c r="A893" s="33" t="s">
        <v>434</v>
      </c>
      <c r="B893" s="39">
        <v>46088.0</v>
      </c>
      <c r="C893" s="33" t="s">
        <v>184</v>
      </c>
      <c r="D893" s="33" t="s">
        <v>196</v>
      </c>
      <c r="E893" s="33" t="s">
        <v>180</v>
      </c>
      <c r="F893" s="33" t="s">
        <v>181</v>
      </c>
      <c r="G893" s="33" t="s">
        <v>181</v>
      </c>
      <c r="H893" s="33" t="s">
        <v>189</v>
      </c>
      <c r="I893" s="39">
        <v>46185.0</v>
      </c>
      <c r="J893" s="39">
        <v>45979.0</v>
      </c>
      <c r="K893" s="39">
        <v>45979.0</v>
      </c>
      <c r="L893" s="40">
        <v>0.0</v>
      </c>
      <c r="M893" s="40">
        <v>1047.6</v>
      </c>
    </row>
    <row r="894" ht="15.75" customHeight="1">
      <c r="A894" s="33" t="s">
        <v>1830</v>
      </c>
      <c r="B894" s="39">
        <v>45975.0</v>
      </c>
      <c r="C894" s="33" t="s">
        <v>202</v>
      </c>
      <c r="D894" s="33" t="s">
        <v>179</v>
      </c>
      <c r="E894" s="33" t="s">
        <v>330</v>
      </c>
      <c r="F894" s="33" t="s">
        <v>189</v>
      </c>
      <c r="G894" s="33" t="s">
        <v>189</v>
      </c>
      <c r="H894" s="33" t="s">
        <v>189</v>
      </c>
      <c r="I894" s="39">
        <v>46115.0</v>
      </c>
      <c r="J894" s="33"/>
      <c r="K894" s="33"/>
      <c r="L894" s="40">
        <v>0.0</v>
      </c>
      <c r="M894" s="40">
        <v>0.0</v>
      </c>
    </row>
    <row r="895" ht="15.75" customHeight="1">
      <c r="A895" s="33" t="s">
        <v>1405</v>
      </c>
      <c r="B895" s="39">
        <v>46252.0</v>
      </c>
      <c r="C895" s="33" t="s">
        <v>202</v>
      </c>
      <c r="D895" s="33" t="s">
        <v>228</v>
      </c>
      <c r="E895" s="33" t="s">
        <v>180</v>
      </c>
      <c r="F895" s="33" t="s">
        <v>189</v>
      </c>
      <c r="G895" s="33" t="s">
        <v>181</v>
      </c>
      <c r="H895" s="33" t="s">
        <v>181</v>
      </c>
      <c r="I895" s="39">
        <v>46181.0</v>
      </c>
      <c r="J895" s="39">
        <v>46257.0</v>
      </c>
      <c r="K895" s="39">
        <v>46078.0</v>
      </c>
      <c r="L895" s="40">
        <v>8550.27</v>
      </c>
      <c r="M895" s="40">
        <v>0.0</v>
      </c>
    </row>
    <row r="896" ht="15.75" customHeight="1">
      <c r="A896" s="33" t="s">
        <v>845</v>
      </c>
      <c r="B896" s="39">
        <v>46112.0</v>
      </c>
      <c r="C896" s="33" t="s">
        <v>184</v>
      </c>
      <c r="D896" s="33" t="s">
        <v>188</v>
      </c>
      <c r="E896" s="33" t="s">
        <v>180</v>
      </c>
      <c r="F896" s="33" t="s">
        <v>189</v>
      </c>
      <c r="G896" s="33" t="s">
        <v>181</v>
      </c>
      <c r="H896" s="33" t="s">
        <v>181</v>
      </c>
      <c r="I896" s="39">
        <v>46187.0</v>
      </c>
      <c r="J896" s="39">
        <v>46248.0</v>
      </c>
      <c r="K896" s="39">
        <v>46248.0</v>
      </c>
      <c r="L896" s="40">
        <v>16711.87</v>
      </c>
      <c r="M896" s="40">
        <v>0.0</v>
      </c>
    </row>
    <row r="897" ht="15.75" customHeight="1">
      <c r="A897" s="33" t="s">
        <v>1690</v>
      </c>
      <c r="B897" s="39">
        <v>46029.0</v>
      </c>
      <c r="C897" s="33" t="s">
        <v>187</v>
      </c>
      <c r="D897" s="33" t="s">
        <v>196</v>
      </c>
      <c r="E897" s="33" t="s">
        <v>180</v>
      </c>
      <c r="F897" s="33" t="s">
        <v>181</v>
      </c>
      <c r="G897" s="33" t="s">
        <v>189</v>
      </c>
      <c r="H897" s="33" t="s">
        <v>189</v>
      </c>
      <c r="I897" s="39">
        <v>46246.0</v>
      </c>
      <c r="J897" s="33"/>
      <c r="K897" s="33"/>
      <c r="L897" s="40">
        <v>1905.37</v>
      </c>
      <c r="M897" s="40">
        <v>2628.7</v>
      </c>
    </row>
    <row r="898" ht="15.75" customHeight="1">
      <c r="A898" s="33" t="s">
        <v>2876</v>
      </c>
      <c r="B898" s="39">
        <v>45967.0</v>
      </c>
      <c r="C898" s="33" t="s">
        <v>178</v>
      </c>
      <c r="D898" s="33" t="s">
        <v>196</v>
      </c>
      <c r="E898" s="33" t="s">
        <v>180</v>
      </c>
      <c r="F898" s="33" t="s">
        <v>181</v>
      </c>
      <c r="G898" s="33" t="s">
        <v>189</v>
      </c>
      <c r="H898" s="33" t="s">
        <v>189</v>
      </c>
      <c r="I898" s="39">
        <v>46202.0</v>
      </c>
      <c r="J898" s="33"/>
      <c r="K898" s="33"/>
      <c r="L898" s="40">
        <v>0.0</v>
      </c>
      <c r="M898" s="40">
        <v>1548.45</v>
      </c>
    </row>
    <row r="899" ht="15.75" customHeight="1">
      <c r="A899" s="33" t="s">
        <v>3714</v>
      </c>
      <c r="B899" s="39">
        <v>45691.0</v>
      </c>
      <c r="C899" s="33" t="s">
        <v>178</v>
      </c>
      <c r="D899" s="33" t="s">
        <v>228</v>
      </c>
      <c r="E899" s="33" t="s">
        <v>180</v>
      </c>
      <c r="F899" s="33" t="s">
        <v>181</v>
      </c>
      <c r="G899" s="33" t="s">
        <v>189</v>
      </c>
      <c r="H899" s="33" t="s">
        <v>189</v>
      </c>
      <c r="I899" s="39">
        <v>46256.0</v>
      </c>
      <c r="J899" s="33"/>
      <c r="K899" s="33"/>
      <c r="L899" s="40">
        <v>0.0</v>
      </c>
      <c r="M899" s="40">
        <v>2197.26</v>
      </c>
    </row>
    <row r="900" ht="15.75" customHeight="1">
      <c r="A900" s="33" t="s">
        <v>4529</v>
      </c>
      <c r="B900" s="39">
        <v>45700.0</v>
      </c>
      <c r="C900" s="33" t="s">
        <v>178</v>
      </c>
      <c r="D900" s="33" t="s">
        <v>196</v>
      </c>
      <c r="E900" s="33" t="s">
        <v>180</v>
      </c>
      <c r="F900" s="33" t="s">
        <v>181</v>
      </c>
      <c r="G900" s="33" t="s">
        <v>189</v>
      </c>
      <c r="H900" s="33" t="s">
        <v>189</v>
      </c>
      <c r="I900" s="39">
        <v>46179.0</v>
      </c>
      <c r="J900" s="33"/>
      <c r="K900" s="33"/>
      <c r="L900" s="40">
        <v>0.0</v>
      </c>
      <c r="M900" s="40">
        <v>659.8</v>
      </c>
    </row>
    <row r="901" ht="15.75" customHeight="1">
      <c r="A901" s="33" t="s">
        <v>4533</v>
      </c>
      <c r="B901" s="39">
        <v>46032.0</v>
      </c>
      <c r="C901" s="33" t="s">
        <v>178</v>
      </c>
      <c r="D901" s="33" t="s">
        <v>228</v>
      </c>
      <c r="E901" s="33" t="s">
        <v>180</v>
      </c>
      <c r="F901" s="33" t="s">
        <v>189</v>
      </c>
      <c r="G901" s="33" t="s">
        <v>181</v>
      </c>
      <c r="H901" s="33" t="s">
        <v>189</v>
      </c>
      <c r="I901" s="39">
        <v>46195.0</v>
      </c>
      <c r="J901" s="39">
        <v>46210.0</v>
      </c>
      <c r="K901" s="39">
        <v>46204.0</v>
      </c>
      <c r="L901" s="40">
        <v>0.0</v>
      </c>
      <c r="M901" s="40">
        <v>0.0</v>
      </c>
    </row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13.0"/>
    <col customWidth="1" min="3" max="3" width="15.0"/>
    <col customWidth="1" min="4" max="4" width="18.0"/>
    <col customWidth="1" min="5" max="5" width="22.0"/>
    <col customWidth="1" min="6" max="6" width="12.0"/>
    <col customWidth="1" min="7" max="8" width="21.0"/>
    <col customWidth="1" min="9" max="9" width="10.0"/>
    <col customWidth="1" min="10" max="10" width="11.0"/>
    <col customWidth="1" min="11" max="11" width="32.0"/>
    <col customWidth="1" min="12" max="26" width="8.71"/>
  </cols>
  <sheetData>
    <row r="1">
      <c r="A1" s="38" t="s">
        <v>205</v>
      </c>
      <c r="B1" s="38" t="s">
        <v>160</v>
      </c>
      <c r="C1" s="38" t="s">
        <v>209</v>
      </c>
      <c r="D1" s="38" t="s">
        <v>211</v>
      </c>
      <c r="E1" s="38" t="s">
        <v>212</v>
      </c>
      <c r="F1" s="38" t="s">
        <v>214</v>
      </c>
      <c r="G1" s="38" t="s">
        <v>215</v>
      </c>
      <c r="H1" s="38" t="s">
        <v>217</v>
      </c>
      <c r="I1" s="38" t="s">
        <v>219</v>
      </c>
      <c r="J1" s="38" t="s">
        <v>221</v>
      </c>
      <c r="K1" s="38" t="s">
        <v>223</v>
      </c>
    </row>
    <row r="2">
      <c r="A2" s="33" t="s">
        <v>224</v>
      </c>
      <c r="B2" s="33" t="s">
        <v>226</v>
      </c>
      <c r="C2" s="33" t="s">
        <v>227</v>
      </c>
      <c r="D2" s="39">
        <v>46164.0</v>
      </c>
      <c r="E2" s="40">
        <v>38600.0</v>
      </c>
      <c r="F2" s="33" t="s">
        <v>230</v>
      </c>
      <c r="G2" s="33" t="s">
        <v>181</v>
      </c>
      <c r="H2" s="33" t="s">
        <v>181</v>
      </c>
      <c r="I2" s="33" t="s">
        <v>181</v>
      </c>
      <c r="J2" s="33" t="s">
        <v>181</v>
      </c>
      <c r="K2" s="33" t="s">
        <v>157</v>
      </c>
    </row>
    <row r="3">
      <c r="A3" s="33" t="s">
        <v>233</v>
      </c>
      <c r="B3" s="33" t="s">
        <v>234</v>
      </c>
      <c r="C3" s="33" t="s">
        <v>235</v>
      </c>
      <c r="D3" s="39">
        <v>46055.0</v>
      </c>
      <c r="E3" s="40">
        <v>32100.0</v>
      </c>
      <c r="F3" s="33" t="s">
        <v>230</v>
      </c>
      <c r="G3" s="33" t="s">
        <v>181</v>
      </c>
      <c r="H3" s="33" t="s">
        <v>181</v>
      </c>
      <c r="I3" s="33" t="s">
        <v>181</v>
      </c>
      <c r="J3" s="33" t="s">
        <v>181</v>
      </c>
      <c r="K3" s="33" t="s">
        <v>157</v>
      </c>
    </row>
    <row r="4">
      <c r="A4" s="33" t="s">
        <v>238</v>
      </c>
      <c r="B4" s="33" t="s">
        <v>239</v>
      </c>
      <c r="C4" s="33" t="s">
        <v>235</v>
      </c>
      <c r="D4" s="39">
        <v>45693.0</v>
      </c>
      <c r="E4" s="40">
        <v>44700.0</v>
      </c>
      <c r="F4" s="33" t="s">
        <v>241</v>
      </c>
      <c r="G4" s="33" t="s">
        <v>181</v>
      </c>
      <c r="H4" s="33" t="s">
        <v>181</v>
      </c>
      <c r="I4" s="33" t="s">
        <v>181</v>
      </c>
      <c r="J4" s="33" t="s">
        <v>181</v>
      </c>
      <c r="K4" s="33" t="s">
        <v>157</v>
      </c>
    </row>
    <row r="5">
      <c r="A5" s="33" t="s">
        <v>244</v>
      </c>
      <c r="B5" s="33" t="s">
        <v>245</v>
      </c>
      <c r="C5" s="33" t="s">
        <v>247</v>
      </c>
      <c r="D5" s="39">
        <v>45866.0</v>
      </c>
      <c r="E5" s="40">
        <v>37000.0</v>
      </c>
      <c r="F5" s="33" t="s">
        <v>248</v>
      </c>
      <c r="G5" s="33" t="s">
        <v>181</v>
      </c>
      <c r="H5" s="33" t="s">
        <v>181</v>
      </c>
      <c r="I5" s="33" t="s">
        <v>181</v>
      </c>
      <c r="J5" s="33" t="s">
        <v>181</v>
      </c>
      <c r="K5" s="33" t="s">
        <v>157</v>
      </c>
    </row>
    <row r="6">
      <c r="A6" s="33" t="s">
        <v>249</v>
      </c>
      <c r="B6" s="33" t="s">
        <v>250</v>
      </c>
      <c r="C6" s="33" t="s">
        <v>227</v>
      </c>
      <c r="D6" s="39">
        <v>46074.0</v>
      </c>
      <c r="E6" s="40">
        <v>26400.0</v>
      </c>
      <c r="F6" s="33" t="s">
        <v>248</v>
      </c>
      <c r="G6" s="33" t="s">
        <v>189</v>
      </c>
      <c r="H6" s="33" t="s">
        <v>189</v>
      </c>
      <c r="I6" s="33" t="s">
        <v>189</v>
      </c>
      <c r="J6" s="33" t="s">
        <v>189</v>
      </c>
      <c r="K6" s="33" t="s">
        <v>252</v>
      </c>
    </row>
    <row r="7">
      <c r="A7" s="33" t="s">
        <v>253</v>
      </c>
      <c r="B7" s="33" t="s">
        <v>254</v>
      </c>
      <c r="C7" s="33" t="s">
        <v>227</v>
      </c>
      <c r="D7" s="39">
        <v>45966.0</v>
      </c>
      <c r="E7" s="40">
        <v>6800.0</v>
      </c>
      <c r="F7" s="33" t="s">
        <v>248</v>
      </c>
      <c r="G7" s="33" t="s">
        <v>181</v>
      </c>
      <c r="H7" s="33" t="s">
        <v>181</v>
      </c>
      <c r="I7" s="33" t="s">
        <v>181</v>
      </c>
      <c r="J7" s="33" t="s">
        <v>181</v>
      </c>
      <c r="K7" s="33" t="s">
        <v>157</v>
      </c>
    </row>
    <row r="8">
      <c r="A8" s="33" t="s">
        <v>256</v>
      </c>
      <c r="B8" s="33" t="s">
        <v>257</v>
      </c>
      <c r="C8" s="33" t="s">
        <v>247</v>
      </c>
      <c r="D8" s="39">
        <v>46129.0</v>
      </c>
      <c r="E8" s="40">
        <v>40400.0</v>
      </c>
      <c r="F8" s="33" t="s">
        <v>230</v>
      </c>
      <c r="G8" s="33" t="s">
        <v>181</v>
      </c>
      <c r="H8" s="33" t="s">
        <v>181</v>
      </c>
      <c r="I8" s="33" t="s">
        <v>181</v>
      </c>
      <c r="J8" s="33" t="s">
        <v>181</v>
      </c>
      <c r="K8" s="33" t="s">
        <v>157</v>
      </c>
    </row>
    <row r="9">
      <c r="A9" s="33" t="s">
        <v>259</v>
      </c>
      <c r="B9" s="33" t="s">
        <v>260</v>
      </c>
      <c r="C9" s="33" t="s">
        <v>227</v>
      </c>
      <c r="D9" s="39">
        <v>46038.0</v>
      </c>
      <c r="E9" s="40">
        <v>36000.0</v>
      </c>
      <c r="F9" s="33" t="s">
        <v>241</v>
      </c>
      <c r="G9" s="33" t="s">
        <v>181</v>
      </c>
      <c r="H9" s="33" t="s">
        <v>189</v>
      </c>
      <c r="I9" s="33" t="s">
        <v>189</v>
      </c>
      <c r="J9" s="33" t="s">
        <v>189</v>
      </c>
      <c r="K9" s="33" t="s">
        <v>262</v>
      </c>
    </row>
    <row r="10">
      <c r="A10" s="33" t="s">
        <v>263</v>
      </c>
      <c r="B10" s="33" t="s">
        <v>264</v>
      </c>
      <c r="C10" s="33" t="s">
        <v>227</v>
      </c>
      <c r="D10" s="39">
        <v>45680.0</v>
      </c>
      <c r="E10" s="40">
        <v>17500.0</v>
      </c>
      <c r="F10" s="33" t="s">
        <v>241</v>
      </c>
      <c r="G10" s="33" t="s">
        <v>181</v>
      </c>
      <c r="H10" s="33" t="s">
        <v>181</v>
      </c>
      <c r="I10" s="33" t="s">
        <v>181</v>
      </c>
      <c r="J10" s="33" t="s">
        <v>181</v>
      </c>
      <c r="K10" s="33" t="s">
        <v>157</v>
      </c>
    </row>
    <row r="11">
      <c r="A11" s="33" t="s">
        <v>266</v>
      </c>
      <c r="B11" s="33" t="s">
        <v>267</v>
      </c>
      <c r="C11" s="33" t="s">
        <v>227</v>
      </c>
      <c r="D11" s="39">
        <v>46183.0</v>
      </c>
      <c r="E11" s="40">
        <v>12400.0</v>
      </c>
      <c r="F11" s="33" t="s">
        <v>269</v>
      </c>
      <c r="G11" s="33" t="s">
        <v>181</v>
      </c>
      <c r="H11" s="33" t="s">
        <v>181</v>
      </c>
      <c r="I11" s="33" t="s">
        <v>181</v>
      </c>
      <c r="J11" s="33" t="s">
        <v>181</v>
      </c>
      <c r="K11" s="33" t="s">
        <v>157</v>
      </c>
    </row>
    <row r="12">
      <c r="A12" s="33" t="s">
        <v>270</v>
      </c>
      <c r="B12" s="33" t="s">
        <v>271</v>
      </c>
      <c r="C12" s="33" t="s">
        <v>247</v>
      </c>
      <c r="D12" s="39">
        <v>46004.0</v>
      </c>
      <c r="E12" s="40">
        <v>33200.0</v>
      </c>
      <c r="F12" s="33" t="s">
        <v>241</v>
      </c>
      <c r="G12" s="33" t="s">
        <v>181</v>
      </c>
      <c r="H12" s="33" t="s">
        <v>181</v>
      </c>
      <c r="I12" s="33" t="s">
        <v>181</v>
      </c>
      <c r="J12" s="33" t="s">
        <v>181</v>
      </c>
      <c r="K12" s="33" t="s">
        <v>157</v>
      </c>
    </row>
    <row r="13">
      <c r="A13" s="33" t="s">
        <v>274</v>
      </c>
      <c r="B13" s="33" t="s">
        <v>275</v>
      </c>
      <c r="C13" s="33" t="s">
        <v>227</v>
      </c>
      <c r="D13" s="39">
        <v>46216.0</v>
      </c>
      <c r="E13" s="40">
        <v>5100.0</v>
      </c>
      <c r="F13" s="33" t="s">
        <v>230</v>
      </c>
      <c r="G13" s="33" t="s">
        <v>189</v>
      </c>
      <c r="H13" s="33" t="s">
        <v>189</v>
      </c>
      <c r="I13" s="33" t="s">
        <v>189</v>
      </c>
      <c r="J13" s="33" t="s">
        <v>189</v>
      </c>
      <c r="K13" s="33" t="s">
        <v>252</v>
      </c>
    </row>
    <row r="14">
      <c r="A14" s="33" t="s">
        <v>277</v>
      </c>
      <c r="B14" s="33" t="s">
        <v>278</v>
      </c>
      <c r="C14" s="33" t="s">
        <v>227</v>
      </c>
      <c r="D14" s="39">
        <v>45791.0</v>
      </c>
      <c r="E14" s="40">
        <v>39600.0</v>
      </c>
      <c r="F14" s="33" t="s">
        <v>230</v>
      </c>
      <c r="G14" s="33" t="s">
        <v>181</v>
      </c>
      <c r="H14" s="33" t="s">
        <v>181</v>
      </c>
      <c r="I14" s="33" t="s">
        <v>181</v>
      </c>
      <c r="J14" s="33" t="s">
        <v>181</v>
      </c>
      <c r="K14" s="33" t="s">
        <v>157</v>
      </c>
    </row>
    <row r="15">
      <c r="A15" s="33" t="s">
        <v>280</v>
      </c>
      <c r="B15" s="33" t="s">
        <v>281</v>
      </c>
      <c r="C15" s="33" t="s">
        <v>247</v>
      </c>
      <c r="D15" s="39">
        <v>46078.0</v>
      </c>
      <c r="E15" s="40">
        <v>12100.0</v>
      </c>
      <c r="F15" s="33" t="s">
        <v>269</v>
      </c>
      <c r="G15" s="33" t="s">
        <v>189</v>
      </c>
      <c r="H15" s="33" t="s">
        <v>189</v>
      </c>
      <c r="I15" s="33" t="s">
        <v>189</v>
      </c>
      <c r="J15" s="33" t="s">
        <v>189</v>
      </c>
      <c r="K15" s="33" t="s">
        <v>252</v>
      </c>
    </row>
    <row r="16">
      <c r="A16" s="33" t="s">
        <v>283</v>
      </c>
      <c r="B16" s="33" t="s">
        <v>284</v>
      </c>
      <c r="C16" s="33" t="s">
        <v>227</v>
      </c>
      <c r="D16" s="39">
        <v>45675.0</v>
      </c>
      <c r="E16" s="40">
        <v>30100.0</v>
      </c>
      <c r="F16" s="33" t="s">
        <v>248</v>
      </c>
      <c r="G16" s="33" t="s">
        <v>181</v>
      </c>
      <c r="H16" s="33" t="s">
        <v>181</v>
      </c>
      <c r="I16" s="33" t="s">
        <v>181</v>
      </c>
      <c r="J16" s="33" t="s">
        <v>181</v>
      </c>
      <c r="K16" s="33" t="s">
        <v>157</v>
      </c>
    </row>
    <row r="17">
      <c r="A17" s="33" t="s">
        <v>286</v>
      </c>
      <c r="B17" s="33" t="s">
        <v>287</v>
      </c>
      <c r="C17" s="33" t="s">
        <v>227</v>
      </c>
      <c r="D17" s="39">
        <v>45752.0</v>
      </c>
      <c r="E17" s="40">
        <v>15900.0</v>
      </c>
      <c r="F17" s="33" t="s">
        <v>230</v>
      </c>
      <c r="G17" s="33" t="s">
        <v>181</v>
      </c>
      <c r="H17" s="33" t="s">
        <v>181</v>
      </c>
      <c r="I17" s="33" t="s">
        <v>181</v>
      </c>
      <c r="J17" s="33" t="s">
        <v>181</v>
      </c>
      <c r="K17" s="33" t="s">
        <v>157</v>
      </c>
    </row>
    <row r="18">
      <c r="A18" s="33" t="s">
        <v>289</v>
      </c>
      <c r="B18" s="33" t="s">
        <v>290</v>
      </c>
      <c r="C18" s="33" t="s">
        <v>227</v>
      </c>
      <c r="D18" s="39">
        <v>46193.0</v>
      </c>
      <c r="E18" s="40">
        <v>24400.0</v>
      </c>
      <c r="F18" s="33" t="s">
        <v>230</v>
      </c>
      <c r="G18" s="33" t="s">
        <v>181</v>
      </c>
      <c r="H18" s="33" t="s">
        <v>181</v>
      </c>
      <c r="I18" s="33" t="s">
        <v>181</v>
      </c>
      <c r="J18" s="33" t="s">
        <v>181</v>
      </c>
      <c r="K18" s="33" t="s">
        <v>157</v>
      </c>
    </row>
    <row r="19">
      <c r="A19" s="33" t="s">
        <v>292</v>
      </c>
      <c r="B19" s="33" t="s">
        <v>293</v>
      </c>
      <c r="C19" s="33" t="s">
        <v>227</v>
      </c>
      <c r="D19" s="39">
        <v>46197.0</v>
      </c>
      <c r="E19" s="40">
        <v>40200.0</v>
      </c>
      <c r="F19" s="33" t="s">
        <v>269</v>
      </c>
      <c r="G19" s="33" t="s">
        <v>181</v>
      </c>
      <c r="H19" s="33" t="s">
        <v>189</v>
      </c>
      <c r="I19" s="33" t="s">
        <v>189</v>
      </c>
      <c r="J19" s="33" t="s">
        <v>189</v>
      </c>
      <c r="K19" s="33" t="s">
        <v>262</v>
      </c>
    </row>
    <row r="20">
      <c r="A20" s="33" t="s">
        <v>295</v>
      </c>
      <c r="B20" s="33" t="s">
        <v>296</v>
      </c>
      <c r="C20" s="33" t="s">
        <v>227</v>
      </c>
      <c r="D20" s="39">
        <v>46237.0</v>
      </c>
      <c r="E20" s="40">
        <v>15100.0</v>
      </c>
      <c r="F20" s="33" t="s">
        <v>248</v>
      </c>
      <c r="G20" s="33" t="s">
        <v>189</v>
      </c>
      <c r="H20" s="33" t="s">
        <v>189</v>
      </c>
      <c r="I20" s="33" t="s">
        <v>189</v>
      </c>
      <c r="J20" s="33" t="s">
        <v>189</v>
      </c>
      <c r="K20" s="33" t="s">
        <v>252</v>
      </c>
    </row>
    <row r="21" ht="15.75" customHeight="1">
      <c r="A21" s="33" t="s">
        <v>298</v>
      </c>
      <c r="B21" s="33" t="s">
        <v>299</v>
      </c>
      <c r="C21" s="33" t="s">
        <v>227</v>
      </c>
      <c r="D21" s="39">
        <v>45782.0</v>
      </c>
      <c r="E21" s="40">
        <v>2600.0</v>
      </c>
      <c r="F21" s="33" t="s">
        <v>248</v>
      </c>
      <c r="G21" s="33" t="s">
        <v>189</v>
      </c>
      <c r="H21" s="33" t="s">
        <v>189</v>
      </c>
      <c r="I21" s="33" t="s">
        <v>189</v>
      </c>
      <c r="J21" s="33" t="s">
        <v>189</v>
      </c>
      <c r="K21" s="33" t="s">
        <v>252</v>
      </c>
    </row>
    <row r="22" ht="15.75" customHeight="1">
      <c r="A22" s="33" t="s">
        <v>301</v>
      </c>
      <c r="B22" s="33" t="s">
        <v>302</v>
      </c>
      <c r="C22" s="33" t="s">
        <v>247</v>
      </c>
      <c r="D22" s="39">
        <v>46199.0</v>
      </c>
      <c r="E22" s="40">
        <v>4800.0</v>
      </c>
      <c r="F22" s="33" t="s">
        <v>241</v>
      </c>
      <c r="G22" s="33" t="s">
        <v>181</v>
      </c>
      <c r="H22" s="33" t="s">
        <v>181</v>
      </c>
      <c r="I22" s="33" t="s">
        <v>181</v>
      </c>
      <c r="J22" s="33" t="s">
        <v>181</v>
      </c>
      <c r="K22" s="33" t="s">
        <v>157</v>
      </c>
    </row>
    <row r="23" ht="15.75" customHeight="1">
      <c r="A23" s="33" t="s">
        <v>304</v>
      </c>
      <c r="B23" s="33" t="s">
        <v>305</v>
      </c>
      <c r="C23" s="33" t="s">
        <v>227</v>
      </c>
      <c r="D23" s="39">
        <v>45690.0</v>
      </c>
      <c r="E23" s="40">
        <v>4600.0</v>
      </c>
      <c r="F23" s="33" t="s">
        <v>241</v>
      </c>
      <c r="G23" s="33" t="s">
        <v>181</v>
      </c>
      <c r="H23" s="33" t="s">
        <v>181</v>
      </c>
      <c r="I23" s="33" t="s">
        <v>181</v>
      </c>
      <c r="J23" s="33" t="s">
        <v>181</v>
      </c>
      <c r="K23" s="33" t="s">
        <v>157</v>
      </c>
    </row>
    <row r="24" ht="15.75" customHeight="1">
      <c r="A24" s="33" t="s">
        <v>307</v>
      </c>
      <c r="B24" s="33" t="s">
        <v>308</v>
      </c>
      <c r="C24" s="33" t="s">
        <v>227</v>
      </c>
      <c r="D24" s="39">
        <v>45901.0</v>
      </c>
      <c r="E24" s="40">
        <v>23500.0</v>
      </c>
      <c r="F24" s="33" t="s">
        <v>230</v>
      </c>
      <c r="G24" s="33" t="s">
        <v>181</v>
      </c>
      <c r="H24" s="33" t="s">
        <v>181</v>
      </c>
      <c r="I24" s="33" t="s">
        <v>181</v>
      </c>
      <c r="J24" s="33" t="s">
        <v>181</v>
      </c>
      <c r="K24" s="33" t="s">
        <v>157</v>
      </c>
    </row>
    <row r="25" ht="15.75" customHeight="1">
      <c r="A25" s="33" t="s">
        <v>310</v>
      </c>
      <c r="B25" s="33" t="s">
        <v>311</v>
      </c>
      <c r="C25" s="33" t="s">
        <v>247</v>
      </c>
      <c r="D25" s="39">
        <v>45923.0</v>
      </c>
      <c r="E25" s="40">
        <v>5100.0</v>
      </c>
      <c r="F25" s="33" t="s">
        <v>230</v>
      </c>
      <c r="G25" s="33" t="s">
        <v>181</v>
      </c>
      <c r="H25" s="33" t="s">
        <v>181</v>
      </c>
      <c r="I25" s="33" t="s">
        <v>181</v>
      </c>
      <c r="J25" s="33" t="s">
        <v>181</v>
      </c>
      <c r="K25" s="33" t="s">
        <v>157</v>
      </c>
    </row>
    <row r="26" ht="15.75" customHeight="1">
      <c r="A26" s="33" t="s">
        <v>313</v>
      </c>
      <c r="B26" s="33" t="s">
        <v>314</v>
      </c>
      <c r="C26" s="33" t="s">
        <v>247</v>
      </c>
      <c r="D26" s="39">
        <v>46139.0</v>
      </c>
      <c r="E26" s="40">
        <v>21200.0</v>
      </c>
      <c r="F26" s="33" t="s">
        <v>230</v>
      </c>
      <c r="G26" s="33" t="s">
        <v>189</v>
      </c>
      <c r="H26" s="33" t="s">
        <v>189</v>
      </c>
      <c r="I26" s="33" t="s">
        <v>189</v>
      </c>
      <c r="J26" s="33" t="s">
        <v>189</v>
      </c>
      <c r="K26" s="33" t="s">
        <v>252</v>
      </c>
    </row>
    <row r="27" ht="15.75" customHeight="1">
      <c r="A27" s="33" t="s">
        <v>316</v>
      </c>
      <c r="B27" s="33" t="s">
        <v>317</v>
      </c>
      <c r="C27" s="33" t="s">
        <v>227</v>
      </c>
      <c r="D27" s="39">
        <v>46073.0</v>
      </c>
      <c r="E27" s="40">
        <v>35200.0</v>
      </c>
      <c r="F27" s="33" t="s">
        <v>230</v>
      </c>
      <c r="G27" s="33" t="s">
        <v>181</v>
      </c>
      <c r="H27" s="33" t="s">
        <v>189</v>
      </c>
      <c r="I27" s="33" t="s">
        <v>189</v>
      </c>
      <c r="J27" s="33" t="s">
        <v>189</v>
      </c>
      <c r="K27" s="33" t="s">
        <v>262</v>
      </c>
    </row>
    <row r="28" ht="15.75" customHeight="1">
      <c r="A28" s="33" t="s">
        <v>319</v>
      </c>
      <c r="B28" s="33" t="s">
        <v>320</v>
      </c>
      <c r="C28" s="33" t="s">
        <v>235</v>
      </c>
      <c r="D28" s="39">
        <v>45875.0</v>
      </c>
      <c r="E28" s="40">
        <v>44100.0</v>
      </c>
      <c r="F28" s="33" t="s">
        <v>230</v>
      </c>
      <c r="G28" s="33" t="s">
        <v>181</v>
      </c>
      <c r="H28" s="33" t="s">
        <v>181</v>
      </c>
      <c r="I28" s="33" t="s">
        <v>181</v>
      </c>
      <c r="J28" s="33" t="s">
        <v>181</v>
      </c>
      <c r="K28" s="33" t="s">
        <v>157</v>
      </c>
    </row>
    <row r="29" ht="15.75" customHeight="1">
      <c r="A29" s="33" t="s">
        <v>321</v>
      </c>
      <c r="B29" s="33" t="s">
        <v>323</v>
      </c>
      <c r="C29" s="33" t="s">
        <v>247</v>
      </c>
      <c r="D29" s="39">
        <v>45748.0</v>
      </c>
      <c r="E29" s="40">
        <v>11900.0</v>
      </c>
      <c r="F29" s="33" t="s">
        <v>248</v>
      </c>
      <c r="G29" s="33" t="s">
        <v>181</v>
      </c>
      <c r="H29" s="33" t="s">
        <v>181</v>
      </c>
      <c r="I29" s="33" t="s">
        <v>181</v>
      </c>
      <c r="J29" s="33" t="s">
        <v>181</v>
      </c>
      <c r="K29" s="33" t="s">
        <v>157</v>
      </c>
    </row>
    <row r="30" ht="15.75" customHeight="1">
      <c r="A30" s="33" t="s">
        <v>325</v>
      </c>
      <c r="B30" s="33" t="s">
        <v>326</v>
      </c>
      <c r="C30" s="33" t="s">
        <v>247</v>
      </c>
      <c r="D30" s="39">
        <v>45879.0</v>
      </c>
      <c r="E30" s="40">
        <v>44000.0</v>
      </c>
      <c r="F30" s="33" t="s">
        <v>241</v>
      </c>
      <c r="G30" s="33" t="s">
        <v>181</v>
      </c>
      <c r="H30" s="33" t="s">
        <v>181</v>
      </c>
      <c r="I30" s="33" t="s">
        <v>181</v>
      </c>
      <c r="J30" s="33" t="s">
        <v>181</v>
      </c>
      <c r="K30" s="33" t="s">
        <v>157</v>
      </c>
    </row>
    <row r="31" ht="15.75" customHeight="1">
      <c r="A31" s="33" t="s">
        <v>328</v>
      </c>
      <c r="B31" s="33" t="s">
        <v>329</v>
      </c>
      <c r="C31" s="33" t="s">
        <v>247</v>
      </c>
      <c r="D31" s="39">
        <v>45839.0</v>
      </c>
      <c r="E31" s="40">
        <v>48900.0</v>
      </c>
      <c r="F31" s="33" t="s">
        <v>230</v>
      </c>
      <c r="G31" s="33" t="s">
        <v>181</v>
      </c>
      <c r="H31" s="33" t="s">
        <v>189</v>
      </c>
      <c r="I31" s="33" t="s">
        <v>189</v>
      </c>
      <c r="J31" s="33" t="s">
        <v>189</v>
      </c>
      <c r="K31" s="33" t="s">
        <v>262</v>
      </c>
    </row>
    <row r="32" ht="15.75" customHeight="1">
      <c r="A32" s="33" t="s">
        <v>331</v>
      </c>
      <c r="B32" s="33" t="s">
        <v>334</v>
      </c>
      <c r="C32" s="33" t="s">
        <v>227</v>
      </c>
      <c r="D32" s="39">
        <v>46064.0</v>
      </c>
      <c r="E32" s="40">
        <v>31700.0</v>
      </c>
      <c r="F32" s="33" t="s">
        <v>241</v>
      </c>
      <c r="G32" s="33" t="s">
        <v>181</v>
      </c>
      <c r="H32" s="33" t="s">
        <v>181</v>
      </c>
      <c r="I32" s="33" t="s">
        <v>181</v>
      </c>
      <c r="J32" s="33" t="s">
        <v>181</v>
      </c>
      <c r="K32" s="33" t="s">
        <v>157</v>
      </c>
    </row>
    <row r="33" ht="15.75" customHeight="1">
      <c r="A33" s="33" t="s">
        <v>335</v>
      </c>
      <c r="B33" s="33" t="s">
        <v>336</v>
      </c>
      <c r="C33" s="33" t="s">
        <v>247</v>
      </c>
      <c r="D33" s="39">
        <v>45706.0</v>
      </c>
      <c r="E33" s="40">
        <v>37100.0</v>
      </c>
      <c r="F33" s="33" t="s">
        <v>230</v>
      </c>
      <c r="G33" s="33" t="s">
        <v>181</v>
      </c>
      <c r="H33" s="33" t="s">
        <v>181</v>
      </c>
      <c r="I33" s="33" t="s">
        <v>181</v>
      </c>
      <c r="J33" s="33" t="s">
        <v>181</v>
      </c>
      <c r="K33" s="33" t="s">
        <v>157</v>
      </c>
    </row>
    <row r="34" ht="15.75" customHeight="1">
      <c r="A34" s="33" t="s">
        <v>341</v>
      </c>
      <c r="B34" s="33" t="s">
        <v>342</v>
      </c>
      <c r="C34" s="33" t="s">
        <v>247</v>
      </c>
      <c r="D34" s="39">
        <v>45907.0</v>
      </c>
      <c r="E34" s="40">
        <v>24700.0</v>
      </c>
      <c r="F34" s="33" t="s">
        <v>248</v>
      </c>
      <c r="G34" s="33" t="s">
        <v>189</v>
      </c>
      <c r="H34" s="33" t="s">
        <v>189</v>
      </c>
      <c r="I34" s="33" t="s">
        <v>189</v>
      </c>
      <c r="J34" s="33" t="s">
        <v>189</v>
      </c>
      <c r="K34" s="33" t="s">
        <v>252</v>
      </c>
    </row>
    <row r="35" ht="15.75" customHeight="1">
      <c r="A35" s="33" t="s">
        <v>347</v>
      </c>
      <c r="B35" s="33" t="s">
        <v>349</v>
      </c>
      <c r="C35" s="33" t="s">
        <v>235</v>
      </c>
      <c r="D35" s="39">
        <v>46033.0</v>
      </c>
      <c r="E35" s="40">
        <v>4700.0</v>
      </c>
      <c r="F35" s="33" t="s">
        <v>241</v>
      </c>
      <c r="G35" s="33" t="s">
        <v>189</v>
      </c>
      <c r="H35" s="33" t="s">
        <v>189</v>
      </c>
      <c r="I35" s="33" t="s">
        <v>189</v>
      </c>
      <c r="J35" s="33" t="s">
        <v>189</v>
      </c>
      <c r="K35" s="33" t="s">
        <v>252</v>
      </c>
    </row>
    <row r="36" ht="15.75" customHeight="1">
      <c r="A36" s="33" t="s">
        <v>351</v>
      </c>
      <c r="B36" s="33" t="s">
        <v>337</v>
      </c>
      <c r="C36" s="33" t="s">
        <v>235</v>
      </c>
      <c r="D36" s="39">
        <v>46050.0</v>
      </c>
      <c r="E36" s="40">
        <v>48000.0</v>
      </c>
      <c r="F36" s="33" t="s">
        <v>230</v>
      </c>
      <c r="G36" s="33" t="s">
        <v>181</v>
      </c>
      <c r="H36" s="33" t="s">
        <v>181</v>
      </c>
      <c r="I36" s="33" t="s">
        <v>181</v>
      </c>
      <c r="J36" s="33" t="s">
        <v>181</v>
      </c>
      <c r="K36" s="33" t="s">
        <v>157</v>
      </c>
    </row>
    <row r="37" ht="15.75" customHeight="1">
      <c r="A37" s="33" t="s">
        <v>353</v>
      </c>
      <c r="B37" s="33" t="s">
        <v>354</v>
      </c>
      <c r="C37" s="33" t="s">
        <v>227</v>
      </c>
      <c r="D37" s="39">
        <v>46087.0</v>
      </c>
      <c r="E37" s="40">
        <v>47300.0</v>
      </c>
      <c r="F37" s="33" t="s">
        <v>248</v>
      </c>
      <c r="G37" s="33" t="s">
        <v>181</v>
      </c>
      <c r="H37" s="33" t="s">
        <v>189</v>
      </c>
      <c r="I37" s="33" t="s">
        <v>189</v>
      </c>
      <c r="J37" s="33" t="s">
        <v>189</v>
      </c>
      <c r="K37" s="33" t="s">
        <v>262</v>
      </c>
    </row>
    <row r="38" ht="15.75" customHeight="1">
      <c r="A38" s="33" t="s">
        <v>357</v>
      </c>
      <c r="B38" s="33" t="s">
        <v>358</v>
      </c>
      <c r="C38" s="33" t="s">
        <v>235</v>
      </c>
      <c r="D38" s="39">
        <v>45831.0</v>
      </c>
      <c r="E38" s="40">
        <v>16800.0</v>
      </c>
      <c r="F38" s="33" t="s">
        <v>269</v>
      </c>
      <c r="G38" s="33" t="s">
        <v>181</v>
      </c>
      <c r="H38" s="33" t="s">
        <v>181</v>
      </c>
      <c r="I38" s="33" t="s">
        <v>181</v>
      </c>
      <c r="J38" s="33" t="s">
        <v>181</v>
      </c>
      <c r="K38" s="33" t="s">
        <v>157</v>
      </c>
    </row>
    <row r="39" ht="15.75" customHeight="1">
      <c r="A39" s="33" t="s">
        <v>361</v>
      </c>
      <c r="B39" s="33" t="s">
        <v>362</v>
      </c>
      <c r="C39" s="33" t="s">
        <v>247</v>
      </c>
      <c r="D39" s="39">
        <v>45973.0</v>
      </c>
      <c r="E39" s="40">
        <v>10600.0</v>
      </c>
      <c r="F39" s="33" t="s">
        <v>269</v>
      </c>
      <c r="G39" s="33" t="s">
        <v>181</v>
      </c>
      <c r="H39" s="33" t="s">
        <v>181</v>
      </c>
      <c r="I39" s="33" t="s">
        <v>181</v>
      </c>
      <c r="J39" s="33" t="s">
        <v>189</v>
      </c>
      <c r="K39" s="33" t="s">
        <v>365</v>
      </c>
    </row>
    <row r="40" ht="15.75" customHeight="1">
      <c r="A40" s="33" t="s">
        <v>366</v>
      </c>
      <c r="B40" s="33" t="s">
        <v>367</v>
      </c>
      <c r="C40" s="33" t="s">
        <v>247</v>
      </c>
      <c r="D40" s="39">
        <v>45717.0</v>
      </c>
      <c r="E40" s="40">
        <v>4200.0</v>
      </c>
      <c r="F40" s="33" t="s">
        <v>241</v>
      </c>
      <c r="G40" s="33" t="s">
        <v>181</v>
      </c>
      <c r="H40" s="33" t="s">
        <v>181</v>
      </c>
      <c r="I40" s="33" t="s">
        <v>181</v>
      </c>
      <c r="J40" s="33" t="s">
        <v>181</v>
      </c>
      <c r="K40" s="33" t="s">
        <v>157</v>
      </c>
    </row>
    <row r="41" ht="15.75" customHeight="1">
      <c r="A41" s="33" t="s">
        <v>370</v>
      </c>
      <c r="B41" s="33" t="s">
        <v>371</v>
      </c>
      <c r="C41" s="33" t="s">
        <v>235</v>
      </c>
      <c r="D41" s="39">
        <v>45927.0</v>
      </c>
      <c r="E41" s="40">
        <v>25400.0</v>
      </c>
      <c r="F41" s="33" t="s">
        <v>230</v>
      </c>
      <c r="G41" s="33" t="s">
        <v>181</v>
      </c>
      <c r="H41" s="33" t="s">
        <v>181</v>
      </c>
      <c r="I41" s="33" t="s">
        <v>181</v>
      </c>
      <c r="J41" s="33" t="s">
        <v>181</v>
      </c>
      <c r="K41" s="33" t="s">
        <v>157</v>
      </c>
    </row>
    <row r="42" ht="15.75" customHeight="1">
      <c r="A42" s="33" t="s">
        <v>373</v>
      </c>
      <c r="B42" s="33" t="s">
        <v>375</v>
      </c>
      <c r="C42" s="33" t="s">
        <v>227</v>
      </c>
      <c r="D42" s="39">
        <v>46254.0</v>
      </c>
      <c r="E42" s="40">
        <v>46300.0</v>
      </c>
      <c r="F42" s="33" t="s">
        <v>241</v>
      </c>
      <c r="G42" s="33" t="s">
        <v>181</v>
      </c>
      <c r="H42" s="33" t="s">
        <v>181</v>
      </c>
      <c r="I42" s="33" t="s">
        <v>181</v>
      </c>
      <c r="J42" s="33" t="s">
        <v>189</v>
      </c>
      <c r="K42" s="33" t="s">
        <v>365</v>
      </c>
    </row>
    <row r="43" ht="15.75" customHeight="1">
      <c r="A43" s="33" t="s">
        <v>377</v>
      </c>
      <c r="B43" s="33" t="s">
        <v>378</v>
      </c>
      <c r="C43" s="33" t="s">
        <v>227</v>
      </c>
      <c r="D43" s="39">
        <v>46172.0</v>
      </c>
      <c r="E43" s="40">
        <v>3000.0</v>
      </c>
      <c r="F43" s="33" t="s">
        <v>230</v>
      </c>
      <c r="G43" s="33" t="s">
        <v>189</v>
      </c>
      <c r="H43" s="33" t="s">
        <v>189</v>
      </c>
      <c r="I43" s="33" t="s">
        <v>189</v>
      </c>
      <c r="J43" s="33" t="s">
        <v>189</v>
      </c>
      <c r="K43" s="33" t="s">
        <v>252</v>
      </c>
    </row>
    <row r="44" ht="15.75" customHeight="1">
      <c r="A44" s="33" t="s">
        <v>380</v>
      </c>
      <c r="B44" s="33" t="s">
        <v>381</v>
      </c>
      <c r="C44" s="33" t="s">
        <v>235</v>
      </c>
      <c r="D44" s="39">
        <v>46035.0</v>
      </c>
      <c r="E44" s="40">
        <v>31000.0</v>
      </c>
      <c r="F44" s="33" t="s">
        <v>230</v>
      </c>
      <c r="G44" s="33" t="s">
        <v>181</v>
      </c>
      <c r="H44" s="33" t="s">
        <v>189</v>
      </c>
      <c r="I44" s="33" t="s">
        <v>189</v>
      </c>
      <c r="J44" s="33" t="s">
        <v>189</v>
      </c>
      <c r="K44" s="33" t="s">
        <v>262</v>
      </c>
    </row>
    <row r="45" ht="15.75" customHeight="1">
      <c r="A45" s="33" t="s">
        <v>384</v>
      </c>
      <c r="B45" s="33" t="s">
        <v>386</v>
      </c>
      <c r="C45" s="33" t="s">
        <v>227</v>
      </c>
      <c r="D45" s="39">
        <v>45912.0</v>
      </c>
      <c r="E45" s="40">
        <v>41900.0</v>
      </c>
      <c r="F45" s="33" t="s">
        <v>230</v>
      </c>
      <c r="G45" s="33" t="s">
        <v>189</v>
      </c>
      <c r="H45" s="33" t="s">
        <v>189</v>
      </c>
      <c r="I45" s="33" t="s">
        <v>189</v>
      </c>
      <c r="J45" s="33" t="s">
        <v>189</v>
      </c>
      <c r="K45" s="33" t="s">
        <v>252</v>
      </c>
    </row>
    <row r="46" ht="15.75" customHeight="1">
      <c r="A46" s="33" t="s">
        <v>388</v>
      </c>
      <c r="B46" s="33" t="s">
        <v>389</v>
      </c>
      <c r="C46" s="33" t="s">
        <v>247</v>
      </c>
      <c r="D46" s="39">
        <v>46204.0</v>
      </c>
      <c r="E46" s="40">
        <v>19600.0</v>
      </c>
      <c r="F46" s="33" t="s">
        <v>241</v>
      </c>
      <c r="G46" s="33" t="s">
        <v>181</v>
      </c>
      <c r="H46" s="33" t="s">
        <v>181</v>
      </c>
      <c r="I46" s="33" t="s">
        <v>181</v>
      </c>
      <c r="J46" s="33" t="s">
        <v>181</v>
      </c>
      <c r="K46" s="33" t="s">
        <v>157</v>
      </c>
    </row>
    <row r="47" ht="15.75" customHeight="1">
      <c r="A47" s="33" t="s">
        <v>392</v>
      </c>
      <c r="B47" s="33" t="s">
        <v>393</v>
      </c>
      <c r="C47" s="33" t="s">
        <v>235</v>
      </c>
      <c r="D47" s="39">
        <v>45926.0</v>
      </c>
      <c r="E47" s="40">
        <v>31000.0</v>
      </c>
      <c r="F47" s="33" t="s">
        <v>230</v>
      </c>
      <c r="G47" s="33" t="s">
        <v>181</v>
      </c>
      <c r="H47" s="33" t="s">
        <v>181</v>
      </c>
      <c r="I47" s="33" t="s">
        <v>181</v>
      </c>
      <c r="J47" s="33" t="s">
        <v>181</v>
      </c>
      <c r="K47" s="33" t="s">
        <v>157</v>
      </c>
    </row>
    <row r="48" ht="15.75" customHeight="1">
      <c r="A48" s="33" t="s">
        <v>396</v>
      </c>
      <c r="B48" s="33" t="s">
        <v>397</v>
      </c>
      <c r="C48" s="33" t="s">
        <v>235</v>
      </c>
      <c r="D48" s="39">
        <v>46121.0</v>
      </c>
      <c r="E48" s="40">
        <v>22700.0</v>
      </c>
      <c r="F48" s="33" t="s">
        <v>269</v>
      </c>
      <c r="G48" s="33" t="s">
        <v>189</v>
      </c>
      <c r="H48" s="33" t="s">
        <v>189</v>
      </c>
      <c r="I48" s="33" t="s">
        <v>189</v>
      </c>
      <c r="J48" s="33" t="s">
        <v>189</v>
      </c>
      <c r="K48" s="33" t="s">
        <v>252</v>
      </c>
    </row>
    <row r="49" ht="15.75" customHeight="1">
      <c r="A49" s="33" t="s">
        <v>400</v>
      </c>
      <c r="B49" s="33" t="s">
        <v>401</v>
      </c>
      <c r="C49" s="33" t="s">
        <v>227</v>
      </c>
      <c r="D49" s="39">
        <v>46008.0</v>
      </c>
      <c r="E49" s="40">
        <v>4200.0</v>
      </c>
      <c r="F49" s="33" t="s">
        <v>230</v>
      </c>
      <c r="G49" s="33" t="s">
        <v>181</v>
      </c>
      <c r="H49" s="33" t="s">
        <v>181</v>
      </c>
      <c r="I49" s="33" t="s">
        <v>181</v>
      </c>
      <c r="J49" s="33" t="s">
        <v>181</v>
      </c>
      <c r="K49" s="33" t="s">
        <v>157</v>
      </c>
    </row>
    <row r="50" ht="15.75" customHeight="1">
      <c r="A50" s="33" t="s">
        <v>403</v>
      </c>
      <c r="B50" s="33" t="s">
        <v>404</v>
      </c>
      <c r="C50" s="33" t="s">
        <v>247</v>
      </c>
      <c r="D50" s="39">
        <v>45670.0</v>
      </c>
      <c r="E50" s="40">
        <v>25700.0</v>
      </c>
      <c r="F50" s="33" t="s">
        <v>230</v>
      </c>
      <c r="G50" s="33" t="s">
        <v>181</v>
      </c>
      <c r="H50" s="33" t="s">
        <v>181</v>
      </c>
      <c r="I50" s="33" t="s">
        <v>181</v>
      </c>
      <c r="J50" s="33" t="s">
        <v>181</v>
      </c>
      <c r="K50" s="33" t="s">
        <v>157</v>
      </c>
    </row>
    <row r="51" ht="15.75" customHeight="1">
      <c r="A51" s="33" t="s">
        <v>406</v>
      </c>
      <c r="B51" s="33" t="s">
        <v>407</v>
      </c>
      <c r="C51" s="33" t="s">
        <v>227</v>
      </c>
      <c r="D51" s="39">
        <v>46085.0</v>
      </c>
      <c r="E51" s="40">
        <v>5400.0</v>
      </c>
      <c r="F51" s="33" t="s">
        <v>230</v>
      </c>
      <c r="G51" s="33" t="s">
        <v>181</v>
      </c>
      <c r="H51" s="33" t="s">
        <v>189</v>
      </c>
      <c r="I51" s="33" t="s">
        <v>189</v>
      </c>
      <c r="J51" s="33" t="s">
        <v>189</v>
      </c>
      <c r="K51" s="33" t="s">
        <v>262</v>
      </c>
    </row>
    <row r="52" ht="15.75" customHeight="1">
      <c r="A52" s="33" t="s">
        <v>410</v>
      </c>
      <c r="B52" s="33" t="s">
        <v>208</v>
      </c>
      <c r="C52" s="33" t="s">
        <v>235</v>
      </c>
      <c r="D52" s="39">
        <v>46200.0</v>
      </c>
      <c r="E52" s="40">
        <v>34600.0</v>
      </c>
      <c r="F52" s="33" t="s">
        <v>241</v>
      </c>
      <c r="G52" s="33" t="s">
        <v>189</v>
      </c>
      <c r="H52" s="33" t="s">
        <v>189</v>
      </c>
      <c r="I52" s="33" t="s">
        <v>189</v>
      </c>
      <c r="J52" s="33" t="s">
        <v>189</v>
      </c>
      <c r="K52" s="33" t="s">
        <v>252</v>
      </c>
    </row>
    <row r="53" ht="15.75" customHeight="1">
      <c r="A53" s="33" t="s">
        <v>414</v>
      </c>
      <c r="B53" s="33" t="s">
        <v>415</v>
      </c>
      <c r="C53" s="33" t="s">
        <v>247</v>
      </c>
      <c r="D53" s="39">
        <v>46129.0</v>
      </c>
      <c r="E53" s="40">
        <v>16200.0</v>
      </c>
      <c r="F53" s="33" t="s">
        <v>248</v>
      </c>
      <c r="G53" s="33" t="s">
        <v>181</v>
      </c>
      <c r="H53" s="33" t="s">
        <v>189</v>
      </c>
      <c r="I53" s="33" t="s">
        <v>189</v>
      </c>
      <c r="J53" s="33" t="s">
        <v>189</v>
      </c>
      <c r="K53" s="33" t="s">
        <v>262</v>
      </c>
    </row>
    <row r="54" ht="15.75" customHeight="1">
      <c r="A54" s="33" t="s">
        <v>421</v>
      </c>
      <c r="B54" s="33" t="s">
        <v>423</v>
      </c>
      <c r="C54" s="33" t="s">
        <v>247</v>
      </c>
      <c r="D54" s="39">
        <v>46031.0</v>
      </c>
      <c r="E54" s="40">
        <v>40300.0</v>
      </c>
      <c r="F54" s="33" t="s">
        <v>230</v>
      </c>
      <c r="G54" s="33" t="s">
        <v>189</v>
      </c>
      <c r="H54" s="33" t="s">
        <v>189</v>
      </c>
      <c r="I54" s="33" t="s">
        <v>189</v>
      </c>
      <c r="J54" s="33" t="s">
        <v>189</v>
      </c>
      <c r="K54" s="33" t="s">
        <v>252</v>
      </c>
    </row>
    <row r="55" ht="15.75" customHeight="1">
      <c r="A55" s="33" t="s">
        <v>429</v>
      </c>
      <c r="B55" s="33" t="s">
        <v>430</v>
      </c>
      <c r="C55" s="33" t="s">
        <v>235</v>
      </c>
      <c r="D55" s="39">
        <v>45682.0</v>
      </c>
      <c r="E55" s="40">
        <v>29800.0</v>
      </c>
      <c r="F55" s="33" t="s">
        <v>241</v>
      </c>
      <c r="G55" s="33" t="s">
        <v>181</v>
      </c>
      <c r="H55" s="33" t="s">
        <v>189</v>
      </c>
      <c r="I55" s="33" t="s">
        <v>189</v>
      </c>
      <c r="J55" s="33" t="s">
        <v>189</v>
      </c>
      <c r="K55" s="33" t="s">
        <v>262</v>
      </c>
    </row>
    <row r="56" ht="15.75" customHeight="1">
      <c r="A56" s="33" t="s">
        <v>436</v>
      </c>
      <c r="B56" s="33" t="s">
        <v>438</v>
      </c>
      <c r="C56" s="33" t="s">
        <v>247</v>
      </c>
      <c r="D56" s="39">
        <v>45672.0</v>
      </c>
      <c r="E56" s="40">
        <v>46800.0</v>
      </c>
      <c r="F56" s="33" t="s">
        <v>230</v>
      </c>
      <c r="G56" s="33" t="s">
        <v>181</v>
      </c>
      <c r="H56" s="33" t="s">
        <v>181</v>
      </c>
      <c r="I56" s="33" t="s">
        <v>181</v>
      </c>
      <c r="J56" s="33" t="s">
        <v>181</v>
      </c>
      <c r="K56" s="33" t="s">
        <v>157</v>
      </c>
    </row>
    <row r="57" ht="15.75" customHeight="1">
      <c r="A57" s="33" t="s">
        <v>445</v>
      </c>
      <c r="B57" s="33" t="s">
        <v>447</v>
      </c>
      <c r="C57" s="33" t="s">
        <v>247</v>
      </c>
      <c r="D57" s="39">
        <v>46174.0</v>
      </c>
      <c r="E57" s="40">
        <v>37100.0</v>
      </c>
      <c r="F57" s="33" t="s">
        <v>230</v>
      </c>
      <c r="G57" s="33" t="s">
        <v>189</v>
      </c>
      <c r="H57" s="33" t="s">
        <v>189</v>
      </c>
      <c r="I57" s="33" t="s">
        <v>189</v>
      </c>
      <c r="J57" s="33" t="s">
        <v>189</v>
      </c>
      <c r="K57" s="33" t="s">
        <v>252</v>
      </c>
    </row>
    <row r="58" ht="15.75" customHeight="1">
      <c r="A58" s="33" t="s">
        <v>451</v>
      </c>
      <c r="B58" s="33" t="s">
        <v>453</v>
      </c>
      <c r="C58" s="33" t="s">
        <v>247</v>
      </c>
      <c r="D58" s="39">
        <v>45946.0</v>
      </c>
      <c r="E58" s="40">
        <v>36500.0</v>
      </c>
      <c r="F58" s="33" t="s">
        <v>241</v>
      </c>
      <c r="G58" s="33" t="s">
        <v>181</v>
      </c>
      <c r="H58" s="33" t="s">
        <v>181</v>
      </c>
      <c r="I58" s="33" t="s">
        <v>181</v>
      </c>
      <c r="J58" s="33" t="s">
        <v>181</v>
      </c>
      <c r="K58" s="33" t="s">
        <v>157</v>
      </c>
    </row>
    <row r="59" ht="15.75" customHeight="1">
      <c r="A59" s="33" t="s">
        <v>459</v>
      </c>
      <c r="B59" s="33" t="s">
        <v>460</v>
      </c>
      <c r="C59" s="33" t="s">
        <v>247</v>
      </c>
      <c r="D59" s="39">
        <v>45931.0</v>
      </c>
      <c r="E59" s="40">
        <v>15900.0</v>
      </c>
      <c r="F59" s="33" t="s">
        <v>269</v>
      </c>
      <c r="G59" s="33" t="s">
        <v>181</v>
      </c>
      <c r="H59" s="33" t="s">
        <v>181</v>
      </c>
      <c r="I59" s="33" t="s">
        <v>181</v>
      </c>
      <c r="J59" s="33" t="s">
        <v>181</v>
      </c>
      <c r="K59" s="33" t="s">
        <v>157</v>
      </c>
    </row>
    <row r="60" ht="15.75" customHeight="1">
      <c r="A60" s="33" t="s">
        <v>466</v>
      </c>
      <c r="B60" s="33" t="s">
        <v>467</v>
      </c>
      <c r="C60" s="33" t="s">
        <v>247</v>
      </c>
      <c r="D60" s="39">
        <v>46047.0</v>
      </c>
      <c r="E60" s="40">
        <v>22700.0</v>
      </c>
      <c r="F60" s="33" t="s">
        <v>230</v>
      </c>
      <c r="G60" s="33" t="s">
        <v>181</v>
      </c>
      <c r="H60" s="33" t="s">
        <v>181</v>
      </c>
      <c r="I60" s="33" t="s">
        <v>181</v>
      </c>
      <c r="J60" s="33" t="s">
        <v>181</v>
      </c>
      <c r="K60" s="33" t="s">
        <v>157</v>
      </c>
    </row>
    <row r="61" ht="15.75" customHeight="1">
      <c r="A61" s="33" t="s">
        <v>473</v>
      </c>
      <c r="B61" s="33" t="s">
        <v>474</v>
      </c>
      <c r="C61" s="33" t="s">
        <v>235</v>
      </c>
      <c r="D61" s="39">
        <v>46207.0</v>
      </c>
      <c r="E61" s="40">
        <v>37500.0</v>
      </c>
      <c r="F61" s="33" t="s">
        <v>241</v>
      </c>
      <c r="G61" s="33" t="s">
        <v>181</v>
      </c>
      <c r="H61" s="33" t="s">
        <v>189</v>
      </c>
      <c r="I61" s="33" t="s">
        <v>189</v>
      </c>
      <c r="J61" s="33" t="s">
        <v>189</v>
      </c>
      <c r="K61" s="33" t="s">
        <v>262</v>
      </c>
    </row>
    <row r="62" ht="15.75" customHeight="1">
      <c r="A62" s="33" t="s">
        <v>480</v>
      </c>
      <c r="B62" s="33" t="s">
        <v>481</v>
      </c>
      <c r="C62" s="33" t="s">
        <v>227</v>
      </c>
      <c r="D62" s="39">
        <v>45923.0</v>
      </c>
      <c r="E62" s="40">
        <v>36400.0</v>
      </c>
      <c r="F62" s="33" t="s">
        <v>248</v>
      </c>
      <c r="G62" s="33" t="s">
        <v>181</v>
      </c>
      <c r="H62" s="33" t="s">
        <v>181</v>
      </c>
      <c r="I62" s="33" t="s">
        <v>181</v>
      </c>
      <c r="J62" s="33" t="s">
        <v>181</v>
      </c>
      <c r="K62" s="33" t="s">
        <v>157</v>
      </c>
    </row>
    <row r="63" ht="15.75" customHeight="1">
      <c r="A63" s="33" t="s">
        <v>488</v>
      </c>
      <c r="B63" s="33" t="s">
        <v>489</v>
      </c>
      <c r="C63" s="33" t="s">
        <v>227</v>
      </c>
      <c r="D63" s="39">
        <v>45983.0</v>
      </c>
      <c r="E63" s="40">
        <v>34900.0</v>
      </c>
      <c r="F63" s="33" t="s">
        <v>230</v>
      </c>
      <c r="G63" s="33" t="s">
        <v>181</v>
      </c>
      <c r="H63" s="33" t="s">
        <v>181</v>
      </c>
      <c r="I63" s="33" t="s">
        <v>181</v>
      </c>
      <c r="J63" s="33" t="s">
        <v>181</v>
      </c>
      <c r="K63" s="33" t="s">
        <v>157</v>
      </c>
    </row>
    <row r="64" ht="15.75" customHeight="1">
      <c r="A64" s="33" t="s">
        <v>494</v>
      </c>
      <c r="B64" s="33" t="s">
        <v>496</v>
      </c>
      <c r="C64" s="33" t="s">
        <v>247</v>
      </c>
      <c r="D64" s="39">
        <v>45997.0</v>
      </c>
      <c r="E64" s="40">
        <v>1400.0</v>
      </c>
      <c r="F64" s="33" t="s">
        <v>230</v>
      </c>
      <c r="G64" s="33" t="s">
        <v>181</v>
      </c>
      <c r="H64" s="33" t="s">
        <v>181</v>
      </c>
      <c r="I64" s="33" t="s">
        <v>181</v>
      </c>
      <c r="J64" s="33" t="s">
        <v>181</v>
      </c>
      <c r="K64" s="33" t="s">
        <v>157</v>
      </c>
    </row>
    <row r="65" ht="15.75" customHeight="1">
      <c r="A65" s="33" t="s">
        <v>502</v>
      </c>
      <c r="B65" s="33" t="s">
        <v>504</v>
      </c>
      <c r="C65" s="33" t="s">
        <v>227</v>
      </c>
      <c r="D65" s="39">
        <v>45946.0</v>
      </c>
      <c r="E65" s="40">
        <v>1800.0</v>
      </c>
      <c r="F65" s="33" t="s">
        <v>269</v>
      </c>
      <c r="G65" s="33" t="s">
        <v>181</v>
      </c>
      <c r="H65" s="33" t="s">
        <v>181</v>
      </c>
      <c r="I65" s="33" t="s">
        <v>181</v>
      </c>
      <c r="J65" s="33" t="s">
        <v>181</v>
      </c>
      <c r="K65" s="33" t="s">
        <v>157</v>
      </c>
    </row>
    <row r="66" ht="15.75" customHeight="1">
      <c r="A66" s="33" t="s">
        <v>509</v>
      </c>
      <c r="B66" s="33" t="s">
        <v>511</v>
      </c>
      <c r="C66" s="33" t="s">
        <v>247</v>
      </c>
      <c r="D66" s="39">
        <v>46056.0</v>
      </c>
      <c r="E66" s="40">
        <v>4300.0</v>
      </c>
      <c r="F66" s="33" t="s">
        <v>248</v>
      </c>
      <c r="G66" s="33" t="s">
        <v>189</v>
      </c>
      <c r="H66" s="33" t="s">
        <v>189</v>
      </c>
      <c r="I66" s="33" t="s">
        <v>189</v>
      </c>
      <c r="J66" s="33" t="s">
        <v>189</v>
      </c>
      <c r="K66" s="33" t="s">
        <v>252</v>
      </c>
    </row>
    <row r="67" ht="15.75" customHeight="1">
      <c r="A67" s="33" t="s">
        <v>515</v>
      </c>
      <c r="B67" s="33" t="s">
        <v>352</v>
      </c>
      <c r="C67" s="33" t="s">
        <v>247</v>
      </c>
      <c r="D67" s="39">
        <v>45776.0</v>
      </c>
      <c r="E67" s="40">
        <v>2500.0</v>
      </c>
      <c r="F67" s="33" t="s">
        <v>269</v>
      </c>
      <c r="G67" s="33" t="s">
        <v>181</v>
      </c>
      <c r="H67" s="33" t="s">
        <v>181</v>
      </c>
      <c r="I67" s="33" t="s">
        <v>181</v>
      </c>
      <c r="J67" s="33" t="s">
        <v>181</v>
      </c>
      <c r="K67" s="33" t="s">
        <v>157</v>
      </c>
    </row>
    <row r="68" ht="15.75" customHeight="1">
      <c r="A68" s="33" t="s">
        <v>520</v>
      </c>
      <c r="B68" s="33" t="s">
        <v>521</v>
      </c>
      <c r="C68" s="33" t="s">
        <v>227</v>
      </c>
      <c r="D68" s="39">
        <v>45884.0</v>
      </c>
      <c r="E68" s="40">
        <v>38900.0</v>
      </c>
      <c r="F68" s="33" t="s">
        <v>230</v>
      </c>
      <c r="G68" s="33" t="s">
        <v>181</v>
      </c>
      <c r="H68" s="33" t="s">
        <v>189</v>
      </c>
      <c r="I68" s="33" t="s">
        <v>189</v>
      </c>
      <c r="J68" s="33" t="s">
        <v>189</v>
      </c>
      <c r="K68" s="33" t="s">
        <v>262</v>
      </c>
    </row>
    <row r="69" ht="15.75" customHeight="1">
      <c r="A69" s="33" t="s">
        <v>528</v>
      </c>
      <c r="B69" s="33" t="s">
        <v>530</v>
      </c>
      <c r="C69" s="33" t="s">
        <v>247</v>
      </c>
      <c r="D69" s="39">
        <v>45943.0</v>
      </c>
      <c r="E69" s="40">
        <v>27800.0</v>
      </c>
      <c r="F69" s="33" t="s">
        <v>230</v>
      </c>
      <c r="G69" s="33" t="s">
        <v>181</v>
      </c>
      <c r="H69" s="33" t="s">
        <v>181</v>
      </c>
      <c r="I69" s="33" t="s">
        <v>181</v>
      </c>
      <c r="J69" s="33" t="s">
        <v>181</v>
      </c>
      <c r="K69" s="33" t="s">
        <v>157</v>
      </c>
    </row>
    <row r="70" ht="15.75" customHeight="1">
      <c r="A70" s="33" t="s">
        <v>532</v>
      </c>
      <c r="B70" s="33" t="s">
        <v>534</v>
      </c>
      <c r="C70" s="33" t="s">
        <v>227</v>
      </c>
      <c r="D70" s="39">
        <v>45973.0</v>
      </c>
      <c r="E70" s="40">
        <v>25700.0</v>
      </c>
      <c r="F70" s="33" t="s">
        <v>230</v>
      </c>
      <c r="G70" s="33" t="s">
        <v>181</v>
      </c>
      <c r="H70" s="33" t="s">
        <v>181</v>
      </c>
      <c r="I70" s="33" t="s">
        <v>181</v>
      </c>
      <c r="J70" s="33" t="s">
        <v>181</v>
      </c>
      <c r="K70" s="33" t="s">
        <v>157</v>
      </c>
    </row>
    <row r="71" ht="15.75" customHeight="1">
      <c r="A71" s="33" t="s">
        <v>538</v>
      </c>
      <c r="B71" s="33" t="s">
        <v>539</v>
      </c>
      <c r="C71" s="33" t="s">
        <v>247</v>
      </c>
      <c r="D71" s="39">
        <v>45957.0</v>
      </c>
      <c r="E71" s="40">
        <v>5200.0</v>
      </c>
      <c r="F71" s="33" t="s">
        <v>248</v>
      </c>
      <c r="G71" s="33" t="s">
        <v>181</v>
      </c>
      <c r="H71" s="33" t="s">
        <v>181</v>
      </c>
      <c r="I71" s="33" t="s">
        <v>181</v>
      </c>
      <c r="J71" s="33" t="s">
        <v>181</v>
      </c>
      <c r="K71" s="33" t="s">
        <v>157</v>
      </c>
    </row>
    <row r="72" ht="15.75" customHeight="1">
      <c r="A72" s="33" t="s">
        <v>544</v>
      </c>
      <c r="B72" s="33" t="s">
        <v>470</v>
      </c>
      <c r="C72" s="33" t="s">
        <v>227</v>
      </c>
      <c r="D72" s="39">
        <v>45912.0</v>
      </c>
      <c r="E72" s="40">
        <v>39000.0</v>
      </c>
      <c r="F72" s="33" t="s">
        <v>248</v>
      </c>
      <c r="G72" s="33" t="s">
        <v>181</v>
      </c>
      <c r="H72" s="33" t="s">
        <v>181</v>
      </c>
      <c r="I72" s="33" t="s">
        <v>181</v>
      </c>
      <c r="J72" s="33" t="s">
        <v>181</v>
      </c>
      <c r="K72" s="33" t="s">
        <v>157</v>
      </c>
    </row>
    <row r="73" ht="15.75" customHeight="1">
      <c r="A73" s="33" t="s">
        <v>549</v>
      </c>
      <c r="B73" s="33" t="s">
        <v>551</v>
      </c>
      <c r="C73" s="33" t="s">
        <v>227</v>
      </c>
      <c r="D73" s="39">
        <v>46200.0</v>
      </c>
      <c r="E73" s="40">
        <v>5500.0</v>
      </c>
      <c r="F73" s="33" t="s">
        <v>230</v>
      </c>
      <c r="G73" s="33" t="s">
        <v>181</v>
      </c>
      <c r="H73" s="33" t="s">
        <v>181</v>
      </c>
      <c r="I73" s="33" t="s">
        <v>181</v>
      </c>
      <c r="J73" s="33" t="s">
        <v>189</v>
      </c>
      <c r="K73" s="33" t="s">
        <v>365</v>
      </c>
    </row>
    <row r="74" ht="15.75" customHeight="1">
      <c r="A74" s="33" t="s">
        <v>555</v>
      </c>
      <c r="B74" s="33" t="s">
        <v>556</v>
      </c>
      <c r="C74" s="33" t="s">
        <v>227</v>
      </c>
      <c r="D74" s="39">
        <v>46144.0</v>
      </c>
      <c r="E74" s="40">
        <v>11900.0</v>
      </c>
      <c r="F74" s="33" t="s">
        <v>241</v>
      </c>
      <c r="G74" s="33" t="s">
        <v>181</v>
      </c>
      <c r="H74" s="33" t="s">
        <v>189</v>
      </c>
      <c r="I74" s="33" t="s">
        <v>189</v>
      </c>
      <c r="J74" s="33" t="s">
        <v>189</v>
      </c>
      <c r="K74" s="33" t="s">
        <v>262</v>
      </c>
    </row>
    <row r="75" ht="15.75" customHeight="1">
      <c r="A75" s="33" t="s">
        <v>560</v>
      </c>
      <c r="B75" s="33" t="s">
        <v>561</v>
      </c>
      <c r="C75" s="33" t="s">
        <v>247</v>
      </c>
      <c r="D75" s="39">
        <v>46196.0</v>
      </c>
      <c r="E75" s="40">
        <v>41100.0</v>
      </c>
      <c r="F75" s="33" t="s">
        <v>241</v>
      </c>
      <c r="G75" s="33" t="s">
        <v>181</v>
      </c>
      <c r="H75" s="33" t="s">
        <v>181</v>
      </c>
      <c r="I75" s="33" t="s">
        <v>181</v>
      </c>
      <c r="J75" s="33" t="s">
        <v>181</v>
      </c>
      <c r="K75" s="33" t="s">
        <v>157</v>
      </c>
    </row>
    <row r="76" ht="15.75" customHeight="1">
      <c r="A76" s="33" t="s">
        <v>584</v>
      </c>
      <c r="B76" s="33" t="s">
        <v>585</v>
      </c>
      <c r="C76" s="33" t="s">
        <v>247</v>
      </c>
      <c r="D76" s="39">
        <v>46018.0</v>
      </c>
      <c r="E76" s="40">
        <v>34900.0</v>
      </c>
      <c r="F76" s="33" t="s">
        <v>269</v>
      </c>
      <c r="G76" s="33" t="s">
        <v>181</v>
      </c>
      <c r="H76" s="33" t="s">
        <v>181</v>
      </c>
      <c r="I76" s="33" t="s">
        <v>181</v>
      </c>
      <c r="J76" s="33" t="s">
        <v>181</v>
      </c>
      <c r="K76" s="33" t="s">
        <v>157</v>
      </c>
    </row>
    <row r="77" ht="15.75" customHeight="1">
      <c r="A77" s="33" t="s">
        <v>591</v>
      </c>
      <c r="B77" s="33" t="s">
        <v>592</v>
      </c>
      <c r="C77" s="33" t="s">
        <v>247</v>
      </c>
      <c r="D77" s="39">
        <v>45953.0</v>
      </c>
      <c r="E77" s="40">
        <v>5500.0</v>
      </c>
      <c r="F77" s="33" t="s">
        <v>248</v>
      </c>
      <c r="G77" s="33" t="s">
        <v>189</v>
      </c>
      <c r="H77" s="33" t="s">
        <v>189</v>
      </c>
      <c r="I77" s="33" t="s">
        <v>189</v>
      </c>
      <c r="J77" s="33" t="s">
        <v>189</v>
      </c>
      <c r="K77" s="33" t="s">
        <v>252</v>
      </c>
    </row>
    <row r="78" ht="15.75" customHeight="1">
      <c r="A78" s="33" t="s">
        <v>598</v>
      </c>
      <c r="B78" s="33" t="s">
        <v>596</v>
      </c>
      <c r="C78" s="33" t="s">
        <v>227</v>
      </c>
      <c r="D78" s="39">
        <v>45919.0</v>
      </c>
      <c r="E78" s="40">
        <v>4600.0</v>
      </c>
      <c r="F78" s="33" t="s">
        <v>241</v>
      </c>
      <c r="G78" s="33" t="s">
        <v>181</v>
      </c>
      <c r="H78" s="33" t="s">
        <v>181</v>
      </c>
      <c r="I78" s="33" t="s">
        <v>181</v>
      </c>
      <c r="J78" s="33" t="s">
        <v>181</v>
      </c>
      <c r="K78" s="33" t="s">
        <v>157</v>
      </c>
    </row>
    <row r="79" ht="15.75" customHeight="1">
      <c r="A79" s="33" t="s">
        <v>612</v>
      </c>
      <c r="B79" s="33" t="s">
        <v>614</v>
      </c>
      <c r="C79" s="33" t="s">
        <v>247</v>
      </c>
      <c r="D79" s="39">
        <v>46184.0</v>
      </c>
      <c r="E79" s="40">
        <v>20900.0</v>
      </c>
      <c r="F79" s="33" t="s">
        <v>248</v>
      </c>
      <c r="G79" s="33" t="s">
        <v>181</v>
      </c>
      <c r="H79" s="33" t="s">
        <v>189</v>
      </c>
      <c r="I79" s="33" t="s">
        <v>189</v>
      </c>
      <c r="J79" s="33" t="s">
        <v>189</v>
      </c>
      <c r="K79" s="33" t="s">
        <v>262</v>
      </c>
    </row>
    <row r="80" ht="15.75" customHeight="1">
      <c r="A80" s="33" t="s">
        <v>622</v>
      </c>
      <c r="B80" s="33" t="s">
        <v>623</v>
      </c>
      <c r="C80" s="33" t="s">
        <v>247</v>
      </c>
      <c r="D80" s="39">
        <v>46062.0</v>
      </c>
      <c r="E80" s="40">
        <v>30600.0</v>
      </c>
      <c r="F80" s="33" t="s">
        <v>230</v>
      </c>
      <c r="G80" s="33" t="s">
        <v>181</v>
      </c>
      <c r="H80" s="33" t="s">
        <v>189</v>
      </c>
      <c r="I80" s="33" t="s">
        <v>189</v>
      </c>
      <c r="J80" s="33" t="s">
        <v>189</v>
      </c>
      <c r="K80" s="33" t="s">
        <v>262</v>
      </c>
    </row>
    <row r="81" ht="15.75" customHeight="1">
      <c r="A81" s="33" t="s">
        <v>603</v>
      </c>
      <c r="B81" s="33" t="s">
        <v>602</v>
      </c>
      <c r="C81" s="33" t="s">
        <v>247</v>
      </c>
      <c r="D81" s="39">
        <v>46176.0</v>
      </c>
      <c r="E81" s="40">
        <v>13100.0</v>
      </c>
      <c r="F81" s="33" t="s">
        <v>248</v>
      </c>
      <c r="G81" s="33" t="s">
        <v>181</v>
      </c>
      <c r="H81" s="33" t="s">
        <v>181</v>
      </c>
      <c r="I81" s="33" t="s">
        <v>181</v>
      </c>
      <c r="J81" s="33" t="s">
        <v>181</v>
      </c>
      <c r="K81" s="33" t="s">
        <v>157</v>
      </c>
    </row>
    <row r="82" ht="15.75" customHeight="1">
      <c r="A82" s="33" t="s">
        <v>611</v>
      </c>
      <c r="B82" s="33" t="s">
        <v>391</v>
      </c>
      <c r="C82" s="33" t="s">
        <v>227</v>
      </c>
      <c r="D82" s="39">
        <v>46173.0</v>
      </c>
      <c r="E82" s="40">
        <v>29700.0</v>
      </c>
      <c r="F82" s="33" t="s">
        <v>269</v>
      </c>
      <c r="G82" s="33" t="s">
        <v>181</v>
      </c>
      <c r="H82" s="33" t="s">
        <v>181</v>
      </c>
      <c r="I82" s="33" t="s">
        <v>181</v>
      </c>
      <c r="J82" s="33" t="s">
        <v>181</v>
      </c>
      <c r="K82" s="33" t="s">
        <v>157</v>
      </c>
    </row>
    <row r="83" ht="15.75" customHeight="1">
      <c r="A83" s="33" t="s">
        <v>621</v>
      </c>
      <c r="B83" s="33" t="s">
        <v>619</v>
      </c>
      <c r="C83" s="33" t="s">
        <v>247</v>
      </c>
      <c r="D83" s="39">
        <v>46233.0</v>
      </c>
      <c r="E83" s="40">
        <v>18600.0</v>
      </c>
      <c r="F83" s="33" t="s">
        <v>230</v>
      </c>
      <c r="G83" s="33" t="s">
        <v>181</v>
      </c>
      <c r="H83" s="33" t="s">
        <v>181</v>
      </c>
      <c r="I83" s="33" t="s">
        <v>181</v>
      </c>
      <c r="J83" s="33" t="s">
        <v>181</v>
      </c>
      <c r="K83" s="33" t="s">
        <v>157</v>
      </c>
    </row>
    <row r="84" ht="15.75" customHeight="1">
      <c r="A84" s="33" t="s">
        <v>628</v>
      </c>
      <c r="B84" s="33" t="s">
        <v>375</v>
      </c>
      <c r="C84" s="33" t="s">
        <v>247</v>
      </c>
      <c r="D84" s="39">
        <v>45988.0</v>
      </c>
      <c r="E84" s="40">
        <v>29800.0</v>
      </c>
      <c r="F84" s="33" t="s">
        <v>230</v>
      </c>
      <c r="G84" s="33" t="s">
        <v>181</v>
      </c>
      <c r="H84" s="33" t="s">
        <v>181</v>
      </c>
      <c r="I84" s="33" t="s">
        <v>181</v>
      </c>
      <c r="J84" s="33" t="s">
        <v>181</v>
      </c>
      <c r="K84" s="33" t="s">
        <v>157</v>
      </c>
    </row>
    <row r="85" ht="15.75" customHeight="1">
      <c r="A85" s="33" t="s">
        <v>635</v>
      </c>
      <c r="B85" s="33" t="s">
        <v>633</v>
      </c>
      <c r="C85" s="33" t="s">
        <v>247</v>
      </c>
      <c r="D85" s="39">
        <v>45877.0</v>
      </c>
      <c r="E85" s="40">
        <v>36600.0</v>
      </c>
      <c r="F85" s="33" t="s">
        <v>230</v>
      </c>
      <c r="G85" s="33" t="s">
        <v>181</v>
      </c>
      <c r="H85" s="33" t="s">
        <v>181</v>
      </c>
      <c r="I85" s="33" t="s">
        <v>181</v>
      </c>
      <c r="J85" s="33" t="s">
        <v>181</v>
      </c>
      <c r="K85" s="33" t="s">
        <v>157</v>
      </c>
    </row>
    <row r="86" ht="15.75" customHeight="1">
      <c r="A86" s="33" t="s">
        <v>640</v>
      </c>
      <c r="B86" s="33" t="s">
        <v>394</v>
      </c>
      <c r="C86" s="33" t="s">
        <v>247</v>
      </c>
      <c r="D86" s="39">
        <v>46209.0</v>
      </c>
      <c r="E86" s="40">
        <v>42300.0</v>
      </c>
      <c r="F86" s="33" t="s">
        <v>230</v>
      </c>
      <c r="G86" s="33" t="s">
        <v>181</v>
      </c>
      <c r="H86" s="33" t="s">
        <v>181</v>
      </c>
      <c r="I86" s="33" t="s">
        <v>181</v>
      </c>
      <c r="J86" s="33" t="s">
        <v>181</v>
      </c>
      <c r="K86" s="33" t="s">
        <v>157</v>
      </c>
    </row>
    <row r="87" ht="15.75" customHeight="1">
      <c r="A87" s="33" t="s">
        <v>682</v>
      </c>
      <c r="B87" s="33" t="s">
        <v>684</v>
      </c>
      <c r="C87" s="33" t="s">
        <v>227</v>
      </c>
      <c r="D87" s="39">
        <v>45786.0</v>
      </c>
      <c r="E87" s="40">
        <v>10600.0</v>
      </c>
      <c r="F87" s="33" t="s">
        <v>248</v>
      </c>
      <c r="G87" s="33" t="s">
        <v>181</v>
      </c>
      <c r="H87" s="33" t="s">
        <v>189</v>
      </c>
      <c r="I87" s="33" t="s">
        <v>189</v>
      </c>
      <c r="J87" s="33" t="s">
        <v>189</v>
      </c>
      <c r="K87" s="33" t="s">
        <v>262</v>
      </c>
    </row>
    <row r="88" ht="15.75" customHeight="1">
      <c r="A88" s="33" t="s">
        <v>693</v>
      </c>
      <c r="B88" s="33" t="s">
        <v>441</v>
      </c>
      <c r="C88" s="33" t="s">
        <v>227</v>
      </c>
      <c r="D88" s="39">
        <v>45854.0</v>
      </c>
      <c r="E88" s="40">
        <v>5200.0</v>
      </c>
      <c r="F88" s="33" t="s">
        <v>241</v>
      </c>
      <c r="G88" s="33" t="s">
        <v>181</v>
      </c>
      <c r="H88" s="33" t="s">
        <v>189</v>
      </c>
      <c r="I88" s="33" t="s">
        <v>189</v>
      </c>
      <c r="J88" s="33" t="s">
        <v>189</v>
      </c>
      <c r="K88" s="33" t="s">
        <v>262</v>
      </c>
    </row>
    <row r="89" ht="15.75" customHeight="1">
      <c r="A89" s="33" t="s">
        <v>704</v>
      </c>
      <c r="B89" s="33" t="s">
        <v>706</v>
      </c>
      <c r="C89" s="33" t="s">
        <v>235</v>
      </c>
      <c r="D89" s="39">
        <v>46230.0</v>
      </c>
      <c r="E89" s="40">
        <v>6800.0</v>
      </c>
      <c r="F89" s="33" t="s">
        <v>230</v>
      </c>
      <c r="G89" s="33" t="s">
        <v>181</v>
      </c>
      <c r="H89" s="33" t="s">
        <v>189</v>
      </c>
      <c r="I89" s="33" t="s">
        <v>189</v>
      </c>
      <c r="J89" s="33" t="s">
        <v>189</v>
      </c>
      <c r="K89" s="33" t="s">
        <v>262</v>
      </c>
    </row>
    <row r="90" ht="15.75" customHeight="1">
      <c r="A90" s="33" t="s">
        <v>647</v>
      </c>
      <c r="B90" s="33" t="s">
        <v>646</v>
      </c>
      <c r="C90" s="33" t="s">
        <v>247</v>
      </c>
      <c r="D90" s="39">
        <v>46091.0</v>
      </c>
      <c r="E90" s="40">
        <v>9100.0</v>
      </c>
      <c r="F90" s="33" t="s">
        <v>248</v>
      </c>
      <c r="G90" s="33" t="s">
        <v>181</v>
      </c>
      <c r="H90" s="33" t="s">
        <v>181</v>
      </c>
      <c r="I90" s="33" t="s">
        <v>181</v>
      </c>
      <c r="J90" s="33" t="s">
        <v>181</v>
      </c>
      <c r="K90" s="33" t="s">
        <v>157</v>
      </c>
    </row>
    <row r="91" ht="15.75" customHeight="1">
      <c r="A91" s="33" t="s">
        <v>718</v>
      </c>
      <c r="B91" s="33" t="s">
        <v>723</v>
      </c>
      <c r="C91" s="33" t="s">
        <v>247</v>
      </c>
      <c r="D91" s="39">
        <v>46013.0</v>
      </c>
      <c r="E91" s="40">
        <v>16900.0</v>
      </c>
      <c r="F91" s="33" t="s">
        <v>248</v>
      </c>
      <c r="G91" s="33" t="s">
        <v>189</v>
      </c>
      <c r="H91" s="33" t="s">
        <v>189</v>
      </c>
      <c r="I91" s="33" t="s">
        <v>189</v>
      </c>
      <c r="J91" s="33" t="s">
        <v>189</v>
      </c>
      <c r="K91" s="33" t="s">
        <v>252</v>
      </c>
    </row>
    <row r="92" ht="15.75" customHeight="1">
      <c r="A92" s="33" t="s">
        <v>729</v>
      </c>
      <c r="B92" s="33" t="s">
        <v>680</v>
      </c>
      <c r="C92" s="33" t="s">
        <v>247</v>
      </c>
      <c r="D92" s="39">
        <v>45979.0</v>
      </c>
      <c r="E92" s="40">
        <v>2400.0</v>
      </c>
      <c r="F92" s="33" t="s">
        <v>230</v>
      </c>
      <c r="G92" s="33" t="s">
        <v>181</v>
      </c>
      <c r="H92" s="33" t="s">
        <v>181</v>
      </c>
      <c r="I92" s="33" t="s">
        <v>181</v>
      </c>
      <c r="J92" s="33" t="s">
        <v>189</v>
      </c>
      <c r="K92" s="33" t="s">
        <v>365</v>
      </c>
    </row>
    <row r="93" ht="15.75" customHeight="1">
      <c r="A93" s="33" t="s">
        <v>736</v>
      </c>
      <c r="B93" s="33" t="s">
        <v>637</v>
      </c>
      <c r="C93" s="33" t="s">
        <v>227</v>
      </c>
      <c r="D93" s="39">
        <v>45941.0</v>
      </c>
      <c r="E93" s="40">
        <v>41800.0</v>
      </c>
      <c r="F93" s="33" t="s">
        <v>230</v>
      </c>
      <c r="G93" s="33" t="s">
        <v>181</v>
      </c>
      <c r="H93" s="33" t="s">
        <v>189</v>
      </c>
      <c r="I93" s="33" t="s">
        <v>189</v>
      </c>
      <c r="J93" s="33" t="s">
        <v>189</v>
      </c>
      <c r="K93" s="33" t="s">
        <v>262</v>
      </c>
    </row>
    <row r="94" ht="15.75" customHeight="1">
      <c r="A94" s="33" t="s">
        <v>653</v>
      </c>
      <c r="B94" s="33" t="s">
        <v>651</v>
      </c>
      <c r="C94" s="33" t="s">
        <v>227</v>
      </c>
      <c r="D94" s="39">
        <v>46202.0</v>
      </c>
      <c r="E94" s="40">
        <v>42600.0</v>
      </c>
      <c r="F94" s="33" t="s">
        <v>248</v>
      </c>
      <c r="G94" s="33" t="s">
        <v>181</v>
      </c>
      <c r="H94" s="33" t="s">
        <v>181</v>
      </c>
      <c r="I94" s="33" t="s">
        <v>181</v>
      </c>
      <c r="J94" s="33" t="s">
        <v>181</v>
      </c>
      <c r="K94" s="33" t="s">
        <v>157</v>
      </c>
    </row>
    <row r="95" ht="15.75" customHeight="1">
      <c r="A95" s="33" t="s">
        <v>755</v>
      </c>
      <c r="B95" s="33" t="s">
        <v>757</v>
      </c>
      <c r="C95" s="33" t="s">
        <v>247</v>
      </c>
      <c r="D95" s="39">
        <v>45907.0</v>
      </c>
      <c r="E95" s="40">
        <v>35900.0</v>
      </c>
      <c r="F95" s="33" t="s">
        <v>248</v>
      </c>
      <c r="G95" s="33" t="s">
        <v>189</v>
      </c>
      <c r="H95" s="33" t="s">
        <v>189</v>
      </c>
      <c r="I95" s="33" t="s">
        <v>189</v>
      </c>
      <c r="J95" s="33" t="s">
        <v>189</v>
      </c>
      <c r="K95" s="33" t="s">
        <v>252</v>
      </c>
    </row>
    <row r="96" ht="15.75" customHeight="1">
      <c r="A96" s="33" t="s">
        <v>660</v>
      </c>
      <c r="B96" s="33" t="s">
        <v>534</v>
      </c>
      <c r="C96" s="33" t="s">
        <v>227</v>
      </c>
      <c r="D96" s="39">
        <v>45949.0</v>
      </c>
      <c r="E96" s="40">
        <v>18500.0</v>
      </c>
      <c r="F96" s="33" t="s">
        <v>248</v>
      </c>
      <c r="G96" s="33" t="s">
        <v>181</v>
      </c>
      <c r="H96" s="33" t="s">
        <v>181</v>
      </c>
      <c r="I96" s="33" t="s">
        <v>181</v>
      </c>
      <c r="J96" s="33" t="s">
        <v>181</v>
      </c>
      <c r="K96" s="33" t="s">
        <v>157</v>
      </c>
    </row>
    <row r="97" ht="15.75" customHeight="1">
      <c r="A97" s="33" t="s">
        <v>666</v>
      </c>
      <c r="B97" s="33" t="s">
        <v>665</v>
      </c>
      <c r="C97" s="33" t="s">
        <v>235</v>
      </c>
      <c r="D97" s="39">
        <v>45709.0</v>
      </c>
      <c r="E97" s="40">
        <v>35600.0</v>
      </c>
      <c r="F97" s="33" t="s">
        <v>230</v>
      </c>
      <c r="G97" s="33" t="s">
        <v>181</v>
      </c>
      <c r="H97" s="33" t="s">
        <v>181</v>
      </c>
      <c r="I97" s="33" t="s">
        <v>181</v>
      </c>
      <c r="J97" s="33" t="s">
        <v>181</v>
      </c>
      <c r="K97" s="33" t="s">
        <v>157</v>
      </c>
    </row>
    <row r="98" ht="15.75" customHeight="1">
      <c r="A98" s="33" t="s">
        <v>673</v>
      </c>
      <c r="B98" s="33" t="s">
        <v>671</v>
      </c>
      <c r="C98" s="33" t="s">
        <v>227</v>
      </c>
      <c r="D98" s="39">
        <v>45727.0</v>
      </c>
      <c r="E98" s="40">
        <v>29200.0</v>
      </c>
      <c r="F98" s="33" t="s">
        <v>241</v>
      </c>
      <c r="G98" s="33" t="s">
        <v>181</v>
      </c>
      <c r="H98" s="33" t="s">
        <v>181</v>
      </c>
      <c r="I98" s="33" t="s">
        <v>181</v>
      </c>
      <c r="J98" s="33" t="s">
        <v>181</v>
      </c>
      <c r="K98" s="33" t="s">
        <v>157</v>
      </c>
    </row>
    <row r="99" ht="15.75" customHeight="1">
      <c r="A99" s="33" t="s">
        <v>678</v>
      </c>
      <c r="B99" s="33" t="s">
        <v>572</v>
      </c>
      <c r="C99" s="33" t="s">
        <v>247</v>
      </c>
      <c r="D99" s="39">
        <v>45781.0</v>
      </c>
      <c r="E99" s="40">
        <v>33500.0</v>
      </c>
      <c r="F99" s="33" t="s">
        <v>241</v>
      </c>
      <c r="G99" s="33" t="s">
        <v>181</v>
      </c>
      <c r="H99" s="33" t="s">
        <v>181</v>
      </c>
      <c r="I99" s="33" t="s">
        <v>181</v>
      </c>
      <c r="J99" s="33" t="s">
        <v>181</v>
      </c>
      <c r="K99" s="33" t="s">
        <v>157</v>
      </c>
    </row>
    <row r="100" ht="15.75" customHeight="1">
      <c r="A100" s="33" t="s">
        <v>687</v>
      </c>
      <c r="B100" s="33" t="s">
        <v>685</v>
      </c>
      <c r="C100" s="33" t="s">
        <v>227</v>
      </c>
      <c r="D100" s="39">
        <v>45839.0</v>
      </c>
      <c r="E100" s="40">
        <v>5300.0</v>
      </c>
      <c r="F100" s="33" t="s">
        <v>230</v>
      </c>
      <c r="G100" s="33" t="s">
        <v>181</v>
      </c>
      <c r="H100" s="33" t="s">
        <v>181</v>
      </c>
      <c r="I100" s="33" t="s">
        <v>181</v>
      </c>
      <c r="J100" s="33" t="s">
        <v>181</v>
      </c>
      <c r="K100" s="33" t="s">
        <v>157</v>
      </c>
    </row>
    <row r="101" ht="15.75" customHeight="1">
      <c r="A101" s="33" t="s">
        <v>695</v>
      </c>
      <c r="B101" s="33" t="s">
        <v>692</v>
      </c>
      <c r="C101" s="33" t="s">
        <v>235</v>
      </c>
      <c r="D101" s="39">
        <v>45834.0</v>
      </c>
      <c r="E101" s="40">
        <v>43900.0</v>
      </c>
      <c r="F101" s="33" t="s">
        <v>230</v>
      </c>
      <c r="G101" s="33" t="s">
        <v>181</v>
      </c>
      <c r="H101" s="33" t="s">
        <v>181</v>
      </c>
      <c r="I101" s="33" t="s">
        <v>181</v>
      </c>
      <c r="J101" s="33" t="s">
        <v>181</v>
      </c>
      <c r="K101" s="33" t="s">
        <v>157</v>
      </c>
    </row>
    <row r="102" ht="15.75" customHeight="1">
      <c r="A102" s="33" t="s">
        <v>702</v>
      </c>
      <c r="B102" s="33" t="s">
        <v>701</v>
      </c>
      <c r="C102" s="33" t="s">
        <v>235</v>
      </c>
      <c r="D102" s="39">
        <v>46062.0</v>
      </c>
      <c r="E102" s="40">
        <v>18100.0</v>
      </c>
      <c r="F102" s="33" t="s">
        <v>241</v>
      </c>
      <c r="G102" s="33" t="s">
        <v>181</v>
      </c>
      <c r="H102" s="33" t="s">
        <v>181</v>
      </c>
      <c r="I102" s="33" t="s">
        <v>181</v>
      </c>
      <c r="J102" s="33" t="s">
        <v>181</v>
      </c>
      <c r="K102" s="33" t="s">
        <v>157</v>
      </c>
    </row>
    <row r="103" ht="15.75" customHeight="1">
      <c r="A103" s="33" t="s">
        <v>842</v>
      </c>
      <c r="B103" s="33" t="s">
        <v>329</v>
      </c>
      <c r="C103" s="33" t="s">
        <v>227</v>
      </c>
      <c r="D103" s="39">
        <v>45992.0</v>
      </c>
      <c r="E103" s="40">
        <v>14200.0</v>
      </c>
      <c r="F103" s="33" t="s">
        <v>230</v>
      </c>
      <c r="G103" s="33" t="s">
        <v>181</v>
      </c>
      <c r="H103" s="33" t="s">
        <v>189</v>
      </c>
      <c r="I103" s="33" t="s">
        <v>189</v>
      </c>
      <c r="J103" s="33" t="s">
        <v>189</v>
      </c>
      <c r="K103" s="33" t="s">
        <v>262</v>
      </c>
    </row>
    <row r="104" ht="15.75" customHeight="1">
      <c r="A104" s="33" t="s">
        <v>709</v>
      </c>
      <c r="B104" s="33" t="s">
        <v>684</v>
      </c>
      <c r="C104" s="33" t="s">
        <v>247</v>
      </c>
      <c r="D104" s="39">
        <v>45660.0</v>
      </c>
      <c r="E104" s="40">
        <v>20100.0</v>
      </c>
      <c r="F104" s="33" t="s">
        <v>269</v>
      </c>
      <c r="G104" s="33" t="s">
        <v>181</v>
      </c>
      <c r="H104" s="33" t="s">
        <v>181</v>
      </c>
      <c r="I104" s="33" t="s">
        <v>181</v>
      </c>
      <c r="J104" s="33" t="s">
        <v>181</v>
      </c>
      <c r="K104" s="33" t="s">
        <v>157</v>
      </c>
    </row>
    <row r="105" ht="15.75" customHeight="1">
      <c r="A105" s="33" t="s">
        <v>714</v>
      </c>
      <c r="B105" s="33" t="s">
        <v>713</v>
      </c>
      <c r="C105" s="33" t="s">
        <v>235</v>
      </c>
      <c r="D105" s="39">
        <v>45971.0</v>
      </c>
      <c r="E105" s="40">
        <v>13100.0</v>
      </c>
      <c r="F105" s="33" t="s">
        <v>241</v>
      </c>
      <c r="G105" s="33" t="s">
        <v>181</v>
      </c>
      <c r="H105" s="33" t="s">
        <v>181</v>
      </c>
      <c r="I105" s="33" t="s">
        <v>181</v>
      </c>
      <c r="J105" s="33" t="s">
        <v>181</v>
      </c>
      <c r="K105" s="33" t="s">
        <v>157</v>
      </c>
    </row>
    <row r="106" ht="15.75" customHeight="1">
      <c r="A106" s="33" t="s">
        <v>722</v>
      </c>
      <c r="B106" s="33" t="s">
        <v>719</v>
      </c>
      <c r="C106" s="33" t="s">
        <v>247</v>
      </c>
      <c r="D106" s="39">
        <v>45707.0</v>
      </c>
      <c r="E106" s="40">
        <v>49700.0</v>
      </c>
      <c r="F106" s="33" t="s">
        <v>230</v>
      </c>
      <c r="G106" s="33" t="s">
        <v>181</v>
      </c>
      <c r="H106" s="33" t="s">
        <v>181</v>
      </c>
      <c r="I106" s="33" t="s">
        <v>181</v>
      </c>
      <c r="J106" s="33" t="s">
        <v>181</v>
      </c>
      <c r="K106" s="33" t="s">
        <v>157</v>
      </c>
    </row>
    <row r="107" ht="15.75" customHeight="1">
      <c r="A107" s="33" t="s">
        <v>886</v>
      </c>
      <c r="B107" s="33" t="s">
        <v>888</v>
      </c>
      <c r="C107" s="33" t="s">
        <v>227</v>
      </c>
      <c r="D107" s="39">
        <v>45987.0</v>
      </c>
      <c r="E107" s="40">
        <v>32700.0</v>
      </c>
      <c r="F107" s="33" t="s">
        <v>230</v>
      </c>
      <c r="G107" s="33" t="s">
        <v>181</v>
      </c>
      <c r="H107" s="33" t="s">
        <v>189</v>
      </c>
      <c r="I107" s="33" t="s">
        <v>189</v>
      </c>
      <c r="J107" s="33" t="s">
        <v>189</v>
      </c>
      <c r="K107" s="33" t="s">
        <v>262</v>
      </c>
    </row>
    <row r="108" ht="15.75" customHeight="1">
      <c r="A108" s="33" t="s">
        <v>897</v>
      </c>
      <c r="B108" s="33" t="s">
        <v>898</v>
      </c>
      <c r="C108" s="33" t="s">
        <v>247</v>
      </c>
      <c r="D108" s="39">
        <v>45688.0</v>
      </c>
      <c r="E108" s="40">
        <v>44900.0</v>
      </c>
      <c r="F108" s="33" t="s">
        <v>230</v>
      </c>
      <c r="G108" s="33" t="s">
        <v>181</v>
      </c>
      <c r="H108" s="33" t="s">
        <v>189</v>
      </c>
      <c r="I108" s="33" t="s">
        <v>189</v>
      </c>
      <c r="J108" s="33" t="s">
        <v>189</v>
      </c>
      <c r="K108" s="33" t="s">
        <v>262</v>
      </c>
    </row>
    <row r="109" ht="15.75" customHeight="1">
      <c r="A109" s="33" t="s">
        <v>734</v>
      </c>
      <c r="B109" s="33" t="s">
        <v>732</v>
      </c>
      <c r="C109" s="33" t="s">
        <v>227</v>
      </c>
      <c r="D109" s="39">
        <v>45704.0</v>
      </c>
      <c r="E109" s="40">
        <v>47600.0</v>
      </c>
      <c r="F109" s="33" t="s">
        <v>230</v>
      </c>
      <c r="G109" s="33" t="s">
        <v>181</v>
      </c>
      <c r="H109" s="33" t="s">
        <v>181</v>
      </c>
      <c r="I109" s="33" t="s">
        <v>181</v>
      </c>
      <c r="J109" s="33" t="s">
        <v>181</v>
      </c>
      <c r="K109" s="33" t="s">
        <v>157</v>
      </c>
    </row>
    <row r="110" ht="15.75" customHeight="1">
      <c r="A110" s="33" t="s">
        <v>917</v>
      </c>
      <c r="B110" s="33" t="s">
        <v>919</v>
      </c>
      <c r="C110" s="33" t="s">
        <v>227</v>
      </c>
      <c r="D110" s="39">
        <v>46159.0</v>
      </c>
      <c r="E110" s="40">
        <v>29500.0</v>
      </c>
      <c r="F110" s="33" t="s">
        <v>248</v>
      </c>
      <c r="G110" s="33" t="s">
        <v>181</v>
      </c>
      <c r="H110" s="33" t="s">
        <v>189</v>
      </c>
      <c r="I110" s="33" t="s">
        <v>189</v>
      </c>
      <c r="J110" s="33" t="s">
        <v>189</v>
      </c>
      <c r="K110" s="33" t="s">
        <v>262</v>
      </c>
    </row>
    <row r="111" ht="15.75" customHeight="1">
      <c r="A111" s="33" t="s">
        <v>743</v>
      </c>
      <c r="B111" s="33" t="s">
        <v>741</v>
      </c>
      <c r="C111" s="33" t="s">
        <v>235</v>
      </c>
      <c r="D111" s="39">
        <v>45663.0</v>
      </c>
      <c r="E111" s="40">
        <v>40200.0</v>
      </c>
      <c r="F111" s="33" t="s">
        <v>241</v>
      </c>
      <c r="G111" s="33" t="s">
        <v>181</v>
      </c>
      <c r="H111" s="33" t="s">
        <v>181</v>
      </c>
      <c r="I111" s="33" t="s">
        <v>181</v>
      </c>
      <c r="J111" s="33" t="s">
        <v>181</v>
      </c>
      <c r="K111" s="33" t="s">
        <v>157</v>
      </c>
    </row>
    <row r="112" ht="15.75" customHeight="1">
      <c r="A112" s="33" t="s">
        <v>748</v>
      </c>
      <c r="B112" s="33" t="s">
        <v>746</v>
      </c>
      <c r="C112" s="33" t="s">
        <v>235</v>
      </c>
      <c r="D112" s="39">
        <v>46248.0</v>
      </c>
      <c r="E112" s="40">
        <v>45400.0</v>
      </c>
      <c r="F112" s="33" t="s">
        <v>269</v>
      </c>
      <c r="G112" s="33" t="s">
        <v>181</v>
      </c>
      <c r="H112" s="33" t="s">
        <v>181</v>
      </c>
      <c r="I112" s="33" t="s">
        <v>181</v>
      </c>
      <c r="J112" s="33" t="s">
        <v>181</v>
      </c>
      <c r="K112" s="33" t="s">
        <v>157</v>
      </c>
    </row>
    <row r="113" ht="15.75" customHeight="1">
      <c r="A113" s="33" t="s">
        <v>946</v>
      </c>
      <c r="B113" s="33" t="s">
        <v>949</v>
      </c>
      <c r="C113" s="33" t="s">
        <v>227</v>
      </c>
      <c r="D113" s="39">
        <v>45939.0</v>
      </c>
      <c r="E113" s="40">
        <v>8400.0</v>
      </c>
      <c r="F113" s="33" t="s">
        <v>269</v>
      </c>
      <c r="G113" s="33" t="s">
        <v>189</v>
      </c>
      <c r="H113" s="33" t="s">
        <v>189</v>
      </c>
      <c r="I113" s="33" t="s">
        <v>189</v>
      </c>
      <c r="J113" s="33" t="s">
        <v>189</v>
      </c>
      <c r="K113" s="33" t="s">
        <v>252</v>
      </c>
    </row>
    <row r="114" ht="15.75" customHeight="1">
      <c r="A114" s="33" t="s">
        <v>960</v>
      </c>
      <c r="B114" s="33" t="s">
        <v>961</v>
      </c>
      <c r="C114" s="33" t="s">
        <v>227</v>
      </c>
      <c r="D114" s="39">
        <v>46159.0</v>
      </c>
      <c r="E114" s="40">
        <v>14200.0</v>
      </c>
      <c r="F114" s="33" t="s">
        <v>230</v>
      </c>
      <c r="G114" s="33" t="s">
        <v>181</v>
      </c>
      <c r="H114" s="33" t="s">
        <v>189</v>
      </c>
      <c r="I114" s="33" t="s">
        <v>189</v>
      </c>
      <c r="J114" s="33" t="s">
        <v>189</v>
      </c>
      <c r="K114" s="33" t="s">
        <v>262</v>
      </c>
    </row>
    <row r="115" ht="15.75" customHeight="1">
      <c r="A115" s="33" t="s">
        <v>971</v>
      </c>
      <c r="B115" s="33" t="s">
        <v>845</v>
      </c>
      <c r="C115" s="33" t="s">
        <v>227</v>
      </c>
      <c r="D115" s="39">
        <v>45775.0</v>
      </c>
      <c r="E115" s="40">
        <v>20700.0</v>
      </c>
      <c r="F115" s="33" t="s">
        <v>269</v>
      </c>
      <c r="G115" s="33" t="s">
        <v>181</v>
      </c>
      <c r="H115" s="33" t="s">
        <v>189</v>
      </c>
      <c r="I115" s="33" t="s">
        <v>189</v>
      </c>
      <c r="J115" s="33" t="s">
        <v>189</v>
      </c>
      <c r="K115" s="33" t="s">
        <v>262</v>
      </c>
    </row>
    <row r="116" ht="15.75" customHeight="1">
      <c r="A116" s="33" t="s">
        <v>756</v>
      </c>
      <c r="B116" s="33" t="s">
        <v>754</v>
      </c>
      <c r="C116" s="33" t="s">
        <v>235</v>
      </c>
      <c r="D116" s="39">
        <v>45941.0</v>
      </c>
      <c r="E116" s="40">
        <v>31500.0</v>
      </c>
      <c r="F116" s="33" t="s">
        <v>241</v>
      </c>
      <c r="G116" s="33" t="s">
        <v>181</v>
      </c>
      <c r="H116" s="33" t="s">
        <v>181</v>
      </c>
      <c r="I116" s="33" t="s">
        <v>181</v>
      </c>
      <c r="J116" s="33" t="s">
        <v>181</v>
      </c>
      <c r="K116" s="33" t="s">
        <v>157</v>
      </c>
    </row>
    <row r="117" ht="15.75" customHeight="1">
      <c r="A117" s="33" t="s">
        <v>987</v>
      </c>
      <c r="B117" s="33" t="s">
        <v>988</v>
      </c>
      <c r="C117" s="33" t="s">
        <v>235</v>
      </c>
      <c r="D117" s="39">
        <v>46199.0</v>
      </c>
      <c r="E117" s="40">
        <v>38600.0</v>
      </c>
      <c r="F117" s="33" t="s">
        <v>230</v>
      </c>
      <c r="G117" s="33" t="s">
        <v>189</v>
      </c>
      <c r="H117" s="33" t="s">
        <v>189</v>
      </c>
      <c r="I117" s="33" t="s">
        <v>189</v>
      </c>
      <c r="J117" s="33" t="s">
        <v>189</v>
      </c>
      <c r="K117" s="33" t="s">
        <v>252</v>
      </c>
    </row>
    <row r="118" ht="15.75" customHeight="1">
      <c r="A118" s="33" t="s">
        <v>764</v>
      </c>
      <c r="B118" s="33" t="s">
        <v>762</v>
      </c>
      <c r="C118" s="33" t="s">
        <v>235</v>
      </c>
      <c r="D118" s="39">
        <v>45704.0</v>
      </c>
      <c r="E118" s="40">
        <v>17900.0</v>
      </c>
      <c r="F118" s="33" t="s">
        <v>269</v>
      </c>
      <c r="G118" s="33" t="s">
        <v>181</v>
      </c>
      <c r="H118" s="33" t="s">
        <v>181</v>
      </c>
      <c r="I118" s="33" t="s">
        <v>181</v>
      </c>
      <c r="J118" s="33" t="s">
        <v>181</v>
      </c>
      <c r="K118" s="33" t="s">
        <v>157</v>
      </c>
    </row>
    <row r="119" ht="15.75" customHeight="1">
      <c r="A119" s="33" t="s">
        <v>770</v>
      </c>
      <c r="B119" s="33" t="s">
        <v>769</v>
      </c>
      <c r="C119" s="33" t="s">
        <v>227</v>
      </c>
      <c r="D119" s="39">
        <v>45919.0</v>
      </c>
      <c r="E119" s="40">
        <v>42300.0</v>
      </c>
      <c r="F119" s="33" t="s">
        <v>269</v>
      </c>
      <c r="G119" s="33" t="s">
        <v>181</v>
      </c>
      <c r="H119" s="33" t="s">
        <v>181</v>
      </c>
      <c r="I119" s="33" t="s">
        <v>181</v>
      </c>
      <c r="J119" s="33" t="s">
        <v>181</v>
      </c>
      <c r="K119" s="33" t="s">
        <v>157</v>
      </c>
    </row>
    <row r="120" ht="15.75" customHeight="1">
      <c r="A120" s="33" t="s">
        <v>773</v>
      </c>
      <c r="B120" s="33" t="s">
        <v>291</v>
      </c>
      <c r="C120" s="33" t="s">
        <v>227</v>
      </c>
      <c r="D120" s="39">
        <v>45732.0</v>
      </c>
      <c r="E120" s="40">
        <v>33100.0</v>
      </c>
      <c r="F120" s="33" t="s">
        <v>230</v>
      </c>
      <c r="G120" s="33" t="s">
        <v>181</v>
      </c>
      <c r="H120" s="33" t="s">
        <v>181</v>
      </c>
      <c r="I120" s="33" t="s">
        <v>181</v>
      </c>
      <c r="J120" s="33" t="s">
        <v>181</v>
      </c>
      <c r="K120" s="33" t="s">
        <v>157</v>
      </c>
    </row>
    <row r="121" ht="15.75" customHeight="1">
      <c r="A121" s="33" t="s">
        <v>1026</v>
      </c>
      <c r="B121" s="33" t="s">
        <v>220</v>
      </c>
      <c r="C121" s="33" t="s">
        <v>247</v>
      </c>
      <c r="D121" s="39">
        <v>45871.0</v>
      </c>
      <c r="E121" s="40">
        <v>19200.0</v>
      </c>
      <c r="F121" s="33" t="s">
        <v>241</v>
      </c>
      <c r="G121" s="33" t="s">
        <v>181</v>
      </c>
      <c r="H121" s="33" t="s">
        <v>189</v>
      </c>
      <c r="I121" s="33" t="s">
        <v>189</v>
      </c>
      <c r="J121" s="33" t="s">
        <v>189</v>
      </c>
      <c r="K121" s="33" t="s">
        <v>262</v>
      </c>
    </row>
    <row r="122" ht="15.75" customHeight="1">
      <c r="A122" s="33" t="s">
        <v>1038</v>
      </c>
      <c r="B122" s="33" t="s">
        <v>513</v>
      </c>
      <c r="C122" s="33" t="s">
        <v>227</v>
      </c>
      <c r="D122" s="39">
        <v>46247.0</v>
      </c>
      <c r="E122" s="40">
        <v>34400.0</v>
      </c>
      <c r="F122" s="33" t="s">
        <v>241</v>
      </c>
      <c r="G122" s="33" t="s">
        <v>181</v>
      </c>
      <c r="H122" s="33" t="s">
        <v>189</v>
      </c>
      <c r="I122" s="33" t="s">
        <v>189</v>
      </c>
      <c r="J122" s="33" t="s">
        <v>189</v>
      </c>
      <c r="K122" s="33" t="s">
        <v>262</v>
      </c>
    </row>
    <row r="123" ht="15.75" customHeight="1">
      <c r="A123" s="33" t="s">
        <v>778</v>
      </c>
      <c r="B123" s="33" t="s">
        <v>777</v>
      </c>
      <c r="C123" s="33" t="s">
        <v>227</v>
      </c>
      <c r="D123" s="39">
        <v>45988.0</v>
      </c>
      <c r="E123" s="40">
        <v>42700.0</v>
      </c>
      <c r="F123" s="33" t="s">
        <v>241</v>
      </c>
      <c r="G123" s="33" t="s">
        <v>181</v>
      </c>
      <c r="H123" s="33" t="s">
        <v>181</v>
      </c>
      <c r="I123" s="33" t="s">
        <v>181</v>
      </c>
      <c r="J123" s="33" t="s">
        <v>181</v>
      </c>
      <c r="K123" s="33" t="s">
        <v>157</v>
      </c>
    </row>
    <row r="124" ht="15.75" customHeight="1">
      <c r="A124" s="33" t="s">
        <v>784</v>
      </c>
      <c r="B124" s="33" t="s">
        <v>783</v>
      </c>
      <c r="C124" s="33" t="s">
        <v>227</v>
      </c>
      <c r="D124" s="39">
        <v>45860.0</v>
      </c>
      <c r="E124" s="40">
        <v>17500.0</v>
      </c>
      <c r="F124" s="33" t="s">
        <v>230</v>
      </c>
      <c r="G124" s="33" t="s">
        <v>181</v>
      </c>
      <c r="H124" s="33" t="s">
        <v>181</v>
      </c>
      <c r="I124" s="33" t="s">
        <v>181</v>
      </c>
      <c r="J124" s="33" t="s">
        <v>181</v>
      </c>
      <c r="K124" s="33" t="s">
        <v>157</v>
      </c>
    </row>
    <row r="125" ht="15.75" customHeight="1">
      <c r="A125" s="33" t="s">
        <v>791</v>
      </c>
      <c r="B125" s="33" t="s">
        <v>790</v>
      </c>
      <c r="C125" s="33" t="s">
        <v>247</v>
      </c>
      <c r="D125" s="39">
        <v>46039.0</v>
      </c>
      <c r="E125" s="40">
        <v>20000.0</v>
      </c>
      <c r="F125" s="33" t="s">
        <v>248</v>
      </c>
      <c r="G125" s="33" t="s">
        <v>181</v>
      </c>
      <c r="H125" s="33" t="s">
        <v>181</v>
      </c>
      <c r="I125" s="33" t="s">
        <v>181</v>
      </c>
      <c r="J125" s="33" t="s">
        <v>181</v>
      </c>
      <c r="K125" s="33" t="s">
        <v>157</v>
      </c>
    </row>
    <row r="126" ht="15.75" customHeight="1">
      <c r="A126" s="33" t="s">
        <v>1084</v>
      </c>
      <c r="B126" s="33" t="s">
        <v>1085</v>
      </c>
      <c r="C126" s="33" t="s">
        <v>247</v>
      </c>
      <c r="D126" s="39">
        <v>45828.0</v>
      </c>
      <c r="E126" s="40">
        <v>34900.0</v>
      </c>
      <c r="F126" s="33" t="s">
        <v>269</v>
      </c>
      <c r="G126" s="33" t="s">
        <v>189</v>
      </c>
      <c r="H126" s="33" t="s">
        <v>189</v>
      </c>
      <c r="I126" s="33" t="s">
        <v>189</v>
      </c>
      <c r="J126" s="33" t="s">
        <v>189</v>
      </c>
      <c r="K126" s="33" t="s">
        <v>252</v>
      </c>
    </row>
    <row r="127" ht="15.75" customHeight="1">
      <c r="A127" s="33" t="s">
        <v>1093</v>
      </c>
      <c r="B127" s="33" t="s">
        <v>1096</v>
      </c>
      <c r="C127" s="33" t="s">
        <v>247</v>
      </c>
      <c r="D127" s="39">
        <v>45707.0</v>
      </c>
      <c r="E127" s="40">
        <v>22100.0</v>
      </c>
      <c r="F127" s="33" t="s">
        <v>248</v>
      </c>
      <c r="G127" s="33" t="s">
        <v>181</v>
      </c>
      <c r="H127" s="33" t="s">
        <v>189</v>
      </c>
      <c r="I127" s="33" t="s">
        <v>189</v>
      </c>
      <c r="J127" s="33" t="s">
        <v>189</v>
      </c>
      <c r="K127" s="33" t="s">
        <v>262</v>
      </c>
    </row>
    <row r="128" ht="15.75" customHeight="1">
      <c r="A128" s="33" t="s">
        <v>1106</v>
      </c>
      <c r="B128" s="33" t="s">
        <v>908</v>
      </c>
      <c r="C128" s="33" t="s">
        <v>227</v>
      </c>
      <c r="D128" s="39">
        <v>46001.0</v>
      </c>
      <c r="E128" s="40">
        <v>9700.0</v>
      </c>
      <c r="F128" s="33" t="s">
        <v>248</v>
      </c>
      <c r="G128" s="33" t="s">
        <v>189</v>
      </c>
      <c r="H128" s="33" t="s">
        <v>189</v>
      </c>
      <c r="I128" s="33" t="s">
        <v>189</v>
      </c>
      <c r="J128" s="33" t="s">
        <v>189</v>
      </c>
      <c r="K128" s="33" t="s">
        <v>252</v>
      </c>
    </row>
    <row r="129" ht="15.75" customHeight="1">
      <c r="A129" s="33" t="s">
        <v>1115</v>
      </c>
      <c r="B129" s="33" t="s">
        <v>1116</v>
      </c>
      <c r="C129" s="33" t="s">
        <v>247</v>
      </c>
      <c r="D129" s="39">
        <v>46107.0</v>
      </c>
      <c r="E129" s="40">
        <v>42900.0</v>
      </c>
      <c r="F129" s="33" t="s">
        <v>230</v>
      </c>
      <c r="G129" s="33" t="s">
        <v>181</v>
      </c>
      <c r="H129" s="33" t="s">
        <v>189</v>
      </c>
      <c r="I129" s="33" t="s">
        <v>189</v>
      </c>
      <c r="J129" s="33" t="s">
        <v>189</v>
      </c>
      <c r="K129" s="33" t="s">
        <v>262</v>
      </c>
    </row>
    <row r="130" ht="15.75" customHeight="1">
      <c r="A130" s="33" t="s">
        <v>798</v>
      </c>
      <c r="B130" s="33" t="s">
        <v>797</v>
      </c>
      <c r="C130" s="33" t="s">
        <v>247</v>
      </c>
      <c r="D130" s="39">
        <v>45766.0</v>
      </c>
      <c r="E130" s="40">
        <v>10900.0</v>
      </c>
      <c r="F130" s="33" t="s">
        <v>230</v>
      </c>
      <c r="G130" s="33" t="s">
        <v>181</v>
      </c>
      <c r="H130" s="33" t="s">
        <v>181</v>
      </c>
      <c r="I130" s="33" t="s">
        <v>181</v>
      </c>
      <c r="J130" s="33" t="s">
        <v>181</v>
      </c>
      <c r="K130" s="33" t="s">
        <v>157</v>
      </c>
    </row>
    <row r="131" ht="15.75" customHeight="1">
      <c r="A131" s="33" t="s">
        <v>803</v>
      </c>
      <c r="B131" s="33" t="s">
        <v>801</v>
      </c>
      <c r="C131" s="33" t="s">
        <v>227</v>
      </c>
      <c r="D131" s="39">
        <v>45741.0</v>
      </c>
      <c r="E131" s="40">
        <v>13100.0</v>
      </c>
      <c r="F131" s="33" t="s">
        <v>230</v>
      </c>
      <c r="G131" s="33" t="s">
        <v>181</v>
      </c>
      <c r="H131" s="33" t="s">
        <v>181</v>
      </c>
      <c r="I131" s="33" t="s">
        <v>181</v>
      </c>
      <c r="J131" s="33" t="s">
        <v>181</v>
      </c>
      <c r="K131" s="33" t="s">
        <v>157</v>
      </c>
    </row>
    <row r="132" ht="15.75" customHeight="1">
      <c r="A132" s="33" t="s">
        <v>1150</v>
      </c>
      <c r="B132" s="33" t="s">
        <v>514</v>
      </c>
      <c r="C132" s="33" t="s">
        <v>247</v>
      </c>
      <c r="D132" s="39">
        <v>46020.0</v>
      </c>
      <c r="E132" s="40">
        <v>43500.0</v>
      </c>
      <c r="F132" s="33" t="s">
        <v>248</v>
      </c>
      <c r="G132" s="33" t="s">
        <v>189</v>
      </c>
      <c r="H132" s="33" t="s">
        <v>189</v>
      </c>
      <c r="I132" s="33" t="s">
        <v>189</v>
      </c>
      <c r="J132" s="33" t="s">
        <v>189</v>
      </c>
      <c r="K132" s="33" t="s">
        <v>252</v>
      </c>
    </row>
    <row r="133" ht="15.75" customHeight="1">
      <c r="A133" s="33" t="s">
        <v>809</v>
      </c>
      <c r="B133" s="33" t="s">
        <v>808</v>
      </c>
      <c r="C133" s="33" t="s">
        <v>247</v>
      </c>
      <c r="D133" s="39">
        <v>45892.0</v>
      </c>
      <c r="E133" s="40">
        <v>32500.0</v>
      </c>
      <c r="F133" s="33" t="s">
        <v>269</v>
      </c>
      <c r="G133" s="33" t="s">
        <v>181</v>
      </c>
      <c r="H133" s="33" t="s">
        <v>181</v>
      </c>
      <c r="I133" s="33" t="s">
        <v>181</v>
      </c>
      <c r="J133" s="33" t="s">
        <v>181</v>
      </c>
      <c r="K133" s="33" t="s">
        <v>157</v>
      </c>
    </row>
    <row r="134" ht="15.75" customHeight="1">
      <c r="A134" s="33" t="s">
        <v>1170</v>
      </c>
      <c r="B134" s="33" t="s">
        <v>308</v>
      </c>
      <c r="C134" s="33" t="s">
        <v>227</v>
      </c>
      <c r="D134" s="39">
        <v>46225.0</v>
      </c>
      <c r="E134" s="40">
        <v>22100.0</v>
      </c>
      <c r="F134" s="33" t="s">
        <v>230</v>
      </c>
      <c r="G134" s="33" t="s">
        <v>181</v>
      </c>
      <c r="H134" s="33" t="s">
        <v>189</v>
      </c>
      <c r="I134" s="33" t="s">
        <v>189</v>
      </c>
      <c r="J134" s="33" t="s">
        <v>189</v>
      </c>
      <c r="K134" s="33" t="s">
        <v>262</v>
      </c>
    </row>
    <row r="135" ht="15.75" customHeight="1">
      <c r="A135" s="33" t="s">
        <v>1184</v>
      </c>
      <c r="B135" s="33" t="s">
        <v>1186</v>
      </c>
      <c r="C135" s="33" t="s">
        <v>235</v>
      </c>
      <c r="D135" s="39">
        <v>45874.0</v>
      </c>
      <c r="E135" s="40">
        <v>19700.0</v>
      </c>
      <c r="F135" s="33" t="s">
        <v>269</v>
      </c>
      <c r="G135" s="33" t="s">
        <v>181</v>
      </c>
      <c r="H135" s="33" t="s">
        <v>189</v>
      </c>
      <c r="I135" s="33" t="s">
        <v>189</v>
      </c>
      <c r="J135" s="33" t="s">
        <v>189</v>
      </c>
      <c r="K135" s="33" t="s">
        <v>262</v>
      </c>
    </row>
    <row r="136" ht="15.75" customHeight="1">
      <c r="A136" s="33" t="s">
        <v>1197</v>
      </c>
      <c r="B136" s="33" t="s">
        <v>195</v>
      </c>
      <c r="C136" s="33" t="s">
        <v>247</v>
      </c>
      <c r="D136" s="39">
        <v>45896.0</v>
      </c>
      <c r="E136" s="40">
        <v>10000.0</v>
      </c>
      <c r="F136" s="33" t="s">
        <v>241</v>
      </c>
      <c r="G136" s="33" t="s">
        <v>189</v>
      </c>
      <c r="H136" s="33" t="s">
        <v>189</v>
      </c>
      <c r="I136" s="33" t="s">
        <v>189</v>
      </c>
      <c r="J136" s="33" t="s">
        <v>189</v>
      </c>
      <c r="K136" s="33" t="s">
        <v>252</v>
      </c>
    </row>
    <row r="137" ht="15.75" customHeight="1">
      <c r="A137" s="33" t="s">
        <v>814</v>
      </c>
      <c r="B137" s="33" t="s">
        <v>812</v>
      </c>
      <c r="C137" s="33" t="s">
        <v>247</v>
      </c>
      <c r="D137" s="39">
        <v>46003.0</v>
      </c>
      <c r="E137" s="40">
        <v>4300.0</v>
      </c>
      <c r="F137" s="33" t="s">
        <v>230</v>
      </c>
      <c r="G137" s="33" t="s">
        <v>181</v>
      </c>
      <c r="H137" s="33" t="s">
        <v>181</v>
      </c>
      <c r="I137" s="33" t="s">
        <v>181</v>
      </c>
      <c r="J137" s="33" t="s">
        <v>181</v>
      </c>
      <c r="K137" s="33" t="s">
        <v>157</v>
      </c>
    </row>
    <row r="138" ht="15.75" customHeight="1">
      <c r="A138" s="33" t="s">
        <v>1219</v>
      </c>
      <c r="B138" s="33" t="s">
        <v>597</v>
      </c>
      <c r="C138" s="33" t="s">
        <v>235</v>
      </c>
      <c r="D138" s="39">
        <v>46251.0</v>
      </c>
      <c r="E138" s="40">
        <v>45600.0</v>
      </c>
      <c r="F138" s="33" t="s">
        <v>230</v>
      </c>
      <c r="G138" s="33" t="s">
        <v>181</v>
      </c>
      <c r="H138" s="33" t="s">
        <v>189</v>
      </c>
      <c r="I138" s="33" t="s">
        <v>189</v>
      </c>
      <c r="J138" s="33" t="s">
        <v>189</v>
      </c>
      <c r="K138" s="33" t="s">
        <v>262</v>
      </c>
    </row>
    <row r="139" ht="15.75" customHeight="1">
      <c r="A139" s="33" t="s">
        <v>820</v>
      </c>
      <c r="B139" s="33" t="s">
        <v>819</v>
      </c>
      <c r="C139" s="33" t="s">
        <v>247</v>
      </c>
      <c r="D139" s="39">
        <v>46076.0</v>
      </c>
      <c r="E139" s="40">
        <v>3200.0</v>
      </c>
      <c r="F139" s="33" t="s">
        <v>230</v>
      </c>
      <c r="G139" s="33" t="s">
        <v>181</v>
      </c>
      <c r="H139" s="33" t="s">
        <v>181</v>
      </c>
      <c r="I139" s="33" t="s">
        <v>181</v>
      </c>
      <c r="J139" s="33" t="s">
        <v>181</v>
      </c>
      <c r="K139" s="33" t="s">
        <v>157</v>
      </c>
    </row>
    <row r="140" ht="15.75" customHeight="1">
      <c r="A140" s="33" t="s">
        <v>1243</v>
      </c>
      <c r="B140" s="33" t="s">
        <v>1245</v>
      </c>
      <c r="C140" s="33" t="s">
        <v>247</v>
      </c>
      <c r="D140" s="39">
        <v>46062.0</v>
      </c>
      <c r="E140" s="40">
        <v>4000.0</v>
      </c>
      <c r="F140" s="33" t="s">
        <v>269</v>
      </c>
      <c r="G140" s="33" t="s">
        <v>189</v>
      </c>
      <c r="H140" s="33" t="s">
        <v>189</v>
      </c>
      <c r="I140" s="33" t="s">
        <v>189</v>
      </c>
      <c r="J140" s="33" t="s">
        <v>189</v>
      </c>
      <c r="K140" s="33" t="s">
        <v>252</v>
      </c>
    </row>
    <row r="141" ht="15.75" customHeight="1">
      <c r="A141" s="33" t="s">
        <v>1257</v>
      </c>
      <c r="B141" s="33" t="s">
        <v>1179</v>
      </c>
      <c r="C141" s="33" t="s">
        <v>227</v>
      </c>
      <c r="D141" s="39">
        <v>46144.0</v>
      </c>
      <c r="E141" s="40">
        <v>37900.0</v>
      </c>
      <c r="F141" s="33" t="s">
        <v>241</v>
      </c>
      <c r="G141" s="33" t="s">
        <v>189</v>
      </c>
      <c r="H141" s="33" t="s">
        <v>189</v>
      </c>
      <c r="I141" s="33" t="s">
        <v>189</v>
      </c>
      <c r="J141" s="33" t="s">
        <v>189</v>
      </c>
      <c r="K141" s="33" t="s">
        <v>252</v>
      </c>
    </row>
    <row r="142" ht="15.75" customHeight="1">
      <c r="A142" s="33" t="s">
        <v>826</v>
      </c>
      <c r="B142" s="33" t="s">
        <v>825</v>
      </c>
      <c r="C142" s="33" t="s">
        <v>247</v>
      </c>
      <c r="D142" s="39">
        <v>46153.0</v>
      </c>
      <c r="E142" s="40">
        <v>44800.0</v>
      </c>
      <c r="F142" s="33" t="s">
        <v>241</v>
      </c>
      <c r="G142" s="33" t="s">
        <v>181</v>
      </c>
      <c r="H142" s="33" t="s">
        <v>181</v>
      </c>
      <c r="I142" s="33" t="s">
        <v>181</v>
      </c>
      <c r="J142" s="33" t="s">
        <v>181</v>
      </c>
      <c r="K142" s="33" t="s">
        <v>157</v>
      </c>
    </row>
    <row r="143" ht="15.75" customHeight="1">
      <c r="A143" s="33" t="s">
        <v>831</v>
      </c>
      <c r="B143" s="33" t="s">
        <v>581</v>
      </c>
      <c r="C143" s="33" t="s">
        <v>235</v>
      </c>
      <c r="D143" s="39">
        <v>45977.0</v>
      </c>
      <c r="E143" s="40">
        <v>35800.0</v>
      </c>
      <c r="F143" s="33" t="s">
        <v>269</v>
      </c>
      <c r="G143" s="33" t="s">
        <v>181</v>
      </c>
      <c r="H143" s="33" t="s">
        <v>181</v>
      </c>
      <c r="I143" s="33" t="s">
        <v>181</v>
      </c>
      <c r="J143" s="33" t="s">
        <v>181</v>
      </c>
      <c r="K143" s="33" t="s">
        <v>157</v>
      </c>
    </row>
    <row r="144" ht="15.75" customHeight="1">
      <c r="A144" s="33" t="s">
        <v>836</v>
      </c>
      <c r="B144" s="33" t="s">
        <v>835</v>
      </c>
      <c r="C144" s="33" t="s">
        <v>235</v>
      </c>
      <c r="D144" s="39">
        <v>45831.0</v>
      </c>
      <c r="E144" s="40">
        <v>12900.0</v>
      </c>
      <c r="F144" s="33" t="s">
        <v>248</v>
      </c>
      <c r="G144" s="33" t="s">
        <v>181</v>
      </c>
      <c r="H144" s="33" t="s">
        <v>181</v>
      </c>
      <c r="I144" s="33" t="s">
        <v>181</v>
      </c>
      <c r="J144" s="33" t="s">
        <v>181</v>
      </c>
      <c r="K144" s="33" t="s">
        <v>157</v>
      </c>
    </row>
    <row r="145" ht="15.75" customHeight="1">
      <c r="A145" s="33" t="s">
        <v>841</v>
      </c>
      <c r="B145" s="33" t="s">
        <v>668</v>
      </c>
      <c r="C145" s="33" t="s">
        <v>247</v>
      </c>
      <c r="D145" s="39">
        <v>45752.0</v>
      </c>
      <c r="E145" s="40">
        <v>14300.0</v>
      </c>
      <c r="F145" s="33" t="s">
        <v>269</v>
      </c>
      <c r="G145" s="33" t="s">
        <v>181</v>
      </c>
      <c r="H145" s="33" t="s">
        <v>181</v>
      </c>
      <c r="I145" s="33" t="s">
        <v>181</v>
      </c>
      <c r="J145" s="33" t="s">
        <v>181</v>
      </c>
      <c r="K145" s="33" t="s">
        <v>157</v>
      </c>
    </row>
    <row r="146" ht="15.75" customHeight="1">
      <c r="A146" s="33" t="s">
        <v>1308</v>
      </c>
      <c r="B146" s="33" t="s">
        <v>1309</v>
      </c>
      <c r="C146" s="33" t="s">
        <v>247</v>
      </c>
      <c r="D146" s="39">
        <v>46002.0</v>
      </c>
      <c r="E146" s="40">
        <v>48100.0</v>
      </c>
      <c r="F146" s="33" t="s">
        <v>241</v>
      </c>
      <c r="G146" s="33" t="s">
        <v>181</v>
      </c>
      <c r="H146" s="33" t="s">
        <v>189</v>
      </c>
      <c r="I146" s="33" t="s">
        <v>189</v>
      </c>
      <c r="J146" s="33" t="s">
        <v>189</v>
      </c>
      <c r="K146" s="33" t="s">
        <v>262</v>
      </c>
    </row>
    <row r="147" ht="15.75" customHeight="1">
      <c r="A147" s="33" t="s">
        <v>1320</v>
      </c>
      <c r="B147" s="33" t="s">
        <v>1321</v>
      </c>
      <c r="C147" s="33" t="s">
        <v>247</v>
      </c>
      <c r="D147" s="39">
        <v>46080.0</v>
      </c>
      <c r="E147" s="40">
        <v>35300.0</v>
      </c>
      <c r="F147" s="33" t="s">
        <v>230</v>
      </c>
      <c r="G147" s="33" t="s">
        <v>189</v>
      </c>
      <c r="H147" s="33" t="s">
        <v>189</v>
      </c>
      <c r="I147" s="33" t="s">
        <v>189</v>
      </c>
      <c r="J147" s="33" t="s">
        <v>189</v>
      </c>
      <c r="K147" s="33" t="s">
        <v>252</v>
      </c>
    </row>
    <row r="148" ht="15.75" customHeight="1">
      <c r="A148" s="33" t="s">
        <v>1328</v>
      </c>
      <c r="B148" s="33" t="s">
        <v>1329</v>
      </c>
      <c r="C148" s="33" t="s">
        <v>247</v>
      </c>
      <c r="D148" s="39">
        <v>45880.0</v>
      </c>
      <c r="E148" s="40">
        <v>41600.0</v>
      </c>
      <c r="F148" s="33" t="s">
        <v>269</v>
      </c>
      <c r="G148" s="33" t="s">
        <v>181</v>
      </c>
      <c r="H148" s="33" t="s">
        <v>189</v>
      </c>
      <c r="I148" s="33" t="s">
        <v>189</v>
      </c>
      <c r="J148" s="33" t="s">
        <v>189</v>
      </c>
      <c r="K148" s="33" t="s">
        <v>262</v>
      </c>
    </row>
    <row r="149" ht="15.75" customHeight="1">
      <c r="A149" s="33" t="s">
        <v>1338</v>
      </c>
      <c r="B149" s="33" t="s">
        <v>1289</v>
      </c>
      <c r="C149" s="33" t="s">
        <v>227</v>
      </c>
      <c r="D149" s="39">
        <v>45948.0</v>
      </c>
      <c r="E149" s="40">
        <v>22900.0</v>
      </c>
      <c r="F149" s="33" t="s">
        <v>230</v>
      </c>
      <c r="G149" s="33" t="s">
        <v>181</v>
      </c>
      <c r="H149" s="33" t="s">
        <v>189</v>
      </c>
      <c r="I149" s="33" t="s">
        <v>189</v>
      </c>
      <c r="J149" s="33" t="s">
        <v>189</v>
      </c>
      <c r="K149" s="33" t="s">
        <v>262</v>
      </c>
    </row>
    <row r="150" ht="15.75" customHeight="1">
      <c r="A150" s="33" t="s">
        <v>1347</v>
      </c>
      <c r="B150" s="33" t="s">
        <v>1217</v>
      </c>
      <c r="C150" s="33" t="s">
        <v>247</v>
      </c>
      <c r="D150" s="39">
        <v>45928.0</v>
      </c>
      <c r="E150" s="40">
        <v>39000.0</v>
      </c>
      <c r="F150" s="33" t="s">
        <v>230</v>
      </c>
      <c r="G150" s="33" t="s">
        <v>181</v>
      </c>
      <c r="H150" s="33" t="s">
        <v>189</v>
      </c>
      <c r="I150" s="33" t="s">
        <v>189</v>
      </c>
      <c r="J150" s="33" t="s">
        <v>189</v>
      </c>
      <c r="K150" s="33" t="s">
        <v>262</v>
      </c>
    </row>
    <row r="151" ht="15.75" customHeight="1">
      <c r="A151" s="33" t="s">
        <v>1354</v>
      </c>
      <c r="B151" s="33" t="s">
        <v>571</v>
      </c>
      <c r="C151" s="33" t="s">
        <v>247</v>
      </c>
      <c r="D151" s="39">
        <v>46015.0</v>
      </c>
      <c r="E151" s="40">
        <v>49100.0</v>
      </c>
      <c r="F151" s="33" t="s">
        <v>248</v>
      </c>
      <c r="G151" s="33" t="s">
        <v>181</v>
      </c>
      <c r="H151" s="33" t="s">
        <v>189</v>
      </c>
      <c r="I151" s="33" t="s">
        <v>189</v>
      </c>
      <c r="J151" s="33" t="s">
        <v>189</v>
      </c>
      <c r="K151" s="33" t="s">
        <v>262</v>
      </c>
    </row>
    <row r="152" ht="15.75" customHeight="1">
      <c r="A152" s="33" t="s">
        <v>1363</v>
      </c>
      <c r="B152" s="33" t="s">
        <v>481</v>
      </c>
      <c r="C152" s="33" t="s">
        <v>247</v>
      </c>
      <c r="D152" s="39">
        <v>46154.0</v>
      </c>
      <c r="E152" s="40">
        <v>18500.0</v>
      </c>
      <c r="F152" s="33" t="s">
        <v>241</v>
      </c>
      <c r="G152" s="33" t="s">
        <v>181</v>
      </c>
      <c r="H152" s="33" t="s">
        <v>181</v>
      </c>
      <c r="I152" s="33" t="s">
        <v>181</v>
      </c>
      <c r="J152" s="33" t="s">
        <v>189</v>
      </c>
      <c r="K152" s="33" t="s">
        <v>365</v>
      </c>
    </row>
    <row r="153" ht="15.75" customHeight="1">
      <c r="A153" s="33" t="s">
        <v>847</v>
      </c>
      <c r="B153" s="33" t="s">
        <v>845</v>
      </c>
      <c r="C153" s="33" t="s">
        <v>247</v>
      </c>
      <c r="D153" s="39">
        <v>45927.0</v>
      </c>
      <c r="E153" s="40">
        <v>16700.0</v>
      </c>
      <c r="F153" s="33" t="s">
        <v>241</v>
      </c>
      <c r="G153" s="33" t="s">
        <v>181</v>
      </c>
      <c r="H153" s="33" t="s">
        <v>181</v>
      </c>
      <c r="I153" s="33" t="s">
        <v>181</v>
      </c>
      <c r="J153" s="33" t="s">
        <v>181</v>
      </c>
      <c r="K153" s="33" t="s">
        <v>157</v>
      </c>
    </row>
    <row r="154" ht="15.75" customHeight="1">
      <c r="A154" s="33" t="s">
        <v>854</v>
      </c>
      <c r="B154" s="33" t="s">
        <v>852</v>
      </c>
      <c r="C154" s="33" t="s">
        <v>235</v>
      </c>
      <c r="D154" s="39">
        <v>45973.0</v>
      </c>
      <c r="E154" s="40">
        <v>3100.0</v>
      </c>
      <c r="F154" s="33" t="s">
        <v>248</v>
      </c>
      <c r="G154" s="33" t="s">
        <v>181</v>
      </c>
      <c r="H154" s="33" t="s">
        <v>181</v>
      </c>
      <c r="I154" s="33" t="s">
        <v>181</v>
      </c>
      <c r="J154" s="33" t="s">
        <v>181</v>
      </c>
      <c r="K154" s="33" t="s">
        <v>157</v>
      </c>
    </row>
    <row r="155" ht="15.75" customHeight="1">
      <c r="A155" s="33" t="s">
        <v>860</v>
      </c>
      <c r="B155" s="33" t="s">
        <v>858</v>
      </c>
      <c r="C155" s="33" t="s">
        <v>235</v>
      </c>
      <c r="D155" s="39">
        <v>45910.0</v>
      </c>
      <c r="E155" s="40">
        <v>37100.0</v>
      </c>
      <c r="F155" s="33" t="s">
        <v>230</v>
      </c>
      <c r="G155" s="33" t="s">
        <v>181</v>
      </c>
      <c r="H155" s="33" t="s">
        <v>181</v>
      </c>
      <c r="I155" s="33" t="s">
        <v>181</v>
      </c>
      <c r="J155" s="33" t="s">
        <v>181</v>
      </c>
      <c r="K155" s="33" t="s">
        <v>157</v>
      </c>
    </row>
    <row r="156" ht="15.75" customHeight="1">
      <c r="A156" s="33" t="s">
        <v>867</v>
      </c>
      <c r="B156" s="33" t="s">
        <v>866</v>
      </c>
      <c r="C156" s="33" t="s">
        <v>235</v>
      </c>
      <c r="D156" s="39">
        <v>45841.0</v>
      </c>
      <c r="E156" s="40">
        <v>12800.0</v>
      </c>
      <c r="F156" s="33" t="s">
        <v>248</v>
      </c>
      <c r="G156" s="33" t="s">
        <v>181</v>
      </c>
      <c r="H156" s="33" t="s">
        <v>181</v>
      </c>
      <c r="I156" s="33" t="s">
        <v>181</v>
      </c>
      <c r="J156" s="33" t="s">
        <v>181</v>
      </c>
      <c r="K156" s="33" t="s">
        <v>157</v>
      </c>
    </row>
    <row r="157" ht="15.75" customHeight="1">
      <c r="A157" s="33" t="s">
        <v>873</v>
      </c>
      <c r="B157" s="33" t="s">
        <v>872</v>
      </c>
      <c r="C157" s="33" t="s">
        <v>235</v>
      </c>
      <c r="D157" s="39">
        <v>46083.0</v>
      </c>
      <c r="E157" s="40">
        <v>13400.0</v>
      </c>
      <c r="F157" s="33" t="s">
        <v>230</v>
      </c>
      <c r="G157" s="33" t="s">
        <v>181</v>
      </c>
      <c r="H157" s="33" t="s">
        <v>181</v>
      </c>
      <c r="I157" s="33" t="s">
        <v>181</v>
      </c>
      <c r="J157" s="33" t="s">
        <v>181</v>
      </c>
      <c r="K157" s="33" t="s">
        <v>157</v>
      </c>
    </row>
    <row r="158" ht="15.75" customHeight="1">
      <c r="A158" s="33" t="s">
        <v>1417</v>
      </c>
      <c r="B158" s="33" t="s">
        <v>919</v>
      </c>
      <c r="C158" s="33" t="s">
        <v>247</v>
      </c>
      <c r="D158" s="39">
        <v>46032.0</v>
      </c>
      <c r="E158" s="40">
        <v>32000.0</v>
      </c>
      <c r="F158" s="33" t="s">
        <v>241</v>
      </c>
      <c r="G158" s="33" t="s">
        <v>181</v>
      </c>
      <c r="H158" s="33" t="s">
        <v>189</v>
      </c>
      <c r="I158" s="33" t="s">
        <v>189</v>
      </c>
      <c r="J158" s="33" t="s">
        <v>189</v>
      </c>
      <c r="K158" s="33" t="s">
        <v>262</v>
      </c>
    </row>
    <row r="159" ht="15.75" customHeight="1">
      <c r="A159" s="33" t="s">
        <v>1428</v>
      </c>
      <c r="B159" s="33" t="s">
        <v>1430</v>
      </c>
      <c r="C159" s="33" t="s">
        <v>247</v>
      </c>
      <c r="D159" s="39">
        <v>45976.0</v>
      </c>
      <c r="E159" s="40">
        <v>37200.0</v>
      </c>
      <c r="F159" s="33" t="s">
        <v>241</v>
      </c>
      <c r="G159" s="33" t="s">
        <v>181</v>
      </c>
      <c r="H159" s="33" t="s">
        <v>189</v>
      </c>
      <c r="I159" s="33" t="s">
        <v>189</v>
      </c>
      <c r="J159" s="33" t="s">
        <v>189</v>
      </c>
      <c r="K159" s="33" t="s">
        <v>262</v>
      </c>
    </row>
    <row r="160" ht="15.75" customHeight="1">
      <c r="A160" s="33" t="s">
        <v>1440</v>
      </c>
      <c r="B160" s="33" t="s">
        <v>402</v>
      </c>
      <c r="C160" s="33" t="s">
        <v>227</v>
      </c>
      <c r="D160" s="39">
        <v>45836.0</v>
      </c>
      <c r="E160" s="40">
        <v>21000.0</v>
      </c>
      <c r="F160" s="33" t="s">
        <v>248</v>
      </c>
      <c r="G160" s="33" t="s">
        <v>181</v>
      </c>
      <c r="H160" s="33" t="s">
        <v>181</v>
      </c>
      <c r="I160" s="33" t="s">
        <v>181</v>
      </c>
      <c r="J160" s="33" t="s">
        <v>189</v>
      </c>
      <c r="K160" s="33" t="s">
        <v>365</v>
      </c>
    </row>
    <row r="161" ht="15.75" customHeight="1">
      <c r="A161" s="33" t="s">
        <v>881</v>
      </c>
      <c r="B161" s="33" t="s">
        <v>880</v>
      </c>
      <c r="C161" s="33" t="s">
        <v>235</v>
      </c>
      <c r="D161" s="39">
        <v>46184.0</v>
      </c>
      <c r="E161" s="40">
        <v>47300.0</v>
      </c>
      <c r="F161" s="33" t="s">
        <v>248</v>
      </c>
      <c r="G161" s="33" t="s">
        <v>181</v>
      </c>
      <c r="H161" s="33" t="s">
        <v>181</v>
      </c>
      <c r="I161" s="33" t="s">
        <v>181</v>
      </c>
      <c r="J161" s="33" t="s">
        <v>181</v>
      </c>
      <c r="K161" s="33" t="s">
        <v>157</v>
      </c>
    </row>
    <row r="162" ht="15.75" customHeight="1">
      <c r="A162" s="33" t="s">
        <v>1460</v>
      </c>
      <c r="B162" s="33" t="s">
        <v>1462</v>
      </c>
      <c r="C162" s="33" t="s">
        <v>227</v>
      </c>
      <c r="D162" s="39">
        <v>46146.0</v>
      </c>
      <c r="E162" s="40">
        <v>8900.0</v>
      </c>
      <c r="F162" s="33" t="s">
        <v>248</v>
      </c>
      <c r="G162" s="33" t="s">
        <v>181</v>
      </c>
      <c r="H162" s="33" t="s">
        <v>189</v>
      </c>
      <c r="I162" s="33" t="s">
        <v>189</v>
      </c>
      <c r="J162" s="33" t="s">
        <v>189</v>
      </c>
      <c r="K162" s="33" t="s">
        <v>262</v>
      </c>
    </row>
    <row r="163" ht="15.75" customHeight="1">
      <c r="A163" s="33" t="s">
        <v>1474</v>
      </c>
      <c r="B163" s="33" t="s">
        <v>1476</v>
      </c>
      <c r="C163" s="33" t="s">
        <v>247</v>
      </c>
      <c r="D163" s="39">
        <v>46109.0</v>
      </c>
      <c r="E163" s="40">
        <v>26800.0</v>
      </c>
      <c r="F163" s="33" t="s">
        <v>269</v>
      </c>
      <c r="G163" s="33" t="s">
        <v>181</v>
      </c>
      <c r="H163" s="33" t="s">
        <v>189</v>
      </c>
      <c r="I163" s="33" t="s">
        <v>189</v>
      </c>
      <c r="J163" s="33" t="s">
        <v>189</v>
      </c>
      <c r="K163" s="33" t="s">
        <v>262</v>
      </c>
    </row>
    <row r="164" ht="15.75" customHeight="1">
      <c r="A164" s="33" t="s">
        <v>885</v>
      </c>
      <c r="B164" s="33" t="s">
        <v>884</v>
      </c>
      <c r="C164" s="33" t="s">
        <v>227</v>
      </c>
      <c r="D164" s="39">
        <v>46153.0</v>
      </c>
      <c r="E164" s="40">
        <v>31200.0</v>
      </c>
      <c r="F164" s="33" t="s">
        <v>230</v>
      </c>
      <c r="G164" s="33" t="s">
        <v>181</v>
      </c>
      <c r="H164" s="33" t="s">
        <v>181</v>
      </c>
      <c r="I164" s="33" t="s">
        <v>181</v>
      </c>
      <c r="J164" s="33" t="s">
        <v>181</v>
      </c>
      <c r="K164" s="33" t="s">
        <v>157</v>
      </c>
    </row>
    <row r="165" ht="15.75" customHeight="1">
      <c r="A165" s="33" t="s">
        <v>1502</v>
      </c>
      <c r="B165" s="33" t="s">
        <v>1505</v>
      </c>
      <c r="C165" s="33" t="s">
        <v>247</v>
      </c>
      <c r="D165" s="39">
        <v>45947.0</v>
      </c>
      <c r="E165" s="40">
        <v>31300.0</v>
      </c>
      <c r="F165" s="33" t="s">
        <v>248</v>
      </c>
      <c r="G165" s="33" t="s">
        <v>189</v>
      </c>
      <c r="H165" s="33" t="s">
        <v>189</v>
      </c>
      <c r="I165" s="33" t="s">
        <v>189</v>
      </c>
      <c r="J165" s="33" t="s">
        <v>189</v>
      </c>
      <c r="K165" s="33" t="s">
        <v>252</v>
      </c>
    </row>
    <row r="166" ht="15.75" customHeight="1">
      <c r="A166" s="33" t="s">
        <v>1513</v>
      </c>
      <c r="B166" s="33" t="s">
        <v>1422</v>
      </c>
      <c r="C166" s="33" t="s">
        <v>227</v>
      </c>
      <c r="D166" s="39">
        <v>46039.0</v>
      </c>
      <c r="E166" s="40">
        <v>33200.0</v>
      </c>
      <c r="F166" s="33" t="s">
        <v>248</v>
      </c>
      <c r="G166" s="33" t="s">
        <v>181</v>
      </c>
      <c r="H166" s="33" t="s">
        <v>189</v>
      </c>
      <c r="I166" s="33" t="s">
        <v>189</v>
      </c>
      <c r="J166" s="33" t="s">
        <v>189</v>
      </c>
      <c r="K166" s="33" t="s">
        <v>262</v>
      </c>
    </row>
    <row r="167" ht="15.75" customHeight="1">
      <c r="A167" s="33" t="s">
        <v>892</v>
      </c>
      <c r="B167" s="33" t="s">
        <v>891</v>
      </c>
      <c r="C167" s="33" t="s">
        <v>247</v>
      </c>
      <c r="D167" s="39">
        <v>45788.0</v>
      </c>
      <c r="E167" s="40">
        <v>32100.0</v>
      </c>
      <c r="F167" s="33" t="s">
        <v>248</v>
      </c>
      <c r="G167" s="33" t="s">
        <v>181</v>
      </c>
      <c r="H167" s="33" t="s">
        <v>181</v>
      </c>
      <c r="I167" s="33" t="s">
        <v>181</v>
      </c>
      <c r="J167" s="33" t="s">
        <v>181</v>
      </c>
      <c r="K167" s="33" t="s">
        <v>157</v>
      </c>
    </row>
    <row r="168" ht="15.75" customHeight="1">
      <c r="A168" s="33" t="s">
        <v>1534</v>
      </c>
      <c r="B168" s="33" t="s">
        <v>926</v>
      </c>
      <c r="C168" s="33" t="s">
        <v>235</v>
      </c>
      <c r="D168" s="39">
        <v>46133.0</v>
      </c>
      <c r="E168" s="40">
        <v>39800.0</v>
      </c>
      <c r="F168" s="33" t="s">
        <v>241</v>
      </c>
      <c r="G168" s="33" t="s">
        <v>181</v>
      </c>
      <c r="H168" s="33" t="s">
        <v>189</v>
      </c>
      <c r="I168" s="33" t="s">
        <v>189</v>
      </c>
      <c r="J168" s="33" t="s">
        <v>189</v>
      </c>
      <c r="K168" s="33" t="s">
        <v>262</v>
      </c>
    </row>
    <row r="169" ht="15.75" customHeight="1">
      <c r="A169" s="33" t="s">
        <v>1552</v>
      </c>
      <c r="B169" s="33" t="s">
        <v>1555</v>
      </c>
      <c r="C169" s="33" t="s">
        <v>227</v>
      </c>
      <c r="D169" s="39">
        <v>45668.0</v>
      </c>
      <c r="E169" s="40">
        <v>40900.0</v>
      </c>
      <c r="F169" s="33" t="s">
        <v>230</v>
      </c>
      <c r="G169" s="33" t="s">
        <v>181</v>
      </c>
      <c r="H169" s="33" t="s">
        <v>181</v>
      </c>
      <c r="I169" s="33" t="s">
        <v>181</v>
      </c>
      <c r="J169" s="33" t="s">
        <v>189</v>
      </c>
      <c r="K169" s="33" t="s">
        <v>365</v>
      </c>
    </row>
    <row r="170" ht="15.75" customHeight="1">
      <c r="A170" s="33" t="s">
        <v>896</v>
      </c>
      <c r="B170" s="33" t="s">
        <v>258</v>
      </c>
      <c r="C170" s="33" t="s">
        <v>227</v>
      </c>
      <c r="D170" s="39">
        <v>45966.0</v>
      </c>
      <c r="E170" s="40">
        <v>48900.0</v>
      </c>
      <c r="F170" s="33" t="s">
        <v>241</v>
      </c>
      <c r="G170" s="33" t="s">
        <v>181</v>
      </c>
      <c r="H170" s="33" t="s">
        <v>181</v>
      </c>
      <c r="I170" s="33" t="s">
        <v>181</v>
      </c>
      <c r="J170" s="33" t="s">
        <v>181</v>
      </c>
      <c r="K170" s="33" t="s">
        <v>157</v>
      </c>
    </row>
    <row r="171" ht="15.75" customHeight="1">
      <c r="A171" s="33" t="s">
        <v>903</v>
      </c>
      <c r="B171" s="33" t="s">
        <v>902</v>
      </c>
      <c r="C171" s="33" t="s">
        <v>235</v>
      </c>
      <c r="D171" s="39">
        <v>45782.0</v>
      </c>
      <c r="E171" s="40">
        <v>47000.0</v>
      </c>
      <c r="F171" s="33" t="s">
        <v>230</v>
      </c>
      <c r="G171" s="33" t="s">
        <v>181</v>
      </c>
      <c r="H171" s="33" t="s">
        <v>181</v>
      </c>
      <c r="I171" s="33" t="s">
        <v>181</v>
      </c>
      <c r="J171" s="33" t="s">
        <v>181</v>
      </c>
      <c r="K171" s="33" t="s">
        <v>157</v>
      </c>
    </row>
    <row r="172" ht="15.75" customHeight="1">
      <c r="A172" s="33" t="s">
        <v>1574</v>
      </c>
      <c r="B172" s="33" t="s">
        <v>323</v>
      </c>
      <c r="C172" s="33" t="s">
        <v>227</v>
      </c>
      <c r="D172" s="39">
        <v>46019.0</v>
      </c>
      <c r="E172" s="40">
        <v>26500.0</v>
      </c>
      <c r="F172" s="33" t="s">
        <v>230</v>
      </c>
      <c r="G172" s="33" t="s">
        <v>181</v>
      </c>
      <c r="H172" s="33" t="s">
        <v>189</v>
      </c>
      <c r="I172" s="33" t="s">
        <v>189</v>
      </c>
      <c r="J172" s="33" t="s">
        <v>189</v>
      </c>
      <c r="K172" s="33" t="s">
        <v>262</v>
      </c>
    </row>
    <row r="173" ht="15.75" customHeight="1">
      <c r="A173" s="33" t="s">
        <v>909</v>
      </c>
      <c r="B173" s="33" t="s">
        <v>908</v>
      </c>
      <c r="C173" s="33" t="s">
        <v>247</v>
      </c>
      <c r="D173" s="39">
        <v>45828.0</v>
      </c>
      <c r="E173" s="40">
        <v>35600.0</v>
      </c>
      <c r="F173" s="33" t="s">
        <v>241</v>
      </c>
      <c r="G173" s="33" t="s">
        <v>181</v>
      </c>
      <c r="H173" s="33" t="s">
        <v>181</v>
      </c>
      <c r="I173" s="33" t="s">
        <v>181</v>
      </c>
      <c r="J173" s="33" t="s">
        <v>181</v>
      </c>
      <c r="K173" s="33" t="s">
        <v>157</v>
      </c>
    </row>
    <row r="174" ht="15.75" customHeight="1">
      <c r="A174" s="33" t="s">
        <v>1588</v>
      </c>
      <c r="B174" s="33" t="s">
        <v>569</v>
      </c>
      <c r="C174" s="33" t="s">
        <v>235</v>
      </c>
      <c r="D174" s="39">
        <v>46243.0</v>
      </c>
      <c r="E174" s="40">
        <v>20700.0</v>
      </c>
      <c r="F174" s="33" t="s">
        <v>248</v>
      </c>
      <c r="G174" s="33" t="s">
        <v>189</v>
      </c>
      <c r="H174" s="33" t="s">
        <v>189</v>
      </c>
      <c r="I174" s="33" t="s">
        <v>189</v>
      </c>
      <c r="J174" s="33" t="s">
        <v>189</v>
      </c>
      <c r="K174" s="33" t="s">
        <v>252</v>
      </c>
    </row>
    <row r="175" ht="15.75" customHeight="1">
      <c r="A175" s="33" t="s">
        <v>1596</v>
      </c>
      <c r="B175" s="33" t="s">
        <v>1118</v>
      </c>
      <c r="C175" s="33" t="s">
        <v>247</v>
      </c>
      <c r="D175" s="39">
        <v>45729.0</v>
      </c>
      <c r="E175" s="40">
        <v>32900.0</v>
      </c>
      <c r="F175" s="33" t="s">
        <v>230</v>
      </c>
      <c r="G175" s="33" t="s">
        <v>189</v>
      </c>
      <c r="H175" s="33" t="s">
        <v>189</v>
      </c>
      <c r="I175" s="33" t="s">
        <v>189</v>
      </c>
      <c r="J175" s="33" t="s">
        <v>189</v>
      </c>
      <c r="K175" s="33" t="s">
        <v>252</v>
      </c>
    </row>
    <row r="176" ht="15.75" customHeight="1">
      <c r="A176" s="33" t="s">
        <v>1604</v>
      </c>
      <c r="B176" s="33" t="s">
        <v>1585</v>
      </c>
      <c r="C176" s="33" t="s">
        <v>227</v>
      </c>
      <c r="D176" s="39">
        <v>46157.0</v>
      </c>
      <c r="E176" s="40">
        <v>1400.0</v>
      </c>
      <c r="F176" s="33" t="s">
        <v>248</v>
      </c>
      <c r="G176" s="33" t="s">
        <v>181</v>
      </c>
      <c r="H176" s="33" t="s">
        <v>189</v>
      </c>
      <c r="I176" s="33" t="s">
        <v>189</v>
      </c>
      <c r="J176" s="33" t="s">
        <v>189</v>
      </c>
      <c r="K176" s="33" t="s">
        <v>262</v>
      </c>
    </row>
    <row r="177" ht="15.75" customHeight="1">
      <c r="A177" s="33" t="s">
        <v>914</v>
      </c>
      <c r="B177" s="33" t="s">
        <v>665</v>
      </c>
      <c r="C177" s="33" t="s">
        <v>247</v>
      </c>
      <c r="D177" s="39">
        <v>46064.0</v>
      </c>
      <c r="E177" s="40">
        <v>19000.0</v>
      </c>
      <c r="F177" s="33" t="s">
        <v>241</v>
      </c>
      <c r="G177" s="33" t="s">
        <v>181</v>
      </c>
      <c r="H177" s="33" t="s">
        <v>181</v>
      </c>
      <c r="I177" s="33" t="s">
        <v>181</v>
      </c>
      <c r="J177" s="33" t="s">
        <v>181</v>
      </c>
      <c r="K177" s="33" t="s">
        <v>157</v>
      </c>
    </row>
    <row r="178" ht="15.75" customHeight="1">
      <c r="A178" s="33" t="s">
        <v>921</v>
      </c>
      <c r="B178" s="33" t="s">
        <v>920</v>
      </c>
      <c r="C178" s="33" t="s">
        <v>235</v>
      </c>
      <c r="D178" s="39">
        <v>46262.0</v>
      </c>
      <c r="E178" s="40">
        <v>45800.0</v>
      </c>
      <c r="F178" s="33" t="s">
        <v>230</v>
      </c>
      <c r="G178" s="33" t="s">
        <v>181</v>
      </c>
      <c r="H178" s="33" t="s">
        <v>181</v>
      </c>
      <c r="I178" s="33" t="s">
        <v>181</v>
      </c>
      <c r="J178" s="33" t="s">
        <v>181</v>
      </c>
      <c r="K178" s="33" t="s">
        <v>157</v>
      </c>
    </row>
    <row r="179" ht="15.75" customHeight="1">
      <c r="A179" s="33" t="s">
        <v>1627</v>
      </c>
      <c r="B179" s="33" t="s">
        <v>381</v>
      </c>
      <c r="C179" s="33" t="s">
        <v>227</v>
      </c>
      <c r="D179" s="39">
        <v>45855.0</v>
      </c>
      <c r="E179" s="40">
        <v>34100.0</v>
      </c>
      <c r="F179" s="33" t="s">
        <v>230</v>
      </c>
      <c r="G179" s="33" t="s">
        <v>189</v>
      </c>
      <c r="H179" s="33" t="s">
        <v>189</v>
      </c>
      <c r="I179" s="33" t="s">
        <v>189</v>
      </c>
      <c r="J179" s="33" t="s">
        <v>189</v>
      </c>
      <c r="K179" s="33" t="s">
        <v>252</v>
      </c>
    </row>
    <row r="180" ht="15.75" customHeight="1">
      <c r="A180" s="33" t="s">
        <v>1632</v>
      </c>
      <c r="B180" s="33" t="s">
        <v>605</v>
      </c>
      <c r="C180" s="33" t="s">
        <v>247</v>
      </c>
      <c r="D180" s="39">
        <v>46085.0</v>
      </c>
      <c r="E180" s="40">
        <v>1800.0</v>
      </c>
      <c r="F180" s="33" t="s">
        <v>230</v>
      </c>
      <c r="G180" s="33" t="s">
        <v>189</v>
      </c>
      <c r="H180" s="33" t="s">
        <v>189</v>
      </c>
      <c r="I180" s="33" t="s">
        <v>189</v>
      </c>
      <c r="J180" s="33" t="s">
        <v>189</v>
      </c>
      <c r="K180" s="33" t="s">
        <v>252</v>
      </c>
    </row>
    <row r="181" ht="15.75" customHeight="1">
      <c r="A181" s="33" t="s">
        <v>1638</v>
      </c>
      <c r="B181" s="33" t="s">
        <v>344</v>
      </c>
      <c r="C181" s="33" t="s">
        <v>227</v>
      </c>
      <c r="D181" s="39">
        <v>45676.0</v>
      </c>
      <c r="E181" s="40">
        <v>26600.0</v>
      </c>
      <c r="F181" s="33" t="s">
        <v>248</v>
      </c>
      <c r="G181" s="33" t="s">
        <v>189</v>
      </c>
      <c r="H181" s="33" t="s">
        <v>189</v>
      </c>
      <c r="I181" s="33" t="s">
        <v>189</v>
      </c>
      <c r="J181" s="33" t="s">
        <v>189</v>
      </c>
      <c r="K181" s="33" t="s">
        <v>252</v>
      </c>
    </row>
    <row r="182" ht="15.75" customHeight="1">
      <c r="A182" s="33" t="s">
        <v>927</v>
      </c>
      <c r="B182" s="33" t="s">
        <v>926</v>
      </c>
      <c r="C182" s="33" t="s">
        <v>235</v>
      </c>
      <c r="D182" s="39">
        <v>46068.0</v>
      </c>
      <c r="E182" s="40">
        <v>18900.0</v>
      </c>
      <c r="F182" s="33" t="s">
        <v>241</v>
      </c>
      <c r="G182" s="33" t="s">
        <v>181</v>
      </c>
      <c r="H182" s="33" t="s">
        <v>181</v>
      </c>
      <c r="I182" s="33" t="s">
        <v>181</v>
      </c>
      <c r="J182" s="33" t="s">
        <v>181</v>
      </c>
      <c r="K182" s="33" t="s">
        <v>157</v>
      </c>
    </row>
    <row r="183" ht="15.75" customHeight="1">
      <c r="A183" s="33" t="s">
        <v>1658</v>
      </c>
      <c r="B183" s="33" t="s">
        <v>1661</v>
      </c>
      <c r="C183" s="33" t="s">
        <v>227</v>
      </c>
      <c r="D183" s="39">
        <v>45923.0</v>
      </c>
      <c r="E183" s="40">
        <v>40600.0</v>
      </c>
      <c r="F183" s="33" t="s">
        <v>241</v>
      </c>
      <c r="G183" s="33" t="s">
        <v>189</v>
      </c>
      <c r="H183" s="33" t="s">
        <v>189</v>
      </c>
      <c r="I183" s="33" t="s">
        <v>189</v>
      </c>
      <c r="J183" s="33" t="s">
        <v>189</v>
      </c>
      <c r="K183" s="33" t="s">
        <v>252</v>
      </c>
    </row>
    <row r="184" ht="15.75" customHeight="1">
      <c r="A184" s="33" t="s">
        <v>1668</v>
      </c>
      <c r="B184" s="33" t="s">
        <v>1669</v>
      </c>
      <c r="C184" s="33" t="s">
        <v>227</v>
      </c>
      <c r="D184" s="39">
        <v>46098.0</v>
      </c>
      <c r="E184" s="40">
        <v>6600.0</v>
      </c>
      <c r="F184" s="33" t="s">
        <v>248</v>
      </c>
      <c r="G184" s="33" t="s">
        <v>181</v>
      </c>
      <c r="H184" s="33" t="s">
        <v>189</v>
      </c>
      <c r="I184" s="33" t="s">
        <v>189</v>
      </c>
      <c r="J184" s="33" t="s">
        <v>189</v>
      </c>
      <c r="K184" s="33" t="s">
        <v>262</v>
      </c>
    </row>
    <row r="185" ht="15.75" customHeight="1">
      <c r="A185" s="33" t="s">
        <v>1678</v>
      </c>
      <c r="B185" s="33" t="s">
        <v>1679</v>
      </c>
      <c r="C185" s="33" t="s">
        <v>227</v>
      </c>
      <c r="D185" s="39">
        <v>46134.0</v>
      </c>
      <c r="E185" s="40">
        <v>30600.0</v>
      </c>
      <c r="F185" s="33" t="s">
        <v>269</v>
      </c>
      <c r="G185" s="33" t="s">
        <v>181</v>
      </c>
      <c r="H185" s="33" t="s">
        <v>189</v>
      </c>
      <c r="I185" s="33" t="s">
        <v>189</v>
      </c>
      <c r="J185" s="33" t="s">
        <v>189</v>
      </c>
      <c r="K185" s="33" t="s">
        <v>262</v>
      </c>
    </row>
    <row r="186" ht="15.75" customHeight="1">
      <c r="A186" s="33" t="s">
        <v>933</v>
      </c>
      <c r="B186" s="33" t="s">
        <v>931</v>
      </c>
      <c r="C186" s="33" t="s">
        <v>235</v>
      </c>
      <c r="D186" s="39">
        <v>45953.0</v>
      </c>
      <c r="E186" s="40">
        <v>35900.0</v>
      </c>
      <c r="F186" s="33" t="s">
        <v>230</v>
      </c>
      <c r="G186" s="33" t="s">
        <v>181</v>
      </c>
      <c r="H186" s="33" t="s">
        <v>181</v>
      </c>
      <c r="I186" s="33" t="s">
        <v>181</v>
      </c>
      <c r="J186" s="33" t="s">
        <v>181</v>
      </c>
      <c r="K186" s="33" t="s">
        <v>157</v>
      </c>
    </row>
    <row r="187" ht="15.75" customHeight="1">
      <c r="A187" s="33" t="s">
        <v>937</v>
      </c>
      <c r="B187" s="33" t="s">
        <v>936</v>
      </c>
      <c r="C187" s="33" t="s">
        <v>247</v>
      </c>
      <c r="D187" s="39">
        <v>45864.0</v>
      </c>
      <c r="E187" s="40">
        <v>30200.0</v>
      </c>
      <c r="F187" s="33" t="s">
        <v>230</v>
      </c>
      <c r="G187" s="33" t="s">
        <v>181</v>
      </c>
      <c r="H187" s="33" t="s">
        <v>181</v>
      </c>
      <c r="I187" s="33" t="s">
        <v>181</v>
      </c>
      <c r="J187" s="33" t="s">
        <v>181</v>
      </c>
      <c r="K187" s="33" t="s">
        <v>157</v>
      </c>
    </row>
    <row r="188" ht="15.75" customHeight="1">
      <c r="A188" s="33" t="s">
        <v>1697</v>
      </c>
      <c r="B188" s="33" t="s">
        <v>1329</v>
      </c>
      <c r="C188" s="33" t="s">
        <v>227</v>
      </c>
      <c r="D188" s="39">
        <v>46090.0</v>
      </c>
      <c r="E188" s="40">
        <v>14400.0</v>
      </c>
      <c r="F188" s="33" t="s">
        <v>230</v>
      </c>
      <c r="G188" s="33" t="s">
        <v>189</v>
      </c>
      <c r="H188" s="33" t="s">
        <v>189</v>
      </c>
      <c r="I188" s="33" t="s">
        <v>189</v>
      </c>
      <c r="J188" s="33" t="s">
        <v>189</v>
      </c>
      <c r="K188" s="33" t="s">
        <v>252</v>
      </c>
    </row>
    <row r="189" ht="15.75" customHeight="1">
      <c r="A189" s="33" t="s">
        <v>1706</v>
      </c>
      <c r="B189" s="33" t="s">
        <v>923</v>
      </c>
      <c r="C189" s="33" t="s">
        <v>227</v>
      </c>
      <c r="D189" s="39">
        <v>46205.0</v>
      </c>
      <c r="E189" s="40">
        <v>39900.0</v>
      </c>
      <c r="F189" s="33" t="s">
        <v>241</v>
      </c>
      <c r="G189" s="33" t="s">
        <v>181</v>
      </c>
      <c r="H189" s="33" t="s">
        <v>189</v>
      </c>
      <c r="I189" s="33" t="s">
        <v>189</v>
      </c>
      <c r="J189" s="33" t="s">
        <v>189</v>
      </c>
      <c r="K189" s="33" t="s">
        <v>262</v>
      </c>
    </row>
    <row r="190" ht="15.75" customHeight="1">
      <c r="A190" s="33" t="s">
        <v>1714</v>
      </c>
      <c r="B190" s="33" t="s">
        <v>1716</v>
      </c>
      <c r="C190" s="33" t="s">
        <v>235</v>
      </c>
      <c r="D190" s="39">
        <v>45876.0</v>
      </c>
      <c r="E190" s="40">
        <v>39900.0</v>
      </c>
      <c r="F190" s="33" t="s">
        <v>248</v>
      </c>
      <c r="G190" s="33" t="s">
        <v>189</v>
      </c>
      <c r="H190" s="33" t="s">
        <v>189</v>
      </c>
      <c r="I190" s="33" t="s">
        <v>189</v>
      </c>
      <c r="J190" s="33" t="s">
        <v>189</v>
      </c>
      <c r="K190" s="33" t="s">
        <v>252</v>
      </c>
    </row>
    <row r="191" ht="15.75" customHeight="1">
      <c r="A191" s="33" t="s">
        <v>942</v>
      </c>
      <c r="B191" s="33" t="s">
        <v>941</v>
      </c>
      <c r="C191" s="33" t="s">
        <v>227</v>
      </c>
      <c r="D191" s="39">
        <v>46175.0</v>
      </c>
      <c r="E191" s="40">
        <v>18700.0</v>
      </c>
      <c r="F191" s="33" t="s">
        <v>230</v>
      </c>
      <c r="G191" s="33" t="s">
        <v>181</v>
      </c>
      <c r="H191" s="33" t="s">
        <v>181</v>
      </c>
      <c r="I191" s="33" t="s">
        <v>181</v>
      </c>
      <c r="J191" s="33" t="s">
        <v>181</v>
      </c>
      <c r="K191" s="33" t="s">
        <v>157</v>
      </c>
    </row>
    <row r="192" ht="15.75" customHeight="1">
      <c r="A192" s="33" t="s">
        <v>950</v>
      </c>
      <c r="B192" s="33" t="s">
        <v>948</v>
      </c>
      <c r="C192" s="33" t="s">
        <v>247</v>
      </c>
      <c r="D192" s="39">
        <v>45927.0</v>
      </c>
      <c r="E192" s="40">
        <v>14100.0</v>
      </c>
      <c r="F192" s="33" t="s">
        <v>269</v>
      </c>
      <c r="G192" s="33" t="s">
        <v>181</v>
      </c>
      <c r="H192" s="33" t="s">
        <v>181</v>
      </c>
      <c r="I192" s="33" t="s">
        <v>181</v>
      </c>
      <c r="J192" s="33" t="s">
        <v>181</v>
      </c>
      <c r="K192" s="33" t="s">
        <v>157</v>
      </c>
    </row>
    <row r="193" ht="15.75" customHeight="1">
      <c r="A193" s="33" t="s">
        <v>1736</v>
      </c>
      <c r="B193" s="33" t="s">
        <v>1737</v>
      </c>
      <c r="C193" s="33" t="s">
        <v>247</v>
      </c>
      <c r="D193" s="39">
        <v>46197.0</v>
      </c>
      <c r="E193" s="40">
        <v>33500.0</v>
      </c>
      <c r="F193" s="33" t="s">
        <v>269</v>
      </c>
      <c r="G193" s="33" t="s">
        <v>181</v>
      </c>
      <c r="H193" s="33" t="s">
        <v>181</v>
      </c>
      <c r="I193" s="33" t="s">
        <v>181</v>
      </c>
      <c r="J193" s="33" t="s">
        <v>189</v>
      </c>
      <c r="K193" s="33" t="s">
        <v>365</v>
      </c>
    </row>
    <row r="194" ht="15.75" customHeight="1">
      <c r="A194" s="33" t="s">
        <v>1746</v>
      </c>
      <c r="B194" s="33" t="s">
        <v>1108</v>
      </c>
      <c r="C194" s="33" t="s">
        <v>247</v>
      </c>
      <c r="D194" s="39">
        <v>46051.0</v>
      </c>
      <c r="E194" s="40">
        <v>19000.0</v>
      </c>
      <c r="F194" s="33" t="s">
        <v>241</v>
      </c>
      <c r="G194" s="33" t="s">
        <v>181</v>
      </c>
      <c r="H194" s="33" t="s">
        <v>189</v>
      </c>
      <c r="I194" s="33" t="s">
        <v>189</v>
      </c>
      <c r="J194" s="33" t="s">
        <v>189</v>
      </c>
      <c r="K194" s="33" t="s">
        <v>262</v>
      </c>
    </row>
    <row r="195" ht="15.75" customHeight="1">
      <c r="A195" s="33" t="s">
        <v>957</v>
      </c>
      <c r="B195" s="33" t="s">
        <v>337</v>
      </c>
      <c r="C195" s="33" t="s">
        <v>247</v>
      </c>
      <c r="D195" s="39">
        <v>46063.0</v>
      </c>
      <c r="E195" s="40">
        <v>17900.0</v>
      </c>
      <c r="F195" s="33" t="s">
        <v>248</v>
      </c>
      <c r="G195" s="33" t="s">
        <v>181</v>
      </c>
      <c r="H195" s="33" t="s">
        <v>181</v>
      </c>
      <c r="I195" s="33" t="s">
        <v>181</v>
      </c>
      <c r="J195" s="33" t="s">
        <v>181</v>
      </c>
      <c r="K195" s="33" t="s">
        <v>157</v>
      </c>
    </row>
    <row r="196" ht="15.75" customHeight="1">
      <c r="A196" s="33" t="s">
        <v>965</v>
      </c>
      <c r="B196" s="33" t="s">
        <v>964</v>
      </c>
      <c r="C196" s="33" t="s">
        <v>235</v>
      </c>
      <c r="D196" s="39">
        <v>46075.0</v>
      </c>
      <c r="E196" s="40">
        <v>23100.0</v>
      </c>
      <c r="F196" s="33" t="s">
        <v>230</v>
      </c>
      <c r="G196" s="33" t="s">
        <v>181</v>
      </c>
      <c r="H196" s="33" t="s">
        <v>181</v>
      </c>
      <c r="I196" s="33" t="s">
        <v>181</v>
      </c>
      <c r="J196" s="33" t="s">
        <v>181</v>
      </c>
      <c r="K196" s="33" t="s">
        <v>157</v>
      </c>
    </row>
    <row r="197" ht="15.75" customHeight="1">
      <c r="A197" s="33" t="s">
        <v>1766</v>
      </c>
      <c r="B197" s="33" t="s">
        <v>1183</v>
      </c>
      <c r="C197" s="33" t="s">
        <v>227</v>
      </c>
      <c r="D197" s="39">
        <v>46147.0</v>
      </c>
      <c r="E197" s="40">
        <v>23400.0</v>
      </c>
      <c r="F197" s="33" t="s">
        <v>230</v>
      </c>
      <c r="G197" s="33" t="s">
        <v>189</v>
      </c>
      <c r="H197" s="33" t="s">
        <v>189</v>
      </c>
      <c r="I197" s="33" t="s">
        <v>189</v>
      </c>
      <c r="J197" s="33" t="s">
        <v>189</v>
      </c>
      <c r="K197" s="33" t="s">
        <v>252</v>
      </c>
    </row>
    <row r="198" ht="15.75" customHeight="1">
      <c r="A198" s="33" t="s">
        <v>1771</v>
      </c>
      <c r="B198" s="33" t="s">
        <v>1774</v>
      </c>
      <c r="C198" s="33" t="s">
        <v>247</v>
      </c>
      <c r="D198" s="39">
        <v>46180.0</v>
      </c>
      <c r="E198" s="40">
        <v>41700.0</v>
      </c>
      <c r="F198" s="33" t="s">
        <v>248</v>
      </c>
      <c r="G198" s="33" t="s">
        <v>189</v>
      </c>
      <c r="H198" s="33" t="s">
        <v>189</v>
      </c>
      <c r="I198" s="33" t="s">
        <v>189</v>
      </c>
      <c r="J198" s="33" t="s">
        <v>189</v>
      </c>
      <c r="K198" s="33" t="s">
        <v>252</v>
      </c>
    </row>
    <row r="199" ht="15.75" customHeight="1">
      <c r="A199" s="33" t="s">
        <v>970</v>
      </c>
      <c r="B199" s="33" t="s">
        <v>969</v>
      </c>
      <c r="C199" s="33" t="s">
        <v>227</v>
      </c>
      <c r="D199" s="39">
        <v>45894.0</v>
      </c>
      <c r="E199" s="40">
        <v>47700.0</v>
      </c>
      <c r="F199" s="33" t="s">
        <v>248</v>
      </c>
      <c r="G199" s="33" t="s">
        <v>181</v>
      </c>
      <c r="H199" s="33" t="s">
        <v>181</v>
      </c>
      <c r="I199" s="33" t="s">
        <v>181</v>
      </c>
      <c r="J199" s="33" t="s">
        <v>181</v>
      </c>
      <c r="K199" s="33" t="s">
        <v>157</v>
      </c>
    </row>
    <row r="200" ht="15.75" customHeight="1">
      <c r="A200" s="33" t="s">
        <v>1787</v>
      </c>
      <c r="B200" s="33" t="s">
        <v>362</v>
      </c>
      <c r="C200" s="33" t="s">
        <v>247</v>
      </c>
      <c r="D200" s="39">
        <v>46110.0</v>
      </c>
      <c r="E200" s="40">
        <v>36000.0</v>
      </c>
      <c r="F200" s="33" t="s">
        <v>241</v>
      </c>
      <c r="G200" s="33" t="s">
        <v>181</v>
      </c>
      <c r="H200" s="33" t="s">
        <v>189</v>
      </c>
      <c r="I200" s="33" t="s">
        <v>189</v>
      </c>
      <c r="J200" s="33" t="s">
        <v>189</v>
      </c>
      <c r="K200" s="33" t="s">
        <v>262</v>
      </c>
    </row>
    <row r="201" ht="15.75" customHeight="1">
      <c r="A201" s="33" t="s">
        <v>1794</v>
      </c>
      <c r="B201" s="33" t="s">
        <v>1796</v>
      </c>
      <c r="C201" s="33" t="s">
        <v>247</v>
      </c>
      <c r="D201" s="39">
        <v>46078.0</v>
      </c>
      <c r="E201" s="40">
        <v>5300.0</v>
      </c>
      <c r="F201" s="33" t="s">
        <v>248</v>
      </c>
      <c r="G201" s="33" t="s">
        <v>189</v>
      </c>
      <c r="H201" s="33" t="s">
        <v>189</v>
      </c>
      <c r="I201" s="33" t="s">
        <v>189</v>
      </c>
      <c r="J201" s="33" t="s">
        <v>189</v>
      </c>
      <c r="K201" s="33" t="s">
        <v>252</v>
      </c>
    </row>
    <row r="202" ht="15.75" customHeight="1">
      <c r="A202" s="33" t="s">
        <v>976</v>
      </c>
      <c r="B202" s="33" t="s">
        <v>975</v>
      </c>
      <c r="C202" s="33" t="s">
        <v>247</v>
      </c>
      <c r="D202" s="39">
        <v>46017.0</v>
      </c>
      <c r="E202" s="40">
        <v>17600.0</v>
      </c>
      <c r="F202" s="33" t="s">
        <v>230</v>
      </c>
      <c r="G202" s="33" t="s">
        <v>181</v>
      </c>
      <c r="H202" s="33" t="s">
        <v>181</v>
      </c>
      <c r="I202" s="33" t="s">
        <v>181</v>
      </c>
      <c r="J202" s="33" t="s">
        <v>181</v>
      </c>
      <c r="K202" s="33" t="s">
        <v>157</v>
      </c>
    </row>
    <row r="203" ht="15.75" customHeight="1">
      <c r="A203" s="33" t="s">
        <v>1814</v>
      </c>
      <c r="B203" s="33" t="s">
        <v>1656</v>
      </c>
      <c r="C203" s="33" t="s">
        <v>235</v>
      </c>
      <c r="D203" s="39">
        <v>45793.0</v>
      </c>
      <c r="E203" s="40">
        <v>10300.0</v>
      </c>
      <c r="F203" s="33" t="s">
        <v>248</v>
      </c>
      <c r="G203" s="33" t="s">
        <v>181</v>
      </c>
      <c r="H203" s="33" t="s">
        <v>189</v>
      </c>
      <c r="I203" s="33" t="s">
        <v>189</v>
      </c>
      <c r="J203" s="33" t="s">
        <v>189</v>
      </c>
      <c r="K203" s="33" t="s">
        <v>262</v>
      </c>
    </row>
    <row r="204" ht="15.75" customHeight="1">
      <c r="A204" s="33" t="s">
        <v>1821</v>
      </c>
      <c r="B204" s="33" t="s">
        <v>204</v>
      </c>
      <c r="C204" s="33" t="s">
        <v>235</v>
      </c>
      <c r="D204" s="39">
        <v>45940.0</v>
      </c>
      <c r="E204" s="40">
        <v>33500.0</v>
      </c>
      <c r="F204" s="33" t="s">
        <v>230</v>
      </c>
      <c r="G204" s="33" t="s">
        <v>181</v>
      </c>
      <c r="H204" s="33" t="s">
        <v>181</v>
      </c>
      <c r="I204" s="33" t="s">
        <v>181</v>
      </c>
      <c r="J204" s="33" t="s">
        <v>189</v>
      </c>
      <c r="K204" s="33" t="s">
        <v>365</v>
      </c>
    </row>
    <row r="205" ht="15.75" customHeight="1">
      <c r="A205" s="33" t="s">
        <v>1829</v>
      </c>
      <c r="B205" s="33" t="s">
        <v>1830</v>
      </c>
      <c r="C205" s="33" t="s">
        <v>227</v>
      </c>
      <c r="D205" s="39">
        <v>45782.0</v>
      </c>
      <c r="E205" s="40">
        <v>30300.0</v>
      </c>
      <c r="F205" s="33" t="s">
        <v>241</v>
      </c>
      <c r="G205" s="33" t="s">
        <v>189</v>
      </c>
      <c r="H205" s="33" t="s">
        <v>189</v>
      </c>
      <c r="I205" s="33" t="s">
        <v>189</v>
      </c>
      <c r="J205" s="33" t="s">
        <v>189</v>
      </c>
      <c r="K205" s="33" t="s">
        <v>252</v>
      </c>
    </row>
    <row r="206" ht="15.75" customHeight="1">
      <c r="A206" s="33" t="s">
        <v>1837</v>
      </c>
      <c r="B206" s="33" t="s">
        <v>1216</v>
      </c>
      <c r="C206" s="33" t="s">
        <v>247</v>
      </c>
      <c r="D206" s="39">
        <v>45740.0</v>
      </c>
      <c r="E206" s="40">
        <v>49100.0</v>
      </c>
      <c r="F206" s="33" t="s">
        <v>230</v>
      </c>
      <c r="G206" s="33" t="s">
        <v>181</v>
      </c>
      <c r="H206" s="33" t="s">
        <v>189</v>
      </c>
      <c r="I206" s="33" t="s">
        <v>189</v>
      </c>
      <c r="J206" s="33" t="s">
        <v>189</v>
      </c>
      <c r="K206" s="33" t="s">
        <v>262</v>
      </c>
    </row>
    <row r="207" ht="15.75" customHeight="1">
      <c r="A207" s="33" t="s">
        <v>1846</v>
      </c>
      <c r="B207" s="33" t="s">
        <v>1842</v>
      </c>
      <c r="C207" s="33" t="s">
        <v>247</v>
      </c>
      <c r="D207" s="39">
        <v>46230.0</v>
      </c>
      <c r="E207" s="40">
        <v>22900.0</v>
      </c>
      <c r="F207" s="33" t="s">
        <v>241</v>
      </c>
      <c r="G207" s="33" t="s">
        <v>189</v>
      </c>
      <c r="H207" s="33" t="s">
        <v>189</v>
      </c>
      <c r="I207" s="33" t="s">
        <v>189</v>
      </c>
      <c r="J207" s="33" t="s">
        <v>189</v>
      </c>
      <c r="K207" s="33" t="s">
        <v>252</v>
      </c>
    </row>
    <row r="208" ht="15.75" customHeight="1">
      <c r="A208" s="33" t="s">
        <v>980</v>
      </c>
      <c r="B208" s="33" t="s">
        <v>460</v>
      </c>
      <c r="C208" s="33" t="s">
        <v>235</v>
      </c>
      <c r="D208" s="39">
        <v>46097.0</v>
      </c>
      <c r="E208" s="40">
        <v>6200.0</v>
      </c>
      <c r="F208" s="33" t="s">
        <v>248</v>
      </c>
      <c r="G208" s="33" t="s">
        <v>181</v>
      </c>
      <c r="H208" s="33" t="s">
        <v>181</v>
      </c>
      <c r="I208" s="33" t="s">
        <v>181</v>
      </c>
      <c r="J208" s="33" t="s">
        <v>181</v>
      </c>
      <c r="K208" s="33" t="s">
        <v>157</v>
      </c>
    </row>
    <row r="209" ht="15.75" customHeight="1">
      <c r="A209" s="33" t="s">
        <v>986</v>
      </c>
      <c r="B209" s="33" t="s">
        <v>737</v>
      </c>
      <c r="C209" s="33" t="s">
        <v>227</v>
      </c>
      <c r="D209" s="39">
        <v>45991.0</v>
      </c>
      <c r="E209" s="40">
        <v>30300.0</v>
      </c>
      <c r="F209" s="33" t="s">
        <v>230</v>
      </c>
      <c r="G209" s="33" t="s">
        <v>181</v>
      </c>
      <c r="H209" s="33" t="s">
        <v>181</v>
      </c>
      <c r="I209" s="33" t="s">
        <v>181</v>
      </c>
      <c r="J209" s="33" t="s">
        <v>181</v>
      </c>
      <c r="K209" s="33" t="s">
        <v>157</v>
      </c>
    </row>
    <row r="210" ht="15.75" customHeight="1">
      <c r="A210" s="33" t="s">
        <v>991</v>
      </c>
      <c r="B210" s="33" t="s">
        <v>543</v>
      </c>
      <c r="C210" s="33" t="s">
        <v>247</v>
      </c>
      <c r="D210" s="39">
        <v>45926.0</v>
      </c>
      <c r="E210" s="40">
        <v>19000.0</v>
      </c>
      <c r="F210" s="33" t="s">
        <v>248</v>
      </c>
      <c r="G210" s="33" t="s">
        <v>181</v>
      </c>
      <c r="H210" s="33" t="s">
        <v>181</v>
      </c>
      <c r="I210" s="33" t="s">
        <v>181</v>
      </c>
      <c r="J210" s="33" t="s">
        <v>181</v>
      </c>
      <c r="K210" s="33" t="s">
        <v>157</v>
      </c>
    </row>
    <row r="211" ht="15.75" customHeight="1">
      <c r="A211" s="33" t="s">
        <v>997</v>
      </c>
      <c r="B211" s="33" t="s">
        <v>996</v>
      </c>
      <c r="C211" s="33" t="s">
        <v>247</v>
      </c>
      <c r="D211" s="39">
        <v>45701.0</v>
      </c>
      <c r="E211" s="40">
        <v>9700.0</v>
      </c>
      <c r="F211" s="33" t="s">
        <v>230</v>
      </c>
      <c r="G211" s="33" t="s">
        <v>181</v>
      </c>
      <c r="H211" s="33" t="s">
        <v>181</v>
      </c>
      <c r="I211" s="33" t="s">
        <v>181</v>
      </c>
      <c r="J211" s="33" t="s">
        <v>181</v>
      </c>
      <c r="K211" s="33" t="s">
        <v>157</v>
      </c>
    </row>
    <row r="212" ht="15.75" customHeight="1">
      <c r="A212" s="33" t="s">
        <v>1870</v>
      </c>
      <c r="B212" s="33" t="s">
        <v>1651</v>
      </c>
      <c r="C212" s="33" t="s">
        <v>227</v>
      </c>
      <c r="D212" s="39">
        <v>45871.0</v>
      </c>
      <c r="E212" s="40">
        <v>19200.0</v>
      </c>
      <c r="F212" s="33" t="s">
        <v>269</v>
      </c>
      <c r="G212" s="33" t="s">
        <v>181</v>
      </c>
      <c r="H212" s="33" t="s">
        <v>189</v>
      </c>
      <c r="I212" s="33" t="s">
        <v>189</v>
      </c>
      <c r="J212" s="33" t="s">
        <v>189</v>
      </c>
      <c r="K212" s="33" t="s">
        <v>262</v>
      </c>
    </row>
    <row r="213" ht="15.75" customHeight="1">
      <c r="A213" s="33" t="s">
        <v>1002</v>
      </c>
      <c r="B213" s="33" t="s">
        <v>1001</v>
      </c>
      <c r="C213" s="33" t="s">
        <v>247</v>
      </c>
      <c r="D213" s="39">
        <v>45777.0</v>
      </c>
      <c r="E213" s="40">
        <v>12700.0</v>
      </c>
      <c r="F213" s="33" t="s">
        <v>241</v>
      </c>
      <c r="G213" s="33" t="s">
        <v>181</v>
      </c>
      <c r="H213" s="33" t="s">
        <v>181</v>
      </c>
      <c r="I213" s="33" t="s">
        <v>181</v>
      </c>
      <c r="J213" s="33" t="s">
        <v>181</v>
      </c>
      <c r="K213" s="33" t="s">
        <v>157</v>
      </c>
    </row>
    <row r="214" ht="15.75" customHeight="1">
      <c r="A214" s="33" t="s">
        <v>1898</v>
      </c>
      <c r="B214" s="33" t="s">
        <v>1555</v>
      </c>
      <c r="C214" s="33" t="s">
        <v>227</v>
      </c>
      <c r="D214" s="39">
        <v>45984.0</v>
      </c>
      <c r="E214" s="40">
        <v>10700.0</v>
      </c>
      <c r="F214" s="33" t="s">
        <v>248</v>
      </c>
      <c r="G214" s="33" t="s">
        <v>181</v>
      </c>
      <c r="H214" s="33" t="s">
        <v>189</v>
      </c>
      <c r="I214" s="33" t="s">
        <v>189</v>
      </c>
      <c r="J214" s="33" t="s">
        <v>189</v>
      </c>
      <c r="K214" s="33" t="s">
        <v>262</v>
      </c>
    </row>
    <row r="215" ht="15.75" customHeight="1">
      <c r="A215" s="33" t="s">
        <v>1904</v>
      </c>
      <c r="B215" s="33" t="s">
        <v>1158</v>
      </c>
      <c r="C215" s="33" t="s">
        <v>227</v>
      </c>
      <c r="D215" s="39">
        <v>45938.0</v>
      </c>
      <c r="E215" s="40">
        <v>24700.0</v>
      </c>
      <c r="F215" s="33" t="s">
        <v>269</v>
      </c>
      <c r="G215" s="33" t="s">
        <v>181</v>
      </c>
      <c r="H215" s="33" t="s">
        <v>189</v>
      </c>
      <c r="I215" s="33" t="s">
        <v>189</v>
      </c>
      <c r="J215" s="33" t="s">
        <v>189</v>
      </c>
      <c r="K215" s="33" t="s">
        <v>262</v>
      </c>
    </row>
    <row r="216" ht="15.75" customHeight="1">
      <c r="A216" s="33" t="s">
        <v>1912</v>
      </c>
      <c r="B216" s="33" t="s">
        <v>1914</v>
      </c>
      <c r="C216" s="33" t="s">
        <v>247</v>
      </c>
      <c r="D216" s="39">
        <v>46242.0</v>
      </c>
      <c r="E216" s="40">
        <v>40700.0</v>
      </c>
      <c r="F216" s="33" t="s">
        <v>241</v>
      </c>
      <c r="G216" s="33" t="s">
        <v>189</v>
      </c>
      <c r="H216" s="33" t="s">
        <v>189</v>
      </c>
      <c r="I216" s="33" t="s">
        <v>189</v>
      </c>
      <c r="J216" s="33" t="s">
        <v>189</v>
      </c>
      <c r="K216" s="33" t="s">
        <v>252</v>
      </c>
    </row>
    <row r="217" ht="15.75" customHeight="1">
      <c r="A217" s="33" t="s">
        <v>1007</v>
      </c>
      <c r="B217" s="33" t="s">
        <v>1006</v>
      </c>
      <c r="C217" s="33" t="s">
        <v>227</v>
      </c>
      <c r="D217" s="39">
        <v>46171.0</v>
      </c>
      <c r="E217" s="40">
        <v>44400.0</v>
      </c>
      <c r="F217" s="33" t="s">
        <v>230</v>
      </c>
      <c r="G217" s="33" t="s">
        <v>181</v>
      </c>
      <c r="H217" s="33" t="s">
        <v>181</v>
      </c>
      <c r="I217" s="33" t="s">
        <v>181</v>
      </c>
      <c r="J217" s="33" t="s">
        <v>181</v>
      </c>
      <c r="K217" s="33" t="s">
        <v>157</v>
      </c>
    </row>
    <row r="218" ht="15.75" customHeight="1">
      <c r="A218" s="33" t="s">
        <v>1925</v>
      </c>
      <c r="B218" s="33" t="s">
        <v>1926</v>
      </c>
      <c r="C218" s="33" t="s">
        <v>227</v>
      </c>
      <c r="D218" s="39">
        <v>46022.0</v>
      </c>
      <c r="E218" s="40">
        <v>13800.0</v>
      </c>
      <c r="F218" s="33" t="s">
        <v>269</v>
      </c>
      <c r="G218" s="33" t="s">
        <v>189</v>
      </c>
      <c r="H218" s="33" t="s">
        <v>189</v>
      </c>
      <c r="I218" s="33" t="s">
        <v>189</v>
      </c>
      <c r="J218" s="33" t="s">
        <v>189</v>
      </c>
      <c r="K218" s="33" t="s">
        <v>252</v>
      </c>
    </row>
    <row r="219" ht="15.75" customHeight="1">
      <c r="A219" s="33" t="s">
        <v>1931</v>
      </c>
      <c r="B219" s="33" t="s">
        <v>1932</v>
      </c>
      <c r="C219" s="33" t="s">
        <v>247</v>
      </c>
      <c r="D219" s="39">
        <v>46201.0</v>
      </c>
      <c r="E219" s="40">
        <v>23000.0</v>
      </c>
      <c r="F219" s="33" t="s">
        <v>241</v>
      </c>
      <c r="G219" s="33" t="s">
        <v>189</v>
      </c>
      <c r="H219" s="33" t="s">
        <v>189</v>
      </c>
      <c r="I219" s="33" t="s">
        <v>189</v>
      </c>
      <c r="J219" s="33" t="s">
        <v>189</v>
      </c>
      <c r="K219" s="33" t="s">
        <v>252</v>
      </c>
    </row>
    <row r="220" ht="15.75" customHeight="1">
      <c r="A220" s="33" t="s">
        <v>1011</v>
      </c>
      <c r="B220" s="33" t="s">
        <v>1010</v>
      </c>
      <c r="C220" s="33" t="s">
        <v>247</v>
      </c>
      <c r="D220" s="39">
        <v>45857.0</v>
      </c>
      <c r="E220" s="40">
        <v>42300.0</v>
      </c>
      <c r="F220" s="33" t="s">
        <v>241</v>
      </c>
      <c r="G220" s="33" t="s">
        <v>181</v>
      </c>
      <c r="H220" s="33" t="s">
        <v>181</v>
      </c>
      <c r="I220" s="33" t="s">
        <v>181</v>
      </c>
      <c r="J220" s="33" t="s">
        <v>181</v>
      </c>
      <c r="K220" s="33" t="s">
        <v>157</v>
      </c>
    </row>
    <row r="221" ht="15.75" customHeight="1">
      <c r="A221" s="33" t="s">
        <v>1942</v>
      </c>
      <c r="B221" s="33" t="s">
        <v>1945</v>
      </c>
      <c r="C221" s="33" t="s">
        <v>247</v>
      </c>
      <c r="D221" s="39">
        <v>45726.0</v>
      </c>
      <c r="E221" s="40">
        <v>49400.0</v>
      </c>
      <c r="F221" s="33" t="s">
        <v>248</v>
      </c>
      <c r="G221" s="33" t="s">
        <v>181</v>
      </c>
      <c r="H221" s="33" t="s">
        <v>189</v>
      </c>
      <c r="I221" s="33" t="s">
        <v>189</v>
      </c>
      <c r="J221" s="33" t="s">
        <v>189</v>
      </c>
      <c r="K221" s="33" t="s">
        <v>262</v>
      </c>
    </row>
    <row r="222" ht="15.75" customHeight="1">
      <c r="A222" s="33" t="s">
        <v>1950</v>
      </c>
      <c r="B222" s="33" t="s">
        <v>1953</v>
      </c>
      <c r="C222" s="33" t="s">
        <v>235</v>
      </c>
      <c r="D222" s="39">
        <v>45998.0</v>
      </c>
      <c r="E222" s="40">
        <v>42600.0</v>
      </c>
      <c r="F222" s="33" t="s">
        <v>248</v>
      </c>
      <c r="G222" s="33" t="s">
        <v>189</v>
      </c>
      <c r="H222" s="33" t="s">
        <v>189</v>
      </c>
      <c r="I222" s="33" t="s">
        <v>189</v>
      </c>
      <c r="J222" s="33" t="s">
        <v>189</v>
      </c>
      <c r="K222" s="33" t="s">
        <v>252</v>
      </c>
    </row>
    <row r="223" ht="15.75" customHeight="1">
      <c r="A223" s="33" t="s">
        <v>1960</v>
      </c>
      <c r="B223" s="33" t="s">
        <v>566</v>
      </c>
      <c r="C223" s="33" t="s">
        <v>247</v>
      </c>
      <c r="D223" s="39">
        <v>45695.0</v>
      </c>
      <c r="E223" s="40">
        <v>25200.0</v>
      </c>
      <c r="F223" s="33" t="s">
        <v>241</v>
      </c>
      <c r="G223" s="33" t="s">
        <v>189</v>
      </c>
      <c r="H223" s="33" t="s">
        <v>189</v>
      </c>
      <c r="I223" s="33" t="s">
        <v>189</v>
      </c>
      <c r="J223" s="33" t="s">
        <v>189</v>
      </c>
      <c r="K223" s="33" t="s">
        <v>252</v>
      </c>
    </row>
    <row r="224" ht="15.75" customHeight="1">
      <c r="A224" s="33" t="s">
        <v>1965</v>
      </c>
      <c r="B224" s="33" t="s">
        <v>285</v>
      </c>
      <c r="C224" s="33" t="s">
        <v>227</v>
      </c>
      <c r="D224" s="39">
        <v>46230.0</v>
      </c>
      <c r="E224" s="40">
        <v>43600.0</v>
      </c>
      <c r="F224" s="33" t="s">
        <v>241</v>
      </c>
      <c r="G224" s="33" t="s">
        <v>189</v>
      </c>
      <c r="H224" s="33" t="s">
        <v>189</v>
      </c>
      <c r="I224" s="33" t="s">
        <v>189</v>
      </c>
      <c r="J224" s="33" t="s">
        <v>189</v>
      </c>
      <c r="K224" s="33" t="s">
        <v>252</v>
      </c>
    </row>
    <row r="225" ht="15.75" customHeight="1">
      <c r="A225" s="33" t="s">
        <v>1017</v>
      </c>
      <c r="B225" s="33" t="s">
        <v>499</v>
      </c>
      <c r="C225" s="33" t="s">
        <v>227</v>
      </c>
      <c r="D225" s="39">
        <v>45731.0</v>
      </c>
      <c r="E225" s="40">
        <v>35600.0</v>
      </c>
      <c r="F225" s="33" t="s">
        <v>241</v>
      </c>
      <c r="G225" s="33" t="s">
        <v>181</v>
      </c>
      <c r="H225" s="33" t="s">
        <v>181</v>
      </c>
      <c r="I225" s="33" t="s">
        <v>181</v>
      </c>
      <c r="J225" s="33" t="s">
        <v>181</v>
      </c>
      <c r="K225" s="33" t="s">
        <v>157</v>
      </c>
    </row>
    <row r="226" ht="15.75" customHeight="1">
      <c r="A226" s="33" t="s">
        <v>1985</v>
      </c>
      <c r="B226" s="33" t="s">
        <v>1987</v>
      </c>
      <c r="C226" s="33" t="s">
        <v>247</v>
      </c>
      <c r="D226" s="39">
        <v>46177.0</v>
      </c>
      <c r="E226" s="40">
        <v>6600.0</v>
      </c>
      <c r="F226" s="33" t="s">
        <v>241</v>
      </c>
      <c r="G226" s="33" t="s">
        <v>189</v>
      </c>
      <c r="H226" s="33" t="s">
        <v>189</v>
      </c>
      <c r="I226" s="33" t="s">
        <v>189</v>
      </c>
      <c r="J226" s="33" t="s">
        <v>189</v>
      </c>
      <c r="K226" s="33" t="s">
        <v>252</v>
      </c>
    </row>
    <row r="227" ht="15.75" customHeight="1">
      <c r="A227" s="33" t="s">
        <v>1022</v>
      </c>
      <c r="B227" s="33" t="s">
        <v>278</v>
      </c>
      <c r="C227" s="33" t="s">
        <v>227</v>
      </c>
      <c r="D227" s="39">
        <v>46065.0</v>
      </c>
      <c r="E227" s="40">
        <v>5100.0</v>
      </c>
      <c r="F227" s="33" t="s">
        <v>269</v>
      </c>
      <c r="G227" s="33" t="s">
        <v>181</v>
      </c>
      <c r="H227" s="33" t="s">
        <v>181</v>
      </c>
      <c r="I227" s="33" t="s">
        <v>181</v>
      </c>
      <c r="J227" s="33" t="s">
        <v>181</v>
      </c>
      <c r="K227" s="33" t="s">
        <v>157</v>
      </c>
    </row>
    <row r="228" ht="15.75" customHeight="1">
      <c r="A228" s="33" t="s">
        <v>2001</v>
      </c>
      <c r="B228" s="33" t="s">
        <v>2002</v>
      </c>
      <c r="C228" s="33" t="s">
        <v>235</v>
      </c>
      <c r="D228" s="39">
        <v>45807.0</v>
      </c>
      <c r="E228" s="40">
        <v>46900.0</v>
      </c>
      <c r="F228" s="33" t="s">
        <v>230</v>
      </c>
      <c r="G228" s="33" t="s">
        <v>181</v>
      </c>
      <c r="H228" s="33" t="s">
        <v>189</v>
      </c>
      <c r="I228" s="33" t="s">
        <v>189</v>
      </c>
      <c r="J228" s="33" t="s">
        <v>189</v>
      </c>
      <c r="K228" s="33" t="s">
        <v>262</v>
      </c>
    </row>
    <row r="229" ht="15.75" customHeight="1">
      <c r="A229" s="33" t="s">
        <v>1029</v>
      </c>
      <c r="B229" s="33" t="s">
        <v>1028</v>
      </c>
      <c r="C229" s="33" t="s">
        <v>247</v>
      </c>
      <c r="D229" s="39">
        <v>45981.0</v>
      </c>
      <c r="E229" s="40">
        <v>46300.0</v>
      </c>
      <c r="F229" s="33" t="s">
        <v>230</v>
      </c>
      <c r="G229" s="33" t="s">
        <v>181</v>
      </c>
      <c r="H229" s="33" t="s">
        <v>181</v>
      </c>
      <c r="I229" s="33" t="s">
        <v>181</v>
      </c>
      <c r="J229" s="33" t="s">
        <v>181</v>
      </c>
      <c r="K229" s="33" t="s">
        <v>157</v>
      </c>
    </row>
    <row r="230" ht="15.75" customHeight="1">
      <c r="A230" s="33" t="s">
        <v>1035</v>
      </c>
      <c r="B230" s="33" t="s">
        <v>1034</v>
      </c>
      <c r="C230" s="33" t="s">
        <v>247</v>
      </c>
      <c r="D230" s="39">
        <v>45988.0</v>
      </c>
      <c r="E230" s="40">
        <v>23500.0</v>
      </c>
      <c r="F230" s="33" t="s">
        <v>248</v>
      </c>
      <c r="G230" s="33" t="s">
        <v>181</v>
      </c>
      <c r="H230" s="33" t="s">
        <v>181</v>
      </c>
      <c r="I230" s="33" t="s">
        <v>181</v>
      </c>
      <c r="J230" s="33" t="s">
        <v>181</v>
      </c>
      <c r="K230" s="33" t="s">
        <v>157</v>
      </c>
    </row>
    <row r="231" ht="15.75" customHeight="1">
      <c r="A231" s="33" t="s">
        <v>2022</v>
      </c>
      <c r="B231" s="33" t="s">
        <v>790</v>
      </c>
      <c r="C231" s="33" t="s">
        <v>235</v>
      </c>
      <c r="D231" s="39">
        <v>46105.0</v>
      </c>
      <c r="E231" s="40">
        <v>33400.0</v>
      </c>
      <c r="F231" s="33" t="s">
        <v>248</v>
      </c>
      <c r="G231" s="33" t="s">
        <v>181</v>
      </c>
      <c r="H231" s="33" t="s">
        <v>189</v>
      </c>
      <c r="I231" s="33" t="s">
        <v>189</v>
      </c>
      <c r="J231" s="33" t="s">
        <v>189</v>
      </c>
      <c r="K231" s="33" t="s">
        <v>262</v>
      </c>
    </row>
    <row r="232" ht="15.75" customHeight="1">
      <c r="A232" s="33" t="s">
        <v>1041</v>
      </c>
      <c r="B232" s="33" t="s">
        <v>723</v>
      </c>
      <c r="C232" s="33" t="s">
        <v>247</v>
      </c>
      <c r="D232" s="39">
        <v>45917.0</v>
      </c>
      <c r="E232" s="40">
        <v>15900.0</v>
      </c>
      <c r="F232" s="33" t="s">
        <v>230</v>
      </c>
      <c r="G232" s="33" t="s">
        <v>181</v>
      </c>
      <c r="H232" s="33" t="s">
        <v>181</v>
      </c>
      <c r="I232" s="33" t="s">
        <v>181</v>
      </c>
      <c r="J232" s="33" t="s">
        <v>181</v>
      </c>
      <c r="K232" s="33" t="s">
        <v>157</v>
      </c>
    </row>
    <row r="233" ht="15.75" customHeight="1">
      <c r="A233" s="33" t="s">
        <v>1046</v>
      </c>
      <c r="B233" s="33" t="s">
        <v>1045</v>
      </c>
      <c r="C233" s="33" t="s">
        <v>247</v>
      </c>
      <c r="D233" s="39">
        <v>46018.0</v>
      </c>
      <c r="E233" s="40">
        <v>35400.0</v>
      </c>
      <c r="F233" s="33" t="s">
        <v>230</v>
      </c>
      <c r="G233" s="33" t="s">
        <v>181</v>
      </c>
      <c r="H233" s="33" t="s">
        <v>181</v>
      </c>
      <c r="I233" s="33" t="s">
        <v>181</v>
      </c>
      <c r="J233" s="33" t="s">
        <v>181</v>
      </c>
      <c r="K233" s="33" t="s">
        <v>157</v>
      </c>
    </row>
    <row r="234" ht="15.75" customHeight="1">
      <c r="A234" s="33" t="s">
        <v>1050</v>
      </c>
      <c r="B234" s="33" t="s">
        <v>423</v>
      </c>
      <c r="C234" s="33" t="s">
        <v>247</v>
      </c>
      <c r="D234" s="39">
        <v>45910.0</v>
      </c>
      <c r="E234" s="40">
        <v>22900.0</v>
      </c>
      <c r="F234" s="33" t="s">
        <v>248</v>
      </c>
      <c r="G234" s="33" t="s">
        <v>181</v>
      </c>
      <c r="H234" s="33" t="s">
        <v>181</v>
      </c>
      <c r="I234" s="33" t="s">
        <v>181</v>
      </c>
      <c r="J234" s="33" t="s">
        <v>181</v>
      </c>
      <c r="K234" s="33" t="s">
        <v>157</v>
      </c>
    </row>
    <row r="235" ht="15.75" customHeight="1">
      <c r="A235" s="33" t="s">
        <v>1057</v>
      </c>
      <c r="B235" s="33" t="s">
        <v>1056</v>
      </c>
      <c r="C235" s="33" t="s">
        <v>227</v>
      </c>
      <c r="D235" s="39">
        <v>45716.0</v>
      </c>
      <c r="E235" s="40">
        <v>18100.0</v>
      </c>
      <c r="F235" s="33" t="s">
        <v>241</v>
      </c>
      <c r="G235" s="33" t="s">
        <v>181</v>
      </c>
      <c r="H235" s="33" t="s">
        <v>181</v>
      </c>
      <c r="I235" s="33" t="s">
        <v>181</v>
      </c>
      <c r="J235" s="33" t="s">
        <v>181</v>
      </c>
      <c r="K235" s="33" t="s">
        <v>157</v>
      </c>
    </row>
    <row r="236" ht="15.75" customHeight="1">
      <c r="A236" s="33" t="s">
        <v>1063</v>
      </c>
      <c r="B236" s="33" t="s">
        <v>988</v>
      </c>
      <c r="C236" s="33" t="s">
        <v>247</v>
      </c>
      <c r="D236" s="39">
        <v>46089.0</v>
      </c>
      <c r="E236" s="40">
        <v>22600.0</v>
      </c>
      <c r="F236" s="33" t="s">
        <v>230</v>
      </c>
      <c r="G236" s="33" t="s">
        <v>181</v>
      </c>
      <c r="H236" s="33" t="s">
        <v>181</v>
      </c>
      <c r="I236" s="33" t="s">
        <v>181</v>
      </c>
      <c r="J236" s="33" t="s">
        <v>181</v>
      </c>
      <c r="K236" s="33" t="s">
        <v>157</v>
      </c>
    </row>
    <row r="237" ht="15.75" customHeight="1">
      <c r="A237" s="33" t="s">
        <v>2058</v>
      </c>
      <c r="B237" s="33" t="s">
        <v>444</v>
      </c>
      <c r="C237" s="33" t="s">
        <v>227</v>
      </c>
      <c r="D237" s="39">
        <v>45814.0</v>
      </c>
      <c r="E237" s="40">
        <v>23300.0</v>
      </c>
      <c r="F237" s="33" t="s">
        <v>230</v>
      </c>
      <c r="G237" s="33" t="s">
        <v>181</v>
      </c>
      <c r="H237" s="33" t="s">
        <v>189</v>
      </c>
      <c r="I237" s="33" t="s">
        <v>189</v>
      </c>
      <c r="J237" s="33" t="s">
        <v>189</v>
      </c>
      <c r="K237" s="33" t="s">
        <v>262</v>
      </c>
    </row>
    <row r="238" ht="15.75" customHeight="1">
      <c r="A238" s="33" t="s">
        <v>2065</v>
      </c>
      <c r="B238" s="33" t="s">
        <v>2066</v>
      </c>
      <c r="C238" s="33" t="s">
        <v>247</v>
      </c>
      <c r="D238" s="39">
        <v>45827.0</v>
      </c>
      <c r="E238" s="40">
        <v>47200.0</v>
      </c>
      <c r="F238" s="33" t="s">
        <v>230</v>
      </c>
      <c r="G238" s="33" t="s">
        <v>189</v>
      </c>
      <c r="H238" s="33" t="s">
        <v>189</v>
      </c>
      <c r="I238" s="33" t="s">
        <v>189</v>
      </c>
      <c r="J238" s="33" t="s">
        <v>189</v>
      </c>
      <c r="K238" s="33" t="s">
        <v>252</v>
      </c>
    </row>
    <row r="239" ht="15.75" customHeight="1">
      <c r="A239" s="33" t="s">
        <v>1068</v>
      </c>
      <c r="B239" s="33" t="s">
        <v>1067</v>
      </c>
      <c r="C239" s="33" t="s">
        <v>235</v>
      </c>
      <c r="D239" s="39">
        <v>45859.0</v>
      </c>
      <c r="E239" s="40">
        <v>44400.0</v>
      </c>
      <c r="F239" s="33" t="s">
        <v>230</v>
      </c>
      <c r="G239" s="33" t="s">
        <v>181</v>
      </c>
      <c r="H239" s="33" t="s">
        <v>181</v>
      </c>
      <c r="I239" s="33" t="s">
        <v>181</v>
      </c>
      <c r="J239" s="33" t="s">
        <v>181</v>
      </c>
      <c r="K239" s="33" t="s">
        <v>157</v>
      </c>
    </row>
    <row r="240" ht="15.75" customHeight="1">
      <c r="A240" s="33" t="s">
        <v>2078</v>
      </c>
      <c r="B240" s="33" t="s">
        <v>1828</v>
      </c>
      <c r="C240" s="33" t="s">
        <v>247</v>
      </c>
      <c r="D240" s="39">
        <v>46001.0</v>
      </c>
      <c r="E240" s="40">
        <v>10500.0</v>
      </c>
      <c r="F240" s="33" t="s">
        <v>241</v>
      </c>
      <c r="G240" s="33" t="s">
        <v>181</v>
      </c>
      <c r="H240" s="33" t="s">
        <v>189</v>
      </c>
      <c r="I240" s="33" t="s">
        <v>189</v>
      </c>
      <c r="J240" s="33" t="s">
        <v>189</v>
      </c>
      <c r="K240" s="33" t="s">
        <v>262</v>
      </c>
    </row>
    <row r="241" ht="15.75" customHeight="1">
      <c r="A241" s="33" t="s">
        <v>2085</v>
      </c>
      <c r="B241" s="33" t="s">
        <v>2087</v>
      </c>
      <c r="C241" s="33" t="s">
        <v>227</v>
      </c>
      <c r="D241" s="39">
        <v>46087.0</v>
      </c>
      <c r="E241" s="40">
        <v>14600.0</v>
      </c>
      <c r="F241" s="33" t="s">
        <v>230</v>
      </c>
      <c r="G241" s="33" t="s">
        <v>189</v>
      </c>
      <c r="H241" s="33" t="s">
        <v>189</v>
      </c>
      <c r="I241" s="33" t="s">
        <v>189</v>
      </c>
      <c r="J241" s="33" t="s">
        <v>189</v>
      </c>
      <c r="K241" s="33" t="s">
        <v>252</v>
      </c>
    </row>
    <row r="242" ht="15.75" customHeight="1">
      <c r="A242" s="33" t="s">
        <v>2094</v>
      </c>
      <c r="B242" s="33" t="s">
        <v>546</v>
      </c>
      <c r="C242" s="33" t="s">
        <v>227</v>
      </c>
      <c r="D242" s="39">
        <v>46152.0</v>
      </c>
      <c r="E242" s="40">
        <v>15700.0</v>
      </c>
      <c r="F242" s="33" t="s">
        <v>230</v>
      </c>
      <c r="G242" s="33" t="s">
        <v>189</v>
      </c>
      <c r="H242" s="33" t="s">
        <v>189</v>
      </c>
      <c r="I242" s="33" t="s">
        <v>189</v>
      </c>
      <c r="J242" s="33" t="s">
        <v>189</v>
      </c>
      <c r="K242" s="33" t="s">
        <v>252</v>
      </c>
    </row>
    <row r="243" ht="15.75" customHeight="1">
      <c r="A243" s="33" t="s">
        <v>1072</v>
      </c>
      <c r="B243" s="33" t="s">
        <v>1025</v>
      </c>
      <c r="C243" s="33" t="s">
        <v>235</v>
      </c>
      <c r="D243" s="39">
        <v>46020.0</v>
      </c>
      <c r="E243" s="40">
        <v>1600.0</v>
      </c>
      <c r="F243" s="33" t="s">
        <v>230</v>
      </c>
      <c r="G243" s="33" t="s">
        <v>181</v>
      </c>
      <c r="H243" s="33" t="s">
        <v>181</v>
      </c>
      <c r="I243" s="33" t="s">
        <v>181</v>
      </c>
      <c r="J243" s="33" t="s">
        <v>181</v>
      </c>
      <c r="K243" s="33" t="s">
        <v>157</v>
      </c>
    </row>
    <row r="244" ht="15.75" customHeight="1">
      <c r="A244" s="33" t="s">
        <v>2105</v>
      </c>
      <c r="B244" s="33" t="s">
        <v>2107</v>
      </c>
      <c r="C244" s="33" t="s">
        <v>227</v>
      </c>
      <c r="D244" s="39">
        <v>45899.0</v>
      </c>
      <c r="E244" s="40">
        <v>27000.0</v>
      </c>
      <c r="F244" s="33" t="s">
        <v>248</v>
      </c>
      <c r="G244" s="33" t="s">
        <v>181</v>
      </c>
      <c r="H244" s="33" t="s">
        <v>189</v>
      </c>
      <c r="I244" s="33" t="s">
        <v>189</v>
      </c>
      <c r="J244" s="33" t="s">
        <v>189</v>
      </c>
      <c r="K244" s="33" t="s">
        <v>262</v>
      </c>
    </row>
    <row r="245" ht="15.75" customHeight="1">
      <c r="A245" s="33" t="s">
        <v>2117</v>
      </c>
      <c r="B245" s="33" t="s">
        <v>2021</v>
      </c>
      <c r="C245" s="33" t="s">
        <v>247</v>
      </c>
      <c r="D245" s="39">
        <v>46232.0</v>
      </c>
      <c r="E245" s="40">
        <v>24700.0</v>
      </c>
      <c r="F245" s="33" t="s">
        <v>241</v>
      </c>
      <c r="G245" s="33" t="s">
        <v>181</v>
      </c>
      <c r="H245" s="33" t="s">
        <v>189</v>
      </c>
      <c r="I245" s="33" t="s">
        <v>189</v>
      </c>
      <c r="J245" s="33" t="s">
        <v>189</v>
      </c>
      <c r="K245" s="33" t="s">
        <v>262</v>
      </c>
    </row>
    <row r="246" ht="15.75" customHeight="1">
      <c r="A246" s="33" t="s">
        <v>1078</v>
      </c>
      <c r="B246" s="33" t="s">
        <v>1076</v>
      </c>
      <c r="C246" s="33" t="s">
        <v>247</v>
      </c>
      <c r="D246" s="39">
        <v>45946.0</v>
      </c>
      <c r="E246" s="40">
        <v>7100.0</v>
      </c>
      <c r="F246" s="33" t="s">
        <v>269</v>
      </c>
      <c r="G246" s="33" t="s">
        <v>181</v>
      </c>
      <c r="H246" s="33" t="s">
        <v>181</v>
      </c>
      <c r="I246" s="33" t="s">
        <v>181</v>
      </c>
      <c r="J246" s="33" t="s">
        <v>181</v>
      </c>
      <c r="K246" s="33" t="s">
        <v>157</v>
      </c>
    </row>
    <row r="247" ht="15.75" customHeight="1">
      <c r="A247" s="33" t="s">
        <v>2143</v>
      </c>
      <c r="B247" s="33" t="s">
        <v>2144</v>
      </c>
      <c r="C247" s="33" t="s">
        <v>227</v>
      </c>
      <c r="D247" s="39">
        <v>45746.0</v>
      </c>
      <c r="E247" s="40">
        <v>49500.0</v>
      </c>
      <c r="F247" s="33" t="s">
        <v>248</v>
      </c>
      <c r="G247" s="33" t="s">
        <v>189</v>
      </c>
      <c r="H247" s="33" t="s">
        <v>189</v>
      </c>
      <c r="I247" s="33" t="s">
        <v>189</v>
      </c>
      <c r="J247" s="33" t="s">
        <v>189</v>
      </c>
      <c r="K247" s="33" t="s">
        <v>252</v>
      </c>
    </row>
    <row r="248" ht="15.75" customHeight="1">
      <c r="A248" s="33" t="s">
        <v>2148</v>
      </c>
      <c r="B248" s="33" t="s">
        <v>1555</v>
      </c>
      <c r="C248" s="33" t="s">
        <v>247</v>
      </c>
      <c r="D248" s="39">
        <v>46144.0</v>
      </c>
      <c r="E248" s="40">
        <v>38300.0</v>
      </c>
      <c r="F248" s="33" t="s">
        <v>230</v>
      </c>
      <c r="G248" s="33" t="s">
        <v>189</v>
      </c>
      <c r="H248" s="33" t="s">
        <v>189</v>
      </c>
      <c r="I248" s="33" t="s">
        <v>189</v>
      </c>
      <c r="J248" s="33" t="s">
        <v>189</v>
      </c>
      <c r="K248" s="33" t="s">
        <v>252</v>
      </c>
    </row>
    <row r="249" ht="15.75" customHeight="1">
      <c r="A249" s="33" t="s">
        <v>1083</v>
      </c>
      <c r="B249" s="33" t="s">
        <v>1082</v>
      </c>
      <c r="C249" s="33" t="s">
        <v>227</v>
      </c>
      <c r="D249" s="39">
        <v>46227.0</v>
      </c>
      <c r="E249" s="40">
        <v>10000.0</v>
      </c>
      <c r="F249" s="33" t="s">
        <v>241</v>
      </c>
      <c r="G249" s="33" t="s">
        <v>181</v>
      </c>
      <c r="H249" s="33" t="s">
        <v>181</v>
      </c>
      <c r="I249" s="33" t="s">
        <v>181</v>
      </c>
      <c r="J249" s="33" t="s">
        <v>181</v>
      </c>
      <c r="K249" s="33" t="s">
        <v>157</v>
      </c>
    </row>
    <row r="250" ht="15.75" customHeight="1">
      <c r="A250" s="33" t="s">
        <v>1090</v>
      </c>
      <c r="B250" s="33" t="s">
        <v>1089</v>
      </c>
      <c r="C250" s="33" t="s">
        <v>247</v>
      </c>
      <c r="D250" s="39">
        <v>45834.0</v>
      </c>
      <c r="E250" s="40">
        <v>35600.0</v>
      </c>
      <c r="F250" s="33" t="s">
        <v>241</v>
      </c>
      <c r="G250" s="33" t="s">
        <v>181</v>
      </c>
      <c r="H250" s="33" t="s">
        <v>181</v>
      </c>
      <c r="I250" s="33" t="s">
        <v>181</v>
      </c>
      <c r="J250" s="33" t="s">
        <v>181</v>
      </c>
      <c r="K250" s="33" t="s">
        <v>157</v>
      </c>
    </row>
    <row r="251" ht="15.75" customHeight="1">
      <c r="A251" s="33" t="s">
        <v>2166</v>
      </c>
      <c r="B251" s="33" t="s">
        <v>2168</v>
      </c>
      <c r="C251" s="33" t="s">
        <v>227</v>
      </c>
      <c r="D251" s="39">
        <v>45791.0</v>
      </c>
      <c r="E251" s="40">
        <v>17700.0</v>
      </c>
      <c r="F251" s="33" t="s">
        <v>230</v>
      </c>
      <c r="G251" s="33" t="s">
        <v>189</v>
      </c>
      <c r="H251" s="33" t="s">
        <v>189</v>
      </c>
      <c r="I251" s="33" t="s">
        <v>189</v>
      </c>
      <c r="J251" s="33" t="s">
        <v>189</v>
      </c>
      <c r="K251" s="33" t="s">
        <v>252</v>
      </c>
    </row>
    <row r="252" ht="15.75" customHeight="1">
      <c r="A252" s="33" t="s">
        <v>2175</v>
      </c>
      <c r="B252" s="33" t="s">
        <v>2177</v>
      </c>
      <c r="C252" s="33" t="s">
        <v>227</v>
      </c>
      <c r="D252" s="39">
        <v>45871.0</v>
      </c>
      <c r="E252" s="40">
        <v>32000.0</v>
      </c>
      <c r="F252" s="33" t="s">
        <v>241</v>
      </c>
      <c r="G252" s="33" t="s">
        <v>189</v>
      </c>
      <c r="H252" s="33" t="s">
        <v>189</v>
      </c>
      <c r="I252" s="33" t="s">
        <v>189</v>
      </c>
      <c r="J252" s="33" t="s">
        <v>189</v>
      </c>
      <c r="K252" s="33" t="s">
        <v>252</v>
      </c>
    </row>
    <row r="253" ht="15.75" customHeight="1">
      <c r="A253" s="33" t="s">
        <v>1097</v>
      </c>
      <c r="B253" s="33" t="s">
        <v>1095</v>
      </c>
      <c r="C253" s="33" t="s">
        <v>227</v>
      </c>
      <c r="D253" s="39">
        <v>45866.0</v>
      </c>
      <c r="E253" s="40">
        <v>24100.0</v>
      </c>
      <c r="F253" s="33" t="s">
        <v>269</v>
      </c>
      <c r="G253" s="33" t="s">
        <v>181</v>
      </c>
      <c r="H253" s="33" t="s">
        <v>181</v>
      </c>
      <c r="I253" s="33" t="s">
        <v>181</v>
      </c>
      <c r="J253" s="33" t="s">
        <v>181</v>
      </c>
      <c r="K253" s="33" t="s">
        <v>157</v>
      </c>
    </row>
    <row r="254" ht="15.75" customHeight="1">
      <c r="A254" s="33" t="s">
        <v>1104</v>
      </c>
      <c r="B254" s="33" t="s">
        <v>1103</v>
      </c>
      <c r="C254" s="33" t="s">
        <v>235</v>
      </c>
      <c r="D254" s="39">
        <v>45774.0</v>
      </c>
      <c r="E254" s="40">
        <v>7800.0</v>
      </c>
      <c r="F254" s="33" t="s">
        <v>248</v>
      </c>
      <c r="G254" s="33" t="s">
        <v>181</v>
      </c>
      <c r="H254" s="33" t="s">
        <v>181</v>
      </c>
      <c r="I254" s="33" t="s">
        <v>181</v>
      </c>
      <c r="J254" s="33" t="s">
        <v>181</v>
      </c>
      <c r="K254" s="33" t="s">
        <v>157</v>
      </c>
    </row>
    <row r="255" ht="15.75" customHeight="1">
      <c r="A255" s="33" t="s">
        <v>1109</v>
      </c>
      <c r="B255" s="33" t="s">
        <v>1108</v>
      </c>
      <c r="C255" s="33" t="s">
        <v>247</v>
      </c>
      <c r="D255" s="39">
        <v>45678.0</v>
      </c>
      <c r="E255" s="40">
        <v>23500.0</v>
      </c>
      <c r="F255" s="33" t="s">
        <v>241</v>
      </c>
      <c r="G255" s="33" t="s">
        <v>181</v>
      </c>
      <c r="H255" s="33" t="s">
        <v>181</v>
      </c>
      <c r="I255" s="33" t="s">
        <v>181</v>
      </c>
      <c r="J255" s="33" t="s">
        <v>181</v>
      </c>
      <c r="K255" s="33" t="s">
        <v>157</v>
      </c>
    </row>
    <row r="256" ht="15.75" customHeight="1">
      <c r="A256" s="33" t="s">
        <v>1114</v>
      </c>
      <c r="B256" s="33" t="s">
        <v>1113</v>
      </c>
      <c r="C256" s="33" t="s">
        <v>235</v>
      </c>
      <c r="D256" s="39">
        <v>45771.0</v>
      </c>
      <c r="E256" s="40">
        <v>48100.0</v>
      </c>
      <c r="F256" s="33" t="s">
        <v>241</v>
      </c>
      <c r="G256" s="33" t="s">
        <v>181</v>
      </c>
      <c r="H256" s="33" t="s">
        <v>181</v>
      </c>
      <c r="I256" s="33" t="s">
        <v>181</v>
      </c>
      <c r="J256" s="33" t="s">
        <v>181</v>
      </c>
      <c r="K256" s="33" t="s">
        <v>157</v>
      </c>
    </row>
    <row r="257" ht="15.75" customHeight="1">
      <c r="A257" s="33" t="s">
        <v>1120</v>
      </c>
      <c r="B257" s="33" t="s">
        <v>334</v>
      </c>
      <c r="C257" s="33" t="s">
        <v>247</v>
      </c>
      <c r="D257" s="39">
        <v>45837.0</v>
      </c>
      <c r="E257" s="40">
        <v>37700.0</v>
      </c>
      <c r="F257" s="33" t="s">
        <v>248</v>
      </c>
      <c r="G257" s="33" t="s">
        <v>181</v>
      </c>
      <c r="H257" s="33" t="s">
        <v>181</v>
      </c>
      <c r="I257" s="33" t="s">
        <v>181</v>
      </c>
      <c r="J257" s="33" t="s">
        <v>181</v>
      </c>
      <c r="K257" s="33" t="s">
        <v>157</v>
      </c>
    </row>
    <row r="258" ht="15.75" customHeight="1">
      <c r="A258" s="33" t="s">
        <v>2210</v>
      </c>
      <c r="B258" s="33" t="s">
        <v>2211</v>
      </c>
      <c r="C258" s="33" t="s">
        <v>235</v>
      </c>
      <c r="D258" s="39">
        <v>45772.0</v>
      </c>
      <c r="E258" s="40">
        <v>31700.0</v>
      </c>
      <c r="F258" s="33" t="s">
        <v>269</v>
      </c>
      <c r="G258" s="33" t="s">
        <v>181</v>
      </c>
      <c r="H258" s="33" t="s">
        <v>189</v>
      </c>
      <c r="I258" s="33" t="s">
        <v>189</v>
      </c>
      <c r="J258" s="33" t="s">
        <v>189</v>
      </c>
      <c r="K258" s="33" t="s">
        <v>262</v>
      </c>
    </row>
    <row r="259" ht="15.75" customHeight="1">
      <c r="A259" s="33" t="s">
        <v>2215</v>
      </c>
      <c r="B259" s="33" t="s">
        <v>287</v>
      </c>
      <c r="C259" s="33" t="s">
        <v>247</v>
      </c>
      <c r="D259" s="39">
        <v>45779.0</v>
      </c>
      <c r="E259" s="40">
        <v>42300.0</v>
      </c>
      <c r="F259" s="33" t="s">
        <v>269</v>
      </c>
      <c r="G259" s="33" t="s">
        <v>181</v>
      </c>
      <c r="H259" s="33" t="s">
        <v>189</v>
      </c>
      <c r="I259" s="33" t="s">
        <v>189</v>
      </c>
      <c r="J259" s="33" t="s">
        <v>189</v>
      </c>
      <c r="K259" s="33" t="s">
        <v>262</v>
      </c>
    </row>
    <row r="260" ht="15.75" customHeight="1">
      <c r="A260" s="33" t="s">
        <v>2220</v>
      </c>
      <c r="B260" s="33" t="s">
        <v>1476</v>
      </c>
      <c r="C260" s="33" t="s">
        <v>247</v>
      </c>
      <c r="D260" s="39">
        <v>46230.0</v>
      </c>
      <c r="E260" s="40">
        <v>41600.0</v>
      </c>
      <c r="F260" s="33" t="s">
        <v>241</v>
      </c>
      <c r="G260" s="33" t="s">
        <v>181</v>
      </c>
      <c r="H260" s="33" t="s">
        <v>189</v>
      </c>
      <c r="I260" s="33" t="s">
        <v>189</v>
      </c>
      <c r="J260" s="33" t="s">
        <v>189</v>
      </c>
      <c r="K260" s="33" t="s">
        <v>262</v>
      </c>
    </row>
    <row r="261" ht="15.75" customHeight="1">
      <c r="A261" s="33" t="s">
        <v>2227</v>
      </c>
      <c r="B261" s="33" t="s">
        <v>1721</v>
      </c>
      <c r="C261" s="33" t="s">
        <v>247</v>
      </c>
      <c r="D261" s="39">
        <v>45789.0</v>
      </c>
      <c r="E261" s="40">
        <v>44500.0</v>
      </c>
      <c r="F261" s="33" t="s">
        <v>230</v>
      </c>
      <c r="G261" s="33" t="s">
        <v>181</v>
      </c>
      <c r="H261" s="33" t="s">
        <v>189</v>
      </c>
      <c r="I261" s="33" t="s">
        <v>189</v>
      </c>
      <c r="J261" s="33" t="s">
        <v>189</v>
      </c>
      <c r="K261" s="33" t="s">
        <v>262</v>
      </c>
    </row>
    <row r="262" ht="15.75" customHeight="1">
      <c r="A262" s="33" t="s">
        <v>1124</v>
      </c>
      <c r="B262" s="33" t="s">
        <v>281</v>
      </c>
      <c r="C262" s="33" t="s">
        <v>227</v>
      </c>
      <c r="D262" s="39">
        <v>46156.0</v>
      </c>
      <c r="E262" s="40">
        <v>6300.0</v>
      </c>
      <c r="F262" s="33" t="s">
        <v>241</v>
      </c>
      <c r="G262" s="33" t="s">
        <v>181</v>
      </c>
      <c r="H262" s="33" t="s">
        <v>181</v>
      </c>
      <c r="I262" s="33" t="s">
        <v>181</v>
      </c>
      <c r="J262" s="33" t="s">
        <v>181</v>
      </c>
      <c r="K262" s="33" t="s">
        <v>157</v>
      </c>
    </row>
    <row r="263" ht="15.75" customHeight="1">
      <c r="A263" s="33" t="s">
        <v>1128</v>
      </c>
      <c r="B263" s="33" t="s">
        <v>605</v>
      </c>
      <c r="C263" s="33" t="s">
        <v>235</v>
      </c>
      <c r="D263" s="39">
        <v>46005.0</v>
      </c>
      <c r="E263" s="40">
        <v>7300.0</v>
      </c>
      <c r="F263" s="33" t="s">
        <v>241</v>
      </c>
      <c r="G263" s="33" t="s">
        <v>181</v>
      </c>
      <c r="H263" s="33" t="s">
        <v>181</v>
      </c>
      <c r="I263" s="33" t="s">
        <v>181</v>
      </c>
      <c r="J263" s="33" t="s">
        <v>181</v>
      </c>
      <c r="K263" s="33" t="s">
        <v>157</v>
      </c>
    </row>
    <row r="264" ht="15.75" customHeight="1">
      <c r="A264" s="33" t="s">
        <v>2244</v>
      </c>
      <c r="B264" s="33" t="s">
        <v>2245</v>
      </c>
      <c r="C264" s="33" t="s">
        <v>235</v>
      </c>
      <c r="D264" s="39">
        <v>45922.0</v>
      </c>
      <c r="E264" s="40">
        <v>40100.0</v>
      </c>
      <c r="F264" s="33" t="s">
        <v>248</v>
      </c>
      <c r="G264" s="33" t="s">
        <v>181</v>
      </c>
      <c r="H264" s="33" t="s">
        <v>189</v>
      </c>
      <c r="I264" s="33" t="s">
        <v>189</v>
      </c>
      <c r="J264" s="33" t="s">
        <v>189</v>
      </c>
      <c r="K264" s="33" t="s">
        <v>262</v>
      </c>
    </row>
    <row r="265" ht="15.75" customHeight="1">
      <c r="A265" s="33" t="s">
        <v>2250</v>
      </c>
      <c r="B265" s="33" t="s">
        <v>2019</v>
      </c>
      <c r="C265" s="33" t="s">
        <v>227</v>
      </c>
      <c r="D265" s="39">
        <v>46131.0</v>
      </c>
      <c r="E265" s="40">
        <v>49800.0</v>
      </c>
      <c r="F265" s="33" t="s">
        <v>230</v>
      </c>
      <c r="G265" s="33" t="s">
        <v>189</v>
      </c>
      <c r="H265" s="33" t="s">
        <v>189</v>
      </c>
      <c r="I265" s="33" t="s">
        <v>189</v>
      </c>
      <c r="J265" s="33" t="s">
        <v>189</v>
      </c>
      <c r="K265" s="33" t="s">
        <v>252</v>
      </c>
    </row>
    <row r="266" ht="15.75" customHeight="1">
      <c r="A266" s="33" t="s">
        <v>1133</v>
      </c>
      <c r="B266" s="33" t="s">
        <v>1132</v>
      </c>
      <c r="C266" s="33" t="s">
        <v>235</v>
      </c>
      <c r="D266" s="39">
        <v>45668.0</v>
      </c>
      <c r="E266" s="40">
        <v>28600.0</v>
      </c>
      <c r="F266" s="33" t="s">
        <v>248</v>
      </c>
      <c r="G266" s="33" t="s">
        <v>181</v>
      </c>
      <c r="H266" s="33" t="s">
        <v>181</v>
      </c>
      <c r="I266" s="33" t="s">
        <v>181</v>
      </c>
      <c r="J266" s="33" t="s">
        <v>181</v>
      </c>
      <c r="K266" s="33" t="s">
        <v>157</v>
      </c>
    </row>
    <row r="267" ht="15.75" customHeight="1">
      <c r="A267" s="33" t="s">
        <v>1138</v>
      </c>
      <c r="B267" s="33" t="s">
        <v>1137</v>
      </c>
      <c r="C267" s="33" t="s">
        <v>227</v>
      </c>
      <c r="D267" s="39">
        <v>46110.0</v>
      </c>
      <c r="E267" s="40">
        <v>48200.0</v>
      </c>
      <c r="F267" s="33" t="s">
        <v>230</v>
      </c>
      <c r="G267" s="33" t="s">
        <v>181</v>
      </c>
      <c r="H267" s="33" t="s">
        <v>181</v>
      </c>
      <c r="I267" s="33" t="s">
        <v>181</v>
      </c>
      <c r="J267" s="33" t="s">
        <v>181</v>
      </c>
      <c r="K267" s="33" t="s">
        <v>157</v>
      </c>
    </row>
    <row r="268" ht="15.75" customHeight="1">
      <c r="A268" s="33" t="s">
        <v>2270</v>
      </c>
      <c r="B268" s="33" t="s">
        <v>2086</v>
      </c>
      <c r="C268" s="33" t="s">
        <v>247</v>
      </c>
      <c r="D268" s="39">
        <v>45910.0</v>
      </c>
      <c r="E268" s="40">
        <v>33500.0</v>
      </c>
      <c r="F268" s="33" t="s">
        <v>241</v>
      </c>
      <c r="G268" s="33" t="s">
        <v>181</v>
      </c>
      <c r="H268" s="33" t="s">
        <v>189</v>
      </c>
      <c r="I268" s="33" t="s">
        <v>189</v>
      </c>
      <c r="J268" s="33" t="s">
        <v>189</v>
      </c>
      <c r="K268" s="33" t="s">
        <v>262</v>
      </c>
    </row>
    <row r="269" ht="15.75" customHeight="1">
      <c r="A269" s="33" t="s">
        <v>1143</v>
      </c>
      <c r="B269" s="33" t="s">
        <v>186</v>
      </c>
      <c r="C269" s="33" t="s">
        <v>235</v>
      </c>
      <c r="D269" s="39">
        <v>46161.0</v>
      </c>
      <c r="E269" s="40">
        <v>5200.0</v>
      </c>
      <c r="F269" s="33" t="s">
        <v>269</v>
      </c>
      <c r="G269" s="33" t="s">
        <v>181</v>
      </c>
      <c r="H269" s="33" t="s">
        <v>181</v>
      </c>
      <c r="I269" s="33" t="s">
        <v>181</v>
      </c>
      <c r="J269" s="33" t="s">
        <v>181</v>
      </c>
      <c r="K269" s="33" t="s">
        <v>157</v>
      </c>
    </row>
    <row r="270" ht="15.75" customHeight="1">
      <c r="A270" s="33" t="s">
        <v>2280</v>
      </c>
      <c r="B270" s="33" t="s">
        <v>501</v>
      </c>
      <c r="C270" s="33" t="s">
        <v>227</v>
      </c>
      <c r="D270" s="39">
        <v>46242.0</v>
      </c>
      <c r="E270" s="40">
        <v>46400.0</v>
      </c>
      <c r="F270" s="33" t="s">
        <v>230</v>
      </c>
      <c r="G270" s="33" t="s">
        <v>181</v>
      </c>
      <c r="H270" s="33" t="s">
        <v>189</v>
      </c>
      <c r="I270" s="33" t="s">
        <v>189</v>
      </c>
      <c r="J270" s="33" t="s">
        <v>189</v>
      </c>
      <c r="K270" s="33" t="s">
        <v>262</v>
      </c>
    </row>
    <row r="271" ht="15.75" customHeight="1">
      <c r="A271" s="33" t="s">
        <v>1148</v>
      </c>
      <c r="B271" s="33" t="s">
        <v>1147</v>
      </c>
      <c r="C271" s="33" t="s">
        <v>227</v>
      </c>
      <c r="D271" s="39">
        <v>46101.0</v>
      </c>
      <c r="E271" s="40">
        <v>42100.0</v>
      </c>
      <c r="F271" s="33" t="s">
        <v>241</v>
      </c>
      <c r="G271" s="33" t="s">
        <v>181</v>
      </c>
      <c r="H271" s="33" t="s">
        <v>181</v>
      </c>
      <c r="I271" s="33" t="s">
        <v>181</v>
      </c>
      <c r="J271" s="33" t="s">
        <v>181</v>
      </c>
      <c r="K271" s="33" t="s">
        <v>157</v>
      </c>
    </row>
    <row r="272" ht="15.75" customHeight="1">
      <c r="A272" s="33" t="s">
        <v>2289</v>
      </c>
      <c r="B272" s="33" t="s">
        <v>1661</v>
      </c>
      <c r="C272" s="33" t="s">
        <v>247</v>
      </c>
      <c r="D272" s="39">
        <v>45727.0</v>
      </c>
      <c r="E272" s="40">
        <v>27300.0</v>
      </c>
      <c r="F272" s="33" t="s">
        <v>230</v>
      </c>
      <c r="G272" s="33" t="s">
        <v>189</v>
      </c>
      <c r="H272" s="33" t="s">
        <v>189</v>
      </c>
      <c r="I272" s="33" t="s">
        <v>189</v>
      </c>
      <c r="J272" s="33" t="s">
        <v>189</v>
      </c>
      <c r="K272" s="33" t="s">
        <v>252</v>
      </c>
    </row>
    <row r="273" ht="15.75" customHeight="1">
      <c r="A273" s="33" t="s">
        <v>2295</v>
      </c>
      <c r="B273" s="33" t="s">
        <v>1183</v>
      </c>
      <c r="C273" s="33" t="s">
        <v>247</v>
      </c>
      <c r="D273" s="39">
        <v>46250.0</v>
      </c>
      <c r="E273" s="40">
        <v>37500.0</v>
      </c>
      <c r="F273" s="33" t="s">
        <v>230</v>
      </c>
      <c r="G273" s="33" t="s">
        <v>181</v>
      </c>
      <c r="H273" s="33" t="s">
        <v>189</v>
      </c>
      <c r="I273" s="33" t="s">
        <v>189</v>
      </c>
      <c r="J273" s="33" t="s">
        <v>189</v>
      </c>
      <c r="K273" s="33" t="s">
        <v>262</v>
      </c>
    </row>
    <row r="274" ht="15.75" customHeight="1">
      <c r="A274" s="33" t="s">
        <v>2300</v>
      </c>
      <c r="B274" s="33" t="s">
        <v>2154</v>
      </c>
      <c r="C274" s="33" t="s">
        <v>247</v>
      </c>
      <c r="D274" s="39">
        <v>46119.0</v>
      </c>
      <c r="E274" s="40">
        <v>18200.0</v>
      </c>
      <c r="F274" s="33" t="s">
        <v>241</v>
      </c>
      <c r="G274" s="33" t="s">
        <v>189</v>
      </c>
      <c r="H274" s="33" t="s">
        <v>189</v>
      </c>
      <c r="I274" s="33" t="s">
        <v>189</v>
      </c>
      <c r="J274" s="33" t="s">
        <v>189</v>
      </c>
      <c r="K274" s="33" t="s">
        <v>252</v>
      </c>
    </row>
    <row r="275" ht="15.75" customHeight="1">
      <c r="A275" s="33" t="s">
        <v>1153</v>
      </c>
      <c r="B275" s="33" t="s">
        <v>1152</v>
      </c>
      <c r="C275" s="33" t="s">
        <v>247</v>
      </c>
      <c r="D275" s="39">
        <v>45669.0</v>
      </c>
      <c r="E275" s="40">
        <v>31200.0</v>
      </c>
      <c r="F275" s="33" t="s">
        <v>248</v>
      </c>
      <c r="G275" s="33" t="s">
        <v>181</v>
      </c>
      <c r="H275" s="33" t="s">
        <v>181</v>
      </c>
      <c r="I275" s="33" t="s">
        <v>181</v>
      </c>
      <c r="J275" s="33" t="s">
        <v>181</v>
      </c>
      <c r="K275" s="33" t="s">
        <v>157</v>
      </c>
    </row>
    <row r="276" ht="15.75" customHeight="1">
      <c r="A276" s="33" t="s">
        <v>1159</v>
      </c>
      <c r="B276" s="33" t="s">
        <v>1158</v>
      </c>
      <c r="C276" s="33" t="s">
        <v>227</v>
      </c>
      <c r="D276" s="39">
        <v>45773.0</v>
      </c>
      <c r="E276" s="40">
        <v>21200.0</v>
      </c>
      <c r="F276" s="33" t="s">
        <v>248</v>
      </c>
      <c r="G276" s="33" t="s">
        <v>181</v>
      </c>
      <c r="H276" s="33" t="s">
        <v>181</v>
      </c>
      <c r="I276" s="33" t="s">
        <v>181</v>
      </c>
      <c r="J276" s="33" t="s">
        <v>181</v>
      </c>
      <c r="K276" s="33" t="s">
        <v>157</v>
      </c>
    </row>
    <row r="277" ht="15.75" customHeight="1">
      <c r="A277" s="33" t="s">
        <v>2316</v>
      </c>
      <c r="B277" s="33" t="s">
        <v>2317</v>
      </c>
      <c r="C277" s="33" t="s">
        <v>227</v>
      </c>
      <c r="D277" s="39">
        <v>46257.0</v>
      </c>
      <c r="E277" s="40">
        <v>26800.0</v>
      </c>
      <c r="F277" s="33" t="s">
        <v>230</v>
      </c>
      <c r="G277" s="33" t="s">
        <v>189</v>
      </c>
      <c r="H277" s="33" t="s">
        <v>189</v>
      </c>
      <c r="I277" s="33" t="s">
        <v>189</v>
      </c>
      <c r="J277" s="33" t="s">
        <v>189</v>
      </c>
      <c r="K277" s="33" t="s">
        <v>252</v>
      </c>
    </row>
    <row r="278" ht="15.75" customHeight="1">
      <c r="A278" s="33" t="s">
        <v>1163</v>
      </c>
      <c r="B278" s="33" t="s">
        <v>1162</v>
      </c>
      <c r="C278" s="33" t="s">
        <v>235</v>
      </c>
      <c r="D278" s="39">
        <v>46165.0</v>
      </c>
      <c r="E278" s="40">
        <v>32200.0</v>
      </c>
      <c r="F278" s="33" t="s">
        <v>269</v>
      </c>
      <c r="G278" s="33" t="s">
        <v>181</v>
      </c>
      <c r="H278" s="33" t="s">
        <v>181</v>
      </c>
      <c r="I278" s="33" t="s">
        <v>181</v>
      </c>
      <c r="J278" s="33" t="s">
        <v>181</v>
      </c>
      <c r="K278" s="33" t="s">
        <v>157</v>
      </c>
    </row>
    <row r="279" ht="15.75" customHeight="1">
      <c r="A279" s="33" t="s">
        <v>1168</v>
      </c>
      <c r="B279" s="33" t="s">
        <v>1167</v>
      </c>
      <c r="C279" s="33" t="s">
        <v>247</v>
      </c>
      <c r="D279" s="39">
        <v>45906.0</v>
      </c>
      <c r="E279" s="40">
        <v>3600.0</v>
      </c>
      <c r="F279" s="33" t="s">
        <v>269</v>
      </c>
      <c r="G279" s="33" t="s">
        <v>181</v>
      </c>
      <c r="H279" s="33" t="s">
        <v>181</v>
      </c>
      <c r="I279" s="33" t="s">
        <v>181</v>
      </c>
      <c r="J279" s="33" t="s">
        <v>181</v>
      </c>
      <c r="K279" s="33" t="s">
        <v>157</v>
      </c>
    </row>
    <row r="280" ht="15.75" customHeight="1">
      <c r="A280" s="33" t="s">
        <v>2331</v>
      </c>
      <c r="B280" s="33" t="s">
        <v>1405</v>
      </c>
      <c r="C280" s="33" t="s">
        <v>247</v>
      </c>
      <c r="D280" s="39">
        <v>46238.0</v>
      </c>
      <c r="E280" s="40">
        <v>5700.0</v>
      </c>
      <c r="F280" s="33" t="s">
        <v>241</v>
      </c>
      <c r="G280" s="33" t="s">
        <v>189</v>
      </c>
      <c r="H280" s="33" t="s">
        <v>189</v>
      </c>
      <c r="I280" s="33" t="s">
        <v>189</v>
      </c>
      <c r="J280" s="33" t="s">
        <v>189</v>
      </c>
      <c r="K280" s="33" t="s">
        <v>252</v>
      </c>
    </row>
    <row r="281" ht="15.75" customHeight="1">
      <c r="A281" s="33" t="s">
        <v>1172</v>
      </c>
      <c r="B281" s="33" t="s">
        <v>279</v>
      </c>
      <c r="C281" s="33" t="s">
        <v>227</v>
      </c>
      <c r="D281" s="39">
        <v>45948.0</v>
      </c>
      <c r="E281" s="40">
        <v>5000.0</v>
      </c>
      <c r="F281" s="33" t="s">
        <v>230</v>
      </c>
      <c r="G281" s="33" t="s">
        <v>181</v>
      </c>
      <c r="H281" s="33" t="s">
        <v>181</v>
      </c>
      <c r="I281" s="33" t="s">
        <v>181</v>
      </c>
      <c r="J281" s="33" t="s">
        <v>181</v>
      </c>
      <c r="K281" s="33" t="s">
        <v>157</v>
      </c>
    </row>
    <row r="282" ht="15.75" customHeight="1">
      <c r="A282" s="33" t="s">
        <v>1178</v>
      </c>
      <c r="B282" s="33" t="s">
        <v>1176</v>
      </c>
      <c r="C282" s="33" t="s">
        <v>235</v>
      </c>
      <c r="D282" s="39">
        <v>46184.0</v>
      </c>
      <c r="E282" s="40">
        <v>30200.0</v>
      </c>
      <c r="F282" s="33" t="s">
        <v>241</v>
      </c>
      <c r="G282" s="33" t="s">
        <v>181</v>
      </c>
      <c r="H282" s="33" t="s">
        <v>181</v>
      </c>
      <c r="I282" s="33" t="s">
        <v>181</v>
      </c>
      <c r="J282" s="33" t="s">
        <v>181</v>
      </c>
      <c r="K282" s="33" t="s">
        <v>157</v>
      </c>
    </row>
    <row r="283" ht="15.75" customHeight="1">
      <c r="A283" s="33" t="s">
        <v>2346</v>
      </c>
      <c r="B283" s="33" t="s">
        <v>2348</v>
      </c>
      <c r="C283" s="33" t="s">
        <v>227</v>
      </c>
      <c r="D283" s="39">
        <v>46008.0</v>
      </c>
      <c r="E283" s="40">
        <v>21200.0</v>
      </c>
      <c r="F283" s="33" t="s">
        <v>230</v>
      </c>
      <c r="G283" s="33" t="s">
        <v>189</v>
      </c>
      <c r="H283" s="33" t="s">
        <v>189</v>
      </c>
      <c r="I283" s="33" t="s">
        <v>189</v>
      </c>
      <c r="J283" s="33" t="s">
        <v>189</v>
      </c>
      <c r="K283" s="33" t="s">
        <v>252</v>
      </c>
    </row>
    <row r="284" ht="15.75" customHeight="1">
      <c r="A284" s="33" t="s">
        <v>1185</v>
      </c>
      <c r="B284" s="33" t="s">
        <v>1183</v>
      </c>
      <c r="C284" s="33" t="s">
        <v>227</v>
      </c>
      <c r="D284" s="39">
        <v>46058.0</v>
      </c>
      <c r="E284" s="40">
        <v>25500.0</v>
      </c>
      <c r="F284" s="33" t="s">
        <v>230</v>
      </c>
      <c r="G284" s="33" t="s">
        <v>181</v>
      </c>
      <c r="H284" s="33" t="s">
        <v>181</v>
      </c>
      <c r="I284" s="33" t="s">
        <v>181</v>
      </c>
      <c r="J284" s="33" t="s">
        <v>181</v>
      </c>
      <c r="K284" s="33" t="s">
        <v>157</v>
      </c>
    </row>
    <row r="285" ht="15.75" customHeight="1">
      <c r="A285" s="33" t="s">
        <v>2358</v>
      </c>
      <c r="B285" s="33" t="s">
        <v>1936</v>
      </c>
      <c r="C285" s="33" t="s">
        <v>227</v>
      </c>
      <c r="D285" s="39">
        <v>45663.0</v>
      </c>
      <c r="E285" s="40">
        <v>25500.0</v>
      </c>
      <c r="F285" s="33" t="s">
        <v>248</v>
      </c>
      <c r="G285" s="33" t="s">
        <v>189</v>
      </c>
      <c r="H285" s="33" t="s">
        <v>189</v>
      </c>
      <c r="I285" s="33" t="s">
        <v>189</v>
      </c>
      <c r="J285" s="33" t="s">
        <v>189</v>
      </c>
      <c r="K285" s="33" t="s">
        <v>252</v>
      </c>
    </row>
    <row r="286" ht="15.75" customHeight="1">
      <c r="A286" s="33" t="s">
        <v>1191</v>
      </c>
      <c r="B286" s="33" t="s">
        <v>177</v>
      </c>
      <c r="C286" s="33" t="s">
        <v>247</v>
      </c>
      <c r="D286" s="39">
        <v>46246.0</v>
      </c>
      <c r="E286" s="40">
        <v>3000.0</v>
      </c>
      <c r="F286" s="33" t="s">
        <v>248</v>
      </c>
      <c r="G286" s="33" t="s">
        <v>181</v>
      </c>
      <c r="H286" s="33" t="s">
        <v>181</v>
      </c>
      <c r="I286" s="33" t="s">
        <v>181</v>
      </c>
      <c r="J286" s="33" t="s">
        <v>181</v>
      </c>
      <c r="K286" s="33" t="s">
        <v>157</v>
      </c>
    </row>
    <row r="287" ht="15.75" customHeight="1">
      <c r="A287" s="33" t="s">
        <v>2369</v>
      </c>
      <c r="B287" s="33" t="s">
        <v>1040</v>
      </c>
      <c r="C287" s="33" t="s">
        <v>227</v>
      </c>
      <c r="D287" s="39">
        <v>45768.0</v>
      </c>
      <c r="E287" s="40">
        <v>40000.0</v>
      </c>
      <c r="F287" s="33" t="s">
        <v>269</v>
      </c>
      <c r="G287" s="33" t="s">
        <v>181</v>
      </c>
      <c r="H287" s="33" t="s">
        <v>189</v>
      </c>
      <c r="I287" s="33" t="s">
        <v>189</v>
      </c>
      <c r="J287" s="33" t="s">
        <v>189</v>
      </c>
      <c r="K287" s="33" t="s">
        <v>262</v>
      </c>
    </row>
    <row r="288" ht="15.75" customHeight="1">
      <c r="A288" s="33" t="s">
        <v>2377</v>
      </c>
      <c r="B288" s="33" t="s">
        <v>1300</v>
      </c>
      <c r="C288" s="33" t="s">
        <v>227</v>
      </c>
      <c r="D288" s="39">
        <v>45787.0</v>
      </c>
      <c r="E288" s="40">
        <v>35300.0</v>
      </c>
      <c r="F288" s="33" t="s">
        <v>241</v>
      </c>
      <c r="G288" s="33" t="s">
        <v>181</v>
      </c>
      <c r="H288" s="33" t="s">
        <v>189</v>
      </c>
      <c r="I288" s="33" t="s">
        <v>189</v>
      </c>
      <c r="J288" s="33" t="s">
        <v>189</v>
      </c>
      <c r="K288" s="33" t="s">
        <v>262</v>
      </c>
    </row>
    <row r="289" ht="15.75" customHeight="1">
      <c r="A289" s="33" t="s">
        <v>1195</v>
      </c>
      <c r="B289" s="33" t="s">
        <v>290</v>
      </c>
      <c r="C289" s="33" t="s">
        <v>247</v>
      </c>
      <c r="D289" s="39">
        <v>45928.0</v>
      </c>
      <c r="E289" s="40">
        <v>34700.0</v>
      </c>
      <c r="F289" s="33" t="s">
        <v>241</v>
      </c>
      <c r="G289" s="33" t="s">
        <v>181</v>
      </c>
      <c r="H289" s="33" t="s">
        <v>181</v>
      </c>
      <c r="I289" s="33" t="s">
        <v>181</v>
      </c>
      <c r="J289" s="33" t="s">
        <v>181</v>
      </c>
      <c r="K289" s="33" t="s">
        <v>157</v>
      </c>
    </row>
    <row r="290" ht="15.75" customHeight="1">
      <c r="A290" s="33" t="s">
        <v>2385</v>
      </c>
      <c r="B290" s="33" t="s">
        <v>1598</v>
      </c>
      <c r="C290" s="33" t="s">
        <v>247</v>
      </c>
      <c r="D290" s="39">
        <v>46116.0</v>
      </c>
      <c r="E290" s="40">
        <v>2700.0</v>
      </c>
      <c r="F290" s="33" t="s">
        <v>241</v>
      </c>
      <c r="G290" s="33" t="s">
        <v>189</v>
      </c>
      <c r="H290" s="33" t="s">
        <v>189</v>
      </c>
      <c r="I290" s="33" t="s">
        <v>189</v>
      </c>
      <c r="J290" s="33" t="s">
        <v>189</v>
      </c>
      <c r="K290" s="33" t="s">
        <v>252</v>
      </c>
    </row>
    <row r="291" ht="15.75" customHeight="1">
      <c r="A291" s="33" t="s">
        <v>1201</v>
      </c>
      <c r="B291" s="33" t="s">
        <v>1200</v>
      </c>
      <c r="C291" s="33" t="s">
        <v>227</v>
      </c>
      <c r="D291" s="39">
        <v>46125.0</v>
      </c>
      <c r="E291" s="40">
        <v>32900.0</v>
      </c>
      <c r="F291" s="33" t="s">
        <v>241</v>
      </c>
      <c r="G291" s="33" t="s">
        <v>181</v>
      </c>
      <c r="H291" s="33" t="s">
        <v>181</v>
      </c>
      <c r="I291" s="33" t="s">
        <v>181</v>
      </c>
      <c r="J291" s="33" t="s">
        <v>181</v>
      </c>
      <c r="K291" s="33" t="s">
        <v>157</v>
      </c>
    </row>
    <row r="292" ht="15.75" customHeight="1">
      <c r="A292" s="33" t="s">
        <v>1206</v>
      </c>
      <c r="B292" s="33" t="s">
        <v>1205</v>
      </c>
      <c r="C292" s="33" t="s">
        <v>247</v>
      </c>
      <c r="D292" s="39">
        <v>46038.0</v>
      </c>
      <c r="E292" s="40">
        <v>25500.0</v>
      </c>
      <c r="F292" s="33" t="s">
        <v>241</v>
      </c>
      <c r="G292" s="33" t="s">
        <v>181</v>
      </c>
      <c r="H292" s="33" t="s">
        <v>181</v>
      </c>
      <c r="I292" s="33" t="s">
        <v>181</v>
      </c>
      <c r="J292" s="33" t="s">
        <v>181</v>
      </c>
      <c r="K292" s="33" t="s">
        <v>157</v>
      </c>
    </row>
    <row r="293" ht="15.75" customHeight="1">
      <c r="A293" s="33" t="s">
        <v>2399</v>
      </c>
      <c r="B293" s="33" t="s">
        <v>1620</v>
      </c>
      <c r="C293" s="33" t="s">
        <v>227</v>
      </c>
      <c r="D293" s="39">
        <v>46186.0</v>
      </c>
      <c r="E293" s="40">
        <v>38300.0</v>
      </c>
      <c r="F293" s="33" t="s">
        <v>241</v>
      </c>
      <c r="G293" s="33" t="s">
        <v>181</v>
      </c>
      <c r="H293" s="33" t="s">
        <v>189</v>
      </c>
      <c r="I293" s="33" t="s">
        <v>189</v>
      </c>
      <c r="J293" s="33" t="s">
        <v>189</v>
      </c>
      <c r="K293" s="33" t="s">
        <v>262</v>
      </c>
    </row>
    <row r="294" ht="15.75" customHeight="1">
      <c r="A294" s="33" t="s">
        <v>1210</v>
      </c>
      <c r="B294" s="33" t="s">
        <v>1183</v>
      </c>
      <c r="C294" s="33" t="s">
        <v>227</v>
      </c>
      <c r="D294" s="39">
        <v>46078.0</v>
      </c>
      <c r="E294" s="40">
        <v>5700.0</v>
      </c>
      <c r="F294" s="33" t="s">
        <v>248</v>
      </c>
      <c r="G294" s="33" t="s">
        <v>181</v>
      </c>
      <c r="H294" s="33" t="s">
        <v>181</v>
      </c>
      <c r="I294" s="33" t="s">
        <v>181</v>
      </c>
      <c r="J294" s="33" t="s">
        <v>181</v>
      </c>
      <c r="K294" s="33" t="s">
        <v>157</v>
      </c>
    </row>
    <row r="295" ht="15.75" customHeight="1">
      <c r="A295" s="33" t="s">
        <v>2408</v>
      </c>
      <c r="B295" s="33" t="s">
        <v>299</v>
      </c>
      <c r="C295" s="33" t="s">
        <v>227</v>
      </c>
      <c r="D295" s="39">
        <v>45747.0</v>
      </c>
      <c r="E295" s="40">
        <v>37600.0</v>
      </c>
      <c r="F295" s="33" t="s">
        <v>248</v>
      </c>
      <c r="G295" s="33" t="s">
        <v>181</v>
      </c>
      <c r="H295" s="33" t="s">
        <v>189</v>
      </c>
      <c r="I295" s="33" t="s">
        <v>189</v>
      </c>
      <c r="J295" s="33" t="s">
        <v>189</v>
      </c>
      <c r="K295" s="33" t="s">
        <v>262</v>
      </c>
    </row>
    <row r="296" ht="15.75" customHeight="1">
      <c r="A296" s="33" t="s">
        <v>2412</v>
      </c>
      <c r="B296" s="33" t="s">
        <v>1640</v>
      </c>
      <c r="C296" s="33" t="s">
        <v>235</v>
      </c>
      <c r="D296" s="39">
        <v>46133.0</v>
      </c>
      <c r="E296" s="40">
        <v>48100.0</v>
      </c>
      <c r="F296" s="33" t="s">
        <v>230</v>
      </c>
      <c r="G296" s="33" t="s">
        <v>181</v>
      </c>
      <c r="H296" s="33" t="s">
        <v>181</v>
      </c>
      <c r="I296" s="33" t="s">
        <v>181</v>
      </c>
      <c r="J296" s="33" t="s">
        <v>189</v>
      </c>
      <c r="K296" s="33" t="s">
        <v>365</v>
      </c>
    </row>
    <row r="297" ht="15.75" customHeight="1">
      <c r="A297" s="33" t="s">
        <v>2417</v>
      </c>
      <c r="B297" s="33" t="s">
        <v>2418</v>
      </c>
      <c r="C297" s="33" t="s">
        <v>247</v>
      </c>
      <c r="D297" s="39">
        <v>45817.0</v>
      </c>
      <c r="E297" s="40">
        <v>42700.0</v>
      </c>
      <c r="F297" s="33" t="s">
        <v>248</v>
      </c>
      <c r="G297" s="33" t="s">
        <v>181</v>
      </c>
      <c r="H297" s="33" t="s">
        <v>189</v>
      </c>
      <c r="I297" s="33" t="s">
        <v>189</v>
      </c>
      <c r="J297" s="33" t="s">
        <v>189</v>
      </c>
      <c r="K297" s="33" t="s">
        <v>262</v>
      </c>
    </row>
    <row r="298" ht="15.75" customHeight="1">
      <c r="A298" s="33" t="s">
        <v>1213</v>
      </c>
      <c r="B298" s="33" t="s">
        <v>558</v>
      </c>
      <c r="C298" s="33" t="s">
        <v>227</v>
      </c>
      <c r="D298" s="39">
        <v>45973.0</v>
      </c>
      <c r="E298" s="40">
        <v>44800.0</v>
      </c>
      <c r="F298" s="33" t="s">
        <v>241</v>
      </c>
      <c r="G298" s="33" t="s">
        <v>181</v>
      </c>
      <c r="H298" s="33" t="s">
        <v>181</v>
      </c>
      <c r="I298" s="33" t="s">
        <v>181</v>
      </c>
      <c r="J298" s="33" t="s">
        <v>181</v>
      </c>
      <c r="K298" s="33" t="s">
        <v>157</v>
      </c>
    </row>
    <row r="299" ht="15.75" customHeight="1">
      <c r="A299" s="33" t="s">
        <v>2431</v>
      </c>
      <c r="B299" s="33" t="s">
        <v>438</v>
      </c>
      <c r="C299" s="33" t="s">
        <v>227</v>
      </c>
      <c r="D299" s="39">
        <v>46026.0</v>
      </c>
      <c r="E299" s="40">
        <v>4700.0</v>
      </c>
      <c r="F299" s="33" t="s">
        <v>241</v>
      </c>
      <c r="G299" s="33" t="s">
        <v>189</v>
      </c>
      <c r="H299" s="33" t="s">
        <v>189</v>
      </c>
      <c r="I299" s="33" t="s">
        <v>189</v>
      </c>
      <c r="J299" s="33" t="s">
        <v>189</v>
      </c>
      <c r="K299" s="33" t="s">
        <v>252</v>
      </c>
    </row>
    <row r="300" ht="15.75" customHeight="1">
      <c r="A300" s="33" t="s">
        <v>1220</v>
      </c>
      <c r="B300" s="33" t="s">
        <v>1218</v>
      </c>
      <c r="C300" s="33" t="s">
        <v>227</v>
      </c>
      <c r="D300" s="39">
        <v>45896.0</v>
      </c>
      <c r="E300" s="40">
        <v>27000.0</v>
      </c>
      <c r="F300" s="33" t="s">
        <v>241</v>
      </c>
      <c r="G300" s="33" t="s">
        <v>181</v>
      </c>
      <c r="H300" s="33" t="s">
        <v>181</v>
      </c>
      <c r="I300" s="33" t="s">
        <v>181</v>
      </c>
      <c r="J300" s="33" t="s">
        <v>181</v>
      </c>
      <c r="K300" s="33" t="s">
        <v>157</v>
      </c>
    </row>
    <row r="301" ht="15.75" customHeight="1">
      <c r="A301" s="33" t="s">
        <v>2443</v>
      </c>
      <c r="B301" s="33" t="s">
        <v>2444</v>
      </c>
      <c r="C301" s="33" t="s">
        <v>247</v>
      </c>
      <c r="D301" s="39">
        <v>45877.0</v>
      </c>
      <c r="E301" s="40">
        <v>13100.0</v>
      </c>
      <c r="F301" s="33" t="s">
        <v>230</v>
      </c>
      <c r="G301" s="33" t="s">
        <v>189</v>
      </c>
      <c r="H301" s="33" t="s">
        <v>189</v>
      </c>
      <c r="I301" s="33" t="s">
        <v>189</v>
      </c>
      <c r="J301" s="33" t="s">
        <v>189</v>
      </c>
      <c r="K301" s="33" t="s">
        <v>252</v>
      </c>
    </row>
    <row r="302" ht="15.75" customHeight="1">
      <c r="A302" s="33" t="s">
        <v>1225</v>
      </c>
      <c r="B302" s="33" t="s">
        <v>1224</v>
      </c>
      <c r="C302" s="33" t="s">
        <v>247</v>
      </c>
      <c r="D302" s="39">
        <v>45820.0</v>
      </c>
      <c r="E302" s="40">
        <v>27700.0</v>
      </c>
      <c r="F302" s="33" t="s">
        <v>248</v>
      </c>
      <c r="G302" s="33" t="s">
        <v>181</v>
      </c>
      <c r="H302" s="33" t="s">
        <v>181</v>
      </c>
      <c r="I302" s="33" t="s">
        <v>181</v>
      </c>
      <c r="J302" s="33" t="s">
        <v>181</v>
      </c>
      <c r="K302" s="33" t="s">
        <v>157</v>
      </c>
    </row>
    <row r="303" ht="15.75" customHeight="1">
      <c r="A303" s="33" t="s">
        <v>1230</v>
      </c>
      <c r="B303" s="33" t="s">
        <v>1229</v>
      </c>
      <c r="C303" s="33" t="s">
        <v>227</v>
      </c>
      <c r="D303" s="39">
        <v>45838.0</v>
      </c>
      <c r="E303" s="40">
        <v>35600.0</v>
      </c>
      <c r="F303" s="33" t="s">
        <v>269</v>
      </c>
      <c r="G303" s="33" t="s">
        <v>181</v>
      </c>
      <c r="H303" s="33" t="s">
        <v>181</v>
      </c>
      <c r="I303" s="33" t="s">
        <v>181</v>
      </c>
      <c r="J303" s="33" t="s">
        <v>181</v>
      </c>
      <c r="K303" s="33" t="s">
        <v>157</v>
      </c>
    </row>
    <row r="304" ht="15.75" customHeight="1">
      <c r="A304" s="33" t="s">
        <v>2462</v>
      </c>
      <c r="B304" s="33" t="s">
        <v>1473</v>
      </c>
      <c r="C304" s="33" t="s">
        <v>235</v>
      </c>
      <c r="D304" s="39">
        <v>46256.0</v>
      </c>
      <c r="E304" s="40">
        <v>37600.0</v>
      </c>
      <c r="F304" s="33" t="s">
        <v>269</v>
      </c>
      <c r="G304" s="33" t="s">
        <v>181</v>
      </c>
      <c r="H304" s="33" t="s">
        <v>189</v>
      </c>
      <c r="I304" s="33" t="s">
        <v>189</v>
      </c>
      <c r="J304" s="33" t="s">
        <v>189</v>
      </c>
      <c r="K304" s="33" t="s">
        <v>262</v>
      </c>
    </row>
    <row r="305" ht="15.75" customHeight="1">
      <c r="A305" s="33" t="s">
        <v>1236</v>
      </c>
      <c r="B305" s="33" t="s">
        <v>1235</v>
      </c>
      <c r="C305" s="33" t="s">
        <v>227</v>
      </c>
      <c r="D305" s="39">
        <v>45890.0</v>
      </c>
      <c r="E305" s="40">
        <v>49600.0</v>
      </c>
      <c r="F305" s="33" t="s">
        <v>230</v>
      </c>
      <c r="G305" s="33" t="s">
        <v>181</v>
      </c>
      <c r="H305" s="33" t="s">
        <v>181</v>
      </c>
      <c r="I305" s="33" t="s">
        <v>181</v>
      </c>
      <c r="J305" s="33" t="s">
        <v>181</v>
      </c>
      <c r="K305" s="33" t="s">
        <v>157</v>
      </c>
    </row>
    <row r="306" ht="15.75" customHeight="1">
      <c r="A306" s="33" t="s">
        <v>2472</v>
      </c>
      <c r="B306" s="33" t="s">
        <v>2474</v>
      </c>
      <c r="C306" s="33" t="s">
        <v>227</v>
      </c>
      <c r="D306" s="39">
        <v>45945.0</v>
      </c>
      <c r="E306" s="40">
        <v>47900.0</v>
      </c>
      <c r="F306" s="33" t="s">
        <v>269</v>
      </c>
      <c r="G306" s="33" t="s">
        <v>189</v>
      </c>
      <c r="H306" s="33" t="s">
        <v>189</v>
      </c>
      <c r="I306" s="33" t="s">
        <v>189</v>
      </c>
      <c r="J306" s="33" t="s">
        <v>189</v>
      </c>
      <c r="K306" s="33" t="s">
        <v>252</v>
      </c>
    </row>
    <row r="307" ht="15.75" customHeight="1">
      <c r="A307" s="33" t="s">
        <v>1241</v>
      </c>
      <c r="B307" s="33" t="s">
        <v>255</v>
      </c>
      <c r="C307" s="33" t="s">
        <v>227</v>
      </c>
      <c r="D307" s="39">
        <v>46083.0</v>
      </c>
      <c r="E307" s="40">
        <v>13100.0</v>
      </c>
      <c r="F307" s="33" t="s">
        <v>269</v>
      </c>
      <c r="G307" s="33" t="s">
        <v>181</v>
      </c>
      <c r="H307" s="33" t="s">
        <v>181</v>
      </c>
      <c r="I307" s="33" t="s">
        <v>181</v>
      </c>
      <c r="J307" s="33" t="s">
        <v>181</v>
      </c>
      <c r="K307" s="33" t="s">
        <v>157</v>
      </c>
    </row>
    <row r="308" ht="15.75" customHeight="1">
      <c r="A308" s="33" t="s">
        <v>2482</v>
      </c>
      <c r="B308" s="33" t="s">
        <v>524</v>
      </c>
      <c r="C308" s="33" t="s">
        <v>227</v>
      </c>
      <c r="D308" s="39">
        <v>45808.0</v>
      </c>
      <c r="E308" s="40">
        <v>45900.0</v>
      </c>
      <c r="F308" s="33" t="s">
        <v>230</v>
      </c>
      <c r="G308" s="33" t="s">
        <v>181</v>
      </c>
      <c r="H308" s="33" t="s">
        <v>189</v>
      </c>
      <c r="I308" s="33" t="s">
        <v>189</v>
      </c>
      <c r="J308" s="33" t="s">
        <v>189</v>
      </c>
      <c r="K308" s="33" t="s">
        <v>262</v>
      </c>
    </row>
    <row r="309" ht="15.75" customHeight="1">
      <c r="A309" s="33" t="s">
        <v>2487</v>
      </c>
      <c r="B309" s="33" t="s">
        <v>305</v>
      </c>
      <c r="C309" s="33" t="s">
        <v>235</v>
      </c>
      <c r="D309" s="39">
        <v>45778.0</v>
      </c>
      <c r="E309" s="40">
        <v>44300.0</v>
      </c>
      <c r="F309" s="33" t="s">
        <v>230</v>
      </c>
      <c r="G309" s="33" t="s">
        <v>181</v>
      </c>
      <c r="H309" s="33" t="s">
        <v>189</v>
      </c>
      <c r="I309" s="33" t="s">
        <v>189</v>
      </c>
      <c r="J309" s="33" t="s">
        <v>189</v>
      </c>
      <c r="K309" s="33" t="s">
        <v>262</v>
      </c>
    </row>
    <row r="310" ht="15.75" customHeight="1">
      <c r="A310" s="33" t="s">
        <v>2492</v>
      </c>
      <c r="B310" s="33" t="s">
        <v>2493</v>
      </c>
      <c r="C310" s="33" t="s">
        <v>247</v>
      </c>
      <c r="D310" s="39">
        <v>45785.0</v>
      </c>
      <c r="E310" s="40">
        <v>36400.0</v>
      </c>
      <c r="F310" s="33" t="s">
        <v>269</v>
      </c>
      <c r="G310" s="33" t="s">
        <v>181</v>
      </c>
      <c r="H310" s="33" t="s">
        <v>189</v>
      </c>
      <c r="I310" s="33" t="s">
        <v>189</v>
      </c>
      <c r="J310" s="33" t="s">
        <v>189</v>
      </c>
      <c r="K310" s="33" t="s">
        <v>262</v>
      </c>
    </row>
    <row r="311" ht="15.75" customHeight="1">
      <c r="A311" s="33" t="s">
        <v>1248</v>
      </c>
      <c r="B311" s="33" t="s">
        <v>1247</v>
      </c>
      <c r="C311" s="33" t="s">
        <v>247</v>
      </c>
      <c r="D311" s="39">
        <v>45695.0</v>
      </c>
      <c r="E311" s="40">
        <v>13600.0</v>
      </c>
      <c r="F311" s="33" t="s">
        <v>241</v>
      </c>
      <c r="G311" s="33" t="s">
        <v>181</v>
      </c>
      <c r="H311" s="33" t="s">
        <v>181</v>
      </c>
      <c r="I311" s="33" t="s">
        <v>181</v>
      </c>
      <c r="J311" s="33" t="s">
        <v>181</v>
      </c>
      <c r="K311" s="33" t="s">
        <v>157</v>
      </c>
    </row>
    <row r="312" ht="15.75" customHeight="1">
      <c r="A312" s="33" t="s">
        <v>1254</v>
      </c>
      <c r="B312" s="33" t="s">
        <v>1253</v>
      </c>
      <c r="C312" s="33" t="s">
        <v>227</v>
      </c>
      <c r="D312" s="39">
        <v>45931.0</v>
      </c>
      <c r="E312" s="40">
        <v>10200.0</v>
      </c>
      <c r="F312" s="33" t="s">
        <v>241</v>
      </c>
      <c r="G312" s="33" t="s">
        <v>181</v>
      </c>
      <c r="H312" s="33" t="s">
        <v>181</v>
      </c>
      <c r="I312" s="33" t="s">
        <v>181</v>
      </c>
      <c r="J312" s="33" t="s">
        <v>181</v>
      </c>
      <c r="K312" s="33" t="s">
        <v>157</v>
      </c>
    </row>
    <row r="313" ht="15.75" customHeight="1">
      <c r="A313" s="33" t="s">
        <v>2506</v>
      </c>
      <c r="B313" s="33" t="s">
        <v>2252</v>
      </c>
      <c r="C313" s="33" t="s">
        <v>227</v>
      </c>
      <c r="D313" s="39">
        <v>45660.0</v>
      </c>
      <c r="E313" s="40">
        <v>22300.0</v>
      </c>
      <c r="F313" s="33" t="s">
        <v>269</v>
      </c>
      <c r="G313" s="33" t="s">
        <v>189</v>
      </c>
      <c r="H313" s="33" t="s">
        <v>189</v>
      </c>
      <c r="I313" s="33" t="s">
        <v>189</v>
      </c>
      <c r="J313" s="33" t="s">
        <v>189</v>
      </c>
      <c r="K313" s="33" t="s">
        <v>252</v>
      </c>
    </row>
    <row r="314" ht="15.75" customHeight="1">
      <c r="A314" s="33" t="s">
        <v>2513</v>
      </c>
      <c r="B314" s="33" t="s">
        <v>1424</v>
      </c>
      <c r="C314" s="33" t="s">
        <v>247</v>
      </c>
      <c r="D314" s="39">
        <v>45887.0</v>
      </c>
      <c r="E314" s="40">
        <v>2900.0</v>
      </c>
      <c r="F314" s="33" t="s">
        <v>241</v>
      </c>
      <c r="G314" s="33" t="s">
        <v>181</v>
      </c>
      <c r="H314" s="33" t="s">
        <v>189</v>
      </c>
      <c r="I314" s="33" t="s">
        <v>189</v>
      </c>
      <c r="J314" s="33" t="s">
        <v>189</v>
      </c>
      <c r="K314" s="33" t="s">
        <v>262</v>
      </c>
    </row>
    <row r="315" ht="15.75" customHeight="1">
      <c r="A315" s="33" t="s">
        <v>2519</v>
      </c>
      <c r="B315" s="33" t="s">
        <v>2520</v>
      </c>
      <c r="C315" s="33" t="s">
        <v>247</v>
      </c>
      <c r="D315" s="39">
        <v>45977.0</v>
      </c>
      <c r="E315" s="40">
        <v>14900.0</v>
      </c>
      <c r="F315" s="33" t="s">
        <v>248</v>
      </c>
      <c r="G315" s="33" t="s">
        <v>181</v>
      </c>
      <c r="H315" s="33" t="s">
        <v>189</v>
      </c>
      <c r="I315" s="33" t="s">
        <v>189</v>
      </c>
      <c r="J315" s="33" t="s">
        <v>189</v>
      </c>
      <c r="K315" s="33" t="s">
        <v>262</v>
      </c>
    </row>
    <row r="316" ht="15.75" customHeight="1">
      <c r="A316" s="33" t="s">
        <v>2525</v>
      </c>
      <c r="B316" s="33" t="s">
        <v>2526</v>
      </c>
      <c r="C316" s="33" t="s">
        <v>227</v>
      </c>
      <c r="D316" s="39">
        <v>45814.0</v>
      </c>
      <c r="E316" s="40">
        <v>4600.0</v>
      </c>
      <c r="F316" s="33" t="s">
        <v>230</v>
      </c>
      <c r="G316" s="33" t="s">
        <v>189</v>
      </c>
      <c r="H316" s="33" t="s">
        <v>189</v>
      </c>
      <c r="I316" s="33" t="s">
        <v>189</v>
      </c>
      <c r="J316" s="33" t="s">
        <v>189</v>
      </c>
      <c r="K316" s="33" t="s">
        <v>252</v>
      </c>
    </row>
    <row r="317" ht="15.75" customHeight="1">
      <c r="A317" s="33" t="s">
        <v>1263</v>
      </c>
      <c r="B317" s="33" t="s">
        <v>1262</v>
      </c>
      <c r="C317" s="33" t="s">
        <v>227</v>
      </c>
      <c r="D317" s="39">
        <v>45809.0</v>
      </c>
      <c r="E317" s="40">
        <v>26700.0</v>
      </c>
      <c r="F317" s="33" t="s">
        <v>269</v>
      </c>
      <c r="G317" s="33" t="s">
        <v>181</v>
      </c>
      <c r="H317" s="33" t="s">
        <v>181</v>
      </c>
      <c r="I317" s="33" t="s">
        <v>181</v>
      </c>
      <c r="J317" s="33" t="s">
        <v>181</v>
      </c>
      <c r="K317" s="33" t="s">
        <v>157</v>
      </c>
    </row>
    <row r="318" ht="15.75" customHeight="1">
      <c r="A318" s="33" t="s">
        <v>1268</v>
      </c>
      <c r="B318" s="33" t="s">
        <v>1266</v>
      </c>
      <c r="C318" s="33" t="s">
        <v>235</v>
      </c>
      <c r="D318" s="39">
        <v>46022.0</v>
      </c>
      <c r="E318" s="40">
        <v>31200.0</v>
      </c>
      <c r="F318" s="33" t="s">
        <v>248</v>
      </c>
      <c r="G318" s="33" t="s">
        <v>181</v>
      </c>
      <c r="H318" s="33" t="s">
        <v>181</v>
      </c>
      <c r="I318" s="33" t="s">
        <v>181</v>
      </c>
      <c r="J318" s="33" t="s">
        <v>181</v>
      </c>
      <c r="K318" s="33" t="s">
        <v>157</v>
      </c>
    </row>
    <row r="319" ht="15.75" customHeight="1">
      <c r="A319" s="33" t="s">
        <v>2539</v>
      </c>
      <c r="B319" s="33" t="s">
        <v>797</v>
      </c>
      <c r="C319" s="33" t="s">
        <v>247</v>
      </c>
      <c r="D319" s="39">
        <v>45998.0</v>
      </c>
      <c r="E319" s="40">
        <v>6500.0</v>
      </c>
      <c r="F319" s="33" t="s">
        <v>248</v>
      </c>
      <c r="G319" s="33" t="s">
        <v>181</v>
      </c>
      <c r="H319" s="33" t="s">
        <v>189</v>
      </c>
      <c r="I319" s="33" t="s">
        <v>189</v>
      </c>
      <c r="J319" s="33" t="s">
        <v>189</v>
      </c>
      <c r="K319" s="33" t="s">
        <v>262</v>
      </c>
    </row>
    <row r="320" ht="15.75" customHeight="1">
      <c r="A320" s="33" t="s">
        <v>1273</v>
      </c>
      <c r="B320" s="33" t="s">
        <v>1271</v>
      </c>
      <c r="C320" s="33" t="s">
        <v>227</v>
      </c>
      <c r="D320" s="39">
        <v>46136.0</v>
      </c>
      <c r="E320" s="40">
        <v>43800.0</v>
      </c>
      <c r="F320" s="33" t="s">
        <v>241</v>
      </c>
      <c r="G320" s="33" t="s">
        <v>181</v>
      </c>
      <c r="H320" s="33" t="s">
        <v>181</v>
      </c>
      <c r="I320" s="33" t="s">
        <v>181</v>
      </c>
      <c r="J320" s="33" t="s">
        <v>181</v>
      </c>
      <c r="K320" s="33" t="s">
        <v>157</v>
      </c>
    </row>
    <row r="321" ht="15.75" customHeight="1">
      <c r="A321" s="33" t="s">
        <v>1277</v>
      </c>
      <c r="B321" s="33" t="s">
        <v>1276</v>
      </c>
      <c r="C321" s="33" t="s">
        <v>247</v>
      </c>
      <c r="D321" s="39">
        <v>46192.0</v>
      </c>
      <c r="E321" s="40">
        <v>5700.0</v>
      </c>
      <c r="F321" s="33" t="s">
        <v>241</v>
      </c>
      <c r="G321" s="33" t="s">
        <v>181</v>
      </c>
      <c r="H321" s="33" t="s">
        <v>181</v>
      </c>
      <c r="I321" s="33" t="s">
        <v>181</v>
      </c>
      <c r="J321" s="33" t="s">
        <v>181</v>
      </c>
      <c r="K321" s="33" t="s">
        <v>157</v>
      </c>
    </row>
    <row r="322" ht="15.75" customHeight="1">
      <c r="A322" s="33" t="s">
        <v>2555</v>
      </c>
      <c r="B322" s="33" t="s">
        <v>2086</v>
      </c>
      <c r="C322" s="33" t="s">
        <v>227</v>
      </c>
      <c r="D322" s="39">
        <v>45808.0</v>
      </c>
      <c r="E322" s="40">
        <v>20400.0</v>
      </c>
      <c r="F322" s="33" t="s">
        <v>248</v>
      </c>
      <c r="G322" s="33" t="s">
        <v>181</v>
      </c>
      <c r="H322" s="33" t="s">
        <v>189</v>
      </c>
      <c r="I322" s="33" t="s">
        <v>189</v>
      </c>
      <c r="J322" s="33" t="s">
        <v>189</v>
      </c>
      <c r="K322" s="33" t="s">
        <v>262</v>
      </c>
    </row>
    <row r="323" ht="15.75" customHeight="1">
      <c r="A323" s="33" t="s">
        <v>1281</v>
      </c>
      <c r="B323" s="33" t="s">
        <v>268</v>
      </c>
      <c r="C323" s="33" t="s">
        <v>247</v>
      </c>
      <c r="D323" s="39">
        <v>45836.0</v>
      </c>
      <c r="E323" s="40">
        <v>25500.0</v>
      </c>
      <c r="F323" s="33" t="s">
        <v>248</v>
      </c>
      <c r="G323" s="33" t="s">
        <v>181</v>
      </c>
      <c r="H323" s="33" t="s">
        <v>181</v>
      </c>
      <c r="I323" s="33" t="s">
        <v>181</v>
      </c>
      <c r="J323" s="33" t="s">
        <v>181</v>
      </c>
      <c r="K323" s="33" t="s">
        <v>157</v>
      </c>
    </row>
    <row r="324" ht="15.75" customHeight="1">
      <c r="A324" s="33" t="s">
        <v>2566</v>
      </c>
      <c r="B324" s="33" t="s">
        <v>2568</v>
      </c>
      <c r="C324" s="33" t="s">
        <v>235</v>
      </c>
      <c r="D324" s="39">
        <v>45976.0</v>
      </c>
      <c r="E324" s="40">
        <v>29500.0</v>
      </c>
      <c r="F324" s="33" t="s">
        <v>241</v>
      </c>
      <c r="G324" s="33" t="s">
        <v>181</v>
      </c>
      <c r="H324" s="33" t="s">
        <v>189</v>
      </c>
      <c r="I324" s="33" t="s">
        <v>189</v>
      </c>
      <c r="J324" s="33" t="s">
        <v>189</v>
      </c>
      <c r="K324" s="33" t="s">
        <v>262</v>
      </c>
    </row>
    <row r="325" ht="15.75" customHeight="1">
      <c r="A325" s="33" t="s">
        <v>2573</v>
      </c>
      <c r="B325" s="33" t="s">
        <v>964</v>
      </c>
      <c r="C325" s="33" t="s">
        <v>227</v>
      </c>
      <c r="D325" s="39">
        <v>45769.0</v>
      </c>
      <c r="E325" s="40">
        <v>16600.0</v>
      </c>
      <c r="F325" s="33" t="s">
        <v>248</v>
      </c>
      <c r="G325" s="33" t="s">
        <v>181</v>
      </c>
      <c r="H325" s="33" t="s">
        <v>189</v>
      </c>
      <c r="I325" s="33" t="s">
        <v>189</v>
      </c>
      <c r="J325" s="33" t="s">
        <v>189</v>
      </c>
      <c r="K325" s="33" t="s">
        <v>262</v>
      </c>
    </row>
    <row r="326" ht="15.75" customHeight="1">
      <c r="A326" s="33" t="s">
        <v>1286</v>
      </c>
      <c r="B326" s="33" t="s">
        <v>652</v>
      </c>
      <c r="C326" s="33" t="s">
        <v>235</v>
      </c>
      <c r="D326" s="39">
        <v>46100.0</v>
      </c>
      <c r="E326" s="40">
        <v>35900.0</v>
      </c>
      <c r="F326" s="33" t="s">
        <v>248</v>
      </c>
      <c r="G326" s="33" t="s">
        <v>181</v>
      </c>
      <c r="H326" s="33" t="s">
        <v>181</v>
      </c>
      <c r="I326" s="33" t="s">
        <v>181</v>
      </c>
      <c r="J326" s="33" t="s">
        <v>181</v>
      </c>
      <c r="K326" s="33" t="s">
        <v>157</v>
      </c>
    </row>
    <row r="327" ht="15.75" customHeight="1">
      <c r="A327" s="33" t="s">
        <v>2583</v>
      </c>
      <c r="B327" s="33" t="s">
        <v>1674</v>
      </c>
      <c r="C327" s="33" t="s">
        <v>227</v>
      </c>
      <c r="D327" s="39">
        <v>45658.0</v>
      </c>
      <c r="E327" s="40">
        <v>17700.0</v>
      </c>
      <c r="F327" s="33" t="s">
        <v>269</v>
      </c>
      <c r="G327" s="33" t="s">
        <v>181</v>
      </c>
      <c r="H327" s="33" t="s">
        <v>189</v>
      </c>
      <c r="I327" s="33" t="s">
        <v>189</v>
      </c>
      <c r="J327" s="33" t="s">
        <v>189</v>
      </c>
      <c r="K327" s="33" t="s">
        <v>262</v>
      </c>
    </row>
    <row r="328" ht="15.75" customHeight="1">
      <c r="A328" s="33" t="s">
        <v>2591</v>
      </c>
      <c r="B328" s="33" t="s">
        <v>1092</v>
      </c>
      <c r="C328" s="33" t="s">
        <v>227</v>
      </c>
      <c r="D328" s="39">
        <v>45881.0</v>
      </c>
      <c r="E328" s="40">
        <v>13400.0</v>
      </c>
      <c r="F328" s="33" t="s">
        <v>241</v>
      </c>
      <c r="G328" s="33" t="s">
        <v>181</v>
      </c>
      <c r="H328" s="33" t="s">
        <v>181</v>
      </c>
      <c r="I328" s="33" t="s">
        <v>181</v>
      </c>
      <c r="J328" s="33" t="s">
        <v>189</v>
      </c>
      <c r="K328" s="33" t="s">
        <v>365</v>
      </c>
    </row>
    <row r="329" ht="15.75" customHeight="1">
      <c r="A329" s="33" t="s">
        <v>1290</v>
      </c>
      <c r="B329" s="33" t="s">
        <v>1289</v>
      </c>
      <c r="C329" s="33" t="s">
        <v>247</v>
      </c>
      <c r="D329" s="39">
        <v>46253.0</v>
      </c>
      <c r="E329" s="40">
        <v>23200.0</v>
      </c>
      <c r="F329" s="33" t="s">
        <v>230</v>
      </c>
      <c r="G329" s="33" t="s">
        <v>181</v>
      </c>
      <c r="H329" s="33" t="s">
        <v>181</v>
      </c>
      <c r="I329" s="33" t="s">
        <v>181</v>
      </c>
      <c r="J329" s="33" t="s">
        <v>181</v>
      </c>
      <c r="K329" s="33" t="s">
        <v>157</v>
      </c>
    </row>
    <row r="330" ht="15.75" customHeight="1">
      <c r="A330" s="33" t="s">
        <v>2600</v>
      </c>
      <c r="B330" s="33" t="s">
        <v>546</v>
      </c>
      <c r="C330" s="33" t="s">
        <v>247</v>
      </c>
      <c r="D330" s="39">
        <v>46103.0</v>
      </c>
      <c r="E330" s="40">
        <v>6600.0</v>
      </c>
      <c r="F330" s="33" t="s">
        <v>241</v>
      </c>
      <c r="G330" s="33" t="s">
        <v>181</v>
      </c>
      <c r="H330" s="33" t="s">
        <v>189</v>
      </c>
      <c r="I330" s="33" t="s">
        <v>189</v>
      </c>
      <c r="J330" s="33" t="s">
        <v>189</v>
      </c>
      <c r="K330" s="33" t="s">
        <v>262</v>
      </c>
    </row>
    <row r="331" ht="15.75" customHeight="1">
      <c r="A331" s="33" t="s">
        <v>2607</v>
      </c>
      <c r="B331" s="33" t="s">
        <v>1132</v>
      </c>
      <c r="C331" s="33" t="s">
        <v>227</v>
      </c>
      <c r="D331" s="39">
        <v>45971.0</v>
      </c>
      <c r="E331" s="40">
        <v>48300.0</v>
      </c>
      <c r="F331" s="33" t="s">
        <v>230</v>
      </c>
      <c r="G331" s="33" t="s">
        <v>181</v>
      </c>
      <c r="H331" s="33" t="s">
        <v>189</v>
      </c>
      <c r="I331" s="33" t="s">
        <v>189</v>
      </c>
      <c r="J331" s="33" t="s">
        <v>189</v>
      </c>
      <c r="K331" s="33" t="s">
        <v>262</v>
      </c>
    </row>
    <row r="332" ht="15.75" customHeight="1">
      <c r="A332" s="33" t="s">
        <v>1295</v>
      </c>
      <c r="B332" s="33" t="s">
        <v>1294</v>
      </c>
      <c r="C332" s="33" t="s">
        <v>227</v>
      </c>
      <c r="D332" s="39">
        <v>45660.0</v>
      </c>
      <c r="E332" s="40">
        <v>28000.0</v>
      </c>
      <c r="F332" s="33" t="s">
        <v>230</v>
      </c>
      <c r="G332" s="33" t="s">
        <v>181</v>
      </c>
      <c r="H332" s="33" t="s">
        <v>181</v>
      </c>
      <c r="I332" s="33" t="s">
        <v>181</v>
      </c>
      <c r="J332" s="33" t="s">
        <v>181</v>
      </c>
      <c r="K332" s="33" t="s">
        <v>157</v>
      </c>
    </row>
    <row r="333" ht="15.75" customHeight="1">
      <c r="A333" s="33" t="s">
        <v>2618</v>
      </c>
      <c r="B333" s="33" t="s">
        <v>2292</v>
      </c>
      <c r="C333" s="33" t="s">
        <v>227</v>
      </c>
      <c r="D333" s="39">
        <v>46144.0</v>
      </c>
      <c r="E333" s="40">
        <v>8100.0</v>
      </c>
      <c r="F333" s="33" t="s">
        <v>269</v>
      </c>
      <c r="G333" s="33" t="s">
        <v>181</v>
      </c>
      <c r="H333" s="33" t="s">
        <v>189</v>
      </c>
      <c r="I333" s="33" t="s">
        <v>189</v>
      </c>
      <c r="J333" s="33" t="s">
        <v>189</v>
      </c>
      <c r="K333" s="33" t="s">
        <v>262</v>
      </c>
    </row>
    <row r="334" ht="15.75" customHeight="1">
      <c r="A334" s="33" t="s">
        <v>1301</v>
      </c>
      <c r="B334" s="33" t="s">
        <v>1300</v>
      </c>
      <c r="C334" s="33" t="s">
        <v>227</v>
      </c>
      <c r="D334" s="39">
        <v>45928.0</v>
      </c>
      <c r="E334" s="40">
        <v>40000.0</v>
      </c>
      <c r="F334" s="33" t="s">
        <v>230</v>
      </c>
      <c r="G334" s="33" t="s">
        <v>181</v>
      </c>
      <c r="H334" s="33" t="s">
        <v>181</v>
      </c>
      <c r="I334" s="33" t="s">
        <v>181</v>
      </c>
      <c r="J334" s="33" t="s">
        <v>181</v>
      </c>
      <c r="K334" s="33" t="s">
        <v>157</v>
      </c>
    </row>
    <row r="335" ht="15.75" customHeight="1">
      <c r="A335" s="33" t="s">
        <v>2631</v>
      </c>
      <c r="B335" s="33" t="s">
        <v>1554</v>
      </c>
      <c r="C335" s="33" t="s">
        <v>227</v>
      </c>
      <c r="D335" s="39">
        <v>46178.0</v>
      </c>
      <c r="E335" s="40">
        <v>36300.0</v>
      </c>
      <c r="F335" s="33" t="s">
        <v>241</v>
      </c>
      <c r="G335" s="33" t="s">
        <v>181</v>
      </c>
      <c r="H335" s="33" t="s">
        <v>189</v>
      </c>
      <c r="I335" s="33" t="s">
        <v>189</v>
      </c>
      <c r="J335" s="33" t="s">
        <v>189</v>
      </c>
      <c r="K335" s="33" t="s">
        <v>262</v>
      </c>
    </row>
    <row r="336" ht="15.75" customHeight="1">
      <c r="A336" s="33" t="s">
        <v>1306</v>
      </c>
      <c r="B336" s="33" t="s">
        <v>1305</v>
      </c>
      <c r="C336" s="33" t="s">
        <v>227</v>
      </c>
      <c r="D336" s="39">
        <v>46133.0</v>
      </c>
      <c r="E336" s="40">
        <v>22100.0</v>
      </c>
      <c r="F336" s="33" t="s">
        <v>230</v>
      </c>
      <c r="G336" s="33" t="s">
        <v>181</v>
      </c>
      <c r="H336" s="33" t="s">
        <v>181</v>
      </c>
      <c r="I336" s="33" t="s">
        <v>181</v>
      </c>
      <c r="J336" s="33" t="s">
        <v>181</v>
      </c>
      <c r="K336" s="33" t="s">
        <v>157</v>
      </c>
    </row>
    <row r="337" ht="15.75" customHeight="1">
      <c r="A337" s="33" t="s">
        <v>1312</v>
      </c>
      <c r="B337" s="33" t="s">
        <v>1311</v>
      </c>
      <c r="C337" s="33" t="s">
        <v>235</v>
      </c>
      <c r="D337" s="39">
        <v>46262.0</v>
      </c>
      <c r="E337" s="40">
        <v>49200.0</v>
      </c>
      <c r="F337" s="33" t="s">
        <v>230</v>
      </c>
      <c r="G337" s="33" t="s">
        <v>181</v>
      </c>
      <c r="H337" s="33" t="s">
        <v>181</v>
      </c>
      <c r="I337" s="33" t="s">
        <v>181</v>
      </c>
      <c r="J337" s="33" t="s">
        <v>181</v>
      </c>
      <c r="K337" s="33" t="s">
        <v>157</v>
      </c>
    </row>
    <row r="338" ht="15.75" customHeight="1">
      <c r="A338" s="33" t="s">
        <v>1317</v>
      </c>
      <c r="B338" s="33" t="s">
        <v>470</v>
      </c>
      <c r="C338" s="33" t="s">
        <v>247</v>
      </c>
      <c r="D338" s="39">
        <v>45729.0</v>
      </c>
      <c r="E338" s="40">
        <v>25500.0</v>
      </c>
      <c r="F338" s="33" t="s">
        <v>230</v>
      </c>
      <c r="G338" s="33" t="s">
        <v>181</v>
      </c>
      <c r="H338" s="33" t="s">
        <v>181</v>
      </c>
      <c r="I338" s="33" t="s">
        <v>181</v>
      </c>
      <c r="J338" s="33" t="s">
        <v>181</v>
      </c>
      <c r="K338" s="33" t="s">
        <v>157</v>
      </c>
    </row>
    <row r="339" ht="15.75" customHeight="1">
      <c r="A339" s="33" t="s">
        <v>2656</v>
      </c>
      <c r="B339" s="33" t="s">
        <v>2658</v>
      </c>
      <c r="C339" s="33" t="s">
        <v>235</v>
      </c>
      <c r="D339" s="39">
        <v>46179.0</v>
      </c>
      <c r="E339" s="40">
        <v>11400.0</v>
      </c>
      <c r="F339" s="33" t="s">
        <v>230</v>
      </c>
      <c r="G339" s="33" t="s">
        <v>181</v>
      </c>
      <c r="H339" s="33" t="s">
        <v>189</v>
      </c>
      <c r="I339" s="33" t="s">
        <v>189</v>
      </c>
      <c r="J339" s="33" t="s">
        <v>189</v>
      </c>
      <c r="K339" s="33" t="s">
        <v>262</v>
      </c>
    </row>
    <row r="340" ht="15.75" customHeight="1">
      <c r="A340" s="33" t="s">
        <v>2662</v>
      </c>
      <c r="B340" s="33" t="s">
        <v>2469</v>
      </c>
      <c r="C340" s="33" t="s">
        <v>227</v>
      </c>
      <c r="D340" s="39">
        <v>46089.0</v>
      </c>
      <c r="E340" s="40">
        <v>39800.0</v>
      </c>
      <c r="F340" s="33" t="s">
        <v>241</v>
      </c>
      <c r="G340" s="33" t="s">
        <v>181</v>
      </c>
      <c r="H340" s="33" t="s">
        <v>189</v>
      </c>
      <c r="I340" s="33" t="s">
        <v>189</v>
      </c>
      <c r="J340" s="33" t="s">
        <v>189</v>
      </c>
      <c r="K340" s="33" t="s">
        <v>262</v>
      </c>
    </row>
    <row r="341" ht="15.75" customHeight="1">
      <c r="A341" s="33" t="s">
        <v>2665</v>
      </c>
      <c r="B341" s="33" t="s">
        <v>2667</v>
      </c>
      <c r="C341" s="33" t="s">
        <v>227</v>
      </c>
      <c r="D341" s="39">
        <v>45836.0</v>
      </c>
      <c r="E341" s="40">
        <v>46500.0</v>
      </c>
      <c r="F341" s="33" t="s">
        <v>241</v>
      </c>
      <c r="G341" s="33" t="s">
        <v>189</v>
      </c>
      <c r="H341" s="33" t="s">
        <v>189</v>
      </c>
      <c r="I341" s="33" t="s">
        <v>189</v>
      </c>
      <c r="J341" s="33" t="s">
        <v>189</v>
      </c>
      <c r="K341" s="33" t="s">
        <v>252</v>
      </c>
    </row>
    <row r="342" ht="15.75" customHeight="1">
      <c r="A342" s="33" t="s">
        <v>1324</v>
      </c>
      <c r="B342" s="33" t="s">
        <v>470</v>
      </c>
      <c r="C342" s="33" t="s">
        <v>247</v>
      </c>
      <c r="D342" s="39">
        <v>46170.0</v>
      </c>
      <c r="E342" s="40">
        <v>13900.0</v>
      </c>
      <c r="F342" s="33" t="s">
        <v>241</v>
      </c>
      <c r="G342" s="33" t="s">
        <v>181</v>
      </c>
      <c r="H342" s="33" t="s">
        <v>181</v>
      </c>
      <c r="I342" s="33" t="s">
        <v>181</v>
      </c>
      <c r="J342" s="33" t="s">
        <v>181</v>
      </c>
      <c r="K342" s="33" t="s">
        <v>157</v>
      </c>
    </row>
    <row r="343" ht="15.75" customHeight="1">
      <c r="A343" s="33" t="s">
        <v>2674</v>
      </c>
      <c r="B343" s="33" t="s">
        <v>2676</v>
      </c>
      <c r="C343" s="33" t="s">
        <v>247</v>
      </c>
      <c r="D343" s="39">
        <v>46000.0</v>
      </c>
      <c r="E343" s="40">
        <v>1300.0</v>
      </c>
      <c r="F343" s="33" t="s">
        <v>248</v>
      </c>
      <c r="G343" s="33" t="s">
        <v>189</v>
      </c>
      <c r="H343" s="33" t="s">
        <v>189</v>
      </c>
      <c r="I343" s="33" t="s">
        <v>189</v>
      </c>
      <c r="J343" s="33" t="s">
        <v>189</v>
      </c>
      <c r="K343" s="33" t="s">
        <v>252</v>
      </c>
    </row>
    <row r="344" ht="15.75" customHeight="1">
      <c r="A344" s="33" t="s">
        <v>2682</v>
      </c>
      <c r="B344" s="33" t="s">
        <v>2154</v>
      </c>
      <c r="C344" s="33" t="s">
        <v>247</v>
      </c>
      <c r="D344" s="39">
        <v>46058.0</v>
      </c>
      <c r="E344" s="40">
        <v>30900.0</v>
      </c>
      <c r="F344" s="33" t="s">
        <v>230</v>
      </c>
      <c r="G344" s="33" t="s">
        <v>181</v>
      </c>
      <c r="H344" s="33" t="s">
        <v>181</v>
      </c>
      <c r="I344" s="33" t="s">
        <v>181</v>
      </c>
      <c r="J344" s="33" t="s">
        <v>189</v>
      </c>
      <c r="K344" s="33" t="s">
        <v>365</v>
      </c>
    </row>
    <row r="345" ht="15.75" customHeight="1">
      <c r="A345" s="33" t="s">
        <v>2687</v>
      </c>
      <c r="B345" s="33" t="s">
        <v>1495</v>
      </c>
      <c r="C345" s="33" t="s">
        <v>227</v>
      </c>
      <c r="D345" s="39">
        <v>46242.0</v>
      </c>
      <c r="E345" s="40">
        <v>36900.0</v>
      </c>
      <c r="F345" s="33" t="s">
        <v>230</v>
      </c>
      <c r="G345" s="33" t="s">
        <v>189</v>
      </c>
      <c r="H345" s="33" t="s">
        <v>189</v>
      </c>
      <c r="I345" s="33" t="s">
        <v>189</v>
      </c>
      <c r="J345" s="33" t="s">
        <v>189</v>
      </c>
      <c r="K345" s="33" t="s">
        <v>252</v>
      </c>
    </row>
    <row r="346" ht="15.75" customHeight="1">
      <c r="A346" s="33" t="s">
        <v>2690</v>
      </c>
      <c r="B346" s="33" t="s">
        <v>1802</v>
      </c>
      <c r="C346" s="33" t="s">
        <v>235</v>
      </c>
      <c r="D346" s="39">
        <v>46005.0</v>
      </c>
      <c r="E346" s="40">
        <v>13800.0</v>
      </c>
      <c r="F346" s="33" t="s">
        <v>241</v>
      </c>
      <c r="G346" s="33" t="s">
        <v>181</v>
      </c>
      <c r="H346" s="33" t="s">
        <v>189</v>
      </c>
      <c r="I346" s="33" t="s">
        <v>189</v>
      </c>
      <c r="J346" s="33" t="s">
        <v>189</v>
      </c>
      <c r="K346" s="33" t="s">
        <v>262</v>
      </c>
    </row>
    <row r="347" ht="15.75" customHeight="1">
      <c r="A347" s="33" t="s">
        <v>1332</v>
      </c>
      <c r="B347" s="33" t="s">
        <v>665</v>
      </c>
      <c r="C347" s="33" t="s">
        <v>247</v>
      </c>
      <c r="D347" s="39">
        <v>46042.0</v>
      </c>
      <c r="E347" s="40">
        <v>48200.0</v>
      </c>
      <c r="F347" s="33" t="s">
        <v>269</v>
      </c>
      <c r="G347" s="33" t="s">
        <v>181</v>
      </c>
      <c r="H347" s="33" t="s">
        <v>181</v>
      </c>
      <c r="I347" s="33" t="s">
        <v>181</v>
      </c>
      <c r="J347" s="33" t="s">
        <v>181</v>
      </c>
      <c r="K347" s="33" t="s">
        <v>157</v>
      </c>
    </row>
    <row r="348" ht="15.75" customHeight="1">
      <c r="A348" s="33" t="s">
        <v>1336</v>
      </c>
      <c r="B348" s="33" t="s">
        <v>296</v>
      </c>
      <c r="C348" s="33" t="s">
        <v>227</v>
      </c>
      <c r="D348" s="39">
        <v>46183.0</v>
      </c>
      <c r="E348" s="40">
        <v>9200.0</v>
      </c>
      <c r="F348" s="33" t="s">
        <v>241</v>
      </c>
      <c r="G348" s="33" t="s">
        <v>181</v>
      </c>
      <c r="H348" s="33" t="s">
        <v>181</v>
      </c>
      <c r="I348" s="33" t="s">
        <v>181</v>
      </c>
      <c r="J348" s="33" t="s">
        <v>181</v>
      </c>
      <c r="K348" s="33" t="s">
        <v>157</v>
      </c>
    </row>
    <row r="349" ht="15.75" customHeight="1">
      <c r="A349" s="33" t="s">
        <v>2700</v>
      </c>
      <c r="B349" s="33" t="s">
        <v>2702</v>
      </c>
      <c r="C349" s="33" t="s">
        <v>247</v>
      </c>
      <c r="D349" s="39">
        <v>46124.0</v>
      </c>
      <c r="E349" s="40">
        <v>40300.0</v>
      </c>
      <c r="F349" s="33" t="s">
        <v>230</v>
      </c>
      <c r="G349" s="33" t="s">
        <v>181</v>
      </c>
      <c r="H349" s="33" t="s">
        <v>189</v>
      </c>
      <c r="I349" s="33" t="s">
        <v>189</v>
      </c>
      <c r="J349" s="33" t="s">
        <v>189</v>
      </c>
      <c r="K349" s="33" t="s">
        <v>262</v>
      </c>
    </row>
    <row r="350" ht="15.75" customHeight="1">
      <c r="A350" s="33" t="s">
        <v>2706</v>
      </c>
      <c r="B350" s="33" t="s">
        <v>1227</v>
      </c>
      <c r="C350" s="33" t="s">
        <v>227</v>
      </c>
      <c r="D350" s="39">
        <v>46047.0</v>
      </c>
      <c r="E350" s="40">
        <v>43900.0</v>
      </c>
      <c r="F350" s="33" t="s">
        <v>241</v>
      </c>
      <c r="G350" s="33" t="s">
        <v>181</v>
      </c>
      <c r="H350" s="33" t="s">
        <v>181</v>
      </c>
      <c r="I350" s="33" t="s">
        <v>181</v>
      </c>
      <c r="J350" s="33" t="s">
        <v>189</v>
      </c>
      <c r="K350" s="33" t="s">
        <v>365</v>
      </c>
    </row>
    <row r="351" ht="15.75" customHeight="1">
      <c r="A351" s="33" t="s">
        <v>1343</v>
      </c>
      <c r="B351" s="33" t="s">
        <v>1342</v>
      </c>
      <c r="C351" s="33" t="s">
        <v>227</v>
      </c>
      <c r="D351" s="39">
        <v>46208.0</v>
      </c>
      <c r="E351" s="40">
        <v>9400.0</v>
      </c>
      <c r="F351" s="33" t="s">
        <v>248</v>
      </c>
      <c r="G351" s="33" t="s">
        <v>181</v>
      </c>
      <c r="H351" s="33" t="s">
        <v>181</v>
      </c>
      <c r="I351" s="33" t="s">
        <v>181</v>
      </c>
      <c r="J351" s="33" t="s">
        <v>181</v>
      </c>
      <c r="K351" s="33" t="s">
        <v>157</v>
      </c>
    </row>
    <row r="352" ht="15.75" customHeight="1">
      <c r="A352" s="33" t="s">
        <v>2716</v>
      </c>
      <c r="B352" s="33" t="s">
        <v>381</v>
      </c>
      <c r="C352" s="33" t="s">
        <v>235</v>
      </c>
      <c r="D352" s="39">
        <v>46210.0</v>
      </c>
      <c r="E352" s="40">
        <v>25600.0</v>
      </c>
      <c r="F352" s="33" t="s">
        <v>248</v>
      </c>
      <c r="G352" s="33" t="s">
        <v>181</v>
      </c>
      <c r="H352" s="33" t="s">
        <v>189</v>
      </c>
      <c r="I352" s="33" t="s">
        <v>189</v>
      </c>
      <c r="J352" s="33" t="s">
        <v>189</v>
      </c>
      <c r="K352" s="33" t="s">
        <v>262</v>
      </c>
    </row>
    <row r="353" ht="15.75" customHeight="1">
      <c r="A353" s="33" t="s">
        <v>2721</v>
      </c>
      <c r="B353" s="33" t="s">
        <v>2723</v>
      </c>
      <c r="C353" s="33" t="s">
        <v>247</v>
      </c>
      <c r="D353" s="39">
        <v>46030.0</v>
      </c>
      <c r="E353" s="40">
        <v>2400.0</v>
      </c>
      <c r="F353" s="33" t="s">
        <v>248</v>
      </c>
      <c r="G353" s="33" t="s">
        <v>181</v>
      </c>
      <c r="H353" s="33" t="s">
        <v>189</v>
      </c>
      <c r="I353" s="33" t="s">
        <v>189</v>
      </c>
      <c r="J353" s="33" t="s">
        <v>189</v>
      </c>
      <c r="K353" s="33" t="s">
        <v>262</v>
      </c>
    </row>
    <row r="354" ht="15.75" customHeight="1">
      <c r="A354" s="33" t="s">
        <v>1350</v>
      </c>
      <c r="B354" s="33" t="s">
        <v>318</v>
      </c>
      <c r="C354" s="33" t="s">
        <v>227</v>
      </c>
      <c r="D354" s="39">
        <v>45717.0</v>
      </c>
      <c r="E354" s="40">
        <v>32500.0</v>
      </c>
      <c r="F354" s="33" t="s">
        <v>230</v>
      </c>
      <c r="G354" s="33" t="s">
        <v>181</v>
      </c>
      <c r="H354" s="33" t="s">
        <v>181</v>
      </c>
      <c r="I354" s="33" t="s">
        <v>181</v>
      </c>
      <c r="J354" s="33" t="s">
        <v>181</v>
      </c>
      <c r="K354" s="33" t="s">
        <v>157</v>
      </c>
    </row>
    <row r="355" ht="15.75" customHeight="1">
      <c r="A355" s="33" t="s">
        <v>1356</v>
      </c>
      <c r="B355" s="33" t="s">
        <v>672</v>
      </c>
      <c r="C355" s="33" t="s">
        <v>227</v>
      </c>
      <c r="D355" s="39">
        <v>46078.0</v>
      </c>
      <c r="E355" s="40">
        <v>27800.0</v>
      </c>
      <c r="F355" s="33" t="s">
        <v>230</v>
      </c>
      <c r="G355" s="33" t="s">
        <v>181</v>
      </c>
      <c r="H355" s="33" t="s">
        <v>181</v>
      </c>
      <c r="I355" s="33" t="s">
        <v>181</v>
      </c>
      <c r="J355" s="33" t="s">
        <v>181</v>
      </c>
      <c r="K355" s="33" t="s">
        <v>157</v>
      </c>
    </row>
    <row r="356" ht="15.75" customHeight="1">
      <c r="A356" s="33" t="s">
        <v>2736</v>
      </c>
      <c r="B356" s="33" t="s">
        <v>1716</v>
      </c>
      <c r="C356" s="33" t="s">
        <v>227</v>
      </c>
      <c r="D356" s="39">
        <v>45859.0</v>
      </c>
      <c r="E356" s="40">
        <v>39100.0</v>
      </c>
      <c r="F356" s="33" t="s">
        <v>230</v>
      </c>
      <c r="G356" s="33" t="s">
        <v>181</v>
      </c>
      <c r="H356" s="33" t="s">
        <v>189</v>
      </c>
      <c r="I356" s="33" t="s">
        <v>189</v>
      </c>
      <c r="J356" s="33" t="s">
        <v>189</v>
      </c>
      <c r="K356" s="33" t="s">
        <v>262</v>
      </c>
    </row>
    <row r="357" ht="15.75" customHeight="1">
      <c r="A357" s="33" t="s">
        <v>2740</v>
      </c>
      <c r="B357" s="33" t="s">
        <v>2741</v>
      </c>
      <c r="C357" s="33" t="s">
        <v>235</v>
      </c>
      <c r="D357" s="39">
        <v>46015.0</v>
      </c>
      <c r="E357" s="40">
        <v>25600.0</v>
      </c>
      <c r="F357" s="33" t="s">
        <v>241</v>
      </c>
      <c r="G357" s="33" t="s">
        <v>189</v>
      </c>
      <c r="H357" s="33" t="s">
        <v>189</v>
      </c>
      <c r="I357" s="33" t="s">
        <v>189</v>
      </c>
      <c r="J357" s="33" t="s">
        <v>189</v>
      </c>
      <c r="K357" s="33" t="s">
        <v>252</v>
      </c>
    </row>
    <row r="358" ht="15.75" customHeight="1">
      <c r="A358" s="33" t="s">
        <v>1361</v>
      </c>
      <c r="B358" s="33" t="s">
        <v>1360</v>
      </c>
      <c r="C358" s="33" t="s">
        <v>235</v>
      </c>
      <c r="D358" s="39">
        <v>45886.0</v>
      </c>
      <c r="E358" s="40">
        <v>18300.0</v>
      </c>
      <c r="F358" s="33" t="s">
        <v>248</v>
      </c>
      <c r="G358" s="33" t="s">
        <v>181</v>
      </c>
      <c r="H358" s="33" t="s">
        <v>181</v>
      </c>
      <c r="I358" s="33" t="s">
        <v>181</v>
      </c>
      <c r="J358" s="33" t="s">
        <v>181</v>
      </c>
      <c r="K358" s="33" t="s">
        <v>157</v>
      </c>
    </row>
    <row r="359" ht="15.75" customHeight="1">
      <c r="A359" s="33" t="s">
        <v>1366</v>
      </c>
      <c r="B359" s="33" t="s">
        <v>1132</v>
      </c>
      <c r="C359" s="33" t="s">
        <v>247</v>
      </c>
      <c r="D359" s="39">
        <v>45863.0</v>
      </c>
      <c r="E359" s="40">
        <v>7700.0</v>
      </c>
      <c r="F359" s="33" t="s">
        <v>230</v>
      </c>
      <c r="G359" s="33" t="s">
        <v>181</v>
      </c>
      <c r="H359" s="33" t="s">
        <v>181</v>
      </c>
      <c r="I359" s="33" t="s">
        <v>181</v>
      </c>
      <c r="J359" s="33" t="s">
        <v>181</v>
      </c>
      <c r="K359" s="33" t="s">
        <v>157</v>
      </c>
    </row>
    <row r="360" ht="15.75" customHeight="1">
      <c r="A360" s="33" t="s">
        <v>2751</v>
      </c>
      <c r="B360" s="33" t="s">
        <v>2752</v>
      </c>
      <c r="C360" s="33" t="s">
        <v>235</v>
      </c>
      <c r="D360" s="39">
        <v>46249.0</v>
      </c>
      <c r="E360" s="40">
        <v>3500.0</v>
      </c>
      <c r="F360" s="33" t="s">
        <v>230</v>
      </c>
      <c r="G360" s="33" t="s">
        <v>181</v>
      </c>
      <c r="H360" s="33" t="s">
        <v>189</v>
      </c>
      <c r="I360" s="33" t="s">
        <v>189</v>
      </c>
      <c r="J360" s="33" t="s">
        <v>189</v>
      </c>
      <c r="K360" s="33" t="s">
        <v>262</v>
      </c>
    </row>
    <row r="361" ht="15.75" customHeight="1">
      <c r="A361" s="33" t="s">
        <v>1370</v>
      </c>
      <c r="B361" s="33" t="s">
        <v>804</v>
      </c>
      <c r="C361" s="33" t="s">
        <v>227</v>
      </c>
      <c r="D361" s="39">
        <v>45809.0</v>
      </c>
      <c r="E361" s="40">
        <v>26900.0</v>
      </c>
      <c r="F361" s="33" t="s">
        <v>230</v>
      </c>
      <c r="G361" s="33" t="s">
        <v>181</v>
      </c>
      <c r="H361" s="33" t="s">
        <v>181</v>
      </c>
      <c r="I361" s="33" t="s">
        <v>181</v>
      </c>
      <c r="J361" s="33" t="s">
        <v>181</v>
      </c>
      <c r="K361" s="33" t="s">
        <v>157</v>
      </c>
    </row>
    <row r="362" ht="15.75" customHeight="1">
      <c r="A362" s="33" t="s">
        <v>1380</v>
      </c>
      <c r="B362" s="33" t="s">
        <v>1378</v>
      </c>
      <c r="C362" s="33" t="s">
        <v>235</v>
      </c>
      <c r="D362" s="39">
        <v>45755.0</v>
      </c>
      <c r="E362" s="40">
        <v>46000.0</v>
      </c>
      <c r="F362" s="33" t="s">
        <v>230</v>
      </c>
      <c r="G362" s="33" t="s">
        <v>181</v>
      </c>
      <c r="H362" s="33" t="s">
        <v>181</v>
      </c>
      <c r="I362" s="33" t="s">
        <v>181</v>
      </c>
      <c r="J362" s="33" t="s">
        <v>181</v>
      </c>
      <c r="K362" s="33" t="s">
        <v>157</v>
      </c>
    </row>
    <row r="363" ht="15.75" customHeight="1">
      <c r="A363" s="33" t="s">
        <v>2763</v>
      </c>
      <c r="B363" s="33" t="s">
        <v>2764</v>
      </c>
      <c r="C363" s="33" t="s">
        <v>247</v>
      </c>
      <c r="D363" s="39">
        <v>46042.0</v>
      </c>
      <c r="E363" s="40">
        <v>38500.0</v>
      </c>
      <c r="F363" s="33" t="s">
        <v>248</v>
      </c>
      <c r="G363" s="33" t="s">
        <v>181</v>
      </c>
      <c r="H363" s="33" t="s">
        <v>189</v>
      </c>
      <c r="I363" s="33" t="s">
        <v>189</v>
      </c>
      <c r="J363" s="33" t="s">
        <v>189</v>
      </c>
      <c r="K363" s="33" t="s">
        <v>262</v>
      </c>
    </row>
    <row r="364" ht="15.75" customHeight="1">
      <c r="A364" s="33" t="s">
        <v>1386</v>
      </c>
      <c r="B364" s="33" t="s">
        <v>484</v>
      </c>
      <c r="C364" s="33" t="s">
        <v>235</v>
      </c>
      <c r="D364" s="39">
        <v>46049.0</v>
      </c>
      <c r="E364" s="40">
        <v>20300.0</v>
      </c>
      <c r="F364" s="33" t="s">
        <v>230</v>
      </c>
      <c r="G364" s="33" t="s">
        <v>181</v>
      </c>
      <c r="H364" s="33" t="s">
        <v>181</v>
      </c>
      <c r="I364" s="33" t="s">
        <v>181</v>
      </c>
      <c r="J364" s="33" t="s">
        <v>181</v>
      </c>
      <c r="K364" s="33" t="s">
        <v>157</v>
      </c>
    </row>
    <row r="365" ht="15.75" customHeight="1">
      <c r="A365" s="33" t="s">
        <v>1390</v>
      </c>
      <c r="B365" s="33" t="s">
        <v>1389</v>
      </c>
      <c r="C365" s="33" t="s">
        <v>235</v>
      </c>
      <c r="D365" s="39">
        <v>46253.0</v>
      </c>
      <c r="E365" s="40">
        <v>49200.0</v>
      </c>
      <c r="F365" s="33" t="s">
        <v>241</v>
      </c>
      <c r="G365" s="33" t="s">
        <v>181</v>
      </c>
      <c r="H365" s="33" t="s">
        <v>181</v>
      </c>
      <c r="I365" s="33" t="s">
        <v>181</v>
      </c>
      <c r="J365" s="33" t="s">
        <v>181</v>
      </c>
      <c r="K365" s="33" t="s">
        <v>157</v>
      </c>
    </row>
    <row r="366" ht="15.75" customHeight="1">
      <c r="A366" s="33" t="s">
        <v>2777</v>
      </c>
      <c r="B366" s="33" t="s">
        <v>315</v>
      </c>
      <c r="C366" s="33" t="s">
        <v>247</v>
      </c>
      <c r="D366" s="39">
        <v>45692.0</v>
      </c>
      <c r="E366" s="40">
        <v>10000.0</v>
      </c>
      <c r="F366" s="33" t="s">
        <v>230</v>
      </c>
      <c r="G366" s="33" t="s">
        <v>181</v>
      </c>
      <c r="H366" s="33" t="s">
        <v>189</v>
      </c>
      <c r="I366" s="33" t="s">
        <v>189</v>
      </c>
      <c r="J366" s="33" t="s">
        <v>189</v>
      </c>
      <c r="K366" s="33" t="s">
        <v>262</v>
      </c>
    </row>
    <row r="367" ht="15.75" customHeight="1">
      <c r="A367" s="33" t="s">
        <v>1397</v>
      </c>
      <c r="B367" s="33" t="s">
        <v>1396</v>
      </c>
      <c r="C367" s="33" t="s">
        <v>227</v>
      </c>
      <c r="D367" s="39">
        <v>46214.0</v>
      </c>
      <c r="E367" s="40">
        <v>49900.0</v>
      </c>
      <c r="F367" s="33" t="s">
        <v>241</v>
      </c>
      <c r="G367" s="33" t="s">
        <v>181</v>
      </c>
      <c r="H367" s="33" t="s">
        <v>181</v>
      </c>
      <c r="I367" s="33" t="s">
        <v>181</v>
      </c>
      <c r="J367" s="33" t="s">
        <v>181</v>
      </c>
      <c r="K367" s="33" t="s">
        <v>157</v>
      </c>
    </row>
    <row r="368" ht="15.75" customHeight="1">
      <c r="A368" s="33" t="s">
        <v>2785</v>
      </c>
      <c r="B368" s="33" t="s">
        <v>1649</v>
      </c>
      <c r="C368" s="33" t="s">
        <v>227</v>
      </c>
      <c r="D368" s="39">
        <v>46167.0</v>
      </c>
      <c r="E368" s="40">
        <v>12300.0</v>
      </c>
      <c r="F368" s="33" t="s">
        <v>248</v>
      </c>
      <c r="G368" s="33" t="s">
        <v>189</v>
      </c>
      <c r="H368" s="33" t="s">
        <v>189</v>
      </c>
      <c r="I368" s="33" t="s">
        <v>189</v>
      </c>
      <c r="J368" s="33" t="s">
        <v>189</v>
      </c>
      <c r="K368" s="33" t="s">
        <v>252</v>
      </c>
    </row>
    <row r="369" ht="15.75" customHeight="1">
      <c r="A369" s="33" t="s">
        <v>2790</v>
      </c>
      <c r="B369" s="33" t="s">
        <v>2594</v>
      </c>
      <c r="C369" s="33" t="s">
        <v>227</v>
      </c>
      <c r="D369" s="39">
        <v>45785.0</v>
      </c>
      <c r="E369" s="40">
        <v>9200.0</v>
      </c>
      <c r="F369" s="33" t="s">
        <v>241</v>
      </c>
      <c r="G369" s="33" t="s">
        <v>181</v>
      </c>
      <c r="H369" s="33" t="s">
        <v>189</v>
      </c>
      <c r="I369" s="33" t="s">
        <v>189</v>
      </c>
      <c r="J369" s="33" t="s">
        <v>189</v>
      </c>
      <c r="K369" s="33" t="s">
        <v>262</v>
      </c>
    </row>
    <row r="370" ht="15.75" customHeight="1">
      <c r="A370" s="33" t="s">
        <v>1403</v>
      </c>
      <c r="B370" s="33" t="s">
        <v>1402</v>
      </c>
      <c r="C370" s="33" t="s">
        <v>227</v>
      </c>
      <c r="D370" s="39">
        <v>46154.0</v>
      </c>
      <c r="E370" s="40">
        <v>43100.0</v>
      </c>
      <c r="F370" s="33" t="s">
        <v>248</v>
      </c>
      <c r="G370" s="33" t="s">
        <v>181</v>
      </c>
      <c r="H370" s="33" t="s">
        <v>181</v>
      </c>
      <c r="I370" s="33" t="s">
        <v>181</v>
      </c>
      <c r="J370" s="33" t="s">
        <v>181</v>
      </c>
      <c r="K370" s="33" t="s">
        <v>157</v>
      </c>
    </row>
    <row r="371" ht="15.75" customHeight="1">
      <c r="A371" s="33" t="s">
        <v>1410</v>
      </c>
      <c r="B371" s="33" t="s">
        <v>1409</v>
      </c>
      <c r="C371" s="33" t="s">
        <v>227</v>
      </c>
      <c r="D371" s="39">
        <v>46169.0</v>
      </c>
      <c r="E371" s="40">
        <v>24000.0</v>
      </c>
      <c r="F371" s="33" t="s">
        <v>269</v>
      </c>
      <c r="G371" s="33" t="s">
        <v>181</v>
      </c>
      <c r="H371" s="33" t="s">
        <v>181</v>
      </c>
      <c r="I371" s="33" t="s">
        <v>181</v>
      </c>
      <c r="J371" s="33" t="s">
        <v>181</v>
      </c>
      <c r="K371" s="33" t="s">
        <v>157</v>
      </c>
    </row>
    <row r="372" ht="15.75" customHeight="1">
      <c r="A372" s="33" t="s">
        <v>1414</v>
      </c>
      <c r="B372" s="33" t="s">
        <v>1006</v>
      </c>
      <c r="C372" s="33" t="s">
        <v>247</v>
      </c>
      <c r="D372" s="39">
        <v>45727.0</v>
      </c>
      <c r="E372" s="40">
        <v>44700.0</v>
      </c>
      <c r="F372" s="33" t="s">
        <v>248</v>
      </c>
      <c r="G372" s="33" t="s">
        <v>181</v>
      </c>
      <c r="H372" s="33" t="s">
        <v>181</v>
      </c>
      <c r="I372" s="33" t="s">
        <v>181</v>
      </c>
      <c r="J372" s="33" t="s">
        <v>181</v>
      </c>
      <c r="K372" s="33" t="s">
        <v>157</v>
      </c>
    </row>
    <row r="373" ht="15.75" customHeight="1">
      <c r="A373" s="33" t="s">
        <v>2804</v>
      </c>
      <c r="B373" s="33" t="s">
        <v>1192</v>
      </c>
      <c r="C373" s="33" t="s">
        <v>227</v>
      </c>
      <c r="D373" s="39">
        <v>45670.0</v>
      </c>
      <c r="E373" s="40">
        <v>37700.0</v>
      </c>
      <c r="F373" s="33" t="s">
        <v>269</v>
      </c>
      <c r="G373" s="33" t="s">
        <v>189</v>
      </c>
      <c r="H373" s="33" t="s">
        <v>189</v>
      </c>
      <c r="I373" s="33" t="s">
        <v>189</v>
      </c>
      <c r="J373" s="33" t="s">
        <v>189</v>
      </c>
      <c r="K373" s="33" t="s">
        <v>252</v>
      </c>
    </row>
    <row r="374" ht="15.75" customHeight="1">
      <c r="A374" s="33" t="s">
        <v>2808</v>
      </c>
      <c r="B374" s="33" t="s">
        <v>1662</v>
      </c>
      <c r="C374" s="33" t="s">
        <v>235</v>
      </c>
      <c r="D374" s="39">
        <v>46059.0</v>
      </c>
      <c r="E374" s="40">
        <v>8700.0</v>
      </c>
      <c r="F374" s="33" t="s">
        <v>248</v>
      </c>
      <c r="G374" s="33" t="s">
        <v>189</v>
      </c>
      <c r="H374" s="33" t="s">
        <v>189</v>
      </c>
      <c r="I374" s="33" t="s">
        <v>189</v>
      </c>
      <c r="J374" s="33" t="s">
        <v>189</v>
      </c>
      <c r="K374" s="33" t="s">
        <v>252</v>
      </c>
    </row>
    <row r="375" ht="15.75" customHeight="1">
      <c r="A375" s="33" t="s">
        <v>1419</v>
      </c>
      <c r="B375" s="33" t="s">
        <v>575</v>
      </c>
      <c r="C375" s="33" t="s">
        <v>227</v>
      </c>
      <c r="D375" s="39">
        <v>46015.0</v>
      </c>
      <c r="E375" s="40">
        <v>7000.0</v>
      </c>
      <c r="F375" s="33" t="s">
        <v>241</v>
      </c>
      <c r="G375" s="33" t="s">
        <v>181</v>
      </c>
      <c r="H375" s="33" t="s">
        <v>181</v>
      </c>
      <c r="I375" s="33" t="s">
        <v>181</v>
      </c>
      <c r="J375" s="33" t="s">
        <v>181</v>
      </c>
      <c r="K375" s="33" t="s">
        <v>157</v>
      </c>
    </row>
    <row r="376" ht="15.75" customHeight="1">
      <c r="A376" s="33" t="s">
        <v>2818</v>
      </c>
      <c r="B376" s="33" t="s">
        <v>815</v>
      </c>
      <c r="C376" s="33" t="s">
        <v>227</v>
      </c>
      <c r="D376" s="39">
        <v>46181.0</v>
      </c>
      <c r="E376" s="40">
        <v>22900.0</v>
      </c>
      <c r="F376" s="33" t="s">
        <v>230</v>
      </c>
      <c r="G376" s="33" t="s">
        <v>189</v>
      </c>
      <c r="H376" s="33" t="s">
        <v>189</v>
      </c>
      <c r="I376" s="33" t="s">
        <v>189</v>
      </c>
      <c r="J376" s="33" t="s">
        <v>189</v>
      </c>
      <c r="K376" s="33" t="s">
        <v>252</v>
      </c>
    </row>
    <row r="377" ht="15.75" customHeight="1">
      <c r="A377" s="33" t="s">
        <v>1427</v>
      </c>
      <c r="B377" s="33" t="s">
        <v>369</v>
      </c>
      <c r="C377" s="33" t="s">
        <v>227</v>
      </c>
      <c r="D377" s="39">
        <v>46222.0</v>
      </c>
      <c r="E377" s="40">
        <v>28500.0</v>
      </c>
      <c r="F377" s="33" t="s">
        <v>248</v>
      </c>
      <c r="G377" s="33" t="s">
        <v>181</v>
      </c>
      <c r="H377" s="33" t="s">
        <v>181</v>
      </c>
      <c r="I377" s="33" t="s">
        <v>181</v>
      </c>
      <c r="J377" s="33" t="s">
        <v>181</v>
      </c>
      <c r="K377" s="33" t="s">
        <v>157</v>
      </c>
    </row>
    <row r="378" ht="15.75" customHeight="1">
      <c r="A378" s="33" t="s">
        <v>2825</v>
      </c>
      <c r="B378" s="33" t="s">
        <v>872</v>
      </c>
      <c r="C378" s="33" t="s">
        <v>235</v>
      </c>
      <c r="D378" s="39">
        <v>45721.0</v>
      </c>
      <c r="E378" s="40">
        <v>21700.0</v>
      </c>
      <c r="F378" s="33" t="s">
        <v>248</v>
      </c>
      <c r="G378" s="33" t="s">
        <v>181</v>
      </c>
      <c r="H378" s="33" t="s">
        <v>189</v>
      </c>
      <c r="I378" s="33" t="s">
        <v>189</v>
      </c>
      <c r="J378" s="33" t="s">
        <v>189</v>
      </c>
      <c r="K378" s="33" t="s">
        <v>262</v>
      </c>
    </row>
    <row r="379" ht="15.75" customHeight="1">
      <c r="A379" s="33" t="s">
        <v>1432</v>
      </c>
      <c r="B379" s="33" t="s">
        <v>1045</v>
      </c>
      <c r="C379" s="33" t="s">
        <v>247</v>
      </c>
      <c r="D379" s="39">
        <v>46240.0</v>
      </c>
      <c r="E379" s="40">
        <v>11400.0</v>
      </c>
      <c r="F379" s="33" t="s">
        <v>248</v>
      </c>
      <c r="G379" s="33" t="s">
        <v>181</v>
      </c>
      <c r="H379" s="33" t="s">
        <v>181</v>
      </c>
      <c r="I379" s="33" t="s">
        <v>181</v>
      </c>
      <c r="J379" s="33" t="s">
        <v>181</v>
      </c>
      <c r="K379" s="33" t="s">
        <v>157</v>
      </c>
    </row>
    <row r="380" ht="15.75" customHeight="1">
      <c r="A380" s="33" t="s">
        <v>1438</v>
      </c>
      <c r="B380" s="33" t="s">
        <v>1437</v>
      </c>
      <c r="C380" s="33" t="s">
        <v>227</v>
      </c>
      <c r="D380" s="39">
        <v>46175.0</v>
      </c>
      <c r="E380" s="40">
        <v>11700.0</v>
      </c>
      <c r="F380" s="33" t="s">
        <v>230</v>
      </c>
      <c r="G380" s="33" t="s">
        <v>181</v>
      </c>
      <c r="H380" s="33" t="s">
        <v>181</v>
      </c>
      <c r="I380" s="33" t="s">
        <v>181</v>
      </c>
      <c r="J380" s="33" t="s">
        <v>181</v>
      </c>
      <c r="K380" s="33" t="s">
        <v>157</v>
      </c>
    </row>
    <row r="381" ht="15.75" customHeight="1">
      <c r="A381" s="33" t="s">
        <v>1445</v>
      </c>
      <c r="B381" s="33" t="s">
        <v>1444</v>
      </c>
      <c r="C381" s="33" t="s">
        <v>227</v>
      </c>
      <c r="D381" s="39">
        <v>46024.0</v>
      </c>
      <c r="E381" s="40">
        <v>26000.0</v>
      </c>
      <c r="F381" s="33" t="s">
        <v>230</v>
      </c>
      <c r="G381" s="33" t="s">
        <v>181</v>
      </c>
      <c r="H381" s="33" t="s">
        <v>181</v>
      </c>
      <c r="I381" s="33" t="s">
        <v>181</v>
      </c>
      <c r="J381" s="33" t="s">
        <v>181</v>
      </c>
      <c r="K381" s="33" t="s">
        <v>157</v>
      </c>
    </row>
    <row r="382" ht="15.75" customHeight="1">
      <c r="A382" s="33" t="s">
        <v>2840</v>
      </c>
      <c r="B382" s="33" t="s">
        <v>2842</v>
      </c>
      <c r="C382" s="33" t="s">
        <v>227</v>
      </c>
      <c r="D382" s="39">
        <v>45877.0</v>
      </c>
      <c r="E382" s="40">
        <v>1700.0</v>
      </c>
      <c r="F382" s="33" t="s">
        <v>230</v>
      </c>
      <c r="G382" s="33" t="s">
        <v>181</v>
      </c>
      <c r="H382" s="33" t="s">
        <v>189</v>
      </c>
      <c r="I382" s="33" t="s">
        <v>189</v>
      </c>
      <c r="J382" s="33" t="s">
        <v>189</v>
      </c>
      <c r="K382" s="33" t="s">
        <v>262</v>
      </c>
    </row>
    <row r="383" ht="15.75" customHeight="1">
      <c r="A383" s="33" t="s">
        <v>1449</v>
      </c>
      <c r="B383" s="33" t="s">
        <v>1448</v>
      </c>
      <c r="C383" s="33" t="s">
        <v>235</v>
      </c>
      <c r="D383" s="39">
        <v>46040.0</v>
      </c>
      <c r="E383" s="40">
        <v>22500.0</v>
      </c>
      <c r="F383" s="33" t="s">
        <v>241</v>
      </c>
      <c r="G383" s="33" t="s">
        <v>181</v>
      </c>
      <c r="H383" s="33" t="s">
        <v>181</v>
      </c>
      <c r="I383" s="33" t="s">
        <v>181</v>
      </c>
      <c r="J383" s="33" t="s">
        <v>181</v>
      </c>
      <c r="K383" s="33" t="s">
        <v>157</v>
      </c>
    </row>
    <row r="384" ht="15.75" customHeight="1">
      <c r="A384" s="33" t="s">
        <v>1456</v>
      </c>
      <c r="B384" s="33" t="s">
        <v>1014</v>
      </c>
      <c r="C384" s="33" t="s">
        <v>247</v>
      </c>
      <c r="D384" s="39">
        <v>46000.0</v>
      </c>
      <c r="E384" s="40">
        <v>2600.0</v>
      </c>
      <c r="F384" s="33" t="s">
        <v>248</v>
      </c>
      <c r="G384" s="33" t="s">
        <v>181</v>
      </c>
      <c r="H384" s="33" t="s">
        <v>181</v>
      </c>
      <c r="I384" s="33" t="s">
        <v>181</v>
      </c>
      <c r="J384" s="33" t="s">
        <v>181</v>
      </c>
      <c r="K384" s="33" t="s">
        <v>157</v>
      </c>
    </row>
    <row r="385" ht="15.75" customHeight="1">
      <c r="A385" s="33" t="s">
        <v>2851</v>
      </c>
      <c r="B385" s="33" t="s">
        <v>1396</v>
      </c>
      <c r="C385" s="33" t="s">
        <v>227</v>
      </c>
      <c r="D385" s="39">
        <v>45894.0</v>
      </c>
      <c r="E385" s="40">
        <v>43800.0</v>
      </c>
      <c r="F385" s="33" t="s">
        <v>241</v>
      </c>
      <c r="G385" s="33" t="s">
        <v>189</v>
      </c>
      <c r="H385" s="33" t="s">
        <v>189</v>
      </c>
      <c r="I385" s="33" t="s">
        <v>189</v>
      </c>
      <c r="J385" s="33" t="s">
        <v>189</v>
      </c>
      <c r="K385" s="33" t="s">
        <v>252</v>
      </c>
    </row>
    <row r="386" ht="15.75" customHeight="1">
      <c r="A386" s="33" t="s">
        <v>2855</v>
      </c>
      <c r="B386" s="33" t="s">
        <v>2857</v>
      </c>
      <c r="C386" s="33" t="s">
        <v>227</v>
      </c>
      <c r="D386" s="39">
        <v>45705.0</v>
      </c>
      <c r="E386" s="40">
        <v>31400.0</v>
      </c>
      <c r="F386" s="33" t="s">
        <v>241</v>
      </c>
      <c r="G386" s="33" t="s">
        <v>181</v>
      </c>
      <c r="H386" s="33" t="s">
        <v>189</v>
      </c>
      <c r="I386" s="33" t="s">
        <v>189</v>
      </c>
      <c r="J386" s="33" t="s">
        <v>189</v>
      </c>
      <c r="K386" s="33" t="s">
        <v>262</v>
      </c>
    </row>
    <row r="387" ht="15.75" customHeight="1">
      <c r="A387" s="33" t="s">
        <v>1459</v>
      </c>
      <c r="B387" s="33" t="s">
        <v>801</v>
      </c>
      <c r="C387" s="33" t="s">
        <v>227</v>
      </c>
      <c r="D387" s="39">
        <v>46097.0</v>
      </c>
      <c r="E387" s="40">
        <v>8800.0</v>
      </c>
      <c r="F387" s="33" t="s">
        <v>248</v>
      </c>
      <c r="G387" s="33" t="s">
        <v>181</v>
      </c>
      <c r="H387" s="33" t="s">
        <v>181</v>
      </c>
      <c r="I387" s="33" t="s">
        <v>181</v>
      </c>
      <c r="J387" s="33" t="s">
        <v>181</v>
      </c>
      <c r="K387" s="33" t="s">
        <v>157</v>
      </c>
    </row>
    <row r="388" ht="15.75" customHeight="1">
      <c r="A388" s="33" t="s">
        <v>2864</v>
      </c>
      <c r="B388" s="33" t="s">
        <v>700</v>
      </c>
      <c r="C388" s="33" t="s">
        <v>247</v>
      </c>
      <c r="D388" s="39">
        <v>45843.0</v>
      </c>
      <c r="E388" s="40">
        <v>38700.0</v>
      </c>
      <c r="F388" s="33" t="s">
        <v>241</v>
      </c>
      <c r="G388" s="33" t="s">
        <v>189</v>
      </c>
      <c r="H388" s="33" t="s">
        <v>189</v>
      </c>
      <c r="I388" s="33" t="s">
        <v>189</v>
      </c>
      <c r="J388" s="33" t="s">
        <v>189</v>
      </c>
      <c r="K388" s="33" t="s">
        <v>252</v>
      </c>
    </row>
    <row r="389" ht="15.75" customHeight="1">
      <c r="A389" s="33" t="s">
        <v>1466</v>
      </c>
      <c r="B389" s="33" t="s">
        <v>524</v>
      </c>
      <c r="C389" s="33" t="s">
        <v>247</v>
      </c>
      <c r="D389" s="39">
        <v>45807.0</v>
      </c>
      <c r="E389" s="40">
        <v>25100.0</v>
      </c>
      <c r="F389" s="33" t="s">
        <v>230</v>
      </c>
      <c r="G389" s="33" t="s">
        <v>181</v>
      </c>
      <c r="H389" s="33" t="s">
        <v>181</v>
      </c>
      <c r="I389" s="33" t="s">
        <v>181</v>
      </c>
      <c r="J389" s="33" t="s">
        <v>181</v>
      </c>
      <c r="K389" s="33" t="s">
        <v>157</v>
      </c>
    </row>
    <row r="390" ht="15.75" customHeight="1">
      <c r="A390" s="33" t="s">
        <v>1471</v>
      </c>
      <c r="B390" s="33" t="s">
        <v>344</v>
      </c>
      <c r="C390" s="33" t="s">
        <v>247</v>
      </c>
      <c r="D390" s="39">
        <v>45885.0</v>
      </c>
      <c r="E390" s="40">
        <v>26000.0</v>
      </c>
      <c r="F390" s="33" t="s">
        <v>230</v>
      </c>
      <c r="G390" s="33" t="s">
        <v>181</v>
      </c>
      <c r="H390" s="33" t="s">
        <v>181</v>
      </c>
      <c r="I390" s="33" t="s">
        <v>181</v>
      </c>
      <c r="J390" s="33" t="s">
        <v>181</v>
      </c>
      <c r="K390" s="33" t="s">
        <v>157</v>
      </c>
    </row>
    <row r="391" ht="15.75" customHeight="1">
      <c r="A391" s="33" t="s">
        <v>2875</v>
      </c>
      <c r="B391" s="33" t="s">
        <v>2876</v>
      </c>
      <c r="C391" s="33" t="s">
        <v>227</v>
      </c>
      <c r="D391" s="39">
        <v>45678.0</v>
      </c>
      <c r="E391" s="40">
        <v>13600.0</v>
      </c>
      <c r="F391" s="33" t="s">
        <v>241</v>
      </c>
      <c r="G391" s="33" t="s">
        <v>189</v>
      </c>
      <c r="H391" s="33" t="s">
        <v>189</v>
      </c>
      <c r="I391" s="33" t="s">
        <v>189</v>
      </c>
      <c r="J391" s="33" t="s">
        <v>189</v>
      </c>
      <c r="K391" s="33" t="s">
        <v>252</v>
      </c>
    </row>
    <row r="392" ht="15.75" customHeight="1">
      <c r="A392" s="33" t="s">
        <v>1479</v>
      </c>
      <c r="B392" s="33" t="s">
        <v>287</v>
      </c>
      <c r="C392" s="33" t="s">
        <v>227</v>
      </c>
      <c r="D392" s="39">
        <v>45895.0</v>
      </c>
      <c r="E392" s="40">
        <v>20300.0</v>
      </c>
      <c r="F392" s="33" t="s">
        <v>241</v>
      </c>
      <c r="G392" s="33" t="s">
        <v>181</v>
      </c>
      <c r="H392" s="33" t="s">
        <v>181</v>
      </c>
      <c r="I392" s="33" t="s">
        <v>181</v>
      </c>
      <c r="J392" s="33" t="s">
        <v>181</v>
      </c>
      <c r="K392" s="33" t="s">
        <v>157</v>
      </c>
    </row>
    <row r="393" ht="15.75" customHeight="1">
      <c r="A393" s="33" t="s">
        <v>1483</v>
      </c>
      <c r="B393" s="33" t="s">
        <v>825</v>
      </c>
      <c r="C393" s="33" t="s">
        <v>247</v>
      </c>
      <c r="D393" s="39">
        <v>46165.0</v>
      </c>
      <c r="E393" s="40">
        <v>44000.0</v>
      </c>
      <c r="F393" s="33" t="s">
        <v>230</v>
      </c>
      <c r="G393" s="33" t="s">
        <v>181</v>
      </c>
      <c r="H393" s="33" t="s">
        <v>181</v>
      </c>
      <c r="I393" s="33" t="s">
        <v>181</v>
      </c>
      <c r="J393" s="33" t="s">
        <v>181</v>
      </c>
      <c r="K393" s="33" t="s">
        <v>157</v>
      </c>
    </row>
    <row r="394" ht="15.75" customHeight="1">
      <c r="A394" s="33" t="s">
        <v>2891</v>
      </c>
      <c r="B394" s="33" t="s">
        <v>467</v>
      </c>
      <c r="C394" s="33" t="s">
        <v>247</v>
      </c>
      <c r="D394" s="39">
        <v>46101.0</v>
      </c>
      <c r="E394" s="40">
        <v>8200.0</v>
      </c>
      <c r="F394" s="33" t="s">
        <v>230</v>
      </c>
      <c r="G394" s="33" t="s">
        <v>189</v>
      </c>
      <c r="H394" s="33" t="s">
        <v>189</v>
      </c>
      <c r="I394" s="33" t="s">
        <v>189</v>
      </c>
      <c r="J394" s="33" t="s">
        <v>189</v>
      </c>
      <c r="K394" s="33" t="s">
        <v>252</v>
      </c>
    </row>
    <row r="395" ht="15.75" customHeight="1">
      <c r="A395" s="33" t="s">
        <v>2895</v>
      </c>
      <c r="B395" s="33" t="s">
        <v>600</v>
      </c>
      <c r="C395" s="33" t="s">
        <v>247</v>
      </c>
      <c r="D395" s="39">
        <v>45694.0</v>
      </c>
      <c r="E395" s="40">
        <v>31600.0</v>
      </c>
      <c r="F395" s="33" t="s">
        <v>230</v>
      </c>
      <c r="G395" s="33" t="s">
        <v>181</v>
      </c>
      <c r="H395" s="33" t="s">
        <v>189</v>
      </c>
      <c r="I395" s="33" t="s">
        <v>189</v>
      </c>
      <c r="J395" s="33" t="s">
        <v>189</v>
      </c>
      <c r="K395" s="33" t="s">
        <v>262</v>
      </c>
    </row>
    <row r="396" ht="15.75" customHeight="1">
      <c r="A396" s="33" t="s">
        <v>1489</v>
      </c>
      <c r="B396" s="33" t="s">
        <v>460</v>
      </c>
      <c r="C396" s="33" t="s">
        <v>247</v>
      </c>
      <c r="D396" s="39">
        <v>45858.0</v>
      </c>
      <c r="E396" s="40">
        <v>11600.0</v>
      </c>
      <c r="F396" s="33" t="s">
        <v>230</v>
      </c>
      <c r="G396" s="33" t="s">
        <v>181</v>
      </c>
      <c r="H396" s="33" t="s">
        <v>181</v>
      </c>
      <c r="I396" s="33" t="s">
        <v>181</v>
      </c>
      <c r="J396" s="33" t="s">
        <v>181</v>
      </c>
      <c r="K396" s="33" t="s">
        <v>157</v>
      </c>
    </row>
    <row r="397" ht="15.75" customHeight="1">
      <c r="A397" s="33" t="s">
        <v>2903</v>
      </c>
      <c r="B397" s="33" t="s">
        <v>1806</v>
      </c>
      <c r="C397" s="33" t="s">
        <v>235</v>
      </c>
      <c r="D397" s="39">
        <v>46061.0</v>
      </c>
      <c r="E397" s="40">
        <v>22800.0</v>
      </c>
      <c r="F397" s="33" t="s">
        <v>269</v>
      </c>
      <c r="G397" s="33" t="s">
        <v>189</v>
      </c>
      <c r="H397" s="33" t="s">
        <v>189</v>
      </c>
      <c r="I397" s="33" t="s">
        <v>189</v>
      </c>
      <c r="J397" s="33" t="s">
        <v>189</v>
      </c>
      <c r="K397" s="33" t="s">
        <v>252</v>
      </c>
    </row>
    <row r="398" ht="15.75" customHeight="1">
      <c r="A398" s="33" t="s">
        <v>1494</v>
      </c>
      <c r="B398" s="33" t="s">
        <v>690</v>
      </c>
      <c r="C398" s="33" t="s">
        <v>235</v>
      </c>
      <c r="D398" s="39">
        <v>46223.0</v>
      </c>
      <c r="E398" s="40">
        <v>27100.0</v>
      </c>
      <c r="F398" s="33" t="s">
        <v>241</v>
      </c>
      <c r="G398" s="33" t="s">
        <v>181</v>
      </c>
      <c r="H398" s="33" t="s">
        <v>181</v>
      </c>
      <c r="I398" s="33" t="s">
        <v>181</v>
      </c>
      <c r="J398" s="33" t="s">
        <v>181</v>
      </c>
      <c r="K398" s="33" t="s">
        <v>157</v>
      </c>
    </row>
    <row r="399" ht="15.75" customHeight="1">
      <c r="A399" s="33" t="s">
        <v>2913</v>
      </c>
      <c r="B399" s="33" t="s">
        <v>1908</v>
      </c>
      <c r="C399" s="33" t="s">
        <v>227</v>
      </c>
      <c r="D399" s="39">
        <v>45923.0</v>
      </c>
      <c r="E399" s="40">
        <v>7000.0</v>
      </c>
      <c r="F399" s="33" t="s">
        <v>248</v>
      </c>
      <c r="G399" s="33" t="s">
        <v>181</v>
      </c>
      <c r="H399" s="33" t="s">
        <v>189</v>
      </c>
      <c r="I399" s="33" t="s">
        <v>189</v>
      </c>
      <c r="J399" s="33" t="s">
        <v>189</v>
      </c>
      <c r="K399" s="33" t="s">
        <v>262</v>
      </c>
    </row>
    <row r="400" ht="15.75" customHeight="1">
      <c r="A400" s="33" t="s">
        <v>2918</v>
      </c>
      <c r="B400" s="33" t="s">
        <v>2433</v>
      </c>
      <c r="C400" s="33" t="s">
        <v>235</v>
      </c>
      <c r="D400" s="39">
        <v>46257.0</v>
      </c>
      <c r="E400" s="40">
        <v>4800.0</v>
      </c>
      <c r="F400" s="33" t="s">
        <v>230</v>
      </c>
      <c r="G400" s="33" t="s">
        <v>189</v>
      </c>
      <c r="H400" s="33" t="s">
        <v>189</v>
      </c>
      <c r="I400" s="33" t="s">
        <v>189</v>
      </c>
      <c r="J400" s="33" t="s">
        <v>189</v>
      </c>
      <c r="K400" s="33" t="s">
        <v>252</v>
      </c>
    </row>
    <row r="401" ht="15.75" customHeight="1">
      <c r="A401" s="33" t="s">
        <v>2922</v>
      </c>
      <c r="B401" s="33" t="s">
        <v>2394</v>
      </c>
      <c r="C401" s="33" t="s">
        <v>247</v>
      </c>
      <c r="D401" s="39">
        <v>45684.0</v>
      </c>
      <c r="E401" s="40">
        <v>24700.0</v>
      </c>
      <c r="F401" s="33" t="s">
        <v>230</v>
      </c>
      <c r="G401" s="33" t="s">
        <v>189</v>
      </c>
      <c r="H401" s="33" t="s">
        <v>189</v>
      </c>
      <c r="I401" s="33" t="s">
        <v>189</v>
      </c>
      <c r="J401" s="33" t="s">
        <v>189</v>
      </c>
      <c r="K401" s="33" t="s">
        <v>252</v>
      </c>
    </row>
    <row r="402" ht="15.75" customHeight="1">
      <c r="A402" s="33" t="s">
        <v>2928</v>
      </c>
      <c r="B402" s="33" t="s">
        <v>2444</v>
      </c>
      <c r="C402" s="33" t="s">
        <v>247</v>
      </c>
      <c r="D402" s="39">
        <v>46210.0</v>
      </c>
      <c r="E402" s="40">
        <v>21100.0</v>
      </c>
      <c r="F402" s="33" t="s">
        <v>241</v>
      </c>
      <c r="G402" s="33" t="s">
        <v>189</v>
      </c>
      <c r="H402" s="33" t="s">
        <v>189</v>
      </c>
      <c r="I402" s="33" t="s">
        <v>189</v>
      </c>
      <c r="J402" s="33" t="s">
        <v>189</v>
      </c>
      <c r="K402" s="33" t="s">
        <v>252</v>
      </c>
    </row>
    <row r="403" ht="15.75" customHeight="1">
      <c r="A403" s="33" t="s">
        <v>1499</v>
      </c>
      <c r="B403" s="33" t="s">
        <v>285</v>
      </c>
      <c r="C403" s="33" t="s">
        <v>247</v>
      </c>
      <c r="D403" s="39">
        <v>45755.0</v>
      </c>
      <c r="E403" s="40">
        <v>46100.0</v>
      </c>
      <c r="F403" s="33" t="s">
        <v>248</v>
      </c>
      <c r="G403" s="33" t="s">
        <v>181</v>
      </c>
      <c r="H403" s="33" t="s">
        <v>181</v>
      </c>
      <c r="I403" s="33" t="s">
        <v>181</v>
      </c>
      <c r="J403" s="33" t="s">
        <v>181</v>
      </c>
      <c r="K403" s="33" t="s">
        <v>157</v>
      </c>
    </row>
    <row r="404" ht="15.75" customHeight="1">
      <c r="A404" s="33" t="s">
        <v>2936</v>
      </c>
      <c r="B404" s="33" t="s">
        <v>371</v>
      </c>
      <c r="C404" s="33" t="s">
        <v>227</v>
      </c>
      <c r="D404" s="39">
        <v>46100.0</v>
      </c>
      <c r="E404" s="40">
        <v>35200.0</v>
      </c>
      <c r="F404" s="33" t="s">
        <v>241</v>
      </c>
      <c r="G404" s="33" t="s">
        <v>189</v>
      </c>
      <c r="H404" s="33" t="s">
        <v>189</v>
      </c>
      <c r="I404" s="33" t="s">
        <v>189</v>
      </c>
      <c r="J404" s="33" t="s">
        <v>189</v>
      </c>
      <c r="K404" s="33" t="s">
        <v>252</v>
      </c>
    </row>
    <row r="405" ht="15.75" customHeight="1">
      <c r="A405" s="33" t="s">
        <v>1506</v>
      </c>
      <c r="B405" s="33" t="s">
        <v>1222</v>
      </c>
      <c r="C405" s="33" t="s">
        <v>247</v>
      </c>
      <c r="D405" s="39">
        <v>45719.0</v>
      </c>
      <c r="E405" s="40">
        <v>44900.0</v>
      </c>
      <c r="F405" s="33" t="s">
        <v>241</v>
      </c>
      <c r="G405" s="33" t="s">
        <v>181</v>
      </c>
      <c r="H405" s="33" t="s">
        <v>181</v>
      </c>
      <c r="I405" s="33" t="s">
        <v>181</v>
      </c>
      <c r="J405" s="33" t="s">
        <v>181</v>
      </c>
      <c r="K405" s="33" t="s">
        <v>157</v>
      </c>
    </row>
    <row r="406" ht="15.75" customHeight="1">
      <c r="A406" s="33" t="s">
        <v>1511</v>
      </c>
      <c r="B406" s="33" t="s">
        <v>1132</v>
      </c>
      <c r="C406" s="33" t="s">
        <v>247</v>
      </c>
      <c r="D406" s="39">
        <v>46258.0</v>
      </c>
      <c r="E406" s="40">
        <v>46500.0</v>
      </c>
      <c r="F406" s="33" t="s">
        <v>248</v>
      </c>
      <c r="G406" s="33" t="s">
        <v>181</v>
      </c>
      <c r="H406" s="33" t="s">
        <v>181</v>
      </c>
      <c r="I406" s="33" t="s">
        <v>181</v>
      </c>
      <c r="J406" s="33" t="s">
        <v>181</v>
      </c>
      <c r="K406" s="33" t="s">
        <v>157</v>
      </c>
    </row>
    <row r="407" ht="15.75" customHeight="1">
      <c r="A407" s="33" t="s">
        <v>2951</v>
      </c>
      <c r="B407" s="33" t="s">
        <v>993</v>
      </c>
      <c r="C407" s="33" t="s">
        <v>235</v>
      </c>
      <c r="D407" s="39">
        <v>45788.0</v>
      </c>
      <c r="E407" s="40">
        <v>1900.0</v>
      </c>
      <c r="F407" s="33" t="s">
        <v>248</v>
      </c>
      <c r="G407" s="33" t="s">
        <v>181</v>
      </c>
      <c r="H407" s="33" t="s">
        <v>189</v>
      </c>
      <c r="I407" s="33" t="s">
        <v>189</v>
      </c>
      <c r="J407" s="33" t="s">
        <v>189</v>
      </c>
      <c r="K407" s="33" t="s">
        <v>262</v>
      </c>
    </row>
    <row r="408" ht="15.75" customHeight="1">
      <c r="A408" s="33" t="s">
        <v>1516</v>
      </c>
      <c r="B408" s="33" t="s">
        <v>350</v>
      </c>
      <c r="C408" s="33" t="s">
        <v>247</v>
      </c>
      <c r="D408" s="39">
        <v>45881.0</v>
      </c>
      <c r="E408" s="40">
        <v>44100.0</v>
      </c>
      <c r="F408" s="33" t="s">
        <v>241</v>
      </c>
      <c r="G408" s="33" t="s">
        <v>181</v>
      </c>
      <c r="H408" s="33" t="s">
        <v>181</v>
      </c>
      <c r="I408" s="33" t="s">
        <v>181</v>
      </c>
      <c r="J408" s="33" t="s">
        <v>181</v>
      </c>
      <c r="K408" s="33" t="s">
        <v>157</v>
      </c>
    </row>
    <row r="409" ht="15.75" customHeight="1">
      <c r="A409" s="33" t="s">
        <v>1521</v>
      </c>
      <c r="B409" s="33" t="s">
        <v>364</v>
      </c>
      <c r="C409" s="33" t="s">
        <v>235</v>
      </c>
      <c r="D409" s="39">
        <v>46043.0</v>
      </c>
      <c r="E409" s="40">
        <v>48000.0</v>
      </c>
      <c r="F409" s="33" t="s">
        <v>241</v>
      </c>
      <c r="G409" s="33" t="s">
        <v>181</v>
      </c>
      <c r="H409" s="33" t="s">
        <v>181</v>
      </c>
      <c r="I409" s="33" t="s">
        <v>181</v>
      </c>
      <c r="J409" s="33" t="s">
        <v>181</v>
      </c>
      <c r="K409" s="33" t="s">
        <v>157</v>
      </c>
    </row>
    <row r="410" ht="15.75" customHeight="1">
      <c r="A410" s="33" t="s">
        <v>2964</v>
      </c>
      <c r="B410" s="33" t="s">
        <v>2199</v>
      </c>
      <c r="C410" s="33" t="s">
        <v>227</v>
      </c>
      <c r="D410" s="39">
        <v>45688.0</v>
      </c>
      <c r="E410" s="40">
        <v>23200.0</v>
      </c>
      <c r="F410" s="33" t="s">
        <v>230</v>
      </c>
      <c r="G410" s="33" t="s">
        <v>189</v>
      </c>
      <c r="H410" s="33" t="s">
        <v>189</v>
      </c>
      <c r="I410" s="33" t="s">
        <v>189</v>
      </c>
      <c r="J410" s="33" t="s">
        <v>189</v>
      </c>
      <c r="K410" s="33" t="s">
        <v>252</v>
      </c>
    </row>
    <row r="411" ht="15.75" customHeight="1">
      <c r="A411" s="33" t="s">
        <v>2969</v>
      </c>
      <c r="B411" s="33" t="s">
        <v>2221</v>
      </c>
      <c r="C411" s="33" t="s">
        <v>235</v>
      </c>
      <c r="D411" s="39">
        <v>46004.0</v>
      </c>
      <c r="E411" s="40">
        <v>32200.0</v>
      </c>
      <c r="F411" s="33" t="s">
        <v>248</v>
      </c>
      <c r="G411" s="33" t="s">
        <v>181</v>
      </c>
      <c r="H411" s="33" t="s">
        <v>189</v>
      </c>
      <c r="I411" s="33" t="s">
        <v>189</v>
      </c>
      <c r="J411" s="33" t="s">
        <v>189</v>
      </c>
      <c r="K411" s="33" t="s">
        <v>262</v>
      </c>
    </row>
    <row r="412" ht="15.75" customHeight="1">
      <c r="A412" s="33" t="s">
        <v>2973</v>
      </c>
      <c r="B412" s="33" t="s">
        <v>1743</v>
      </c>
      <c r="C412" s="33" t="s">
        <v>247</v>
      </c>
      <c r="D412" s="39">
        <v>45835.0</v>
      </c>
      <c r="E412" s="40">
        <v>18000.0</v>
      </c>
      <c r="F412" s="33" t="s">
        <v>248</v>
      </c>
      <c r="G412" s="33" t="s">
        <v>181</v>
      </c>
      <c r="H412" s="33" t="s">
        <v>189</v>
      </c>
      <c r="I412" s="33" t="s">
        <v>189</v>
      </c>
      <c r="J412" s="33" t="s">
        <v>189</v>
      </c>
      <c r="K412" s="33" t="s">
        <v>262</v>
      </c>
    </row>
    <row r="413" ht="15.75" customHeight="1">
      <c r="A413" s="33" t="s">
        <v>2978</v>
      </c>
      <c r="B413" s="33" t="s">
        <v>790</v>
      </c>
      <c r="C413" s="33" t="s">
        <v>247</v>
      </c>
      <c r="D413" s="39">
        <v>45920.0</v>
      </c>
      <c r="E413" s="40">
        <v>5800.0</v>
      </c>
      <c r="F413" s="33" t="s">
        <v>230</v>
      </c>
      <c r="G413" s="33" t="s">
        <v>181</v>
      </c>
      <c r="H413" s="33" t="s">
        <v>189</v>
      </c>
      <c r="I413" s="33" t="s">
        <v>189</v>
      </c>
      <c r="J413" s="33" t="s">
        <v>189</v>
      </c>
      <c r="K413" s="33" t="s">
        <v>262</v>
      </c>
    </row>
    <row r="414" ht="15.75" customHeight="1">
      <c r="A414" s="33" t="s">
        <v>1525</v>
      </c>
      <c r="B414" s="33" t="s">
        <v>389</v>
      </c>
      <c r="C414" s="33" t="s">
        <v>247</v>
      </c>
      <c r="D414" s="39">
        <v>45860.0</v>
      </c>
      <c r="E414" s="40">
        <v>13900.0</v>
      </c>
      <c r="F414" s="33" t="s">
        <v>241</v>
      </c>
      <c r="G414" s="33" t="s">
        <v>181</v>
      </c>
      <c r="H414" s="33" t="s">
        <v>181</v>
      </c>
      <c r="I414" s="33" t="s">
        <v>181</v>
      </c>
      <c r="J414" s="33" t="s">
        <v>181</v>
      </c>
      <c r="K414" s="33" t="s">
        <v>157</v>
      </c>
    </row>
    <row r="415" ht="15.75" customHeight="1">
      <c r="A415" s="33" t="s">
        <v>2986</v>
      </c>
      <c r="B415" s="33" t="s">
        <v>404</v>
      </c>
      <c r="C415" s="33" t="s">
        <v>235</v>
      </c>
      <c r="D415" s="39">
        <v>46169.0</v>
      </c>
      <c r="E415" s="40">
        <v>4900.0</v>
      </c>
      <c r="F415" s="33" t="s">
        <v>248</v>
      </c>
      <c r="G415" s="33" t="s">
        <v>181</v>
      </c>
      <c r="H415" s="33" t="s">
        <v>189</v>
      </c>
      <c r="I415" s="33" t="s">
        <v>189</v>
      </c>
      <c r="J415" s="33" t="s">
        <v>189</v>
      </c>
      <c r="K415" s="33" t="s">
        <v>262</v>
      </c>
    </row>
    <row r="416" ht="15.75" customHeight="1">
      <c r="A416" s="33" t="s">
        <v>2992</v>
      </c>
      <c r="B416" s="33" t="s">
        <v>1541</v>
      </c>
      <c r="C416" s="33" t="s">
        <v>227</v>
      </c>
      <c r="D416" s="39">
        <v>45935.0</v>
      </c>
      <c r="E416" s="40">
        <v>24900.0</v>
      </c>
      <c r="F416" s="33" t="s">
        <v>241</v>
      </c>
      <c r="G416" s="33" t="s">
        <v>189</v>
      </c>
      <c r="H416" s="33" t="s">
        <v>189</v>
      </c>
      <c r="I416" s="33" t="s">
        <v>189</v>
      </c>
      <c r="J416" s="33" t="s">
        <v>189</v>
      </c>
      <c r="K416" s="33" t="s">
        <v>252</v>
      </c>
    </row>
    <row r="417" ht="15.75" customHeight="1">
      <c r="A417" s="33" t="s">
        <v>2996</v>
      </c>
      <c r="B417" s="33" t="s">
        <v>2177</v>
      </c>
      <c r="C417" s="33" t="s">
        <v>247</v>
      </c>
      <c r="D417" s="39">
        <v>46115.0</v>
      </c>
      <c r="E417" s="40">
        <v>33000.0</v>
      </c>
      <c r="F417" s="33" t="s">
        <v>248</v>
      </c>
      <c r="G417" s="33" t="s">
        <v>181</v>
      </c>
      <c r="H417" s="33" t="s">
        <v>181</v>
      </c>
      <c r="I417" s="33" t="s">
        <v>181</v>
      </c>
      <c r="J417" s="33" t="s">
        <v>189</v>
      </c>
      <c r="K417" s="33" t="s">
        <v>365</v>
      </c>
    </row>
    <row r="418" ht="15.75" customHeight="1">
      <c r="A418" s="33" t="s">
        <v>1532</v>
      </c>
      <c r="B418" s="33" t="s">
        <v>1530</v>
      </c>
      <c r="C418" s="33" t="s">
        <v>235</v>
      </c>
      <c r="D418" s="39">
        <v>45683.0</v>
      </c>
      <c r="E418" s="40">
        <v>1300.0</v>
      </c>
      <c r="F418" s="33" t="s">
        <v>241</v>
      </c>
      <c r="G418" s="33" t="s">
        <v>181</v>
      </c>
      <c r="H418" s="33" t="s">
        <v>181</v>
      </c>
      <c r="I418" s="33" t="s">
        <v>181</v>
      </c>
      <c r="J418" s="33" t="s">
        <v>181</v>
      </c>
      <c r="K418" s="33" t="s">
        <v>157</v>
      </c>
    </row>
    <row r="419" ht="15.75" customHeight="1">
      <c r="A419" s="33" t="s">
        <v>1537</v>
      </c>
      <c r="B419" s="33" t="s">
        <v>327</v>
      </c>
      <c r="C419" s="33" t="s">
        <v>227</v>
      </c>
      <c r="D419" s="39">
        <v>46072.0</v>
      </c>
      <c r="E419" s="40">
        <v>12200.0</v>
      </c>
      <c r="F419" s="33" t="s">
        <v>269</v>
      </c>
      <c r="G419" s="33" t="s">
        <v>181</v>
      </c>
      <c r="H419" s="33" t="s">
        <v>181</v>
      </c>
      <c r="I419" s="33" t="s">
        <v>181</v>
      </c>
      <c r="J419" s="33" t="s">
        <v>181</v>
      </c>
      <c r="K419" s="33" t="s">
        <v>157</v>
      </c>
    </row>
    <row r="420" ht="15.75" customHeight="1">
      <c r="A420" s="33" t="s">
        <v>3010</v>
      </c>
      <c r="B420" s="33" t="s">
        <v>1476</v>
      </c>
      <c r="C420" s="33" t="s">
        <v>247</v>
      </c>
      <c r="D420" s="39">
        <v>45890.0</v>
      </c>
      <c r="E420" s="40">
        <v>4600.0</v>
      </c>
      <c r="F420" s="33" t="s">
        <v>248</v>
      </c>
      <c r="G420" s="33" t="s">
        <v>181</v>
      </c>
      <c r="H420" s="33" t="s">
        <v>189</v>
      </c>
      <c r="I420" s="33" t="s">
        <v>189</v>
      </c>
      <c r="J420" s="33" t="s">
        <v>189</v>
      </c>
      <c r="K420" s="33" t="s">
        <v>262</v>
      </c>
    </row>
    <row r="421" ht="15.75" customHeight="1">
      <c r="A421" s="33" t="s">
        <v>3017</v>
      </c>
      <c r="B421" s="33" t="s">
        <v>1259</v>
      </c>
      <c r="C421" s="33" t="s">
        <v>247</v>
      </c>
      <c r="D421" s="39">
        <v>46021.0</v>
      </c>
      <c r="E421" s="40">
        <v>48300.0</v>
      </c>
      <c r="F421" s="33" t="s">
        <v>269</v>
      </c>
      <c r="G421" s="33" t="s">
        <v>181</v>
      </c>
      <c r="H421" s="33" t="s">
        <v>189</v>
      </c>
      <c r="I421" s="33" t="s">
        <v>189</v>
      </c>
      <c r="J421" s="33" t="s">
        <v>189</v>
      </c>
      <c r="K421" s="33" t="s">
        <v>262</v>
      </c>
    </row>
    <row r="422" ht="15.75" customHeight="1">
      <c r="A422" s="33" t="s">
        <v>1539</v>
      </c>
      <c r="B422" s="33" t="s">
        <v>1490</v>
      </c>
      <c r="C422" s="33" t="s">
        <v>235</v>
      </c>
      <c r="D422" s="39">
        <v>46171.0</v>
      </c>
      <c r="E422" s="40">
        <v>40400.0</v>
      </c>
      <c r="F422" s="33" t="s">
        <v>241</v>
      </c>
      <c r="G422" s="33" t="s">
        <v>181</v>
      </c>
      <c r="H422" s="33" t="s">
        <v>181</v>
      </c>
      <c r="I422" s="33" t="s">
        <v>181</v>
      </c>
      <c r="J422" s="33" t="s">
        <v>181</v>
      </c>
      <c r="K422" s="33" t="s">
        <v>157</v>
      </c>
    </row>
    <row r="423" ht="15.75" customHeight="1">
      <c r="A423" s="33" t="s">
        <v>1545</v>
      </c>
      <c r="B423" s="33" t="s">
        <v>1544</v>
      </c>
      <c r="C423" s="33" t="s">
        <v>235</v>
      </c>
      <c r="D423" s="39">
        <v>46080.0</v>
      </c>
      <c r="E423" s="40">
        <v>2500.0</v>
      </c>
      <c r="F423" s="33" t="s">
        <v>269</v>
      </c>
      <c r="G423" s="33" t="s">
        <v>181</v>
      </c>
      <c r="H423" s="33" t="s">
        <v>181</v>
      </c>
      <c r="I423" s="33" t="s">
        <v>181</v>
      </c>
      <c r="J423" s="33" t="s">
        <v>181</v>
      </c>
      <c r="K423" s="33" t="s">
        <v>157</v>
      </c>
    </row>
    <row r="424" ht="15.75" customHeight="1">
      <c r="A424" s="33" t="s">
        <v>1551</v>
      </c>
      <c r="B424" s="33" t="s">
        <v>1549</v>
      </c>
      <c r="C424" s="33" t="s">
        <v>227</v>
      </c>
      <c r="D424" s="39">
        <v>45872.0</v>
      </c>
      <c r="E424" s="40">
        <v>40900.0</v>
      </c>
      <c r="F424" s="33" t="s">
        <v>230</v>
      </c>
      <c r="G424" s="33" t="s">
        <v>181</v>
      </c>
      <c r="H424" s="33" t="s">
        <v>181</v>
      </c>
      <c r="I424" s="33" t="s">
        <v>181</v>
      </c>
      <c r="J424" s="33" t="s">
        <v>181</v>
      </c>
      <c r="K424" s="33" t="s">
        <v>157</v>
      </c>
    </row>
    <row r="425" ht="15.75" customHeight="1">
      <c r="A425" s="33" t="s">
        <v>3033</v>
      </c>
      <c r="B425" s="33" t="s">
        <v>183</v>
      </c>
      <c r="C425" s="33" t="s">
        <v>247</v>
      </c>
      <c r="D425" s="39">
        <v>45795.0</v>
      </c>
      <c r="E425" s="40">
        <v>41500.0</v>
      </c>
      <c r="F425" s="33" t="s">
        <v>241</v>
      </c>
      <c r="G425" s="33" t="s">
        <v>181</v>
      </c>
      <c r="H425" s="33" t="s">
        <v>189</v>
      </c>
      <c r="I425" s="33" t="s">
        <v>189</v>
      </c>
      <c r="J425" s="33" t="s">
        <v>189</v>
      </c>
      <c r="K425" s="33" t="s">
        <v>262</v>
      </c>
    </row>
    <row r="426" ht="15.75" customHeight="1">
      <c r="A426" s="33" t="s">
        <v>1558</v>
      </c>
      <c r="B426" s="33" t="s">
        <v>1557</v>
      </c>
      <c r="C426" s="33" t="s">
        <v>247</v>
      </c>
      <c r="D426" s="39">
        <v>46196.0</v>
      </c>
      <c r="E426" s="40">
        <v>40500.0</v>
      </c>
      <c r="F426" s="33" t="s">
        <v>230</v>
      </c>
      <c r="G426" s="33" t="s">
        <v>181</v>
      </c>
      <c r="H426" s="33" t="s">
        <v>181</v>
      </c>
      <c r="I426" s="33" t="s">
        <v>181</v>
      </c>
      <c r="J426" s="33" t="s">
        <v>181</v>
      </c>
      <c r="K426" s="33" t="s">
        <v>157</v>
      </c>
    </row>
    <row r="427" ht="15.75" customHeight="1">
      <c r="A427" s="33" t="s">
        <v>3042</v>
      </c>
      <c r="B427" s="33" t="s">
        <v>2340</v>
      </c>
      <c r="C427" s="33" t="s">
        <v>247</v>
      </c>
      <c r="D427" s="39">
        <v>45815.0</v>
      </c>
      <c r="E427" s="40">
        <v>44000.0</v>
      </c>
      <c r="F427" s="33" t="s">
        <v>248</v>
      </c>
      <c r="G427" s="33" t="s">
        <v>181</v>
      </c>
      <c r="H427" s="33" t="s">
        <v>189</v>
      </c>
      <c r="I427" s="33" t="s">
        <v>189</v>
      </c>
      <c r="J427" s="33" t="s">
        <v>189</v>
      </c>
      <c r="K427" s="33" t="s">
        <v>262</v>
      </c>
    </row>
    <row r="428" ht="15.75" customHeight="1">
      <c r="A428" s="33" t="s">
        <v>1564</v>
      </c>
      <c r="B428" s="33" t="s">
        <v>1561</v>
      </c>
      <c r="C428" s="33" t="s">
        <v>227</v>
      </c>
      <c r="D428" s="39">
        <v>45679.0</v>
      </c>
      <c r="E428" s="40">
        <v>24000.0</v>
      </c>
      <c r="F428" s="33" t="s">
        <v>269</v>
      </c>
      <c r="G428" s="33" t="s">
        <v>181</v>
      </c>
      <c r="H428" s="33" t="s">
        <v>181</v>
      </c>
      <c r="I428" s="33" t="s">
        <v>181</v>
      </c>
      <c r="J428" s="33" t="s">
        <v>181</v>
      </c>
      <c r="K428" s="33" t="s">
        <v>157</v>
      </c>
    </row>
    <row r="429" ht="15.75" customHeight="1">
      <c r="A429" s="33" t="s">
        <v>1567</v>
      </c>
      <c r="B429" s="33" t="s">
        <v>563</v>
      </c>
      <c r="C429" s="33" t="s">
        <v>227</v>
      </c>
      <c r="D429" s="39">
        <v>45838.0</v>
      </c>
      <c r="E429" s="40">
        <v>12700.0</v>
      </c>
      <c r="F429" s="33" t="s">
        <v>269</v>
      </c>
      <c r="G429" s="33" t="s">
        <v>181</v>
      </c>
      <c r="H429" s="33" t="s">
        <v>181</v>
      </c>
      <c r="I429" s="33" t="s">
        <v>181</v>
      </c>
      <c r="J429" s="33" t="s">
        <v>181</v>
      </c>
      <c r="K429" s="33" t="s">
        <v>157</v>
      </c>
    </row>
    <row r="430" ht="15.75" customHeight="1">
      <c r="A430" s="33" t="s">
        <v>1572</v>
      </c>
      <c r="B430" s="33" t="s">
        <v>391</v>
      </c>
      <c r="C430" s="33" t="s">
        <v>247</v>
      </c>
      <c r="D430" s="39">
        <v>45664.0</v>
      </c>
      <c r="E430" s="40">
        <v>43700.0</v>
      </c>
      <c r="F430" s="33" t="s">
        <v>248</v>
      </c>
      <c r="G430" s="33" t="s">
        <v>181</v>
      </c>
      <c r="H430" s="33" t="s">
        <v>181</v>
      </c>
      <c r="I430" s="33" t="s">
        <v>181</v>
      </c>
      <c r="J430" s="33" t="s">
        <v>181</v>
      </c>
      <c r="K430" s="33" t="s">
        <v>157</v>
      </c>
    </row>
    <row r="431" ht="15.75" customHeight="1">
      <c r="A431" s="33" t="s">
        <v>1577</v>
      </c>
      <c r="B431" s="33" t="s">
        <v>1576</v>
      </c>
      <c r="C431" s="33" t="s">
        <v>227</v>
      </c>
      <c r="D431" s="39">
        <v>46107.0</v>
      </c>
      <c r="E431" s="40">
        <v>41900.0</v>
      </c>
      <c r="F431" s="33" t="s">
        <v>230</v>
      </c>
      <c r="G431" s="33" t="s">
        <v>181</v>
      </c>
      <c r="H431" s="33" t="s">
        <v>181</v>
      </c>
      <c r="I431" s="33" t="s">
        <v>181</v>
      </c>
      <c r="J431" s="33" t="s">
        <v>181</v>
      </c>
      <c r="K431" s="33" t="s">
        <v>157</v>
      </c>
    </row>
    <row r="432" ht="15.75" customHeight="1">
      <c r="A432" s="33" t="s">
        <v>1582</v>
      </c>
      <c r="B432" s="33" t="s">
        <v>1581</v>
      </c>
      <c r="C432" s="33" t="s">
        <v>247</v>
      </c>
      <c r="D432" s="39">
        <v>46198.0</v>
      </c>
      <c r="E432" s="40">
        <v>14500.0</v>
      </c>
      <c r="F432" s="33" t="s">
        <v>269</v>
      </c>
      <c r="G432" s="33" t="s">
        <v>181</v>
      </c>
      <c r="H432" s="33" t="s">
        <v>181</v>
      </c>
      <c r="I432" s="33" t="s">
        <v>181</v>
      </c>
      <c r="J432" s="33" t="s">
        <v>181</v>
      </c>
      <c r="K432" s="33" t="s">
        <v>157</v>
      </c>
    </row>
    <row r="433" ht="15.75" customHeight="1">
      <c r="A433" s="33" t="s">
        <v>1586</v>
      </c>
      <c r="B433" s="33" t="s">
        <v>1585</v>
      </c>
      <c r="C433" s="33" t="s">
        <v>227</v>
      </c>
      <c r="D433" s="39">
        <v>45920.0</v>
      </c>
      <c r="E433" s="40">
        <v>29500.0</v>
      </c>
      <c r="F433" s="33" t="s">
        <v>230</v>
      </c>
      <c r="G433" s="33" t="s">
        <v>181</v>
      </c>
      <c r="H433" s="33" t="s">
        <v>181</v>
      </c>
      <c r="I433" s="33" t="s">
        <v>181</v>
      </c>
      <c r="J433" s="33" t="s">
        <v>181</v>
      </c>
      <c r="K433" s="33" t="s">
        <v>157</v>
      </c>
    </row>
    <row r="434" ht="15.75" customHeight="1">
      <c r="A434" s="33" t="s">
        <v>1591</v>
      </c>
      <c r="B434" s="33" t="s">
        <v>323</v>
      </c>
      <c r="C434" s="33" t="s">
        <v>235</v>
      </c>
      <c r="D434" s="39">
        <v>46030.0</v>
      </c>
      <c r="E434" s="40">
        <v>28300.0</v>
      </c>
      <c r="F434" s="33" t="s">
        <v>230</v>
      </c>
      <c r="G434" s="33" t="s">
        <v>181</v>
      </c>
      <c r="H434" s="33" t="s">
        <v>181</v>
      </c>
      <c r="I434" s="33" t="s">
        <v>181</v>
      </c>
      <c r="J434" s="33" t="s">
        <v>181</v>
      </c>
      <c r="K434" s="33" t="s">
        <v>157</v>
      </c>
    </row>
    <row r="435" ht="15.75" customHeight="1">
      <c r="A435" s="33" t="s">
        <v>3069</v>
      </c>
      <c r="B435" s="33" t="s">
        <v>1763</v>
      </c>
      <c r="C435" s="33" t="s">
        <v>235</v>
      </c>
      <c r="D435" s="39">
        <v>46240.0</v>
      </c>
      <c r="E435" s="40">
        <v>24900.0</v>
      </c>
      <c r="F435" s="33" t="s">
        <v>248</v>
      </c>
      <c r="G435" s="33" t="s">
        <v>189</v>
      </c>
      <c r="H435" s="33" t="s">
        <v>189</v>
      </c>
      <c r="I435" s="33" t="s">
        <v>189</v>
      </c>
      <c r="J435" s="33" t="s">
        <v>189</v>
      </c>
      <c r="K435" s="33" t="s">
        <v>252</v>
      </c>
    </row>
    <row r="436" ht="15.75" customHeight="1">
      <c r="A436" s="33" t="s">
        <v>1595</v>
      </c>
      <c r="B436" s="33" t="s">
        <v>483</v>
      </c>
      <c r="C436" s="33" t="s">
        <v>247</v>
      </c>
      <c r="D436" s="39">
        <v>46219.0</v>
      </c>
      <c r="E436" s="40">
        <v>30800.0</v>
      </c>
      <c r="F436" s="33" t="s">
        <v>230</v>
      </c>
      <c r="G436" s="33" t="s">
        <v>181</v>
      </c>
      <c r="H436" s="33" t="s">
        <v>181</v>
      </c>
      <c r="I436" s="33" t="s">
        <v>181</v>
      </c>
      <c r="J436" s="33" t="s">
        <v>181</v>
      </c>
      <c r="K436" s="33" t="s">
        <v>157</v>
      </c>
    </row>
    <row r="437" ht="15.75" customHeight="1">
      <c r="A437" s="33" t="s">
        <v>3074</v>
      </c>
      <c r="B437" s="33" t="s">
        <v>3075</v>
      </c>
      <c r="C437" s="33" t="s">
        <v>235</v>
      </c>
      <c r="D437" s="39">
        <v>45682.0</v>
      </c>
      <c r="E437" s="40">
        <v>5100.0</v>
      </c>
      <c r="F437" s="33" t="s">
        <v>230</v>
      </c>
      <c r="G437" s="33" t="s">
        <v>181</v>
      </c>
      <c r="H437" s="33" t="s">
        <v>189</v>
      </c>
      <c r="I437" s="33" t="s">
        <v>189</v>
      </c>
      <c r="J437" s="33" t="s">
        <v>189</v>
      </c>
      <c r="K437" s="33" t="s">
        <v>262</v>
      </c>
    </row>
    <row r="438" ht="15.75" customHeight="1">
      <c r="A438" s="33" t="s">
        <v>3078</v>
      </c>
      <c r="B438" s="33" t="s">
        <v>3079</v>
      </c>
      <c r="C438" s="33" t="s">
        <v>235</v>
      </c>
      <c r="D438" s="39">
        <v>45699.0</v>
      </c>
      <c r="E438" s="40">
        <v>23300.0</v>
      </c>
      <c r="F438" s="33" t="s">
        <v>241</v>
      </c>
      <c r="G438" s="33" t="s">
        <v>189</v>
      </c>
      <c r="H438" s="33" t="s">
        <v>189</v>
      </c>
      <c r="I438" s="33" t="s">
        <v>189</v>
      </c>
      <c r="J438" s="33" t="s">
        <v>189</v>
      </c>
      <c r="K438" s="33" t="s">
        <v>252</v>
      </c>
    </row>
    <row r="439" ht="15.75" customHeight="1">
      <c r="A439" s="33" t="s">
        <v>3082</v>
      </c>
      <c r="B439" s="33" t="s">
        <v>2231</v>
      </c>
      <c r="C439" s="33" t="s">
        <v>247</v>
      </c>
      <c r="D439" s="39">
        <v>45890.0</v>
      </c>
      <c r="E439" s="40">
        <v>14700.0</v>
      </c>
      <c r="F439" s="33" t="s">
        <v>230</v>
      </c>
      <c r="G439" s="33" t="s">
        <v>181</v>
      </c>
      <c r="H439" s="33" t="s">
        <v>189</v>
      </c>
      <c r="I439" s="33" t="s">
        <v>189</v>
      </c>
      <c r="J439" s="33" t="s">
        <v>189</v>
      </c>
      <c r="K439" s="33" t="s">
        <v>262</v>
      </c>
    </row>
    <row r="440" ht="15.75" customHeight="1">
      <c r="A440" s="33" t="s">
        <v>1601</v>
      </c>
      <c r="B440" s="33" t="s">
        <v>786</v>
      </c>
      <c r="C440" s="33" t="s">
        <v>247</v>
      </c>
      <c r="D440" s="39">
        <v>45827.0</v>
      </c>
      <c r="E440" s="40">
        <v>1100.0</v>
      </c>
      <c r="F440" s="33" t="s">
        <v>241</v>
      </c>
      <c r="G440" s="33" t="s">
        <v>181</v>
      </c>
      <c r="H440" s="33" t="s">
        <v>181</v>
      </c>
      <c r="I440" s="33" t="s">
        <v>181</v>
      </c>
      <c r="J440" s="33" t="s">
        <v>181</v>
      </c>
      <c r="K440" s="33" t="s">
        <v>157</v>
      </c>
    </row>
    <row r="441" ht="15.75" customHeight="1">
      <c r="A441" s="33" t="s">
        <v>1607</v>
      </c>
      <c r="B441" s="33" t="s">
        <v>1605</v>
      </c>
      <c r="C441" s="33" t="s">
        <v>247</v>
      </c>
      <c r="D441" s="39">
        <v>45751.0</v>
      </c>
      <c r="E441" s="40">
        <v>26400.0</v>
      </c>
      <c r="F441" s="33" t="s">
        <v>248</v>
      </c>
      <c r="G441" s="33" t="s">
        <v>181</v>
      </c>
      <c r="H441" s="33" t="s">
        <v>181</v>
      </c>
      <c r="I441" s="33" t="s">
        <v>181</v>
      </c>
      <c r="J441" s="33" t="s">
        <v>181</v>
      </c>
      <c r="K441" s="33" t="s">
        <v>157</v>
      </c>
    </row>
    <row r="442" ht="15.75" customHeight="1">
      <c r="A442" s="33" t="s">
        <v>1611</v>
      </c>
      <c r="B442" s="33" t="s">
        <v>848</v>
      </c>
      <c r="C442" s="33" t="s">
        <v>235</v>
      </c>
      <c r="D442" s="39">
        <v>45749.0</v>
      </c>
      <c r="E442" s="40">
        <v>18900.0</v>
      </c>
      <c r="F442" s="33" t="s">
        <v>241</v>
      </c>
      <c r="G442" s="33" t="s">
        <v>181</v>
      </c>
      <c r="H442" s="33" t="s">
        <v>181</v>
      </c>
      <c r="I442" s="33" t="s">
        <v>181</v>
      </c>
      <c r="J442" s="33" t="s">
        <v>181</v>
      </c>
      <c r="K442" s="33" t="s">
        <v>157</v>
      </c>
    </row>
    <row r="443" ht="15.75" customHeight="1">
      <c r="A443" s="33" t="s">
        <v>3097</v>
      </c>
      <c r="B443" s="33" t="s">
        <v>2362</v>
      </c>
      <c r="C443" s="33" t="s">
        <v>247</v>
      </c>
      <c r="D443" s="39">
        <v>46153.0</v>
      </c>
      <c r="E443" s="40">
        <v>22100.0</v>
      </c>
      <c r="F443" s="33" t="s">
        <v>248</v>
      </c>
      <c r="G443" s="33" t="s">
        <v>189</v>
      </c>
      <c r="H443" s="33" t="s">
        <v>189</v>
      </c>
      <c r="I443" s="33" t="s">
        <v>189</v>
      </c>
      <c r="J443" s="33" t="s">
        <v>189</v>
      </c>
      <c r="K443" s="33" t="s">
        <v>252</v>
      </c>
    </row>
    <row r="444" ht="15.75" customHeight="1">
      <c r="A444" s="33" t="s">
        <v>3100</v>
      </c>
      <c r="B444" s="33" t="s">
        <v>659</v>
      </c>
      <c r="C444" s="33" t="s">
        <v>247</v>
      </c>
      <c r="D444" s="39">
        <v>45775.0</v>
      </c>
      <c r="E444" s="40">
        <v>6500.0</v>
      </c>
      <c r="F444" s="33" t="s">
        <v>241</v>
      </c>
      <c r="G444" s="33" t="s">
        <v>181</v>
      </c>
      <c r="H444" s="33" t="s">
        <v>189</v>
      </c>
      <c r="I444" s="33" t="s">
        <v>189</v>
      </c>
      <c r="J444" s="33" t="s">
        <v>189</v>
      </c>
      <c r="K444" s="33" t="s">
        <v>262</v>
      </c>
    </row>
    <row r="445" ht="15.75" customHeight="1">
      <c r="A445" s="33" t="s">
        <v>3104</v>
      </c>
      <c r="B445" s="33" t="s">
        <v>706</v>
      </c>
      <c r="C445" s="33" t="s">
        <v>247</v>
      </c>
      <c r="D445" s="39">
        <v>45949.0</v>
      </c>
      <c r="E445" s="40">
        <v>25800.0</v>
      </c>
      <c r="F445" s="33" t="s">
        <v>241</v>
      </c>
      <c r="G445" s="33" t="s">
        <v>189</v>
      </c>
      <c r="H445" s="33" t="s">
        <v>189</v>
      </c>
      <c r="I445" s="33" t="s">
        <v>189</v>
      </c>
      <c r="J445" s="33" t="s">
        <v>189</v>
      </c>
      <c r="K445" s="33" t="s">
        <v>252</v>
      </c>
    </row>
    <row r="446" ht="15.75" customHeight="1">
      <c r="A446" s="33" t="s">
        <v>3108</v>
      </c>
      <c r="B446" s="33" t="s">
        <v>2073</v>
      </c>
      <c r="C446" s="33" t="s">
        <v>227</v>
      </c>
      <c r="D446" s="39">
        <v>45685.0</v>
      </c>
      <c r="E446" s="40">
        <v>14200.0</v>
      </c>
      <c r="F446" s="33" t="s">
        <v>241</v>
      </c>
      <c r="G446" s="33" t="s">
        <v>189</v>
      </c>
      <c r="H446" s="33" t="s">
        <v>189</v>
      </c>
      <c r="I446" s="33" t="s">
        <v>189</v>
      </c>
      <c r="J446" s="33" t="s">
        <v>189</v>
      </c>
      <c r="K446" s="33" t="s">
        <v>252</v>
      </c>
    </row>
    <row r="447" ht="15.75" customHeight="1">
      <c r="A447" s="33" t="s">
        <v>1617</v>
      </c>
      <c r="B447" s="33" t="s">
        <v>1616</v>
      </c>
      <c r="C447" s="33" t="s">
        <v>247</v>
      </c>
      <c r="D447" s="39">
        <v>46034.0</v>
      </c>
      <c r="E447" s="40">
        <v>1000.0</v>
      </c>
      <c r="F447" s="33" t="s">
        <v>248</v>
      </c>
      <c r="G447" s="33" t="s">
        <v>181</v>
      </c>
      <c r="H447" s="33" t="s">
        <v>181</v>
      </c>
      <c r="I447" s="33" t="s">
        <v>181</v>
      </c>
      <c r="J447" s="33" t="s">
        <v>181</v>
      </c>
      <c r="K447" s="33" t="s">
        <v>157</v>
      </c>
    </row>
    <row r="448" ht="15.75" customHeight="1">
      <c r="A448" s="33" t="s">
        <v>3117</v>
      </c>
      <c r="B448" s="33" t="s">
        <v>600</v>
      </c>
      <c r="C448" s="33" t="s">
        <v>235</v>
      </c>
      <c r="D448" s="39">
        <v>46107.0</v>
      </c>
      <c r="E448" s="40">
        <v>39200.0</v>
      </c>
      <c r="F448" s="33" t="s">
        <v>241</v>
      </c>
      <c r="G448" s="33" t="s">
        <v>181</v>
      </c>
      <c r="H448" s="33" t="s">
        <v>189</v>
      </c>
      <c r="I448" s="33" t="s">
        <v>189</v>
      </c>
      <c r="J448" s="33" t="s">
        <v>189</v>
      </c>
      <c r="K448" s="33" t="s">
        <v>262</v>
      </c>
    </row>
    <row r="449" ht="15.75" customHeight="1">
      <c r="A449" s="33" t="s">
        <v>3121</v>
      </c>
      <c r="B449" s="33" t="s">
        <v>2779</v>
      </c>
      <c r="C449" s="33" t="s">
        <v>227</v>
      </c>
      <c r="D449" s="39">
        <v>46020.0</v>
      </c>
      <c r="E449" s="40">
        <v>31800.0</v>
      </c>
      <c r="F449" s="33" t="s">
        <v>248</v>
      </c>
      <c r="G449" s="33" t="s">
        <v>189</v>
      </c>
      <c r="H449" s="33" t="s">
        <v>189</v>
      </c>
      <c r="I449" s="33" t="s">
        <v>189</v>
      </c>
      <c r="J449" s="33" t="s">
        <v>189</v>
      </c>
      <c r="K449" s="33" t="s">
        <v>252</v>
      </c>
    </row>
    <row r="450" ht="15.75" customHeight="1">
      <c r="A450" s="33" t="s">
        <v>1622</v>
      </c>
      <c r="B450" s="33" t="s">
        <v>322</v>
      </c>
      <c r="C450" s="33" t="s">
        <v>227</v>
      </c>
      <c r="D450" s="39">
        <v>45830.0</v>
      </c>
      <c r="E450" s="40">
        <v>26900.0</v>
      </c>
      <c r="F450" s="33" t="s">
        <v>248</v>
      </c>
      <c r="G450" s="33" t="s">
        <v>181</v>
      </c>
      <c r="H450" s="33" t="s">
        <v>181</v>
      </c>
      <c r="I450" s="33" t="s">
        <v>181</v>
      </c>
      <c r="J450" s="33" t="s">
        <v>181</v>
      </c>
      <c r="K450" s="33" t="s">
        <v>157</v>
      </c>
    </row>
    <row r="451" ht="15.75" customHeight="1">
      <c r="A451" s="33" t="s">
        <v>1630</v>
      </c>
      <c r="B451" s="33" t="s">
        <v>514</v>
      </c>
      <c r="C451" s="33" t="s">
        <v>235</v>
      </c>
      <c r="D451" s="39">
        <v>45705.0</v>
      </c>
      <c r="E451" s="40">
        <v>31500.0</v>
      </c>
      <c r="F451" s="33" t="s">
        <v>241</v>
      </c>
      <c r="G451" s="33" t="s">
        <v>181</v>
      </c>
      <c r="H451" s="33" t="s">
        <v>181</v>
      </c>
      <c r="I451" s="33" t="s">
        <v>181</v>
      </c>
      <c r="J451" s="33" t="s">
        <v>181</v>
      </c>
      <c r="K451" s="33" t="s">
        <v>157</v>
      </c>
    </row>
    <row r="452" ht="15.75" customHeight="1">
      <c r="A452" s="33" t="s">
        <v>1635</v>
      </c>
      <c r="B452" s="33" t="s">
        <v>801</v>
      </c>
      <c r="C452" s="33" t="s">
        <v>227</v>
      </c>
      <c r="D452" s="39">
        <v>45901.0</v>
      </c>
      <c r="E452" s="40">
        <v>16900.0</v>
      </c>
      <c r="F452" s="33" t="s">
        <v>248</v>
      </c>
      <c r="G452" s="33" t="s">
        <v>181</v>
      </c>
      <c r="H452" s="33" t="s">
        <v>181</v>
      </c>
      <c r="I452" s="33" t="s">
        <v>181</v>
      </c>
      <c r="J452" s="33" t="s">
        <v>181</v>
      </c>
      <c r="K452" s="33" t="s">
        <v>157</v>
      </c>
    </row>
    <row r="453" ht="15.75" customHeight="1">
      <c r="A453" s="33" t="s">
        <v>3133</v>
      </c>
      <c r="B453" s="33" t="s">
        <v>3134</v>
      </c>
      <c r="C453" s="33" t="s">
        <v>247</v>
      </c>
      <c r="D453" s="39">
        <v>46133.0</v>
      </c>
      <c r="E453" s="40">
        <v>7000.0</v>
      </c>
      <c r="F453" s="33" t="s">
        <v>230</v>
      </c>
      <c r="G453" s="33" t="s">
        <v>181</v>
      </c>
      <c r="H453" s="33" t="s">
        <v>189</v>
      </c>
      <c r="I453" s="33" t="s">
        <v>189</v>
      </c>
      <c r="J453" s="33" t="s">
        <v>189</v>
      </c>
      <c r="K453" s="33" t="s">
        <v>262</v>
      </c>
    </row>
    <row r="454" ht="15.75" customHeight="1">
      <c r="A454" s="33" t="s">
        <v>1643</v>
      </c>
      <c r="B454" s="33" t="s">
        <v>1642</v>
      </c>
      <c r="C454" s="33" t="s">
        <v>247</v>
      </c>
      <c r="D454" s="39">
        <v>45730.0</v>
      </c>
      <c r="E454" s="40">
        <v>18500.0</v>
      </c>
      <c r="F454" s="33" t="s">
        <v>269</v>
      </c>
      <c r="G454" s="33" t="s">
        <v>181</v>
      </c>
      <c r="H454" s="33" t="s">
        <v>181</v>
      </c>
      <c r="I454" s="33" t="s">
        <v>181</v>
      </c>
      <c r="J454" s="33" t="s">
        <v>181</v>
      </c>
      <c r="K454" s="33" t="s">
        <v>157</v>
      </c>
    </row>
    <row r="455" ht="15.75" customHeight="1">
      <c r="A455" s="33" t="s">
        <v>3141</v>
      </c>
      <c r="B455" s="33" t="s">
        <v>1500</v>
      </c>
      <c r="C455" s="33" t="s">
        <v>247</v>
      </c>
      <c r="D455" s="39">
        <v>46156.0</v>
      </c>
      <c r="E455" s="40">
        <v>39700.0</v>
      </c>
      <c r="F455" s="33" t="s">
        <v>248</v>
      </c>
      <c r="G455" s="33" t="s">
        <v>181</v>
      </c>
      <c r="H455" s="33" t="s">
        <v>181</v>
      </c>
      <c r="I455" s="33" t="s">
        <v>181</v>
      </c>
      <c r="J455" s="33" t="s">
        <v>189</v>
      </c>
      <c r="K455" s="33" t="s">
        <v>365</v>
      </c>
    </row>
    <row r="456" ht="15.75" customHeight="1">
      <c r="A456" s="33" t="s">
        <v>3144</v>
      </c>
      <c r="B456" s="33" t="s">
        <v>690</v>
      </c>
      <c r="C456" s="33" t="s">
        <v>227</v>
      </c>
      <c r="D456" s="39">
        <v>46212.0</v>
      </c>
      <c r="E456" s="40">
        <v>30800.0</v>
      </c>
      <c r="F456" s="33" t="s">
        <v>241</v>
      </c>
      <c r="G456" s="33" t="s">
        <v>181</v>
      </c>
      <c r="H456" s="33" t="s">
        <v>189</v>
      </c>
      <c r="I456" s="33" t="s">
        <v>189</v>
      </c>
      <c r="J456" s="33" t="s">
        <v>189</v>
      </c>
      <c r="K456" s="33" t="s">
        <v>262</v>
      </c>
    </row>
    <row r="457" ht="15.75" customHeight="1">
      <c r="A457" s="33" t="s">
        <v>1648</v>
      </c>
      <c r="B457" s="33" t="s">
        <v>1647</v>
      </c>
      <c r="C457" s="33" t="s">
        <v>227</v>
      </c>
      <c r="D457" s="39">
        <v>46026.0</v>
      </c>
      <c r="E457" s="40">
        <v>39800.0</v>
      </c>
      <c r="F457" s="33" t="s">
        <v>230</v>
      </c>
      <c r="G457" s="33" t="s">
        <v>181</v>
      </c>
      <c r="H457" s="33" t="s">
        <v>181</v>
      </c>
      <c r="I457" s="33" t="s">
        <v>181</v>
      </c>
      <c r="J457" s="33" t="s">
        <v>181</v>
      </c>
      <c r="K457" s="33" t="s">
        <v>157</v>
      </c>
    </row>
    <row r="458" ht="15.75" customHeight="1">
      <c r="A458" s="33" t="s">
        <v>1655</v>
      </c>
      <c r="B458" s="33" t="s">
        <v>1654</v>
      </c>
      <c r="C458" s="33" t="s">
        <v>247</v>
      </c>
      <c r="D458" s="39">
        <v>46170.0</v>
      </c>
      <c r="E458" s="40">
        <v>45200.0</v>
      </c>
      <c r="F458" s="33" t="s">
        <v>230</v>
      </c>
      <c r="G458" s="33" t="s">
        <v>181</v>
      </c>
      <c r="H458" s="33" t="s">
        <v>181</v>
      </c>
      <c r="I458" s="33" t="s">
        <v>181</v>
      </c>
      <c r="J458" s="33" t="s">
        <v>181</v>
      </c>
      <c r="K458" s="33" t="s">
        <v>157</v>
      </c>
    </row>
    <row r="459" ht="15.75" customHeight="1">
      <c r="A459" s="33" t="s">
        <v>3152</v>
      </c>
      <c r="B459" s="33" t="s">
        <v>664</v>
      </c>
      <c r="C459" s="33" t="s">
        <v>227</v>
      </c>
      <c r="D459" s="39">
        <v>45828.0</v>
      </c>
      <c r="E459" s="40">
        <v>13200.0</v>
      </c>
      <c r="F459" s="33" t="s">
        <v>230</v>
      </c>
      <c r="G459" s="33" t="s">
        <v>189</v>
      </c>
      <c r="H459" s="33" t="s">
        <v>189</v>
      </c>
      <c r="I459" s="33" t="s">
        <v>189</v>
      </c>
      <c r="J459" s="33" t="s">
        <v>189</v>
      </c>
      <c r="K459" s="33" t="s">
        <v>252</v>
      </c>
    </row>
    <row r="460" ht="15.75" customHeight="1">
      <c r="A460" s="33" t="s">
        <v>3156</v>
      </c>
      <c r="B460" s="33" t="s">
        <v>1006</v>
      </c>
      <c r="C460" s="33" t="s">
        <v>247</v>
      </c>
      <c r="D460" s="39">
        <v>46035.0</v>
      </c>
      <c r="E460" s="40">
        <v>45800.0</v>
      </c>
      <c r="F460" s="33" t="s">
        <v>230</v>
      </c>
      <c r="G460" s="33" t="s">
        <v>181</v>
      </c>
      <c r="H460" s="33" t="s">
        <v>189</v>
      </c>
      <c r="I460" s="33" t="s">
        <v>189</v>
      </c>
      <c r="J460" s="33" t="s">
        <v>189</v>
      </c>
      <c r="K460" s="33" t="s">
        <v>262</v>
      </c>
    </row>
    <row r="461" ht="15.75" customHeight="1">
      <c r="A461" s="33" t="s">
        <v>3160</v>
      </c>
      <c r="B461" s="33" t="s">
        <v>1651</v>
      </c>
      <c r="C461" s="33" t="s">
        <v>235</v>
      </c>
      <c r="D461" s="39">
        <v>46097.0</v>
      </c>
      <c r="E461" s="40">
        <v>33500.0</v>
      </c>
      <c r="F461" s="33" t="s">
        <v>241</v>
      </c>
      <c r="G461" s="33" t="s">
        <v>189</v>
      </c>
      <c r="H461" s="33" t="s">
        <v>189</v>
      </c>
      <c r="I461" s="33" t="s">
        <v>189</v>
      </c>
      <c r="J461" s="33" t="s">
        <v>189</v>
      </c>
      <c r="K461" s="33" t="s">
        <v>252</v>
      </c>
    </row>
    <row r="462" ht="15.75" customHeight="1">
      <c r="A462" s="33" t="s">
        <v>3165</v>
      </c>
      <c r="B462" s="33" t="s">
        <v>1409</v>
      </c>
      <c r="C462" s="33" t="s">
        <v>235</v>
      </c>
      <c r="D462" s="39">
        <v>46091.0</v>
      </c>
      <c r="E462" s="40">
        <v>28500.0</v>
      </c>
      <c r="F462" s="33" t="s">
        <v>241</v>
      </c>
      <c r="G462" s="33" t="s">
        <v>189</v>
      </c>
      <c r="H462" s="33" t="s">
        <v>189</v>
      </c>
      <c r="I462" s="33" t="s">
        <v>189</v>
      </c>
      <c r="J462" s="33" t="s">
        <v>189</v>
      </c>
      <c r="K462" s="33" t="s">
        <v>252</v>
      </c>
    </row>
    <row r="463" ht="15.75" customHeight="1">
      <c r="A463" s="33" t="s">
        <v>3169</v>
      </c>
      <c r="B463" s="33" t="s">
        <v>1862</v>
      </c>
      <c r="C463" s="33" t="s">
        <v>247</v>
      </c>
      <c r="D463" s="39">
        <v>46083.0</v>
      </c>
      <c r="E463" s="40">
        <v>25700.0</v>
      </c>
      <c r="F463" s="33" t="s">
        <v>230</v>
      </c>
      <c r="G463" s="33" t="s">
        <v>189</v>
      </c>
      <c r="H463" s="33" t="s">
        <v>189</v>
      </c>
      <c r="I463" s="33" t="s">
        <v>189</v>
      </c>
      <c r="J463" s="33" t="s">
        <v>189</v>
      </c>
      <c r="K463" s="33" t="s">
        <v>252</v>
      </c>
    </row>
    <row r="464" ht="15.75" customHeight="1">
      <c r="A464" s="33" t="s">
        <v>1663</v>
      </c>
      <c r="B464" s="33" t="s">
        <v>1662</v>
      </c>
      <c r="C464" s="33" t="s">
        <v>247</v>
      </c>
      <c r="D464" s="39">
        <v>45775.0</v>
      </c>
      <c r="E464" s="40">
        <v>24000.0</v>
      </c>
      <c r="F464" s="33" t="s">
        <v>241</v>
      </c>
      <c r="G464" s="33" t="s">
        <v>181</v>
      </c>
      <c r="H464" s="33" t="s">
        <v>181</v>
      </c>
      <c r="I464" s="33" t="s">
        <v>181</v>
      </c>
      <c r="J464" s="33" t="s">
        <v>181</v>
      </c>
      <c r="K464" s="33" t="s">
        <v>157</v>
      </c>
    </row>
    <row r="465" ht="15.75" customHeight="1">
      <c r="A465" s="33" t="s">
        <v>1667</v>
      </c>
      <c r="B465" s="33" t="s">
        <v>696</v>
      </c>
      <c r="C465" s="33" t="s">
        <v>227</v>
      </c>
      <c r="D465" s="39">
        <v>46211.0</v>
      </c>
      <c r="E465" s="40">
        <v>4600.0</v>
      </c>
      <c r="F465" s="33" t="s">
        <v>230</v>
      </c>
      <c r="G465" s="33" t="s">
        <v>181</v>
      </c>
      <c r="H465" s="33" t="s">
        <v>181</v>
      </c>
      <c r="I465" s="33" t="s">
        <v>181</v>
      </c>
      <c r="J465" s="33" t="s">
        <v>181</v>
      </c>
      <c r="K465" s="33" t="s">
        <v>157</v>
      </c>
    </row>
    <row r="466" ht="15.75" customHeight="1">
      <c r="A466" s="33" t="s">
        <v>1672</v>
      </c>
      <c r="B466" s="33" t="s">
        <v>264</v>
      </c>
      <c r="C466" s="33" t="s">
        <v>247</v>
      </c>
      <c r="D466" s="39">
        <v>46071.0</v>
      </c>
      <c r="E466" s="40">
        <v>3700.0</v>
      </c>
      <c r="F466" s="33" t="s">
        <v>241</v>
      </c>
      <c r="G466" s="33" t="s">
        <v>181</v>
      </c>
      <c r="H466" s="33" t="s">
        <v>181</v>
      </c>
      <c r="I466" s="33" t="s">
        <v>181</v>
      </c>
      <c r="J466" s="33" t="s">
        <v>181</v>
      </c>
      <c r="K466" s="33" t="s">
        <v>157</v>
      </c>
    </row>
    <row r="467" ht="15.75" customHeight="1">
      <c r="A467" s="33" t="s">
        <v>3184</v>
      </c>
      <c r="B467" s="33" t="s">
        <v>1911</v>
      </c>
      <c r="C467" s="33" t="s">
        <v>247</v>
      </c>
      <c r="D467" s="39">
        <v>45729.0</v>
      </c>
      <c r="E467" s="40">
        <v>17200.0</v>
      </c>
      <c r="F467" s="33" t="s">
        <v>248</v>
      </c>
      <c r="G467" s="33" t="s">
        <v>181</v>
      </c>
      <c r="H467" s="33" t="s">
        <v>189</v>
      </c>
      <c r="I467" s="33" t="s">
        <v>189</v>
      </c>
      <c r="J467" s="33" t="s">
        <v>189</v>
      </c>
      <c r="K467" s="33" t="s">
        <v>262</v>
      </c>
    </row>
    <row r="468" ht="15.75" customHeight="1">
      <c r="A468" s="33" t="s">
        <v>3188</v>
      </c>
      <c r="B468" s="33" t="s">
        <v>731</v>
      </c>
      <c r="C468" s="33" t="s">
        <v>235</v>
      </c>
      <c r="D468" s="39">
        <v>46046.0</v>
      </c>
      <c r="E468" s="40">
        <v>11000.0</v>
      </c>
      <c r="F468" s="33" t="s">
        <v>230</v>
      </c>
      <c r="G468" s="33" t="s">
        <v>189</v>
      </c>
      <c r="H468" s="33" t="s">
        <v>189</v>
      </c>
      <c r="I468" s="33" t="s">
        <v>189</v>
      </c>
      <c r="J468" s="33" t="s">
        <v>189</v>
      </c>
      <c r="K468" s="33" t="s">
        <v>252</v>
      </c>
    </row>
    <row r="469" ht="15.75" customHeight="1">
      <c r="A469" s="33" t="s">
        <v>1676</v>
      </c>
      <c r="B469" s="33" t="s">
        <v>1400</v>
      </c>
      <c r="C469" s="33" t="s">
        <v>247</v>
      </c>
      <c r="D469" s="39">
        <v>46210.0</v>
      </c>
      <c r="E469" s="40">
        <v>5200.0</v>
      </c>
      <c r="F469" s="33" t="s">
        <v>230</v>
      </c>
      <c r="G469" s="33" t="s">
        <v>181</v>
      </c>
      <c r="H469" s="33" t="s">
        <v>181</v>
      </c>
      <c r="I469" s="33" t="s">
        <v>181</v>
      </c>
      <c r="J469" s="33" t="s">
        <v>181</v>
      </c>
      <c r="K469" s="33" t="s">
        <v>157</v>
      </c>
    </row>
    <row r="470" ht="15.75" customHeight="1">
      <c r="A470" s="33" t="s">
        <v>3197</v>
      </c>
      <c r="B470" s="33" t="s">
        <v>279</v>
      </c>
      <c r="C470" s="33" t="s">
        <v>227</v>
      </c>
      <c r="D470" s="39">
        <v>45672.0</v>
      </c>
      <c r="E470" s="40">
        <v>2200.0</v>
      </c>
      <c r="F470" s="33" t="s">
        <v>230</v>
      </c>
      <c r="G470" s="33" t="s">
        <v>189</v>
      </c>
      <c r="H470" s="33" t="s">
        <v>189</v>
      </c>
      <c r="I470" s="33" t="s">
        <v>189</v>
      </c>
      <c r="J470" s="33" t="s">
        <v>189</v>
      </c>
      <c r="K470" s="33" t="s">
        <v>252</v>
      </c>
    </row>
    <row r="471" ht="15.75" customHeight="1">
      <c r="A471" s="33" t="s">
        <v>3201</v>
      </c>
      <c r="B471" s="33" t="s">
        <v>2667</v>
      </c>
      <c r="C471" s="33" t="s">
        <v>247</v>
      </c>
      <c r="D471" s="39">
        <v>46196.0</v>
      </c>
      <c r="E471" s="40">
        <v>48900.0</v>
      </c>
      <c r="F471" s="33" t="s">
        <v>248</v>
      </c>
      <c r="G471" s="33" t="s">
        <v>181</v>
      </c>
      <c r="H471" s="33" t="s">
        <v>189</v>
      </c>
      <c r="I471" s="33" t="s">
        <v>189</v>
      </c>
      <c r="J471" s="33" t="s">
        <v>189</v>
      </c>
      <c r="K471" s="33" t="s">
        <v>262</v>
      </c>
    </row>
    <row r="472" ht="15.75" customHeight="1">
      <c r="A472" s="33" t="s">
        <v>3205</v>
      </c>
      <c r="B472" s="33" t="s">
        <v>1463</v>
      </c>
      <c r="C472" s="33" t="s">
        <v>247</v>
      </c>
      <c r="D472" s="39">
        <v>45858.0</v>
      </c>
      <c r="E472" s="40">
        <v>11400.0</v>
      </c>
      <c r="F472" s="33" t="s">
        <v>230</v>
      </c>
      <c r="G472" s="33" t="s">
        <v>189</v>
      </c>
      <c r="H472" s="33" t="s">
        <v>189</v>
      </c>
      <c r="I472" s="33" t="s">
        <v>189</v>
      </c>
      <c r="J472" s="33" t="s">
        <v>189</v>
      </c>
      <c r="K472" s="33" t="s">
        <v>252</v>
      </c>
    </row>
    <row r="473" ht="15.75" customHeight="1">
      <c r="A473" s="33" t="s">
        <v>3209</v>
      </c>
      <c r="B473" s="33" t="s">
        <v>804</v>
      </c>
      <c r="C473" s="33" t="s">
        <v>235</v>
      </c>
      <c r="D473" s="39">
        <v>45838.0</v>
      </c>
      <c r="E473" s="40">
        <v>49200.0</v>
      </c>
      <c r="F473" s="33" t="s">
        <v>269</v>
      </c>
      <c r="G473" s="33" t="s">
        <v>181</v>
      </c>
      <c r="H473" s="33" t="s">
        <v>189</v>
      </c>
      <c r="I473" s="33" t="s">
        <v>189</v>
      </c>
      <c r="J473" s="33" t="s">
        <v>189</v>
      </c>
      <c r="K473" s="33" t="s">
        <v>262</v>
      </c>
    </row>
    <row r="474" ht="15.75" customHeight="1">
      <c r="A474" s="33" t="s">
        <v>3212</v>
      </c>
      <c r="B474" s="33" t="s">
        <v>1251</v>
      </c>
      <c r="C474" s="33" t="s">
        <v>227</v>
      </c>
      <c r="D474" s="39">
        <v>45953.0</v>
      </c>
      <c r="E474" s="40">
        <v>27700.0</v>
      </c>
      <c r="F474" s="33" t="s">
        <v>248</v>
      </c>
      <c r="G474" s="33" t="s">
        <v>181</v>
      </c>
      <c r="H474" s="33" t="s">
        <v>189</v>
      </c>
      <c r="I474" s="33" t="s">
        <v>189</v>
      </c>
      <c r="J474" s="33" t="s">
        <v>189</v>
      </c>
      <c r="K474" s="33" t="s">
        <v>262</v>
      </c>
    </row>
    <row r="475" ht="15.75" customHeight="1">
      <c r="A475" s="33" t="s">
        <v>3216</v>
      </c>
      <c r="B475" s="33" t="s">
        <v>404</v>
      </c>
      <c r="C475" s="33" t="s">
        <v>247</v>
      </c>
      <c r="D475" s="39">
        <v>46092.0</v>
      </c>
      <c r="E475" s="40">
        <v>10400.0</v>
      </c>
      <c r="F475" s="33" t="s">
        <v>230</v>
      </c>
      <c r="G475" s="33" t="s">
        <v>189</v>
      </c>
      <c r="H475" s="33" t="s">
        <v>189</v>
      </c>
      <c r="I475" s="33" t="s">
        <v>189</v>
      </c>
      <c r="J475" s="33" t="s">
        <v>189</v>
      </c>
      <c r="K475" s="33" t="s">
        <v>252</v>
      </c>
    </row>
    <row r="476" ht="15.75" customHeight="1">
      <c r="A476" s="33" t="s">
        <v>3220</v>
      </c>
      <c r="B476" s="33" t="s">
        <v>2764</v>
      </c>
      <c r="C476" s="33" t="s">
        <v>227</v>
      </c>
      <c r="D476" s="39">
        <v>45720.0</v>
      </c>
      <c r="E476" s="40">
        <v>8100.0</v>
      </c>
      <c r="F476" s="33" t="s">
        <v>248</v>
      </c>
      <c r="G476" s="33" t="s">
        <v>181</v>
      </c>
      <c r="H476" s="33" t="s">
        <v>189</v>
      </c>
      <c r="I476" s="33" t="s">
        <v>189</v>
      </c>
      <c r="J476" s="33" t="s">
        <v>189</v>
      </c>
      <c r="K476" s="33" t="s">
        <v>262</v>
      </c>
    </row>
    <row r="477" ht="15.75" customHeight="1">
      <c r="A477" s="33" t="s">
        <v>1683</v>
      </c>
      <c r="B477" s="33" t="s">
        <v>1660</v>
      </c>
      <c r="C477" s="33" t="s">
        <v>235</v>
      </c>
      <c r="D477" s="39">
        <v>45818.0</v>
      </c>
      <c r="E477" s="40">
        <v>10800.0</v>
      </c>
      <c r="F477" s="33" t="s">
        <v>230</v>
      </c>
      <c r="G477" s="33" t="s">
        <v>181</v>
      </c>
      <c r="H477" s="33" t="s">
        <v>181</v>
      </c>
      <c r="I477" s="33" t="s">
        <v>181</v>
      </c>
      <c r="J477" s="33" t="s">
        <v>181</v>
      </c>
      <c r="K477" s="33" t="s">
        <v>157</v>
      </c>
    </row>
    <row r="478" ht="15.75" customHeight="1">
      <c r="A478" s="33" t="s">
        <v>3227</v>
      </c>
      <c r="B478" s="33" t="s">
        <v>3228</v>
      </c>
      <c r="C478" s="33" t="s">
        <v>247</v>
      </c>
      <c r="D478" s="39">
        <v>46148.0</v>
      </c>
      <c r="E478" s="40">
        <v>18800.0</v>
      </c>
      <c r="F478" s="33" t="s">
        <v>248</v>
      </c>
      <c r="G478" s="33" t="s">
        <v>181</v>
      </c>
      <c r="H478" s="33" t="s">
        <v>189</v>
      </c>
      <c r="I478" s="33" t="s">
        <v>189</v>
      </c>
      <c r="J478" s="33" t="s">
        <v>189</v>
      </c>
      <c r="K478" s="33" t="s">
        <v>262</v>
      </c>
    </row>
    <row r="479" ht="15.75" customHeight="1">
      <c r="A479" s="33" t="s">
        <v>3232</v>
      </c>
      <c r="B479" s="33" t="s">
        <v>2469</v>
      </c>
      <c r="C479" s="33" t="s">
        <v>247</v>
      </c>
      <c r="D479" s="39">
        <v>45800.0</v>
      </c>
      <c r="E479" s="40">
        <v>11000.0</v>
      </c>
      <c r="F479" s="33" t="s">
        <v>269</v>
      </c>
      <c r="G479" s="33" t="s">
        <v>189</v>
      </c>
      <c r="H479" s="33" t="s">
        <v>189</v>
      </c>
      <c r="I479" s="33" t="s">
        <v>189</v>
      </c>
      <c r="J479" s="33" t="s">
        <v>189</v>
      </c>
      <c r="K479" s="33" t="s">
        <v>252</v>
      </c>
    </row>
    <row r="480" ht="15.75" customHeight="1">
      <c r="A480" s="33" t="s">
        <v>3236</v>
      </c>
      <c r="B480" s="33" t="s">
        <v>1232</v>
      </c>
      <c r="C480" s="33" t="s">
        <v>227</v>
      </c>
      <c r="D480" s="39">
        <v>45870.0</v>
      </c>
      <c r="E480" s="40">
        <v>41600.0</v>
      </c>
      <c r="F480" s="33" t="s">
        <v>230</v>
      </c>
      <c r="G480" s="33" t="s">
        <v>181</v>
      </c>
      <c r="H480" s="33" t="s">
        <v>181</v>
      </c>
      <c r="I480" s="33" t="s">
        <v>181</v>
      </c>
      <c r="J480" s="33" t="s">
        <v>189</v>
      </c>
      <c r="K480" s="33" t="s">
        <v>365</v>
      </c>
    </row>
    <row r="481" ht="15.75" customHeight="1">
      <c r="A481" s="33" t="s">
        <v>3240</v>
      </c>
      <c r="B481" s="33" t="s">
        <v>1372</v>
      </c>
      <c r="C481" s="33" t="s">
        <v>235</v>
      </c>
      <c r="D481" s="39">
        <v>46047.0</v>
      </c>
      <c r="E481" s="40">
        <v>19000.0</v>
      </c>
      <c r="F481" s="33" t="s">
        <v>269</v>
      </c>
      <c r="G481" s="33" t="s">
        <v>189</v>
      </c>
      <c r="H481" s="33" t="s">
        <v>189</v>
      </c>
      <c r="I481" s="33" t="s">
        <v>189</v>
      </c>
      <c r="J481" s="33" t="s">
        <v>189</v>
      </c>
      <c r="K481" s="33" t="s">
        <v>252</v>
      </c>
    </row>
    <row r="482" ht="15.75" customHeight="1">
      <c r="A482" s="33" t="s">
        <v>1686</v>
      </c>
      <c r="B482" s="33" t="s">
        <v>1505</v>
      </c>
      <c r="C482" s="33" t="s">
        <v>247</v>
      </c>
      <c r="D482" s="39">
        <v>45810.0</v>
      </c>
      <c r="E482" s="40">
        <v>26800.0</v>
      </c>
      <c r="F482" s="33" t="s">
        <v>248</v>
      </c>
      <c r="G482" s="33" t="s">
        <v>181</v>
      </c>
      <c r="H482" s="33" t="s">
        <v>181</v>
      </c>
      <c r="I482" s="33" t="s">
        <v>181</v>
      </c>
      <c r="J482" s="33" t="s">
        <v>181</v>
      </c>
      <c r="K482" s="33" t="s">
        <v>157</v>
      </c>
    </row>
    <row r="483" ht="15.75" customHeight="1">
      <c r="A483" s="33" t="s">
        <v>1691</v>
      </c>
      <c r="B483" s="33" t="s">
        <v>1690</v>
      </c>
      <c r="C483" s="33" t="s">
        <v>227</v>
      </c>
      <c r="D483" s="39">
        <v>45688.0</v>
      </c>
      <c r="E483" s="40">
        <v>25600.0</v>
      </c>
      <c r="F483" s="33" t="s">
        <v>241</v>
      </c>
      <c r="G483" s="33" t="s">
        <v>181</v>
      </c>
      <c r="H483" s="33" t="s">
        <v>181</v>
      </c>
      <c r="I483" s="33" t="s">
        <v>181</v>
      </c>
      <c r="J483" s="33" t="s">
        <v>181</v>
      </c>
      <c r="K483" s="33" t="s">
        <v>157</v>
      </c>
    </row>
    <row r="484" ht="15.75" customHeight="1">
      <c r="A484" s="33" t="s">
        <v>3251</v>
      </c>
      <c r="B484" s="33" t="s">
        <v>267</v>
      </c>
      <c r="C484" s="33" t="s">
        <v>247</v>
      </c>
      <c r="D484" s="39">
        <v>45978.0</v>
      </c>
      <c r="E484" s="40">
        <v>33300.0</v>
      </c>
      <c r="F484" s="33" t="s">
        <v>230</v>
      </c>
      <c r="G484" s="33" t="s">
        <v>181</v>
      </c>
      <c r="H484" s="33" t="s">
        <v>181</v>
      </c>
      <c r="I484" s="33" t="s">
        <v>181</v>
      </c>
      <c r="J484" s="33" t="s">
        <v>189</v>
      </c>
      <c r="K484" s="33" t="s">
        <v>365</v>
      </c>
    </row>
    <row r="485" ht="15.75" customHeight="1">
      <c r="A485" s="33" t="s">
        <v>1695</v>
      </c>
      <c r="B485" s="33" t="s">
        <v>258</v>
      </c>
      <c r="C485" s="33" t="s">
        <v>227</v>
      </c>
      <c r="D485" s="39">
        <v>45716.0</v>
      </c>
      <c r="E485" s="40">
        <v>49900.0</v>
      </c>
      <c r="F485" s="33" t="s">
        <v>248</v>
      </c>
      <c r="G485" s="33" t="s">
        <v>181</v>
      </c>
      <c r="H485" s="33" t="s">
        <v>181</v>
      </c>
      <c r="I485" s="33" t="s">
        <v>181</v>
      </c>
      <c r="J485" s="33" t="s">
        <v>181</v>
      </c>
      <c r="K485" s="33" t="s">
        <v>157</v>
      </c>
    </row>
    <row r="486" ht="15.75" customHeight="1">
      <c r="A486" s="33" t="s">
        <v>1701</v>
      </c>
      <c r="B486" s="33" t="s">
        <v>845</v>
      </c>
      <c r="C486" s="33" t="s">
        <v>235</v>
      </c>
      <c r="D486" s="39">
        <v>45892.0</v>
      </c>
      <c r="E486" s="40">
        <v>22700.0</v>
      </c>
      <c r="F486" s="33" t="s">
        <v>269</v>
      </c>
      <c r="G486" s="33" t="s">
        <v>181</v>
      </c>
      <c r="H486" s="33" t="s">
        <v>181</v>
      </c>
      <c r="I486" s="33" t="s">
        <v>181</v>
      </c>
      <c r="J486" s="33" t="s">
        <v>181</v>
      </c>
      <c r="K486" s="33" t="s">
        <v>157</v>
      </c>
    </row>
    <row r="487" ht="15.75" customHeight="1">
      <c r="A487" s="33" t="s">
        <v>1707</v>
      </c>
      <c r="B487" s="33" t="s">
        <v>1705</v>
      </c>
      <c r="C487" s="33" t="s">
        <v>247</v>
      </c>
      <c r="D487" s="39">
        <v>46058.0</v>
      </c>
      <c r="E487" s="40">
        <v>16800.0</v>
      </c>
      <c r="F487" s="33" t="s">
        <v>230</v>
      </c>
      <c r="G487" s="33" t="s">
        <v>181</v>
      </c>
      <c r="H487" s="33" t="s">
        <v>181</v>
      </c>
      <c r="I487" s="33" t="s">
        <v>181</v>
      </c>
      <c r="J487" s="33" t="s">
        <v>181</v>
      </c>
      <c r="K487" s="33" t="s">
        <v>157</v>
      </c>
    </row>
    <row r="488" ht="15.75" customHeight="1">
      <c r="A488" s="33" t="s">
        <v>1712</v>
      </c>
      <c r="B488" s="33" t="s">
        <v>1711</v>
      </c>
      <c r="C488" s="33" t="s">
        <v>247</v>
      </c>
      <c r="D488" s="39">
        <v>46106.0</v>
      </c>
      <c r="E488" s="40">
        <v>48700.0</v>
      </c>
      <c r="F488" s="33" t="s">
        <v>230</v>
      </c>
      <c r="G488" s="33" t="s">
        <v>181</v>
      </c>
      <c r="H488" s="33" t="s">
        <v>181</v>
      </c>
      <c r="I488" s="33" t="s">
        <v>181</v>
      </c>
      <c r="J488" s="33" t="s">
        <v>181</v>
      </c>
      <c r="K488" s="33" t="s">
        <v>157</v>
      </c>
    </row>
    <row r="489" ht="15.75" customHeight="1">
      <c r="A489" s="33" t="s">
        <v>1717</v>
      </c>
      <c r="B489" s="33" t="s">
        <v>804</v>
      </c>
      <c r="C489" s="33" t="s">
        <v>227</v>
      </c>
      <c r="D489" s="39">
        <v>46235.0</v>
      </c>
      <c r="E489" s="40">
        <v>49900.0</v>
      </c>
      <c r="F489" s="33" t="s">
        <v>241</v>
      </c>
      <c r="G489" s="33" t="s">
        <v>181</v>
      </c>
      <c r="H489" s="33" t="s">
        <v>181</v>
      </c>
      <c r="I489" s="33" t="s">
        <v>181</v>
      </c>
      <c r="J489" s="33" t="s">
        <v>181</v>
      </c>
      <c r="K489" s="33" t="s">
        <v>157</v>
      </c>
    </row>
    <row r="490" ht="15.75" customHeight="1">
      <c r="A490" s="33" t="s">
        <v>1723</v>
      </c>
      <c r="B490" s="33" t="s">
        <v>1721</v>
      </c>
      <c r="C490" s="33" t="s">
        <v>235</v>
      </c>
      <c r="D490" s="39">
        <v>46187.0</v>
      </c>
      <c r="E490" s="40">
        <v>39300.0</v>
      </c>
      <c r="F490" s="33" t="s">
        <v>230</v>
      </c>
      <c r="G490" s="33" t="s">
        <v>181</v>
      </c>
      <c r="H490" s="33" t="s">
        <v>181</v>
      </c>
      <c r="I490" s="33" t="s">
        <v>181</v>
      </c>
      <c r="J490" s="33" t="s">
        <v>181</v>
      </c>
      <c r="K490" s="33" t="s">
        <v>157</v>
      </c>
    </row>
    <row r="491" ht="15.75" customHeight="1">
      <c r="A491" s="33" t="s">
        <v>3278</v>
      </c>
      <c r="B491" s="33" t="s">
        <v>1422</v>
      </c>
      <c r="C491" s="33" t="s">
        <v>235</v>
      </c>
      <c r="D491" s="39">
        <v>45678.0</v>
      </c>
      <c r="E491" s="40">
        <v>40100.0</v>
      </c>
      <c r="F491" s="33" t="s">
        <v>248</v>
      </c>
      <c r="G491" s="33" t="s">
        <v>181</v>
      </c>
      <c r="H491" s="33" t="s">
        <v>189</v>
      </c>
      <c r="I491" s="33" t="s">
        <v>189</v>
      </c>
      <c r="J491" s="33" t="s">
        <v>189</v>
      </c>
      <c r="K491" s="33" t="s">
        <v>262</v>
      </c>
    </row>
    <row r="492" ht="15.75" customHeight="1">
      <c r="A492" s="33" t="s">
        <v>1729</v>
      </c>
      <c r="B492" s="33" t="s">
        <v>1727</v>
      </c>
      <c r="C492" s="33" t="s">
        <v>247</v>
      </c>
      <c r="D492" s="39">
        <v>45953.0</v>
      </c>
      <c r="E492" s="40">
        <v>21000.0</v>
      </c>
      <c r="F492" s="33" t="s">
        <v>269</v>
      </c>
      <c r="G492" s="33" t="s">
        <v>181</v>
      </c>
      <c r="H492" s="33" t="s">
        <v>181</v>
      </c>
      <c r="I492" s="33" t="s">
        <v>181</v>
      </c>
      <c r="J492" s="33" t="s">
        <v>181</v>
      </c>
      <c r="K492" s="33" t="s">
        <v>157</v>
      </c>
    </row>
    <row r="493" ht="15.75" customHeight="1">
      <c r="A493" s="33" t="s">
        <v>3285</v>
      </c>
      <c r="B493" s="33" t="s">
        <v>1618</v>
      </c>
      <c r="C493" s="33" t="s">
        <v>247</v>
      </c>
      <c r="D493" s="39">
        <v>45671.0</v>
      </c>
      <c r="E493" s="40">
        <v>27400.0</v>
      </c>
      <c r="F493" s="33" t="s">
        <v>241</v>
      </c>
      <c r="G493" s="33" t="s">
        <v>181</v>
      </c>
      <c r="H493" s="33" t="s">
        <v>189</v>
      </c>
      <c r="I493" s="33" t="s">
        <v>189</v>
      </c>
      <c r="J493" s="33" t="s">
        <v>189</v>
      </c>
      <c r="K493" s="33" t="s">
        <v>262</v>
      </c>
    </row>
    <row r="494" ht="15.75" customHeight="1">
      <c r="A494" s="33" t="s">
        <v>3289</v>
      </c>
      <c r="B494" s="33" t="s">
        <v>455</v>
      </c>
      <c r="C494" s="33" t="s">
        <v>227</v>
      </c>
      <c r="D494" s="39">
        <v>46144.0</v>
      </c>
      <c r="E494" s="40">
        <v>18200.0</v>
      </c>
      <c r="F494" s="33" t="s">
        <v>269</v>
      </c>
      <c r="G494" s="33" t="s">
        <v>189</v>
      </c>
      <c r="H494" s="33" t="s">
        <v>189</v>
      </c>
      <c r="I494" s="33" t="s">
        <v>189</v>
      </c>
      <c r="J494" s="33" t="s">
        <v>189</v>
      </c>
      <c r="K494" s="33" t="s">
        <v>252</v>
      </c>
    </row>
    <row r="495" ht="15.75" customHeight="1">
      <c r="A495" s="33" t="s">
        <v>3294</v>
      </c>
      <c r="B495" s="33" t="s">
        <v>3295</v>
      </c>
      <c r="C495" s="33" t="s">
        <v>227</v>
      </c>
      <c r="D495" s="39">
        <v>45703.0</v>
      </c>
      <c r="E495" s="40">
        <v>31300.0</v>
      </c>
      <c r="F495" s="33" t="s">
        <v>241</v>
      </c>
      <c r="G495" s="33" t="s">
        <v>181</v>
      </c>
      <c r="H495" s="33" t="s">
        <v>189</v>
      </c>
      <c r="I495" s="33" t="s">
        <v>189</v>
      </c>
      <c r="J495" s="33" t="s">
        <v>189</v>
      </c>
      <c r="K495" s="33" t="s">
        <v>262</v>
      </c>
    </row>
    <row r="496" ht="15.75" customHeight="1">
      <c r="A496" s="33" t="s">
        <v>3299</v>
      </c>
      <c r="B496" s="33" t="s">
        <v>1562</v>
      </c>
      <c r="C496" s="33" t="s">
        <v>235</v>
      </c>
      <c r="D496" s="39">
        <v>46129.0</v>
      </c>
      <c r="E496" s="40">
        <v>41500.0</v>
      </c>
      <c r="F496" s="33" t="s">
        <v>241</v>
      </c>
      <c r="G496" s="33" t="s">
        <v>189</v>
      </c>
      <c r="H496" s="33" t="s">
        <v>189</v>
      </c>
      <c r="I496" s="33" t="s">
        <v>189</v>
      </c>
      <c r="J496" s="33" t="s">
        <v>189</v>
      </c>
      <c r="K496" s="33" t="s">
        <v>252</v>
      </c>
    </row>
    <row r="497" ht="15.75" customHeight="1">
      <c r="A497" s="33" t="s">
        <v>1733</v>
      </c>
      <c r="B497" s="33" t="s">
        <v>812</v>
      </c>
      <c r="C497" s="33" t="s">
        <v>247</v>
      </c>
      <c r="D497" s="39">
        <v>45659.0</v>
      </c>
      <c r="E497" s="40">
        <v>19300.0</v>
      </c>
      <c r="F497" s="33" t="s">
        <v>230</v>
      </c>
      <c r="G497" s="33" t="s">
        <v>181</v>
      </c>
      <c r="H497" s="33" t="s">
        <v>181</v>
      </c>
      <c r="I497" s="33" t="s">
        <v>181</v>
      </c>
      <c r="J497" s="33" t="s">
        <v>181</v>
      </c>
      <c r="K497" s="33" t="s">
        <v>157</v>
      </c>
    </row>
    <row r="498" ht="15.75" customHeight="1">
      <c r="A498" s="33" t="s">
        <v>3308</v>
      </c>
      <c r="B498" s="33" t="s">
        <v>652</v>
      </c>
      <c r="C498" s="33" t="s">
        <v>227</v>
      </c>
      <c r="D498" s="39">
        <v>45725.0</v>
      </c>
      <c r="E498" s="40">
        <v>27200.0</v>
      </c>
      <c r="F498" s="33" t="s">
        <v>248</v>
      </c>
      <c r="G498" s="33" t="s">
        <v>181</v>
      </c>
      <c r="H498" s="33" t="s">
        <v>189</v>
      </c>
      <c r="I498" s="33" t="s">
        <v>189</v>
      </c>
      <c r="J498" s="33" t="s">
        <v>189</v>
      </c>
      <c r="K498" s="33" t="s">
        <v>262</v>
      </c>
    </row>
    <row r="499" ht="15.75" customHeight="1">
      <c r="A499" s="33" t="s">
        <v>1740</v>
      </c>
      <c r="B499" s="33" t="s">
        <v>426</v>
      </c>
      <c r="C499" s="33" t="s">
        <v>247</v>
      </c>
      <c r="D499" s="39">
        <v>46221.0</v>
      </c>
      <c r="E499" s="40">
        <v>39000.0</v>
      </c>
      <c r="F499" s="33" t="s">
        <v>269</v>
      </c>
      <c r="G499" s="33" t="s">
        <v>181</v>
      </c>
      <c r="H499" s="33" t="s">
        <v>181</v>
      </c>
      <c r="I499" s="33" t="s">
        <v>181</v>
      </c>
      <c r="J499" s="33" t="s">
        <v>181</v>
      </c>
      <c r="K499" s="33" t="s">
        <v>157</v>
      </c>
    </row>
    <row r="500" ht="15.75" customHeight="1">
      <c r="A500" s="33" t="s">
        <v>3316</v>
      </c>
      <c r="B500" s="33" t="s">
        <v>1640</v>
      </c>
      <c r="C500" s="33" t="s">
        <v>227</v>
      </c>
      <c r="D500" s="39">
        <v>45770.0</v>
      </c>
      <c r="E500" s="40">
        <v>11200.0</v>
      </c>
      <c r="F500" s="33" t="s">
        <v>241</v>
      </c>
      <c r="G500" s="33" t="s">
        <v>181</v>
      </c>
      <c r="H500" s="33" t="s">
        <v>189</v>
      </c>
      <c r="I500" s="33" t="s">
        <v>189</v>
      </c>
      <c r="J500" s="33" t="s">
        <v>189</v>
      </c>
      <c r="K500" s="33" t="s">
        <v>262</v>
      </c>
    </row>
    <row r="501" ht="15.75" customHeight="1">
      <c r="A501" s="33" t="s">
        <v>3319</v>
      </c>
      <c r="B501" s="33" t="s">
        <v>2340</v>
      </c>
      <c r="C501" s="33" t="s">
        <v>227</v>
      </c>
      <c r="D501" s="39">
        <v>45945.0</v>
      </c>
      <c r="E501" s="40">
        <v>30900.0</v>
      </c>
      <c r="F501" s="33" t="s">
        <v>241</v>
      </c>
      <c r="G501" s="33" t="s">
        <v>189</v>
      </c>
      <c r="H501" s="33" t="s">
        <v>189</v>
      </c>
      <c r="I501" s="33" t="s">
        <v>189</v>
      </c>
      <c r="J501" s="33" t="s">
        <v>189</v>
      </c>
      <c r="K501" s="33" t="s">
        <v>252</v>
      </c>
    </row>
    <row r="502" ht="15.75" customHeight="1">
      <c r="A502" s="33" t="s">
        <v>3323</v>
      </c>
      <c r="B502" s="33" t="s">
        <v>1862</v>
      </c>
      <c r="C502" s="33" t="s">
        <v>235</v>
      </c>
      <c r="D502" s="39">
        <v>45973.0</v>
      </c>
      <c r="E502" s="40">
        <v>39000.0</v>
      </c>
      <c r="F502" s="33" t="s">
        <v>241</v>
      </c>
      <c r="G502" s="33" t="s">
        <v>181</v>
      </c>
      <c r="H502" s="33" t="s">
        <v>181</v>
      </c>
      <c r="I502" s="33" t="s">
        <v>181</v>
      </c>
      <c r="J502" s="33" t="s">
        <v>189</v>
      </c>
      <c r="K502" s="33" t="s">
        <v>365</v>
      </c>
    </row>
    <row r="503" ht="15.75" customHeight="1">
      <c r="A503" s="33" t="s">
        <v>1747</v>
      </c>
      <c r="B503" s="33" t="s">
        <v>489</v>
      </c>
      <c r="C503" s="33" t="s">
        <v>227</v>
      </c>
      <c r="D503" s="39">
        <v>46078.0</v>
      </c>
      <c r="E503" s="40">
        <v>3600.0</v>
      </c>
      <c r="F503" s="33" t="s">
        <v>248</v>
      </c>
      <c r="G503" s="33" t="s">
        <v>181</v>
      </c>
      <c r="H503" s="33" t="s">
        <v>181</v>
      </c>
      <c r="I503" s="33" t="s">
        <v>181</v>
      </c>
      <c r="J503" s="33" t="s">
        <v>181</v>
      </c>
      <c r="K503" s="33" t="s">
        <v>157</v>
      </c>
    </row>
    <row r="504" ht="15.75" customHeight="1">
      <c r="A504" s="33" t="s">
        <v>1751</v>
      </c>
      <c r="B504" s="33" t="s">
        <v>1654</v>
      </c>
      <c r="C504" s="33" t="s">
        <v>227</v>
      </c>
      <c r="D504" s="39">
        <v>46225.0</v>
      </c>
      <c r="E504" s="40">
        <v>13400.0</v>
      </c>
      <c r="F504" s="33" t="s">
        <v>230</v>
      </c>
      <c r="G504" s="33" t="s">
        <v>181</v>
      </c>
      <c r="H504" s="33" t="s">
        <v>181</v>
      </c>
      <c r="I504" s="33" t="s">
        <v>181</v>
      </c>
      <c r="J504" s="33" t="s">
        <v>181</v>
      </c>
      <c r="K504" s="33" t="s">
        <v>157</v>
      </c>
    </row>
    <row r="505" ht="15.75" customHeight="1">
      <c r="A505" s="33" t="s">
        <v>3334</v>
      </c>
      <c r="B505" s="33" t="s">
        <v>1920</v>
      </c>
      <c r="C505" s="33" t="s">
        <v>235</v>
      </c>
      <c r="D505" s="39">
        <v>45910.0</v>
      </c>
      <c r="E505" s="40">
        <v>2200.0</v>
      </c>
      <c r="F505" s="33" t="s">
        <v>248</v>
      </c>
      <c r="G505" s="33" t="s">
        <v>181</v>
      </c>
      <c r="H505" s="33" t="s">
        <v>189</v>
      </c>
      <c r="I505" s="33" t="s">
        <v>189</v>
      </c>
      <c r="J505" s="33" t="s">
        <v>189</v>
      </c>
      <c r="K505" s="33" t="s">
        <v>262</v>
      </c>
    </row>
    <row r="506" ht="15.75" customHeight="1">
      <c r="A506" s="33" t="s">
        <v>3338</v>
      </c>
      <c r="B506" s="33" t="s">
        <v>1637</v>
      </c>
      <c r="C506" s="33" t="s">
        <v>227</v>
      </c>
      <c r="D506" s="39">
        <v>46024.0</v>
      </c>
      <c r="E506" s="40">
        <v>1300.0</v>
      </c>
      <c r="F506" s="33" t="s">
        <v>241</v>
      </c>
      <c r="G506" s="33" t="s">
        <v>181</v>
      </c>
      <c r="H506" s="33" t="s">
        <v>189</v>
      </c>
      <c r="I506" s="33" t="s">
        <v>189</v>
      </c>
      <c r="J506" s="33" t="s">
        <v>189</v>
      </c>
      <c r="K506" s="33" t="s">
        <v>262</v>
      </c>
    </row>
    <row r="507" ht="15.75" customHeight="1">
      <c r="A507" s="33" t="s">
        <v>1755</v>
      </c>
      <c r="B507" s="33" t="s">
        <v>876</v>
      </c>
      <c r="C507" s="33" t="s">
        <v>227</v>
      </c>
      <c r="D507" s="39">
        <v>46263.0</v>
      </c>
      <c r="E507" s="40">
        <v>24400.0</v>
      </c>
      <c r="F507" s="33" t="s">
        <v>230</v>
      </c>
      <c r="G507" s="33" t="s">
        <v>181</v>
      </c>
      <c r="H507" s="33" t="s">
        <v>181</v>
      </c>
      <c r="I507" s="33" t="s">
        <v>181</v>
      </c>
      <c r="J507" s="33" t="s">
        <v>181</v>
      </c>
      <c r="K507" s="33" t="s">
        <v>157</v>
      </c>
    </row>
    <row r="508" ht="15.75" customHeight="1">
      <c r="A508" s="33" t="s">
        <v>3347</v>
      </c>
      <c r="B508" s="33" t="s">
        <v>1251</v>
      </c>
      <c r="C508" s="33" t="s">
        <v>247</v>
      </c>
      <c r="D508" s="39">
        <v>45723.0</v>
      </c>
      <c r="E508" s="40">
        <v>35300.0</v>
      </c>
      <c r="F508" s="33" t="s">
        <v>248</v>
      </c>
      <c r="G508" s="33" t="s">
        <v>189</v>
      </c>
      <c r="H508" s="33" t="s">
        <v>189</v>
      </c>
      <c r="I508" s="33" t="s">
        <v>189</v>
      </c>
      <c r="J508" s="33" t="s">
        <v>189</v>
      </c>
      <c r="K508" s="33" t="s">
        <v>252</v>
      </c>
    </row>
    <row r="509" ht="15.75" customHeight="1">
      <c r="A509" s="33" t="s">
        <v>3351</v>
      </c>
      <c r="B509" s="33" t="s">
        <v>1186</v>
      </c>
      <c r="C509" s="33" t="s">
        <v>227</v>
      </c>
      <c r="D509" s="39">
        <v>45949.0</v>
      </c>
      <c r="E509" s="40">
        <v>19800.0</v>
      </c>
      <c r="F509" s="33" t="s">
        <v>230</v>
      </c>
      <c r="G509" s="33" t="s">
        <v>181</v>
      </c>
      <c r="H509" s="33" t="s">
        <v>189</v>
      </c>
      <c r="I509" s="33" t="s">
        <v>189</v>
      </c>
      <c r="J509" s="33" t="s">
        <v>189</v>
      </c>
      <c r="K509" s="33" t="s">
        <v>262</v>
      </c>
    </row>
    <row r="510" ht="15.75" customHeight="1">
      <c r="A510" s="33" t="s">
        <v>3356</v>
      </c>
      <c r="B510" s="33" t="s">
        <v>1926</v>
      </c>
      <c r="C510" s="33" t="s">
        <v>247</v>
      </c>
      <c r="D510" s="39">
        <v>45842.0</v>
      </c>
      <c r="E510" s="40">
        <v>31400.0</v>
      </c>
      <c r="F510" s="33" t="s">
        <v>230</v>
      </c>
      <c r="G510" s="33" t="s">
        <v>181</v>
      </c>
      <c r="H510" s="33" t="s">
        <v>189</v>
      </c>
      <c r="I510" s="33" t="s">
        <v>189</v>
      </c>
      <c r="J510" s="33" t="s">
        <v>189</v>
      </c>
      <c r="K510" s="33" t="s">
        <v>262</v>
      </c>
    </row>
    <row r="511" ht="15.75" customHeight="1">
      <c r="A511" s="33" t="s">
        <v>3360</v>
      </c>
      <c r="B511" s="33" t="s">
        <v>2212</v>
      </c>
      <c r="C511" s="33" t="s">
        <v>247</v>
      </c>
      <c r="D511" s="39">
        <v>46228.0</v>
      </c>
      <c r="E511" s="40">
        <v>10400.0</v>
      </c>
      <c r="F511" s="33" t="s">
        <v>230</v>
      </c>
      <c r="G511" s="33" t="s">
        <v>181</v>
      </c>
      <c r="H511" s="33" t="s">
        <v>189</v>
      </c>
      <c r="I511" s="33" t="s">
        <v>189</v>
      </c>
      <c r="J511" s="33" t="s">
        <v>189</v>
      </c>
      <c r="K511" s="33" t="s">
        <v>262</v>
      </c>
    </row>
    <row r="512" ht="15.75" customHeight="1">
      <c r="A512" s="33" t="s">
        <v>3364</v>
      </c>
      <c r="B512" s="33" t="s">
        <v>195</v>
      </c>
      <c r="C512" s="33" t="s">
        <v>235</v>
      </c>
      <c r="D512" s="39">
        <v>46031.0</v>
      </c>
      <c r="E512" s="40">
        <v>42000.0</v>
      </c>
      <c r="F512" s="33" t="s">
        <v>230</v>
      </c>
      <c r="G512" s="33" t="s">
        <v>189</v>
      </c>
      <c r="H512" s="33" t="s">
        <v>189</v>
      </c>
      <c r="I512" s="33" t="s">
        <v>189</v>
      </c>
      <c r="J512" s="33" t="s">
        <v>189</v>
      </c>
      <c r="K512" s="33" t="s">
        <v>252</v>
      </c>
    </row>
    <row r="513" ht="15.75" customHeight="1">
      <c r="A513" s="33" t="s">
        <v>3369</v>
      </c>
      <c r="B513" s="33" t="s">
        <v>444</v>
      </c>
      <c r="C513" s="33" t="s">
        <v>235</v>
      </c>
      <c r="D513" s="39">
        <v>46052.0</v>
      </c>
      <c r="E513" s="40">
        <v>18800.0</v>
      </c>
      <c r="F513" s="33" t="s">
        <v>248</v>
      </c>
      <c r="G513" s="33" t="s">
        <v>189</v>
      </c>
      <c r="H513" s="33" t="s">
        <v>189</v>
      </c>
      <c r="I513" s="33" t="s">
        <v>189</v>
      </c>
      <c r="J513" s="33" t="s">
        <v>189</v>
      </c>
      <c r="K513" s="33" t="s">
        <v>252</v>
      </c>
    </row>
    <row r="514" ht="15.75" customHeight="1">
      <c r="A514" s="33" t="s">
        <v>3372</v>
      </c>
      <c r="B514" s="33" t="s">
        <v>706</v>
      </c>
      <c r="C514" s="33" t="s">
        <v>227</v>
      </c>
      <c r="D514" s="39">
        <v>45771.0</v>
      </c>
      <c r="E514" s="40">
        <v>35700.0</v>
      </c>
      <c r="F514" s="33" t="s">
        <v>230</v>
      </c>
      <c r="G514" s="33" t="s">
        <v>189</v>
      </c>
      <c r="H514" s="33" t="s">
        <v>189</v>
      </c>
      <c r="I514" s="33" t="s">
        <v>189</v>
      </c>
      <c r="J514" s="33" t="s">
        <v>189</v>
      </c>
      <c r="K514" s="33" t="s">
        <v>252</v>
      </c>
    </row>
    <row r="515" ht="15.75" customHeight="1">
      <c r="A515" s="33" t="s">
        <v>3376</v>
      </c>
      <c r="B515" s="33" t="s">
        <v>1378</v>
      </c>
      <c r="C515" s="33" t="s">
        <v>247</v>
      </c>
      <c r="D515" s="39">
        <v>46233.0</v>
      </c>
      <c r="E515" s="40">
        <v>7400.0</v>
      </c>
      <c r="F515" s="33" t="s">
        <v>248</v>
      </c>
      <c r="G515" s="33" t="s">
        <v>181</v>
      </c>
      <c r="H515" s="33" t="s">
        <v>189</v>
      </c>
      <c r="I515" s="33" t="s">
        <v>189</v>
      </c>
      <c r="J515" s="33" t="s">
        <v>189</v>
      </c>
      <c r="K515" s="33" t="s">
        <v>262</v>
      </c>
    </row>
    <row r="516" ht="15.75" customHeight="1">
      <c r="A516" s="33" t="s">
        <v>1760</v>
      </c>
      <c r="B516" s="33" t="s">
        <v>1759</v>
      </c>
      <c r="C516" s="33" t="s">
        <v>247</v>
      </c>
      <c r="D516" s="39">
        <v>45698.0</v>
      </c>
      <c r="E516" s="40">
        <v>41100.0</v>
      </c>
      <c r="F516" s="33" t="s">
        <v>230</v>
      </c>
      <c r="G516" s="33" t="s">
        <v>181</v>
      </c>
      <c r="H516" s="33" t="s">
        <v>181</v>
      </c>
      <c r="I516" s="33" t="s">
        <v>181</v>
      </c>
      <c r="J516" s="33" t="s">
        <v>181</v>
      </c>
      <c r="K516" s="33" t="s">
        <v>157</v>
      </c>
    </row>
    <row r="517" ht="15.75" customHeight="1">
      <c r="A517" s="33" t="s">
        <v>3382</v>
      </c>
      <c r="B517" s="33" t="s">
        <v>3228</v>
      </c>
      <c r="C517" s="33" t="s">
        <v>227</v>
      </c>
      <c r="D517" s="39">
        <v>45958.0</v>
      </c>
      <c r="E517" s="40">
        <v>26400.0</v>
      </c>
      <c r="F517" s="33" t="s">
        <v>230</v>
      </c>
      <c r="G517" s="33" t="s">
        <v>189</v>
      </c>
      <c r="H517" s="33" t="s">
        <v>189</v>
      </c>
      <c r="I517" s="33" t="s">
        <v>189</v>
      </c>
      <c r="J517" s="33" t="s">
        <v>189</v>
      </c>
      <c r="K517" s="33" t="s">
        <v>252</v>
      </c>
    </row>
    <row r="518" ht="15.75" customHeight="1">
      <c r="A518" s="33" t="s">
        <v>1764</v>
      </c>
      <c r="B518" s="33" t="s">
        <v>1763</v>
      </c>
      <c r="C518" s="33" t="s">
        <v>227</v>
      </c>
      <c r="D518" s="39">
        <v>46082.0</v>
      </c>
      <c r="E518" s="40">
        <v>48500.0</v>
      </c>
      <c r="F518" s="33" t="s">
        <v>269</v>
      </c>
      <c r="G518" s="33" t="s">
        <v>181</v>
      </c>
      <c r="H518" s="33" t="s">
        <v>181</v>
      </c>
      <c r="I518" s="33" t="s">
        <v>181</v>
      </c>
      <c r="J518" s="33" t="s">
        <v>181</v>
      </c>
      <c r="K518" s="33" t="s">
        <v>157</v>
      </c>
    </row>
    <row r="519" ht="15.75" customHeight="1">
      <c r="A519" s="33" t="s">
        <v>1769</v>
      </c>
      <c r="B519" s="33" t="s">
        <v>575</v>
      </c>
      <c r="C519" s="33" t="s">
        <v>247</v>
      </c>
      <c r="D519" s="39">
        <v>46191.0</v>
      </c>
      <c r="E519" s="40">
        <v>20900.0</v>
      </c>
      <c r="F519" s="33" t="s">
        <v>248</v>
      </c>
      <c r="G519" s="33" t="s">
        <v>181</v>
      </c>
      <c r="H519" s="33" t="s">
        <v>181</v>
      </c>
      <c r="I519" s="33" t="s">
        <v>181</v>
      </c>
      <c r="J519" s="33" t="s">
        <v>181</v>
      </c>
      <c r="K519" s="33" t="s">
        <v>157</v>
      </c>
    </row>
    <row r="520" ht="15.75" customHeight="1">
      <c r="A520" s="33" t="s">
        <v>3392</v>
      </c>
      <c r="B520" s="33" t="s">
        <v>1914</v>
      </c>
      <c r="C520" s="33" t="s">
        <v>247</v>
      </c>
      <c r="D520" s="39">
        <v>45823.0</v>
      </c>
      <c r="E520" s="40">
        <v>43800.0</v>
      </c>
      <c r="F520" s="33" t="s">
        <v>230</v>
      </c>
      <c r="G520" s="33" t="s">
        <v>189</v>
      </c>
      <c r="H520" s="33" t="s">
        <v>189</v>
      </c>
      <c r="I520" s="33" t="s">
        <v>189</v>
      </c>
      <c r="J520" s="33" t="s">
        <v>189</v>
      </c>
      <c r="K520" s="33" t="s">
        <v>252</v>
      </c>
    </row>
    <row r="521" ht="15.75" customHeight="1">
      <c r="A521" s="33" t="s">
        <v>3396</v>
      </c>
      <c r="B521" s="33" t="s">
        <v>2319</v>
      </c>
      <c r="C521" s="33" t="s">
        <v>235</v>
      </c>
      <c r="D521" s="39">
        <v>45860.0</v>
      </c>
      <c r="E521" s="40">
        <v>21200.0</v>
      </c>
      <c r="F521" s="33" t="s">
        <v>241</v>
      </c>
      <c r="G521" s="33" t="s">
        <v>181</v>
      </c>
      <c r="H521" s="33" t="s">
        <v>189</v>
      </c>
      <c r="I521" s="33" t="s">
        <v>189</v>
      </c>
      <c r="J521" s="33" t="s">
        <v>189</v>
      </c>
      <c r="K521" s="33" t="s">
        <v>262</v>
      </c>
    </row>
    <row r="522" ht="15.75" customHeight="1">
      <c r="A522" s="33" t="s">
        <v>3401</v>
      </c>
      <c r="B522" s="33" t="s">
        <v>728</v>
      </c>
      <c r="C522" s="33" t="s">
        <v>227</v>
      </c>
      <c r="D522" s="39">
        <v>45681.0</v>
      </c>
      <c r="E522" s="40">
        <v>6300.0</v>
      </c>
      <c r="F522" s="33" t="s">
        <v>230</v>
      </c>
      <c r="G522" s="33" t="s">
        <v>181</v>
      </c>
      <c r="H522" s="33" t="s">
        <v>189</v>
      </c>
      <c r="I522" s="33" t="s">
        <v>189</v>
      </c>
      <c r="J522" s="33" t="s">
        <v>189</v>
      </c>
      <c r="K522" s="33" t="s">
        <v>262</v>
      </c>
    </row>
    <row r="523" ht="15.75" customHeight="1">
      <c r="A523" s="33" t="s">
        <v>1777</v>
      </c>
      <c r="B523" s="33" t="s">
        <v>1775</v>
      </c>
      <c r="C523" s="33" t="s">
        <v>227</v>
      </c>
      <c r="D523" s="39">
        <v>46059.0</v>
      </c>
      <c r="E523" s="40">
        <v>34700.0</v>
      </c>
      <c r="F523" s="33" t="s">
        <v>230</v>
      </c>
      <c r="G523" s="33" t="s">
        <v>181</v>
      </c>
      <c r="H523" s="33" t="s">
        <v>181</v>
      </c>
      <c r="I523" s="33" t="s">
        <v>181</v>
      </c>
      <c r="J523" s="33" t="s">
        <v>181</v>
      </c>
      <c r="K523" s="33" t="s">
        <v>157</v>
      </c>
    </row>
    <row r="524" ht="15.75" customHeight="1">
      <c r="A524" s="33" t="s">
        <v>1781</v>
      </c>
      <c r="B524" s="33" t="s">
        <v>1488</v>
      </c>
      <c r="C524" s="33" t="s">
        <v>235</v>
      </c>
      <c r="D524" s="39">
        <v>45777.0</v>
      </c>
      <c r="E524" s="40">
        <v>10000.0</v>
      </c>
      <c r="F524" s="33" t="s">
        <v>241</v>
      </c>
      <c r="G524" s="33" t="s">
        <v>181</v>
      </c>
      <c r="H524" s="33" t="s">
        <v>181</v>
      </c>
      <c r="I524" s="33" t="s">
        <v>181</v>
      </c>
      <c r="J524" s="33" t="s">
        <v>181</v>
      </c>
      <c r="K524" s="33" t="s">
        <v>157</v>
      </c>
    </row>
    <row r="525" ht="15.75" customHeight="1">
      <c r="A525" s="33" t="s">
        <v>3413</v>
      </c>
      <c r="B525" s="33" t="s">
        <v>2562</v>
      </c>
      <c r="C525" s="33" t="s">
        <v>235</v>
      </c>
      <c r="D525" s="39">
        <v>46032.0</v>
      </c>
      <c r="E525" s="40">
        <v>40200.0</v>
      </c>
      <c r="F525" s="33" t="s">
        <v>248</v>
      </c>
      <c r="G525" s="33" t="s">
        <v>189</v>
      </c>
      <c r="H525" s="33" t="s">
        <v>189</v>
      </c>
      <c r="I525" s="33" t="s">
        <v>189</v>
      </c>
      <c r="J525" s="33" t="s">
        <v>189</v>
      </c>
      <c r="K525" s="33" t="s">
        <v>252</v>
      </c>
    </row>
    <row r="526" ht="15.75" customHeight="1">
      <c r="A526" s="33" t="s">
        <v>3417</v>
      </c>
      <c r="B526" s="33" t="s">
        <v>587</v>
      </c>
      <c r="C526" s="33" t="s">
        <v>247</v>
      </c>
      <c r="D526" s="39">
        <v>45709.0</v>
      </c>
      <c r="E526" s="40">
        <v>17400.0</v>
      </c>
      <c r="F526" s="33" t="s">
        <v>269</v>
      </c>
      <c r="G526" s="33" t="s">
        <v>181</v>
      </c>
      <c r="H526" s="33" t="s">
        <v>189</v>
      </c>
      <c r="I526" s="33" t="s">
        <v>189</v>
      </c>
      <c r="J526" s="33" t="s">
        <v>189</v>
      </c>
      <c r="K526" s="33" t="s">
        <v>262</v>
      </c>
    </row>
    <row r="527" ht="15.75" customHeight="1">
      <c r="A527" s="33" t="s">
        <v>3421</v>
      </c>
      <c r="B527" s="33" t="s">
        <v>302</v>
      </c>
      <c r="C527" s="33" t="s">
        <v>247</v>
      </c>
      <c r="D527" s="39">
        <v>45953.0</v>
      </c>
      <c r="E527" s="40">
        <v>38100.0</v>
      </c>
      <c r="F527" s="33" t="s">
        <v>230</v>
      </c>
      <c r="G527" s="33" t="s">
        <v>181</v>
      </c>
      <c r="H527" s="33" t="s">
        <v>189</v>
      </c>
      <c r="I527" s="33" t="s">
        <v>189</v>
      </c>
      <c r="J527" s="33" t="s">
        <v>189</v>
      </c>
      <c r="K527" s="33" t="s">
        <v>262</v>
      </c>
    </row>
    <row r="528" ht="15.75" customHeight="1">
      <c r="A528" s="33" t="s">
        <v>1786</v>
      </c>
      <c r="B528" s="33" t="s">
        <v>701</v>
      </c>
      <c r="C528" s="33" t="s">
        <v>235</v>
      </c>
      <c r="D528" s="39">
        <v>45948.0</v>
      </c>
      <c r="E528" s="40">
        <v>24600.0</v>
      </c>
      <c r="F528" s="33" t="s">
        <v>241</v>
      </c>
      <c r="G528" s="33" t="s">
        <v>181</v>
      </c>
      <c r="H528" s="33" t="s">
        <v>181</v>
      </c>
      <c r="I528" s="33" t="s">
        <v>181</v>
      </c>
      <c r="J528" s="33" t="s">
        <v>181</v>
      </c>
      <c r="K528" s="33" t="s">
        <v>157</v>
      </c>
    </row>
    <row r="529" ht="15.75" customHeight="1">
      <c r="A529" s="33" t="s">
        <v>1793</v>
      </c>
      <c r="B529" s="33" t="s">
        <v>949</v>
      </c>
      <c r="C529" s="33" t="s">
        <v>227</v>
      </c>
      <c r="D529" s="39">
        <v>45962.0</v>
      </c>
      <c r="E529" s="40">
        <v>27300.0</v>
      </c>
      <c r="F529" s="33" t="s">
        <v>269</v>
      </c>
      <c r="G529" s="33" t="s">
        <v>181</v>
      </c>
      <c r="H529" s="33" t="s">
        <v>181</v>
      </c>
      <c r="I529" s="33" t="s">
        <v>181</v>
      </c>
      <c r="J529" s="33" t="s">
        <v>181</v>
      </c>
      <c r="K529" s="33" t="s">
        <v>157</v>
      </c>
    </row>
    <row r="530" ht="15.75" customHeight="1">
      <c r="A530" s="33" t="s">
        <v>3433</v>
      </c>
      <c r="B530" s="33" t="s">
        <v>558</v>
      </c>
      <c r="C530" s="33" t="s">
        <v>247</v>
      </c>
      <c r="D530" s="39">
        <v>45845.0</v>
      </c>
      <c r="E530" s="40">
        <v>37000.0</v>
      </c>
      <c r="F530" s="33" t="s">
        <v>241</v>
      </c>
      <c r="G530" s="33" t="s">
        <v>181</v>
      </c>
      <c r="H530" s="33" t="s">
        <v>189</v>
      </c>
      <c r="I530" s="33" t="s">
        <v>189</v>
      </c>
      <c r="J530" s="33" t="s">
        <v>189</v>
      </c>
      <c r="K530" s="33" t="s">
        <v>262</v>
      </c>
    </row>
    <row r="531" ht="15.75" customHeight="1">
      <c r="A531" s="33" t="s">
        <v>1800</v>
      </c>
      <c r="B531" s="33" t="s">
        <v>360</v>
      </c>
      <c r="C531" s="33" t="s">
        <v>247</v>
      </c>
      <c r="D531" s="39">
        <v>45761.0</v>
      </c>
      <c r="E531" s="40">
        <v>33600.0</v>
      </c>
      <c r="F531" s="33" t="s">
        <v>248</v>
      </c>
      <c r="G531" s="33" t="s">
        <v>181</v>
      </c>
      <c r="H531" s="33" t="s">
        <v>181</v>
      </c>
      <c r="I531" s="33" t="s">
        <v>181</v>
      </c>
      <c r="J531" s="33" t="s">
        <v>181</v>
      </c>
      <c r="K531" s="33" t="s">
        <v>157</v>
      </c>
    </row>
    <row r="532" ht="15.75" customHeight="1">
      <c r="A532" s="33" t="s">
        <v>1807</v>
      </c>
      <c r="B532" s="33" t="s">
        <v>1806</v>
      </c>
      <c r="C532" s="33" t="s">
        <v>227</v>
      </c>
      <c r="D532" s="39">
        <v>46128.0</v>
      </c>
      <c r="E532" s="40">
        <v>33500.0</v>
      </c>
      <c r="F532" s="33" t="s">
        <v>230</v>
      </c>
      <c r="G532" s="33" t="s">
        <v>181</v>
      </c>
      <c r="H532" s="33" t="s">
        <v>181</v>
      </c>
      <c r="I532" s="33" t="s">
        <v>181</v>
      </c>
      <c r="J532" s="33" t="s">
        <v>181</v>
      </c>
      <c r="K532" s="33" t="s">
        <v>157</v>
      </c>
    </row>
    <row r="533" ht="15.75" customHeight="1">
      <c r="A533" s="33" t="s">
        <v>1813</v>
      </c>
      <c r="B533" s="33" t="s">
        <v>1811</v>
      </c>
      <c r="C533" s="33" t="s">
        <v>235</v>
      </c>
      <c r="D533" s="39">
        <v>46207.0</v>
      </c>
      <c r="E533" s="40">
        <v>33300.0</v>
      </c>
      <c r="F533" s="33" t="s">
        <v>230</v>
      </c>
      <c r="G533" s="33" t="s">
        <v>181</v>
      </c>
      <c r="H533" s="33" t="s">
        <v>181</v>
      </c>
      <c r="I533" s="33" t="s">
        <v>181</v>
      </c>
      <c r="J533" s="33" t="s">
        <v>181</v>
      </c>
      <c r="K533" s="33" t="s">
        <v>157</v>
      </c>
    </row>
    <row r="534" ht="15.75" customHeight="1">
      <c r="A534" s="33" t="s">
        <v>1820</v>
      </c>
      <c r="B534" s="33" t="s">
        <v>1130</v>
      </c>
      <c r="C534" s="33" t="s">
        <v>235</v>
      </c>
      <c r="D534" s="39">
        <v>45826.0</v>
      </c>
      <c r="E534" s="40">
        <v>29700.0</v>
      </c>
      <c r="F534" s="33" t="s">
        <v>230</v>
      </c>
      <c r="G534" s="33" t="s">
        <v>181</v>
      </c>
      <c r="H534" s="33" t="s">
        <v>181</v>
      </c>
      <c r="I534" s="33" t="s">
        <v>181</v>
      </c>
      <c r="J534" s="33" t="s">
        <v>181</v>
      </c>
      <c r="K534" s="33" t="s">
        <v>157</v>
      </c>
    </row>
    <row r="535" ht="15.75" customHeight="1">
      <c r="A535" s="33" t="s">
        <v>1826</v>
      </c>
      <c r="B535" s="33" t="s">
        <v>1561</v>
      </c>
      <c r="C535" s="33" t="s">
        <v>247</v>
      </c>
      <c r="D535" s="39">
        <v>45933.0</v>
      </c>
      <c r="E535" s="40">
        <v>40600.0</v>
      </c>
      <c r="F535" s="33" t="s">
        <v>241</v>
      </c>
      <c r="G535" s="33" t="s">
        <v>181</v>
      </c>
      <c r="H535" s="33" t="s">
        <v>181</v>
      </c>
      <c r="I535" s="33" t="s">
        <v>181</v>
      </c>
      <c r="J535" s="33" t="s">
        <v>181</v>
      </c>
      <c r="K535" s="33" t="s">
        <v>157</v>
      </c>
    </row>
    <row r="536" ht="15.75" customHeight="1">
      <c r="A536" s="33" t="s">
        <v>3455</v>
      </c>
      <c r="B536" s="33" t="s">
        <v>2002</v>
      </c>
      <c r="C536" s="33" t="s">
        <v>227</v>
      </c>
      <c r="D536" s="39">
        <v>45724.0</v>
      </c>
      <c r="E536" s="40">
        <v>15700.0</v>
      </c>
      <c r="F536" s="33" t="s">
        <v>230</v>
      </c>
      <c r="G536" s="33" t="s">
        <v>189</v>
      </c>
      <c r="H536" s="33" t="s">
        <v>189</v>
      </c>
      <c r="I536" s="33" t="s">
        <v>189</v>
      </c>
      <c r="J536" s="33" t="s">
        <v>189</v>
      </c>
      <c r="K536" s="33" t="s">
        <v>252</v>
      </c>
    </row>
    <row r="537" ht="15.75" customHeight="1">
      <c r="A537" s="33" t="s">
        <v>3458</v>
      </c>
      <c r="B537" s="33" t="s">
        <v>1785</v>
      </c>
      <c r="C537" s="33" t="s">
        <v>235</v>
      </c>
      <c r="D537" s="39">
        <v>45749.0</v>
      </c>
      <c r="E537" s="40">
        <v>9900.0</v>
      </c>
      <c r="F537" s="33" t="s">
        <v>230</v>
      </c>
      <c r="G537" s="33" t="s">
        <v>189</v>
      </c>
      <c r="H537" s="33" t="s">
        <v>189</v>
      </c>
      <c r="I537" s="33" t="s">
        <v>189</v>
      </c>
      <c r="J537" s="33" t="s">
        <v>189</v>
      </c>
      <c r="K537" s="33" t="s">
        <v>252</v>
      </c>
    </row>
    <row r="538" ht="15.75" customHeight="1">
      <c r="A538" s="33" t="s">
        <v>1835</v>
      </c>
      <c r="B538" s="33" t="s">
        <v>1833</v>
      </c>
      <c r="C538" s="33" t="s">
        <v>247</v>
      </c>
      <c r="D538" s="39">
        <v>45871.0</v>
      </c>
      <c r="E538" s="40">
        <v>37000.0</v>
      </c>
      <c r="F538" s="33" t="s">
        <v>241</v>
      </c>
      <c r="G538" s="33" t="s">
        <v>181</v>
      </c>
      <c r="H538" s="33" t="s">
        <v>181</v>
      </c>
      <c r="I538" s="33" t="s">
        <v>181</v>
      </c>
      <c r="J538" s="33" t="s">
        <v>181</v>
      </c>
      <c r="K538" s="33" t="s">
        <v>157</v>
      </c>
    </row>
    <row r="539" ht="15.75" customHeight="1">
      <c r="A539" s="33" t="s">
        <v>3463</v>
      </c>
      <c r="B539" s="33" t="s">
        <v>625</v>
      </c>
      <c r="C539" s="33" t="s">
        <v>227</v>
      </c>
      <c r="D539" s="39">
        <v>46085.0</v>
      </c>
      <c r="E539" s="40">
        <v>27500.0</v>
      </c>
      <c r="F539" s="33" t="s">
        <v>230</v>
      </c>
      <c r="G539" s="33" t="s">
        <v>189</v>
      </c>
      <c r="H539" s="33" t="s">
        <v>189</v>
      </c>
      <c r="I539" s="33" t="s">
        <v>189</v>
      </c>
      <c r="J539" s="33" t="s">
        <v>189</v>
      </c>
      <c r="K539" s="33" t="s">
        <v>252</v>
      </c>
    </row>
    <row r="540" ht="15.75" customHeight="1">
      <c r="A540" s="33" t="s">
        <v>3466</v>
      </c>
      <c r="B540" s="33" t="s">
        <v>408</v>
      </c>
      <c r="C540" s="33" t="s">
        <v>247</v>
      </c>
      <c r="D540" s="39">
        <v>46066.0</v>
      </c>
      <c r="E540" s="40">
        <v>45100.0</v>
      </c>
      <c r="F540" s="33" t="s">
        <v>241</v>
      </c>
      <c r="G540" s="33" t="s">
        <v>189</v>
      </c>
      <c r="H540" s="33" t="s">
        <v>189</v>
      </c>
      <c r="I540" s="33" t="s">
        <v>189</v>
      </c>
      <c r="J540" s="33" t="s">
        <v>189</v>
      </c>
      <c r="K540" s="33" t="s">
        <v>252</v>
      </c>
    </row>
    <row r="541" ht="15.75" customHeight="1">
      <c r="A541" s="33" t="s">
        <v>3471</v>
      </c>
      <c r="B541" s="33" t="s">
        <v>493</v>
      </c>
      <c r="C541" s="33" t="s">
        <v>247</v>
      </c>
      <c r="D541" s="39">
        <v>46099.0</v>
      </c>
      <c r="E541" s="40">
        <v>48300.0</v>
      </c>
      <c r="F541" s="33" t="s">
        <v>248</v>
      </c>
      <c r="G541" s="33" t="s">
        <v>189</v>
      </c>
      <c r="H541" s="33" t="s">
        <v>189</v>
      </c>
      <c r="I541" s="33" t="s">
        <v>189</v>
      </c>
      <c r="J541" s="33" t="s">
        <v>189</v>
      </c>
      <c r="K541" s="33" t="s">
        <v>252</v>
      </c>
    </row>
    <row r="542" ht="15.75" customHeight="1">
      <c r="A542" s="33" t="s">
        <v>3476</v>
      </c>
      <c r="B542" s="33" t="s">
        <v>279</v>
      </c>
      <c r="C542" s="33" t="s">
        <v>227</v>
      </c>
      <c r="D542" s="39">
        <v>45712.0</v>
      </c>
      <c r="E542" s="40">
        <v>43500.0</v>
      </c>
      <c r="F542" s="33" t="s">
        <v>241</v>
      </c>
      <c r="G542" s="33" t="s">
        <v>189</v>
      </c>
      <c r="H542" s="33" t="s">
        <v>189</v>
      </c>
      <c r="I542" s="33" t="s">
        <v>189</v>
      </c>
      <c r="J542" s="33" t="s">
        <v>189</v>
      </c>
      <c r="K542" s="33" t="s">
        <v>252</v>
      </c>
    </row>
    <row r="543" ht="15.75" customHeight="1">
      <c r="A543" s="33" t="s">
        <v>3480</v>
      </c>
      <c r="B543" s="33" t="s">
        <v>402</v>
      </c>
      <c r="C543" s="33" t="s">
        <v>227</v>
      </c>
      <c r="D543" s="39">
        <v>45685.0</v>
      </c>
      <c r="E543" s="40">
        <v>27800.0</v>
      </c>
      <c r="F543" s="33" t="s">
        <v>248</v>
      </c>
      <c r="G543" s="33" t="s">
        <v>189</v>
      </c>
      <c r="H543" s="33" t="s">
        <v>189</v>
      </c>
      <c r="I543" s="33" t="s">
        <v>189</v>
      </c>
      <c r="J543" s="33" t="s">
        <v>189</v>
      </c>
      <c r="K543" s="33" t="s">
        <v>252</v>
      </c>
    </row>
    <row r="544" ht="15.75" customHeight="1">
      <c r="A544" s="33" t="s">
        <v>3484</v>
      </c>
      <c r="B544" s="33" t="s">
        <v>2474</v>
      </c>
      <c r="C544" s="33" t="s">
        <v>235</v>
      </c>
      <c r="D544" s="39">
        <v>45824.0</v>
      </c>
      <c r="E544" s="40">
        <v>38000.0</v>
      </c>
      <c r="F544" s="33" t="s">
        <v>241</v>
      </c>
      <c r="G544" s="33" t="s">
        <v>181</v>
      </c>
      <c r="H544" s="33" t="s">
        <v>189</v>
      </c>
      <c r="I544" s="33" t="s">
        <v>189</v>
      </c>
      <c r="J544" s="33" t="s">
        <v>189</v>
      </c>
      <c r="K544" s="33" t="s">
        <v>262</v>
      </c>
    </row>
    <row r="545" ht="15.75" customHeight="1">
      <c r="A545" s="33" t="s">
        <v>1839</v>
      </c>
      <c r="B545" s="33" t="s">
        <v>920</v>
      </c>
      <c r="C545" s="33" t="s">
        <v>235</v>
      </c>
      <c r="D545" s="39">
        <v>45860.0</v>
      </c>
      <c r="E545" s="40">
        <v>17400.0</v>
      </c>
      <c r="F545" s="33" t="s">
        <v>248</v>
      </c>
      <c r="G545" s="33" t="s">
        <v>181</v>
      </c>
      <c r="H545" s="33" t="s">
        <v>181</v>
      </c>
      <c r="I545" s="33" t="s">
        <v>181</v>
      </c>
      <c r="J545" s="33" t="s">
        <v>181</v>
      </c>
      <c r="K545" s="33" t="s">
        <v>157</v>
      </c>
    </row>
    <row r="546" ht="15.75" customHeight="1">
      <c r="A546" s="33" t="s">
        <v>3491</v>
      </c>
      <c r="B546" s="33" t="s">
        <v>1383</v>
      </c>
      <c r="C546" s="33" t="s">
        <v>247</v>
      </c>
      <c r="D546" s="39">
        <v>45970.0</v>
      </c>
      <c r="E546" s="40">
        <v>1700.0</v>
      </c>
      <c r="F546" s="33" t="s">
        <v>241</v>
      </c>
      <c r="G546" s="33" t="s">
        <v>189</v>
      </c>
      <c r="H546" s="33" t="s">
        <v>189</v>
      </c>
      <c r="I546" s="33" t="s">
        <v>189</v>
      </c>
      <c r="J546" s="33" t="s">
        <v>189</v>
      </c>
      <c r="K546" s="33" t="s">
        <v>252</v>
      </c>
    </row>
    <row r="547" ht="15.75" customHeight="1">
      <c r="A547" s="33" t="s">
        <v>3495</v>
      </c>
      <c r="B547" s="33" t="s">
        <v>481</v>
      </c>
      <c r="C547" s="33" t="s">
        <v>227</v>
      </c>
      <c r="D547" s="39">
        <v>46012.0</v>
      </c>
      <c r="E547" s="40">
        <v>39200.0</v>
      </c>
      <c r="F547" s="33" t="s">
        <v>230</v>
      </c>
      <c r="G547" s="33" t="s">
        <v>181</v>
      </c>
      <c r="H547" s="33" t="s">
        <v>189</v>
      </c>
      <c r="I547" s="33" t="s">
        <v>189</v>
      </c>
      <c r="J547" s="33" t="s">
        <v>189</v>
      </c>
      <c r="K547" s="33" t="s">
        <v>262</v>
      </c>
    </row>
    <row r="548" ht="15.75" customHeight="1">
      <c r="A548" s="33" t="s">
        <v>3499</v>
      </c>
      <c r="B548" s="33" t="s">
        <v>2154</v>
      </c>
      <c r="C548" s="33" t="s">
        <v>227</v>
      </c>
      <c r="D548" s="39">
        <v>45772.0</v>
      </c>
      <c r="E548" s="40">
        <v>39300.0</v>
      </c>
      <c r="F548" s="33" t="s">
        <v>230</v>
      </c>
      <c r="G548" s="33" t="s">
        <v>181</v>
      </c>
      <c r="H548" s="33" t="s">
        <v>181</v>
      </c>
      <c r="I548" s="33" t="s">
        <v>181</v>
      </c>
      <c r="J548" s="33" t="s">
        <v>189</v>
      </c>
      <c r="K548" s="33" t="s">
        <v>365</v>
      </c>
    </row>
    <row r="549" ht="15.75" customHeight="1">
      <c r="A549" s="33" t="s">
        <v>1843</v>
      </c>
      <c r="B549" s="33" t="s">
        <v>1473</v>
      </c>
      <c r="C549" s="33" t="s">
        <v>247</v>
      </c>
      <c r="D549" s="39">
        <v>46156.0</v>
      </c>
      <c r="E549" s="40">
        <v>1400.0</v>
      </c>
      <c r="F549" s="33" t="s">
        <v>241</v>
      </c>
      <c r="G549" s="33" t="s">
        <v>181</v>
      </c>
      <c r="H549" s="33" t="s">
        <v>181</v>
      </c>
      <c r="I549" s="33" t="s">
        <v>181</v>
      </c>
      <c r="J549" s="33" t="s">
        <v>181</v>
      </c>
      <c r="K549" s="33" t="s">
        <v>157</v>
      </c>
    </row>
    <row r="550" ht="15.75" customHeight="1">
      <c r="A550" s="33" t="s">
        <v>1849</v>
      </c>
      <c r="B550" s="33" t="s">
        <v>1847</v>
      </c>
      <c r="C550" s="33" t="s">
        <v>227</v>
      </c>
      <c r="D550" s="39">
        <v>46111.0</v>
      </c>
      <c r="E550" s="40">
        <v>43300.0</v>
      </c>
      <c r="F550" s="33" t="s">
        <v>241</v>
      </c>
      <c r="G550" s="33" t="s">
        <v>181</v>
      </c>
      <c r="H550" s="33" t="s">
        <v>181</v>
      </c>
      <c r="I550" s="33" t="s">
        <v>181</v>
      </c>
      <c r="J550" s="33" t="s">
        <v>181</v>
      </c>
      <c r="K550" s="33" t="s">
        <v>157</v>
      </c>
    </row>
    <row r="551" ht="15.75" customHeight="1">
      <c r="A551" s="33" t="s">
        <v>3509</v>
      </c>
      <c r="B551" s="33" t="s">
        <v>1482</v>
      </c>
      <c r="C551" s="33" t="s">
        <v>247</v>
      </c>
      <c r="D551" s="39">
        <v>45846.0</v>
      </c>
      <c r="E551" s="40">
        <v>44200.0</v>
      </c>
      <c r="F551" s="33" t="s">
        <v>248</v>
      </c>
      <c r="G551" s="33" t="s">
        <v>189</v>
      </c>
      <c r="H551" s="33" t="s">
        <v>189</v>
      </c>
      <c r="I551" s="33" t="s">
        <v>189</v>
      </c>
      <c r="J551" s="33" t="s">
        <v>189</v>
      </c>
      <c r="K551" s="33" t="s">
        <v>252</v>
      </c>
    </row>
    <row r="552" ht="15.75" customHeight="1">
      <c r="A552" s="33" t="s">
        <v>1854</v>
      </c>
      <c r="B552" s="33" t="s">
        <v>1085</v>
      </c>
      <c r="C552" s="33" t="s">
        <v>227</v>
      </c>
      <c r="D552" s="39">
        <v>46050.0</v>
      </c>
      <c r="E552" s="40">
        <v>16700.0</v>
      </c>
      <c r="F552" s="33" t="s">
        <v>241</v>
      </c>
      <c r="G552" s="33" t="s">
        <v>181</v>
      </c>
      <c r="H552" s="33" t="s">
        <v>181</v>
      </c>
      <c r="I552" s="33" t="s">
        <v>181</v>
      </c>
      <c r="J552" s="33" t="s">
        <v>181</v>
      </c>
      <c r="K552" s="33" t="s">
        <v>157</v>
      </c>
    </row>
    <row r="553" ht="15.75" customHeight="1">
      <c r="A553" s="33" t="s">
        <v>1858</v>
      </c>
      <c r="B553" s="33" t="s">
        <v>1581</v>
      </c>
      <c r="C553" s="33" t="s">
        <v>235</v>
      </c>
      <c r="D553" s="39">
        <v>45839.0</v>
      </c>
      <c r="E553" s="40">
        <v>1800.0</v>
      </c>
      <c r="F553" s="33" t="s">
        <v>230</v>
      </c>
      <c r="G553" s="33" t="s">
        <v>181</v>
      </c>
      <c r="H553" s="33" t="s">
        <v>181</v>
      </c>
      <c r="I553" s="33" t="s">
        <v>181</v>
      </c>
      <c r="J553" s="33" t="s">
        <v>181</v>
      </c>
      <c r="K553" s="33" t="s">
        <v>157</v>
      </c>
    </row>
    <row r="554" ht="15.75" customHeight="1">
      <c r="A554" s="33" t="s">
        <v>1863</v>
      </c>
      <c r="B554" s="33" t="s">
        <v>1016</v>
      </c>
      <c r="C554" s="33" t="s">
        <v>235</v>
      </c>
      <c r="D554" s="39">
        <v>45694.0</v>
      </c>
      <c r="E554" s="40">
        <v>43900.0</v>
      </c>
      <c r="F554" s="33" t="s">
        <v>241</v>
      </c>
      <c r="G554" s="33" t="s">
        <v>181</v>
      </c>
      <c r="H554" s="33" t="s">
        <v>181</v>
      </c>
      <c r="I554" s="33" t="s">
        <v>181</v>
      </c>
      <c r="J554" s="33" t="s">
        <v>181</v>
      </c>
      <c r="K554" s="33" t="s">
        <v>157</v>
      </c>
    </row>
    <row r="555" ht="15.75" customHeight="1">
      <c r="A555" s="33" t="s">
        <v>3521</v>
      </c>
      <c r="B555" s="33" t="s">
        <v>1400</v>
      </c>
      <c r="C555" s="33" t="s">
        <v>247</v>
      </c>
      <c r="D555" s="39">
        <v>46105.0</v>
      </c>
      <c r="E555" s="40">
        <v>4500.0</v>
      </c>
      <c r="F555" s="33" t="s">
        <v>241</v>
      </c>
      <c r="G555" s="33" t="s">
        <v>189</v>
      </c>
      <c r="H555" s="33" t="s">
        <v>189</v>
      </c>
      <c r="I555" s="33" t="s">
        <v>189</v>
      </c>
      <c r="J555" s="33" t="s">
        <v>189</v>
      </c>
      <c r="K555" s="33" t="s">
        <v>252</v>
      </c>
    </row>
    <row r="556" ht="15.75" customHeight="1">
      <c r="A556" s="33" t="s">
        <v>3523</v>
      </c>
      <c r="B556" s="33" t="s">
        <v>3112</v>
      </c>
      <c r="C556" s="33" t="s">
        <v>227</v>
      </c>
      <c r="D556" s="39">
        <v>45710.0</v>
      </c>
      <c r="E556" s="40">
        <v>12400.0</v>
      </c>
      <c r="F556" s="33" t="s">
        <v>241</v>
      </c>
      <c r="G556" s="33" t="s">
        <v>181</v>
      </c>
      <c r="H556" s="33" t="s">
        <v>189</v>
      </c>
      <c r="I556" s="33" t="s">
        <v>189</v>
      </c>
      <c r="J556" s="33" t="s">
        <v>189</v>
      </c>
      <c r="K556" s="33" t="s">
        <v>262</v>
      </c>
    </row>
    <row r="557" ht="15.75" customHeight="1">
      <c r="A557" s="33" t="s">
        <v>3527</v>
      </c>
      <c r="B557" s="33" t="s">
        <v>1140</v>
      </c>
      <c r="C557" s="33" t="s">
        <v>247</v>
      </c>
      <c r="D557" s="39">
        <v>45791.0</v>
      </c>
      <c r="E557" s="40">
        <v>27600.0</v>
      </c>
      <c r="F557" s="33" t="s">
        <v>248</v>
      </c>
      <c r="G557" s="33" t="s">
        <v>189</v>
      </c>
      <c r="H557" s="33" t="s">
        <v>189</v>
      </c>
      <c r="I557" s="33" t="s">
        <v>189</v>
      </c>
      <c r="J557" s="33" t="s">
        <v>189</v>
      </c>
      <c r="K557" s="33" t="s">
        <v>252</v>
      </c>
    </row>
    <row r="558" ht="15.75" customHeight="1">
      <c r="A558" s="33" t="s">
        <v>1869</v>
      </c>
      <c r="B558" s="33" t="s">
        <v>268</v>
      </c>
      <c r="C558" s="33" t="s">
        <v>227</v>
      </c>
      <c r="D558" s="39">
        <v>45841.0</v>
      </c>
      <c r="E558" s="40">
        <v>41000.0</v>
      </c>
      <c r="F558" s="33" t="s">
        <v>230</v>
      </c>
      <c r="G558" s="33" t="s">
        <v>181</v>
      </c>
      <c r="H558" s="33" t="s">
        <v>181</v>
      </c>
      <c r="I558" s="33" t="s">
        <v>181</v>
      </c>
      <c r="J558" s="33" t="s">
        <v>181</v>
      </c>
      <c r="K558" s="33" t="s">
        <v>157</v>
      </c>
    </row>
    <row r="559" ht="15.75" customHeight="1">
      <c r="A559" s="33" t="s">
        <v>3534</v>
      </c>
      <c r="B559" s="33" t="s">
        <v>1249</v>
      </c>
      <c r="C559" s="33" t="s">
        <v>227</v>
      </c>
      <c r="D559" s="39">
        <v>46201.0</v>
      </c>
      <c r="E559" s="40">
        <v>39300.0</v>
      </c>
      <c r="F559" s="33" t="s">
        <v>230</v>
      </c>
      <c r="G559" s="33" t="s">
        <v>189</v>
      </c>
      <c r="H559" s="33" t="s">
        <v>189</v>
      </c>
      <c r="I559" s="33" t="s">
        <v>189</v>
      </c>
      <c r="J559" s="33" t="s">
        <v>189</v>
      </c>
      <c r="K559" s="33" t="s">
        <v>252</v>
      </c>
    </row>
    <row r="560" ht="15.75" customHeight="1">
      <c r="A560" s="33" t="s">
        <v>1873</v>
      </c>
      <c r="B560" s="33" t="s">
        <v>1205</v>
      </c>
      <c r="C560" s="33" t="s">
        <v>247</v>
      </c>
      <c r="D560" s="39">
        <v>46013.0</v>
      </c>
      <c r="E560" s="40">
        <v>34400.0</v>
      </c>
      <c r="F560" s="33" t="s">
        <v>248</v>
      </c>
      <c r="G560" s="33" t="s">
        <v>181</v>
      </c>
      <c r="H560" s="33" t="s">
        <v>181</v>
      </c>
      <c r="I560" s="33" t="s">
        <v>181</v>
      </c>
      <c r="J560" s="33" t="s">
        <v>181</v>
      </c>
      <c r="K560" s="33" t="s">
        <v>157</v>
      </c>
    </row>
    <row r="561" ht="15.75" customHeight="1">
      <c r="A561" s="33" t="s">
        <v>3542</v>
      </c>
      <c r="B561" s="33" t="s">
        <v>1505</v>
      </c>
      <c r="C561" s="33" t="s">
        <v>235</v>
      </c>
      <c r="D561" s="39">
        <v>46137.0</v>
      </c>
      <c r="E561" s="40">
        <v>41600.0</v>
      </c>
      <c r="F561" s="33" t="s">
        <v>241</v>
      </c>
      <c r="G561" s="33" t="s">
        <v>189</v>
      </c>
      <c r="H561" s="33" t="s">
        <v>189</v>
      </c>
      <c r="I561" s="33" t="s">
        <v>189</v>
      </c>
      <c r="J561" s="33" t="s">
        <v>189</v>
      </c>
      <c r="K561" s="33" t="s">
        <v>252</v>
      </c>
    </row>
    <row r="562" ht="15.75" customHeight="1">
      <c r="A562" s="33" t="s">
        <v>1879</v>
      </c>
      <c r="B562" s="33" t="s">
        <v>1876</v>
      </c>
      <c r="C562" s="33" t="s">
        <v>235</v>
      </c>
      <c r="D562" s="39">
        <v>46209.0</v>
      </c>
      <c r="E562" s="40">
        <v>34600.0</v>
      </c>
      <c r="F562" s="33" t="s">
        <v>241</v>
      </c>
      <c r="G562" s="33" t="s">
        <v>181</v>
      </c>
      <c r="H562" s="33" t="s">
        <v>181</v>
      </c>
      <c r="I562" s="33" t="s">
        <v>181</v>
      </c>
      <c r="J562" s="33" t="s">
        <v>181</v>
      </c>
      <c r="K562" s="33" t="s">
        <v>157</v>
      </c>
    </row>
    <row r="563" ht="15.75" customHeight="1">
      <c r="A563" s="33" t="s">
        <v>1885</v>
      </c>
      <c r="B563" s="33" t="s">
        <v>1883</v>
      </c>
      <c r="C563" s="33" t="s">
        <v>227</v>
      </c>
      <c r="D563" s="39">
        <v>46200.0</v>
      </c>
      <c r="E563" s="40">
        <v>32200.0</v>
      </c>
      <c r="F563" s="33" t="s">
        <v>241</v>
      </c>
      <c r="G563" s="33" t="s">
        <v>181</v>
      </c>
      <c r="H563" s="33" t="s">
        <v>181</v>
      </c>
      <c r="I563" s="33" t="s">
        <v>181</v>
      </c>
      <c r="J563" s="33" t="s">
        <v>181</v>
      </c>
      <c r="K563" s="33" t="s">
        <v>157</v>
      </c>
    </row>
    <row r="564" ht="15.75" customHeight="1">
      <c r="A564" s="33" t="s">
        <v>1891</v>
      </c>
      <c r="B564" s="33" t="s">
        <v>1890</v>
      </c>
      <c r="C564" s="33" t="s">
        <v>247</v>
      </c>
      <c r="D564" s="39">
        <v>46027.0</v>
      </c>
      <c r="E564" s="40">
        <v>9200.0</v>
      </c>
      <c r="F564" s="33" t="s">
        <v>248</v>
      </c>
      <c r="G564" s="33" t="s">
        <v>181</v>
      </c>
      <c r="H564" s="33" t="s">
        <v>181</v>
      </c>
      <c r="I564" s="33" t="s">
        <v>181</v>
      </c>
      <c r="J564" s="33" t="s">
        <v>181</v>
      </c>
      <c r="K564" s="33" t="s">
        <v>157</v>
      </c>
    </row>
    <row r="565" ht="15.75" customHeight="1">
      <c r="A565" s="33" t="s">
        <v>3556</v>
      </c>
      <c r="B565" s="33" t="s">
        <v>288</v>
      </c>
      <c r="C565" s="33" t="s">
        <v>227</v>
      </c>
      <c r="D565" s="39">
        <v>45872.0</v>
      </c>
      <c r="E565" s="40">
        <v>22600.0</v>
      </c>
      <c r="F565" s="33" t="s">
        <v>241</v>
      </c>
      <c r="G565" s="33" t="s">
        <v>181</v>
      </c>
      <c r="H565" s="33" t="s">
        <v>189</v>
      </c>
      <c r="I565" s="33" t="s">
        <v>189</v>
      </c>
      <c r="J565" s="33" t="s">
        <v>189</v>
      </c>
      <c r="K565" s="33" t="s">
        <v>262</v>
      </c>
    </row>
    <row r="566" ht="15.75" customHeight="1">
      <c r="A566" s="33" t="s">
        <v>1897</v>
      </c>
      <c r="B566" s="33" t="s">
        <v>1896</v>
      </c>
      <c r="C566" s="33" t="s">
        <v>247</v>
      </c>
      <c r="D566" s="39">
        <v>45903.0</v>
      </c>
      <c r="E566" s="40">
        <v>23100.0</v>
      </c>
      <c r="F566" s="33" t="s">
        <v>230</v>
      </c>
      <c r="G566" s="33" t="s">
        <v>181</v>
      </c>
      <c r="H566" s="33" t="s">
        <v>181</v>
      </c>
      <c r="I566" s="33" t="s">
        <v>181</v>
      </c>
      <c r="J566" s="33" t="s">
        <v>181</v>
      </c>
      <c r="K566" s="33" t="s">
        <v>157</v>
      </c>
    </row>
    <row r="567" ht="15.75" customHeight="1">
      <c r="A567" s="33" t="s">
        <v>1902</v>
      </c>
      <c r="B567" s="33" t="s">
        <v>1901</v>
      </c>
      <c r="C567" s="33" t="s">
        <v>227</v>
      </c>
      <c r="D567" s="39">
        <v>45758.0</v>
      </c>
      <c r="E567" s="40">
        <v>1900.0</v>
      </c>
      <c r="F567" s="33" t="s">
        <v>248</v>
      </c>
      <c r="G567" s="33" t="s">
        <v>181</v>
      </c>
      <c r="H567" s="33" t="s">
        <v>181</v>
      </c>
      <c r="I567" s="33" t="s">
        <v>181</v>
      </c>
      <c r="J567" s="33" t="s">
        <v>181</v>
      </c>
      <c r="K567" s="33" t="s">
        <v>157</v>
      </c>
    </row>
    <row r="568" ht="15.75" customHeight="1">
      <c r="A568" s="33" t="s">
        <v>1913</v>
      </c>
      <c r="B568" s="33" t="s">
        <v>1906</v>
      </c>
      <c r="C568" s="33" t="s">
        <v>247</v>
      </c>
      <c r="D568" s="39">
        <v>46015.0</v>
      </c>
      <c r="E568" s="40">
        <v>20900.0</v>
      </c>
      <c r="F568" s="33" t="s">
        <v>230</v>
      </c>
      <c r="G568" s="33" t="s">
        <v>181</v>
      </c>
      <c r="H568" s="33" t="s">
        <v>181</v>
      </c>
      <c r="I568" s="33" t="s">
        <v>181</v>
      </c>
      <c r="J568" s="33" t="s">
        <v>181</v>
      </c>
      <c r="K568" s="33" t="s">
        <v>157</v>
      </c>
    </row>
    <row r="569" ht="15.75" customHeight="1">
      <c r="A569" s="33" t="s">
        <v>3566</v>
      </c>
      <c r="B569" s="33" t="s">
        <v>462</v>
      </c>
      <c r="C569" s="33" t="s">
        <v>235</v>
      </c>
      <c r="D569" s="39">
        <v>46013.0</v>
      </c>
      <c r="E569" s="40">
        <v>12100.0</v>
      </c>
      <c r="F569" s="33" t="s">
        <v>230</v>
      </c>
      <c r="G569" s="33" t="s">
        <v>189</v>
      </c>
      <c r="H569" s="33" t="s">
        <v>189</v>
      </c>
      <c r="I569" s="33" t="s">
        <v>189</v>
      </c>
      <c r="J569" s="33" t="s">
        <v>189</v>
      </c>
      <c r="K569" s="33" t="s">
        <v>252</v>
      </c>
    </row>
    <row r="570" ht="15.75" customHeight="1">
      <c r="A570" s="33" t="s">
        <v>1918</v>
      </c>
      <c r="B570" s="33" t="s">
        <v>1917</v>
      </c>
      <c r="C570" s="33" t="s">
        <v>227</v>
      </c>
      <c r="D570" s="39">
        <v>46248.0</v>
      </c>
      <c r="E570" s="40">
        <v>5400.0</v>
      </c>
      <c r="F570" s="33" t="s">
        <v>230</v>
      </c>
      <c r="G570" s="33" t="s">
        <v>181</v>
      </c>
      <c r="H570" s="33" t="s">
        <v>181</v>
      </c>
      <c r="I570" s="33" t="s">
        <v>181</v>
      </c>
      <c r="J570" s="33" t="s">
        <v>181</v>
      </c>
      <c r="K570" s="33" t="s">
        <v>157</v>
      </c>
    </row>
    <row r="571" ht="15.75" customHeight="1">
      <c r="A571" s="33" t="s">
        <v>1923</v>
      </c>
      <c r="B571" s="33" t="s">
        <v>470</v>
      </c>
      <c r="C571" s="33" t="s">
        <v>235</v>
      </c>
      <c r="D571" s="39">
        <v>45773.0</v>
      </c>
      <c r="E571" s="40">
        <v>27800.0</v>
      </c>
      <c r="F571" s="33" t="s">
        <v>241</v>
      </c>
      <c r="G571" s="33" t="s">
        <v>181</v>
      </c>
      <c r="H571" s="33" t="s">
        <v>181</v>
      </c>
      <c r="I571" s="33" t="s">
        <v>181</v>
      </c>
      <c r="J571" s="33" t="s">
        <v>181</v>
      </c>
      <c r="K571" s="33" t="s">
        <v>157</v>
      </c>
    </row>
    <row r="572" ht="15.75" customHeight="1">
      <c r="A572" s="33" t="s">
        <v>3570</v>
      </c>
      <c r="B572" s="33" t="s">
        <v>225</v>
      </c>
      <c r="C572" s="33" t="s">
        <v>247</v>
      </c>
      <c r="D572" s="39">
        <v>46117.0</v>
      </c>
      <c r="E572" s="40">
        <v>12600.0</v>
      </c>
      <c r="F572" s="33" t="s">
        <v>248</v>
      </c>
      <c r="G572" s="33" t="s">
        <v>181</v>
      </c>
      <c r="H572" s="33" t="s">
        <v>181</v>
      </c>
      <c r="I572" s="33" t="s">
        <v>181</v>
      </c>
      <c r="J572" s="33" t="s">
        <v>189</v>
      </c>
      <c r="K572" s="33" t="s">
        <v>365</v>
      </c>
    </row>
    <row r="573" ht="15.75" customHeight="1">
      <c r="A573" s="33" t="s">
        <v>3573</v>
      </c>
      <c r="B573" s="33" t="s">
        <v>475</v>
      </c>
      <c r="C573" s="33" t="s">
        <v>247</v>
      </c>
      <c r="D573" s="39">
        <v>45819.0</v>
      </c>
      <c r="E573" s="40">
        <v>10300.0</v>
      </c>
      <c r="F573" s="33" t="s">
        <v>230</v>
      </c>
      <c r="G573" s="33" t="s">
        <v>181</v>
      </c>
      <c r="H573" s="33" t="s">
        <v>189</v>
      </c>
      <c r="I573" s="33" t="s">
        <v>189</v>
      </c>
      <c r="J573" s="33" t="s">
        <v>189</v>
      </c>
      <c r="K573" s="33" t="s">
        <v>262</v>
      </c>
    </row>
    <row r="574" ht="15.75" customHeight="1">
      <c r="A574" s="33" t="s">
        <v>3576</v>
      </c>
      <c r="B574" s="33" t="s">
        <v>888</v>
      </c>
      <c r="C574" s="33" t="s">
        <v>247</v>
      </c>
      <c r="D574" s="39">
        <v>45705.0</v>
      </c>
      <c r="E574" s="40">
        <v>39600.0</v>
      </c>
      <c r="F574" s="33" t="s">
        <v>230</v>
      </c>
      <c r="G574" s="33" t="s">
        <v>181</v>
      </c>
      <c r="H574" s="33" t="s">
        <v>189</v>
      </c>
      <c r="I574" s="33" t="s">
        <v>189</v>
      </c>
      <c r="J574" s="33" t="s">
        <v>189</v>
      </c>
      <c r="K574" s="33" t="s">
        <v>262</v>
      </c>
    </row>
    <row r="575" ht="15.75" customHeight="1">
      <c r="A575" s="33" t="s">
        <v>1929</v>
      </c>
      <c r="B575" s="33" t="s">
        <v>858</v>
      </c>
      <c r="C575" s="33" t="s">
        <v>227</v>
      </c>
      <c r="D575" s="39">
        <v>45901.0</v>
      </c>
      <c r="E575" s="40">
        <v>40700.0</v>
      </c>
      <c r="F575" s="33" t="s">
        <v>248</v>
      </c>
      <c r="G575" s="33" t="s">
        <v>181</v>
      </c>
      <c r="H575" s="33" t="s">
        <v>181</v>
      </c>
      <c r="I575" s="33" t="s">
        <v>181</v>
      </c>
      <c r="J575" s="33" t="s">
        <v>181</v>
      </c>
      <c r="K575" s="33" t="s">
        <v>157</v>
      </c>
    </row>
    <row r="576" ht="15.75" customHeight="1">
      <c r="A576" s="33" t="s">
        <v>3579</v>
      </c>
      <c r="B576" s="33" t="s">
        <v>697</v>
      </c>
      <c r="C576" s="33" t="s">
        <v>227</v>
      </c>
      <c r="D576" s="39">
        <v>46243.0</v>
      </c>
      <c r="E576" s="40">
        <v>33400.0</v>
      </c>
      <c r="F576" s="33" t="s">
        <v>230</v>
      </c>
      <c r="G576" s="33" t="s">
        <v>189</v>
      </c>
      <c r="H576" s="33" t="s">
        <v>189</v>
      </c>
      <c r="I576" s="33" t="s">
        <v>189</v>
      </c>
      <c r="J576" s="33" t="s">
        <v>189</v>
      </c>
      <c r="K576" s="33" t="s">
        <v>252</v>
      </c>
    </row>
    <row r="577" ht="15.75" customHeight="1">
      <c r="A577" s="33" t="s">
        <v>1935</v>
      </c>
      <c r="B577" s="33" t="s">
        <v>1796</v>
      </c>
      <c r="C577" s="33" t="s">
        <v>227</v>
      </c>
      <c r="D577" s="39">
        <v>45938.0</v>
      </c>
      <c r="E577" s="40">
        <v>10300.0</v>
      </c>
      <c r="F577" s="33" t="s">
        <v>241</v>
      </c>
      <c r="G577" s="33" t="s">
        <v>181</v>
      </c>
      <c r="H577" s="33" t="s">
        <v>181</v>
      </c>
      <c r="I577" s="33" t="s">
        <v>181</v>
      </c>
      <c r="J577" s="33" t="s">
        <v>181</v>
      </c>
      <c r="K577" s="33" t="s">
        <v>157</v>
      </c>
    </row>
    <row r="578" ht="15.75" customHeight="1">
      <c r="A578" s="33" t="s">
        <v>3582</v>
      </c>
      <c r="B578" s="33" t="s">
        <v>2239</v>
      </c>
      <c r="C578" s="33" t="s">
        <v>247</v>
      </c>
      <c r="D578" s="39">
        <v>45770.0</v>
      </c>
      <c r="E578" s="40">
        <v>32000.0</v>
      </c>
      <c r="F578" s="33" t="s">
        <v>230</v>
      </c>
      <c r="G578" s="33" t="s">
        <v>181</v>
      </c>
      <c r="H578" s="33" t="s">
        <v>189</v>
      </c>
      <c r="I578" s="33" t="s">
        <v>189</v>
      </c>
      <c r="J578" s="33" t="s">
        <v>189</v>
      </c>
      <c r="K578" s="33" t="s">
        <v>262</v>
      </c>
    </row>
    <row r="579" ht="15.75" customHeight="1">
      <c r="A579" s="33" t="s">
        <v>3584</v>
      </c>
      <c r="B579" s="33" t="s">
        <v>3112</v>
      </c>
      <c r="C579" s="33" t="s">
        <v>227</v>
      </c>
      <c r="D579" s="39">
        <v>45853.0</v>
      </c>
      <c r="E579" s="40">
        <v>36000.0</v>
      </c>
      <c r="F579" s="33" t="s">
        <v>230</v>
      </c>
      <c r="G579" s="33" t="s">
        <v>181</v>
      </c>
      <c r="H579" s="33" t="s">
        <v>181</v>
      </c>
      <c r="I579" s="33" t="s">
        <v>181</v>
      </c>
      <c r="J579" s="33" t="s">
        <v>189</v>
      </c>
      <c r="K579" s="33" t="s">
        <v>365</v>
      </c>
    </row>
    <row r="580" ht="15.75" customHeight="1">
      <c r="A580" s="33" t="s">
        <v>1939</v>
      </c>
      <c r="B580" s="33" t="s">
        <v>1528</v>
      </c>
      <c r="C580" s="33" t="s">
        <v>247</v>
      </c>
      <c r="D580" s="39">
        <v>46079.0</v>
      </c>
      <c r="E580" s="40">
        <v>12400.0</v>
      </c>
      <c r="F580" s="33" t="s">
        <v>230</v>
      </c>
      <c r="G580" s="33" t="s">
        <v>181</v>
      </c>
      <c r="H580" s="33" t="s">
        <v>181</v>
      </c>
      <c r="I580" s="33" t="s">
        <v>181</v>
      </c>
      <c r="J580" s="33" t="s">
        <v>181</v>
      </c>
      <c r="K580" s="33" t="s">
        <v>157</v>
      </c>
    </row>
    <row r="581" ht="15.75" customHeight="1">
      <c r="A581" s="33" t="s">
        <v>1947</v>
      </c>
      <c r="B581" s="33" t="s">
        <v>282</v>
      </c>
      <c r="C581" s="33" t="s">
        <v>235</v>
      </c>
      <c r="D581" s="39">
        <v>45830.0</v>
      </c>
      <c r="E581" s="40">
        <v>7500.0</v>
      </c>
      <c r="F581" s="33" t="s">
        <v>230</v>
      </c>
      <c r="G581" s="33" t="s">
        <v>181</v>
      </c>
      <c r="H581" s="33" t="s">
        <v>181</v>
      </c>
      <c r="I581" s="33" t="s">
        <v>181</v>
      </c>
      <c r="J581" s="33" t="s">
        <v>181</v>
      </c>
      <c r="K581" s="33" t="s">
        <v>157</v>
      </c>
    </row>
    <row r="582" ht="15.75" customHeight="1">
      <c r="A582" s="33" t="s">
        <v>3588</v>
      </c>
      <c r="B582" s="33" t="s">
        <v>282</v>
      </c>
      <c r="C582" s="33" t="s">
        <v>247</v>
      </c>
      <c r="D582" s="39">
        <v>45798.0</v>
      </c>
      <c r="E582" s="40">
        <v>22200.0</v>
      </c>
      <c r="F582" s="33" t="s">
        <v>248</v>
      </c>
      <c r="G582" s="33" t="s">
        <v>181</v>
      </c>
      <c r="H582" s="33" t="s">
        <v>189</v>
      </c>
      <c r="I582" s="33" t="s">
        <v>189</v>
      </c>
      <c r="J582" s="33" t="s">
        <v>189</v>
      </c>
      <c r="K582" s="33" t="s">
        <v>262</v>
      </c>
    </row>
    <row r="583" ht="15.75" customHeight="1">
      <c r="A583" s="33" t="s">
        <v>3591</v>
      </c>
      <c r="B583" s="33" t="s">
        <v>1811</v>
      </c>
      <c r="C583" s="33" t="s">
        <v>227</v>
      </c>
      <c r="D583" s="39">
        <v>45807.0</v>
      </c>
      <c r="E583" s="40">
        <v>21800.0</v>
      </c>
      <c r="F583" s="33" t="s">
        <v>230</v>
      </c>
      <c r="G583" s="33" t="s">
        <v>189</v>
      </c>
      <c r="H583" s="33" t="s">
        <v>189</v>
      </c>
      <c r="I583" s="33" t="s">
        <v>189</v>
      </c>
      <c r="J583" s="33" t="s">
        <v>189</v>
      </c>
      <c r="K583" s="33" t="s">
        <v>252</v>
      </c>
    </row>
    <row r="584" ht="15.75" customHeight="1">
      <c r="A584" s="33" t="s">
        <v>1951</v>
      </c>
      <c r="B584" s="33" t="s">
        <v>905</v>
      </c>
      <c r="C584" s="33" t="s">
        <v>247</v>
      </c>
      <c r="D584" s="39">
        <v>45707.0</v>
      </c>
      <c r="E584" s="40">
        <v>8500.0</v>
      </c>
      <c r="F584" s="33" t="s">
        <v>241</v>
      </c>
      <c r="G584" s="33" t="s">
        <v>181</v>
      </c>
      <c r="H584" s="33" t="s">
        <v>181</v>
      </c>
      <c r="I584" s="33" t="s">
        <v>181</v>
      </c>
      <c r="J584" s="33" t="s">
        <v>181</v>
      </c>
      <c r="K584" s="33" t="s">
        <v>157</v>
      </c>
    </row>
    <row r="585" ht="15.75" customHeight="1">
      <c r="A585" s="33" t="s">
        <v>3594</v>
      </c>
      <c r="B585" s="33" t="s">
        <v>281</v>
      </c>
      <c r="C585" s="33" t="s">
        <v>227</v>
      </c>
      <c r="D585" s="39">
        <v>46076.0</v>
      </c>
      <c r="E585" s="40">
        <v>10400.0</v>
      </c>
      <c r="F585" s="33" t="s">
        <v>241</v>
      </c>
      <c r="G585" s="33" t="s">
        <v>189</v>
      </c>
      <c r="H585" s="33" t="s">
        <v>189</v>
      </c>
      <c r="I585" s="33" t="s">
        <v>189</v>
      </c>
      <c r="J585" s="33" t="s">
        <v>189</v>
      </c>
      <c r="K585" s="33" t="s">
        <v>252</v>
      </c>
    </row>
    <row r="586" ht="15.75" customHeight="1">
      <c r="A586" s="33" t="s">
        <v>3596</v>
      </c>
      <c r="B586" s="33" t="s">
        <v>2729</v>
      </c>
      <c r="C586" s="33" t="s">
        <v>247</v>
      </c>
      <c r="D586" s="39">
        <v>45852.0</v>
      </c>
      <c r="E586" s="40">
        <v>25500.0</v>
      </c>
      <c r="F586" s="33" t="s">
        <v>248</v>
      </c>
      <c r="G586" s="33" t="s">
        <v>189</v>
      </c>
      <c r="H586" s="33" t="s">
        <v>189</v>
      </c>
      <c r="I586" s="33" t="s">
        <v>189</v>
      </c>
      <c r="J586" s="33" t="s">
        <v>189</v>
      </c>
      <c r="K586" s="33" t="s">
        <v>252</v>
      </c>
    </row>
    <row r="587" ht="15.75" customHeight="1">
      <c r="A587" s="33" t="s">
        <v>3599</v>
      </c>
      <c r="B587" s="33" t="s">
        <v>992</v>
      </c>
      <c r="C587" s="33" t="s">
        <v>227</v>
      </c>
      <c r="D587" s="39">
        <v>45843.0</v>
      </c>
      <c r="E587" s="40">
        <v>26800.0</v>
      </c>
      <c r="F587" s="33" t="s">
        <v>230</v>
      </c>
      <c r="G587" s="33" t="s">
        <v>189</v>
      </c>
      <c r="H587" s="33" t="s">
        <v>189</v>
      </c>
      <c r="I587" s="33" t="s">
        <v>189</v>
      </c>
      <c r="J587" s="33" t="s">
        <v>189</v>
      </c>
      <c r="K587" s="33" t="s">
        <v>252</v>
      </c>
    </row>
    <row r="588" ht="15.75" customHeight="1">
      <c r="A588" s="33" t="s">
        <v>1958</v>
      </c>
      <c r="B588" s="33" t="s">
        <v>563</v>
      </c>
      <c r="C588" s="33" t="s">
        <v>227</v>
      </c>
      <c r="D588" s="39">
        <v>45857.0</v>
      </c>
      <c r="E588" s="40">
        <v>27400.0</v>
      </c>
      <c r="F588" s="33" t="s">
        <v>230</v>
      </c>
      <c r="G588" s="33" t="s">
        <v>181</v>
      </c>
      <c r="H588" s="33" t="s">
        <v>181</v>
      </c>
      <c r="I588" s="33" t="s">
        <v>181</v>
      </c>
      <c r="J588" s="33" t="s">
        <v>181</v>
      </c>
      <c r="K588" s="33" t="s">
        <v>157</v>
      </c>
    </row>
    <row r="589" ht="15.75" customHeight="1">
      <c r="A589" s="33" t="s">
        <v>1964</v>
      </c>
      <c r="B589" s="33" t="s">
        <v>1001</v>
      </c>
      <c r="C589" s="33" t="s">
        <v>235</v>
      </c>
      <c r="D589" s="39">
        <v>46079.0</v>
      </c>
      <c r="E589" s="40">
        <v>49100.0</v>
      </c>
      <c r="F589" s="33" t="s">
        <v>241</v>
      </c>
      <c r="G589" s="33" t="s">
        <v>181</v>
      </c>
      <c r="H589" s="33" t="s">
        <v>181</v>
      </c>
      <c r="I589" s="33" t="s">
        <v>181</v>
      </c>
      <c r="J589" s="33" t="s">
        <v>181</v>
      </c>
      <c r="K589" s="33" t="s">
        <v>157</v>
      </c>
    </row>
    <row r="590" ht="15.75" customHeight="1">
      <c r="A590" s="33" t="s">
        <v>3603</v>
      </c>
      <c r="B590" s="33" t="s">
        <v>1674</v>
      </c>
      <c r="C590" s="33" t="s">
        <v>227</v>
      </c>
      <c r="D590" s="39">
        <v>46188.0</v>
      </c>
      <c r="E590" s="40">
        <v>2900.0</v>
      </c>
      <c r="F590" s="33" t="s">
        <v>248</v>
      </c>
      <c r="G590" s="33" t="s">
        <v>189</v>
      </c>
      <c r="H590" s="33" t="s">
        <v>189</v>
      </c>
      <c r="I590" s="33" t="s">
        <v>189</v>
      </c>
      <c r="J590" s="33" t="s">
        <v>189</v>
      </c>
      <c r="K590" s="33" t="s">
        <v>252</v>
      </c>
    </row>
    <row r="591" ht="15.75" customHeight="1">
      <c r="A591" s="33" t="s">
        <v>1970</v>
      </c>
      <c r="B591" s="33" t="s">
        <v>1969</v>
      </c>
      <c r="C591" s="33" t="s">
        <v>227</v>
      </c>
      <c r="D591" s="39">
        <v>46108.0</v>
      </c>
      <c r="E591" s="40">
        <v>39500.0</v>
      </c>
      <c r="F591" s="33" t="s">
        <v>248</v>
      </c>
      <c r="G591" s="33" t="s">
        <v>181</v>
      </c>
      <c r="H591" s="33" t="s">
        <v>181</v>
      </c>
      <c r="I591" s="33" t="s">
        <v>181</v>
      </c>
      <c r="J591" s="33" t="s">
        <v>181</v>
      </c>
      <c r="K591" s="33" t="s">
        <v>157</v>
      </c>
    </row>
    <row r="592" ht="15.75" customHeight="1">
      <c r="A592" s="33" t="s">
        <v>1976</v>
      </c>
      <c r="B592" s="33" t="s">
        <v>1103</v>
      </c>
      <c r="C592" s="33" t="s">
        <v>227</v>
      </c>
      <c r="D592" s="39">
        <v>46002.0</v>
      </c>
      <c r="E592" s="40">
        <v>18200.0</v>
      </c>
      <c r="F592" s="33" t="s">
        <v>269</v>
      </c>
      <c r="G592" s="33" t="s">
        <v>181</v>
      </c>
      <c r="H592" s="33" t="s">
        <v>181</v>
      </c>
      <c r="I592" s="33" t="s">
        <v>181</v>
      </c>
      <c r="J592" s="33" t="s">
        <v>181</v>
      </c>
      <c r="K592" s="33" t="s">
        <v>157</v>
      </c>
    </row>
    <row r="593" ht="15.75" customHeight="1">
      <c r="A593" s="33" t="s">
        <v>3608</v>
      </c>
      <c r="B593" s="33" t="s">
        <v>969</v>
      </c>
      <c r="C593" s="33" t="s">
        <v>227</v>
      </c>
      <c r="D593" s="39">
        <v>46091.0</v>
      </c>
      <c r="E593" s="40">
        <v>37900.0</v>
      </c>
      <c r="F593" s="33" t="s">
        <v>248</v>
      </c>
      <c r="G593" s="33" t="s">
        <v>189</v>
      </c>
      <c r="H593" s="33" t="s">
        <v>189</v>
      </c>
      <c r="I593" s="33" t="s">
        <v>189</v>
      </c>
      <c r="J593" s="33" t="s">
        <v>189</v>
      </c>
      <c r="K593" s="33" t="s">
        <v>252</v>
      </c>
    </row>
    <row r="594" ht="15.75" customHeight="1">
      <c r="A594" s="33" t="s">
        <v>3610</v>
      </c>
      <c r="B594" s="33" t="s">
        <v>1834</v>
      </c>
      <c r="C594" s="33" t="s">
        <v>235</v>
      </c>
      <c r="D594" s="39">
        <v>45795.0</v>
      </c>
      <c r="E594" s="40">
        <v>37000.0</v>
      </c>
      <c r="F594" s="33" t="s">
        <v>269</v>
      </c>
      <c r="G594" s="33" t="s">
        <v>189</v>
      </c>
      <c r="H594" s="33" t="s">
        <v>189</v>
      </c>
      <c r="I594" s="33" t="s">
        <v>189</v>
      </c>
      <c r="J594" s="33" t="s">
        <v>189</v>
      </c>
      <c r="K594" s="33" t="s">
        <v>252</v>
      </c>
    </row>
    <row r="595" ht="15.75" customHeight="1">
      <c r="A595" s="33" t="s">
        <v>3614</v>
      </c>
      <c r="B595" s="33" t="s">
        <v>926</v>
      </c>
      <c r="C595" s="33" t="s">
        <v>227</v>
      </c>
      <c r="D595" s="39">
        <v>46213.0</v>
      </c>
      <c r="E595" s="40">
        <v>31400.0</v>
      </c>
      <c r="F595" s="33" t="s">
        <v>230</v>
      </c>
      <c r="G595" s="33" t="s">
        <v>189</v>
      </c>
      <c r="H595" s="33" t="s">
        <v>189</v>
      </c>
      <c r="I595" s="33" t="s">
        <v>189</v>
      </c>
      <c r="J595" s="33" t="s">
        <v>189</v>
      </c>
      <c r="K595" s="33" t="s">
        <v>252</v>
      </c>
    </row>
    <row r="596" ht="15.75" customHeight="1">
      <c r="A596" s="33" t="s">
        <v>1982</v>
      </c>
      <c r="B596" s="33" t="s">
        <v>1981</v>
      </c>
      <c r="C596" s="33" t="s">
        <v>227</v>
      </c>
      <c r="D596" s="39">
        <v>46029.0</v>
      </c>
      <c r="E596" s="40">
        <v>31900.0</v>
      </c>
      <c r="F596" s="33" t="s">
        <v>230</v>
      </c>
      <c r="G596" s="33" t="s">
        <v>181</v>
      </c>
      <c r="H596" s="33" t="s">
        <v>181</v>
      </c>
      <c r="I596" s="33" t="s">
        <v>181</v>
      </c>
      <c r="J596" s="33" t="s">
        <v>181</v>
      </c>
      <c r="K596" s="33" t="s">
        <v>157</v>
      </c>
    </row>
    <row r="597" ht="15.75" customHeight="1">
      <c r="A597" s="33" t="s">
        <v>3618</v>
      </c>
      <c r="B597" s="33" t="s">
        <v>1087</v>
      </c>
      <c r="C597" s="33" t="s">
        <v>235</v>
      </c>
      <c r="D597" s="39">
        <v>46237.0</v>
      </c>
      <c r="E597" s="40">
        <v>33500.0</v>
      </c>
      <c r="F597" s="33" t="s">
        <v>248</v>
      </c>
      <c r="G597" s="33" t="s">
        <v>181</v>
      </c>
      <c r="H597" s="33" t="s">
        <v>189</v>
      </c>
      <c r="I597" s="33" t="s">
        <v>189</v>
      </c>
      <c r="J597" s="33" t="s">
        <v>189</v>
      </c>
      <c r="K597" s="33" t="s">
        <v>262</v>
      </c>
    </row>
    <row r="598" ht="15.75" customHeight="1">
      <c r="A598" s="33" t="s">
        <v>1988</v>
      </c>
      <c r="B598" s="33" t="s">
        <v>1488</v>
      </c>
      <c r="C598" s="33" t="s">
        <v>227</v>
      </c>
      <c r="D598" s="39">
        <v>45820.0</v>
      </c>
      <c r="E598" s="40">
        <v>37600.0</v>
      </c>
      <c r="F598" s="33" t="s">
        <v>241</v>
      </c>
      <c r="G598" s="33" t="s">
        <v>181</v>
      </c>
      <c r="H598" s="33" t="s">
        <v>181</v>
      </c>
      <c r="I598" s="33" t="s">
        <v>181</v>
      </c>
      <c r="J598" s="33" t="s">
        <v>181</v>
      </c>
      <c r="K598" s="33" t="s">
        <v>157</v>
      </c>
    </row>
    <row r="599" ht="15.75" customHeight="1">
      <c r="A599" s="33" t="s">
        <v>1992</v>
      </c>
      <c r="B599" s="33" t="s">
        <v>1991</v>
      </c>
      <c r="C599" s="33" t="s">
        <v>227</v>
      </c>
      <c r="D599" s="39">
        <v>45747.0</v>
      </c>
      <c r="E599" s="40">
        <v>7400.0</v>
      </c>
      <c r="F599" s="33" t="s">
        <v>248</v>
      </c>
      <c r="G599" s="33" t="s">
        <v>181</v>
      </c>
      <c r="H599" s="33" t="s">
        <v>181</v>
      </c>
      <c r="I599" s="33" t="s">
        <v>181</v>
      </c>
      <c r="J599" s="33" t="s">
        <v>181</v>
      </c>
      <c r="K599" s="33" t="s">
        <v>157</v>
      </c>
    </row>
    <row r="600" ht="15.75" customHeight="1">
      <c r="A600" s="33" t="s">
        <v>3626</v>
      </c>
      <c r="B600" s="33" t="s">
        <v>1476</v>
      </c>
      <c r="C600" s="33" t="s">
        <v>227</v>
      </c>
      <c r="D600" s="39">
        <v>46091.0</v>
      </c>
      <c r="E600" s="40">
        <v>18700.0</v>
      </c>
      <c r="F600" s="33" t="s">
        <v>230</v>
      </c>
      <c r="G600" s="33" t="s">
        <v>189</v>
      </c>
      <c r="H600" s="33" t="s">
        <v>189</v>
      </c>
      <c r="I600" s="33" t="s">
        <v>189</v>
      </c>
      <c r="J600" s="33" t="s">
        <v>189</v>
      </c>
      <c r="K600" s="33" t="s">
        <v>252</v>
      </c>
    </row>
    <row r="601" ht="15.75" customHeight="1">
      <c r="A601" s="33" t="s">
        <v>1999</v>
      </c>
      <c r="B601" s="33" t="s">
        <v>1585</v>
      </c>
      <c r="C601" s="33" t="s">
        <v>235</v>
      </c>
      <c r="D601" s="39">
        <v>45852.0</v>
      </c>
      <c r="E601" s="40">
        <v>42300.0</v>
      </c>
      <c r="F601" s="33" t="s">
        <v>248</v>
      </c>
      <c r="G601" s="33" t="s">
        <v>181</v>
      </c>
      <c r="H601" s="33" t="s">
        <v>181</v>
      </c>
      <c r="I601" s="33" t="s">
        <v>181</v>
      </c>
      <c r="J601" s="33" t="s">
        <v>181</v>
      </c>
      <c r="K601" s="33" t="s">
        <v>157</v>
      </c>
    </row>
    <row r="602" ht="15.75" customHeight="1">
      <c r="A602" s="33" t="s">
        <v>3632</v>
      </c>
      <c r="B602" s="33" t="s">
        <v>3633</v>
      </c>
      <c r="C602" s="33" t="s">
        <v>247</v>
      </c>
      <c r="D602" s="39">
        <v>45784.0</v>
      </c>
      <c r="E602" s="40">
        <v>27800.0</v>
      </c>
      <c r="F602" s="33" t="s">
        <v>248</v>
      </c>
      <c r="G602" s="33" t="s">
        <v>181</v>
      </c>
      <c r="H602" s="33" t="s">
        <v>189</v>
      </c>
      <c r="I602" s="33" t="s">
        <v>189</v>
      </c>
      <c r="J602" s="33" t="s">
        <v>189</v>
      </c>
      <c r="K602" s="33" t="s">
        <v>262</v>
      </c>
    </row>
    <row r="603" ht="15.75" customHeight="1">
      <c r="A603" s="33" t="s">
        <v>3636</v>
      </c>
      <c r="B603" s="33" t="s">
        <v>2718</v>
      </c>
      <c r="C603" s="33" t="s">
        <v>247</v>
      </c>
      <c r="D603" s="39">
        <v>46136.0</v>
      </c>
      <c r="E603" s="40">
        <v>7700.0</v>
      </c>
      <c r="F603" s="33" t="s">
        <v>241</v>
      </c>
      <c r="G603" s="33" t="s">
        <v>189</v>
      </c>
      <c r="H603" s="33" t="s">
        <v>189</v>
      </c>
      <c r="I603" s="33" t="s">
        <v>189</v>
      </c>
      <c r="J603" s="33" t="s">
        <v>189</v>
      </c>
      <c r="K603" s="33" t="s">
        <v>252</v>
      </c>
    </row>
    <row r="604" ht="15.75" customHeight="1">
      <c r="A604" s="33" t="s">
        <v>3640</v>
      </c>
      <c r="B604" s="33" t="s">
        <v>1995</v>
      </c>
      <c r="C604" s="33" t="s">
        <v>247</v>
      </c>
      <c r="D604" s="39">
        <v>45981.0</v>
      </c>
      <c r="E604" s="40">
        <v>48100.0</v>
      </c>
      <c r="F604" s="33" t="s">
        <v>248</v>
      </c>
      <c r="G604" s="33" t="s">
        <v>181</v>
      </c>
      <c r="H604" s="33" t="s">
        <v>181</v>
      </c>
      <c r="I604" s="33" t="s">
        <v>181</v>
      </c>
      <c r="J604" s="33" t="s">
        <v>189</v>
      </c>
      <c r="K604" s="33" t="s">
        <v>365</v>
      </c>
    </row>
    <row r="605" ht="15.75" customHeight="1">
      <c r="A605" s="33" t="s">
        <v>2004</v>
      </c>
      <c r="B605" s="33" t="s">
        <v>499</v>
      </c>
      <c r="C605" s="33" t="s">
        <v>247</v>
      </c>
      <c r="D605" s="39">
        <v>46132.0</v>
      </c>
      <c r="E605" s="40">
        <v>49400.0</v>
      </c>
      <c r="F605" s="33" t="s">
        <v>241</v>
      </c>
      <c r="G605" s="33" t="s">
        <v>181</v>
      </c>
      <c r="H605" s="33" t="s">
        <v>181</v>
      </c>
      <c r="I605" s="33" t="s">
        <v>181</v>
      </c>
      <c r="J605" s="33" t="s">
        <v>181</v>
      </c>
      <c r="K605" s="33" t="s">
        <v>157</v>
      </c>
    </row>
    <row r="606" ht="15.75" customHeight="1">
      <c r="A606" s="33" t="s">
        <v>3646</v>
      </c>
      <c r="B606" s="33" t="s">
        <v>587</v>
      </c>
      <c r="C606" s="33" t="s">
        <v>247</v>
      </c>
      <c r="D606" s="39">
        <v>45805.0</v>
      </c>
      <c r="E606" s="40">
        <v>26100.0</v>
      </c>
      <c r="F606" s="33" t="s">
        <v>241</v>
      </c>
      <c r="G606" s="33" t="s">
        <v>189</v>
      </c>
      <c r="H606" s="33" t="s">
        <v>189</v>
      </c>
      <c r="I606" s="33" t="s">
        <v>189</v>
      </c>
      <c r="J606" s="33" t="s">
        <v>189</v>
      </c>
      <c r="K606" s="33" t="s">
        <v>252</v>
      </c>
    </row>
    <row r="607" ht="15.75" customHeight="1">
      <c r="A607" s="33" t="s">
        <v>3650</v>
      </c>
      <c r="B607" s="33" t="s">
        <v>2264</v>
      </c>
      <c r="C607" s="33" t="s">
        <v>235</v>
      </c>
      <c r="D607" s="39">
        <v>45701.0</v>
      </c>
      <c r="E607" s="40">
        <v>27100.0</v>
      </c>
      <c r="F607" s="33" t="s">
        <v>230</v>
      </c>
      <c r="G607" s="33" t="s">
        <v>189</v>
      </c>
      <c r="H607" s="33" t="s">
        <v>189</v>
      </c>
      <c r="I607" s="33" t="s">
        <v>189</v>
      </c>
      <c r="J607" s="33" t="s">
        <v>189</v>
      </c>
      <c r="K607" s="33" t="s">
        <v>252</v>
      </c>
    </row>
    <row r="608" ht="15.75" customHeight="1">
      <c r="A608" s="33" t="s">
        <v>3655</v>
      </c>
      <c r="B608" s="33" t="s">
        <v>2048</v>
      </c>
      <c r="C608" s="33" t="s">
        <v>247</v>
      </c>
      <c r="D608" s="39">
        <v>45906.0</v>
      </c>
      <c r="E608" s="40">
        <v>15300.0</v>
      </c>
      <c r="F608" s="33" t="s">
        <v>241</v>
      </c>
      <c r="G608" s="33" t="s">
        <v>189</v>
      </c>
      <c r="H608" s="33" t="s">
        <v>189</v>
      </c>
      <c r="I608" s="33" t="s">
        <v>189</v>
      </c>
      <c r="J608" s="33" t="s">
        <v>189</v>
      </c>
      <c r="K608" s="33" t="s">
        <v>252</v>
      </c>
    </row>
    <row r="609" ht="15.75" customHeight="1">
      <c r="A609" s="33" t="s">
        <v>3659</v>
      </c>
      <c r="B609" s="33" t="s">
        <v>358</v>
      </c>
      <c r="C609" s="33" t="s">
        <v>235</v>
      </c>
      <c r="D609" s="39">
        <v>46241.0</v>
      </c>
      <c r="E609" s="40">
        <v>26300.0</v>
      </c>
      <c r="F609" s="33" t="s">
        <v>248</v>
      </c>
      <c r="G609" s="33" t="s">
        <v>181</v>
      </c>
      <c r="H609" s="33" t="s">
        <v>189</v>
      </c>
      <c r="I609" s="33" t="s">
        <v>189</v>
      </c>
      <c r="J609" s="33" t="s">
        <v>189</v>
      </c>
      <c r="K609" s="33" t="s">
        <v>262</v>
      </c>
    </row>
    <row r="610" ht="15.75" customHeight="1">
      <c r="A610" s="33" t="s">
        <v>3662</v>
      </c>
      <c r="B610" s="33" t="s">
        <v>2018</v>
      </c>
      <c r="C610" s="33" t="s">
        <v>227</v>
      </c>
      <c r="D610" s="39">
        <v>46013.0</v>
      </c>
      <c r="E610" s="40">
        <v>48500.0</v>
      </c>
      <c r="F610" s="33" t="s">
        <v>241</v>
      </c>
      <c r="G610" s="33" t="s">
        <v>181</v>
      </c>
      <c r="H610" s="33" t="s">
        <v>181</v>
      </c>
      <c r="I610" s="33" t="s">
        <v>181</v>
      </c>
      <c r="J610" s="33" t="s">
        <v>189</v>
      </c>
      <c r="K610" s="33" t="s">
        <v>365</v>
      </c>
    </row>
    <row r="611" ht="15.75" customHeight="1">
      <c r="A611" s="33" t="s">
        <v>2008</v>
      </c>
      <c r="B611" s="33" t="s">
        <v>737</v>
      </c>
      <c r="C611" s="33" t="s">
        <v>247</v>
      </c>
      <c r="D611" s="39">
        <v>46177.0</v>
      </c>
      <c r="E611" s="40">
        <v>13500.0</v>
      </c>
      <c r="F611" s="33" t="s">
        <v>248</v>
      </c>
      <c r="G611" s="33" t="s">
        <v>181</v>
      </c>
      <c r="H611" s="33" t="s">
        <v>181</v>
      </c>
      <c r="I611" s="33" t="s">
        <v>181</v>
      </c>
      <c r="J611" s="33" t="s">
        <v>181</v>
      </c>
      <c r="K611" s="33" t="s">
        <v>157</v>
      </c>
    </row>
    <row r="612" ht="15.75" customHeight="1">
      <c r="A612" s="33" t="s">
        <v>3669</v>
      </c>
      <c r="B612" s="33" t="s">
        <v>324</v>
      </c>
      <c r="C612" s="33" t="s">
        <v>247</v>
      </c>
      <c r="D612" s="39">
        <v>46169.0</v>
      </c>
      <c r="E612" s="40">
        <v>15900.0</v>
      </c>
      <c r="F612" s="33" t="s">
        <v>230</v>
      </c>
      <c r="G612" s="33" t="s">
        <v>181</v>
      </c>
      <c r="H612" s="33" t="s">
        <v>189</v>
      </c>
      <c r="I612" s="33" t="s">
        <v>189</v>
      </c>
      <c r="J612" s="33" t="s">
        <v>189</v>
      </c>
      <c r="K612" s="33" t="s">
        <v>262</v>
      </c>
    </row>
    <row r="613" ht="15.75" customHeight="1">
      <c r="A613" s="33" t="s">
        <v>3673</v>
      </c>
      <c r="B613" s="33" t="s">
        <v>999</v>
      </c>
      <c r="C613" s="33" t="s">
        <v>227</v>
      </c>
      <c r="D613" s="39">
        <v>46203.0</v>
      </c>
      <c r="E613" s="40">
        <v>45000.0</v>
      </c>
      <c r="F613" s="33" t="s">
        <v>241</v>
      </c>
      <c r="G613" s="33" t="s">
        <v>181</v>
      </c>
      <c r="H613" s="33" t="s">
        <v>189</v>
      </c>
      <c r="I613" s="33" t="s">
        <v>189</v>
      </c>
      <c r="J613" s="33" t="s">
        <v>189</v>
      </c>
      <c r="K613" s="33" t="s">
        <v>262</v>
      </c>
    </row>
    <row r="614" ht="15.75" customHeight="1">
      <c r="A614" s="33" t="s">
        <v>3676</v>
      </c>
      <c r="B614" s="33" t="s">
        <v>608</v>
      </c>
      <c r="C614" s="33" t="s">
        <v>227</v>
      </c>
      <c r="D614" s="39">
        <v>45936.0</v>
      </c>
      <c r="E614" s="40">
        <v>19800.0</v>
      </c>
      <c r="F614" s="33" t="s">
        <v>241</v>
      </c>
      <c r="G614" s="33" t="s">
        <v>181</v>
      </c>
      <c r="H614" s="33" t="s">
        <v>189</v>
      </c>
      <c r="I614" s="33" t="s">
        <v>189</v>
      </c>
      <c r="J614" s="33" t="s">
        <v>189</v>
      </c>
      <c r="K614" s="33" t="s">
        <v>262</v>
      </c>
    </row>
    <row r="615" ht="15.75" customHeight="1">
      <c r="A615" s="33" t="s">
        <v>2012</v>
      </c>
      <c r="B615" s="33" t="s">
        <v>1654</v>
      </c>
      <c r="C615" s="33" t="s">
        <v>227</v>
      </c>
      <c r="D615" s="39">
        <v>45782.0</v>
      </c>
      <c r="E615" s="40">
        <v>48700.0</v>
      </c>
      <c r="F615" s="33" t="s">
        <v>248</v>
      </c>
      <c r="G615" s="33" t="s">
        <v>181</v>
      </c>
      <c r="H615" s="33" t="s">
        <v>181</v>
      </c>
      <c r="I615" s="33" t="s">
        <v>181</v>
      </c>
      <c r="J615" s="33" t="s">
        <v>181</v>
      </c>
      <c r="K615" s="33" t="s">
        <v>157</v>
      </c>
    </row>
    <row r="616" ht="15.75" customHeight="1">
      <c r="A616" s="33" t="s">
        <v>3683</v>
      </c>
      <c r="B616" s="33" t="s">
        <v>264</v>
      </c>
      <c r="C616" s="33" t="s">
        <v>227</v>
      </c>
      <c r="D616" s="39">
        <v>46204.0</v>
      </c>
      <c r="E616" s="40">
        <v>18100.0</v>
      </c>
      <c r="F616" s="33" t="s">
        <v>230</v>
      </c>
      <c r="G616" s="33" t="s">
        <v>181</v>
      </c>
      <c r="H616" s="33" t="s">
        <v>189</v>
      </c>
      <c r="I616" s="33" t="s">
        <v>189</v>
      </c>
      <c r="J616" s="33" t="s">
        <v>189</v>
      </c>
      <c r="K616" s="33" t="s">
        <v>262</v>
      </c>
    </row>
    <row r="617" ht="15.75" customHeight="1">
      <c r="A617" s="33" t="s">
        <v>3688</v>
      </c>
      <c r="B617" s="33" t="s">
        <v>2990</v>
      </c>
      <c r="C617" s="33" t="s">
        <v>235</v>
      </c>
      <c r="D617" s="39">
        <v>45962.0</v>
      </c>
      <c r="E617" s="40">
        <v>1200.0</v>
      </c>
      <c r="F617" s="33" t="s">
        <v>241</v>
      </c>
      <c r="G617" s="33" t="s">
        <v>189</v>
      </c>
      <c r="H617" s="33" t="s">
        <v>189</v>
      </c>
      <c r="I617" s="33" t="s">
        <v>189</v>
      </c>
      <c r="J617" s="33" t="s">
        <v>189</v>
      </c>
      <c r="K617" s="33" t="s">
        <v>252</v>
      </c>
    </row>
    <row r="618" ht="15.75" customHeight="1">
      <c r="A618" s="33" t="s">
        <v>3692</v>
      </c>
      <c r="B618" s="33" t="s">
        <v>587</v>
      </c>
      <c r="C618" s="33" t="s">
        <v>227</v>
      </c>
      <c r="D618" s="39">
        <v>45852.0</v>
      </c>
      <c r="E618" s="40">
        <v>47700.0</v>
      </c>
      <c r="F618" s="33" t="s">
        <v>241</v>
      </c>
      <c r="G618" s="33" t="s">
        <v>189</v>
      </c>
      <c r="H618" s="33" t="s">
        <v>189</v>
      </c>
      <c r="I618" s="33" t="s">
        <v>189</v>
      </c>
      <c r="J618" s="33" t="s">
        <v>189</v>
      </c>
      <c r="K618" s="33" t="s">
        <v>252</v>
      </c>
    </row>
    <row r="619" ht="15.75" customHeight="1">
      <c r="A619" s="33" t="s">
        <v>3695</v>
      </c>
      <c r="B619" s="33" t="s">
        <v>638</v>
      </c>
      <c r="C619" s="33" t="s">
        <v>247</v>
      </c>
      <c r="D619" s="39">
        <v>45925.0</v>
      </c>
      <c r="E619" s="40">
        <v>12600.0</v>
      </c>
      <c r="F619" s="33" t="s">
        <v>241</v>
      </c>
      <c r="G619" s="33" t="s">
        <v>181</v>
      </c>
      <c r="H619" s="33" t="s">
        <v>189</v>
      </c>
      <c r="I619" s="33" t="s">
        <v>189</v>
      </c>
      <c r="J619" s="33" t="s">
        <v>189</v>
      </c>
      <c r="K619" s="33" t="s">
        <v>262</v>
      </c>
    </row>
    <row r="620" ht="15.75" customHeight="1">
      <c r="A620" s="33" t="s">
        <v>3698</v>
      </c>
      <c r="B620" s="33" t="s">
        <v>819</v>
      </c>
      <c r="C620" s="33" t="s">
        <v>227</v>
      </c>
      <c r="D620" s="39">
        <v>46132.0</v>
      </c>
      <c r="E620" s="40">
        <v>35000.0</v>
      </c>
      <c r="F620" s="33" t="s">
        <v>248</v>
      </c>
      <c r="G620" s="33" t="s">
        <v>189</v>
      </c>
      <c r="H620" s="33" t="s">
        <v>189</v>
      </c>
      <c r="I620" s="33" t="s">
        <v>189</v>
      </c>
      <c r="J620" s="33" t="s">
        <v>189</v>
      </c>
      <c r="K620" s="33" t="s">
        <v>252</v>
      </c>
    </row>
    <row r="621" ht="15.75" customHeight="1">
      <c r="A621" s="33" t="s">
        <v>2016</v>
      </c>
      <c r="B621" s="33" t="s">
        <v>2015</v>
      </c>
      <c r="C621" s="33" t="s">
        <v>247</v>
      </c>
      <c r="D621" s="39">
        <v>45876.0</v>
      </c>
      <c r="E621" s="40">
        <v>3300.0</v>
      </c>
      <c r="F621" s="33" t="s">
        <v>230</v>
      </c>
      <c r="G621" s="33" t="s">
        <v>181</v>
      </c>
      <c r="H621" s="33" t="s">
        <v>181</v>
      </c>
      <c r="I621" s="33" t="s">
        <v>181</v>
      </c>
      <c r="J621" s="33" t="s">
        <v>181</v>
      </c>
      <c r="K621" s="33" t="s">
        <v>157</v>
      </c>
    </row>
    <row r="622" ht="15.75" customHeight="1">
      <c r="A622" s="33" t="s">
        <v>3705</v>
      </c>
      <c r="B622" s="33" t="s">
        <v>2226</v>
      </c>
      <c r="C622" s="33" t="s">
        <v>227</v>
      </c>
      <c r="D622" s="39">
        <v>46162.0</v>
      </c>
      <c r="E622" s="40">
        <v>37700.0</v>
      </c>
      <c r="F622" s="33" t="s">
        <v>269</v>
      </c>
      <c r="G622" s="33" t="s">
        <v>181</v>
      </c>
      <c r="H622" s="33" t="s">
        <v>189</v>
      </c>
      <c r="I622" s="33" t="s">
        <v>189</v>
      </c>
      <c r="J622" s="33" t="s">
        <v>189</v>
      </c>
      <c r="K622" s="33" t="s">
        <v>262</v>
      </c>
    </row>
    <row r="623" ht="15.75" customHeight="1">
      <c r="A623" s="33" t="s">
        <v>2027</v>
      </c>
      <c r="B623" s="33" t="s">
        <v>2026</v>
      </c>
      <c r="C623" s="33" t="s">
        <v>227</v>
      </c>
      <c r="D623" s="39">
        <v>45796.0</v>
      </c>
      <c r="E623" s="40">
        <v>11800.0</v>
      </c>
      <c r="F623" s="33" t="s">
        <v>248</v>
      </c>
      <c r="G623" s="33" t="s">
        <v>181</v>
      </c>
      <c r="H623" s="33" t="s">
        <v>181</v>
      </c>
      <c r="I623" s="33" t="s">
        <v>181</v>
      </c>
      <c r="J623" s="33" t="s">
        <v>181</v>
      </c>
      <c r="K623" s="33" t="s">
        <v>157</v>
      </c>
    </row>
    <row r="624" ht="15.75" customHeight="1">
      <c r="A624" s="33" t="s">
        <v>3710</v>
      </c>
      <c r="B624" s="33" t="s">
        <v>2857</v>
      </c>
      <c r="C624" s="33" t="s">
        <v>247</v>
      </c>
      <c r="D624" s="39">
        <v>45850.0</v>
      </c>
      <c r="E624" s="40">
        <v>40200.0</v>
      </c>
      <c r="F624" s="33" t="s">
        <v>241</v>
      </c>
      <c r="G624" s="33" t="s">
        <v>181</v>
      </c>
      <c r="H624" s="33" t="s">
        <v>189</v>
      </c>
      <c r="I624" s="33" t="s">
        <v>189</v>
      </c>
      <c r="J624" s="33" t="s">
        <v>189</v>
      </c>
      <c r="K624" s="33" t="s">
        <v>262</v>
      </c>
    </row>
    <row r="625" ht="15.75" customHeight="1">
      <c r="A625" s="33" t="s">
        <v>3713</v>
      </c>
      <c r="B625" s="33" t="s">
        <v>3714</v>
      </c>
      <c r="C625" s="33" t="s">
        <v>227</v>
      </c>
      <c r="D625" s="39">
        <v>45742.0</v>
      </c>
      <c r="E625" s="40">
        <v>48400.0</v>
      </c>
      <c r="F625" s="33" t="s">
        <v>230</v>
      </c>
      <c r="G625" s="33" t="s">
        <v>181</v>
      </c>
      <c r="H625" s="33" t="s">
        <v>189</v>
      </c>
      <c r="I625" s="33" t="s">
        <v>189</v>
      </c>
      <c r="J625" s="33" t="s">
        <v>189</v>
      </c>
      <c r="K625" s="33" t="s">
        <v>262</v>
      </c>
    </row>
    <row r="626" ht="15.75" customHeight="1">
      <c r="A626" s="33" t="s">
        <v>3718</v>
      </c>
      <c r="B626" s="33" t="s">
        <v>1649</v>
      </c>
      <c r="C626" s="33" t="s">
        <v>227</v>
      </c>
      <c r="D626" s="39">
        <v>46186.0</v>
      </c>
      <c r="E626" s="40">
        <v>3200.0</v>
      </c>
      <c r="F626" s="33" t="s">
        <v>241</v>
      </c>
      <c r="G626" s="33" t="s">
        <v>181</v>
      </c>
      <c r="H626" s="33" t="s">
        <v>189</v>
      </c>
      <c r="I626" s="33" t="s">
        <v>189</v>
      </c>
      <c r="J626" s="33" t="s">
        <v>189</v>
      </c>
      <c r="K626" s="33" t="s">
        <v>262</v>
      </c>
    </row>
    <row r="627" ht="15.75" customHeight="1">
      <c r="A627" s="33" t="s">
        <v>2031</v>
      </c>
      <c r="B627" s="33" t="s">
        <v>333</v>
      </c>
      <c r="C627" s="33" t="s">
        <v>247</v>
      </c>
      <c r="D627" s="39">
        <v>46186.0</v>
      </c>
      <c r="E627" s="40">
        <v>19000.0</v>
      </c>
      <c r="F627" s="33" t="s">
        <v>248</v>
      </c>
      <c r="G627" s="33" t="s">
        <v>181</v>
      </c>
      <c r="H627" s="33" t="s">
        <v>181</v>
      </c>
      <c r="I627" s="33" t="s">
        <v>181</v>
      </c>
      <c r="J627" s="33" t="s">
        <v>181</v>
      </c>
      <c r="K627" s="33" t="s">
        <v>157</v>
      </c>
    </row>
    <row r="628" ht="15.75" customHeight="1">
      <c r="A628" s="33" t="s">
        <v>3723</v>
      </c>
      <c r="B628" s="33" t="s">
        <v>783</v>
      </c>
      <c r="C628" s="33" t="s">
        <v>235</v>
      </c>
      <c r="D628" s="39">
        <v>45783.0</v>
      </c>
      <c r="E628" s="40">
        <v>36100.0</v>
      </c>
      <c r="F628" s="33" t="s">
        <v>248</v>
      </c>
      <c r="G628" s="33" t="s">
        <v>181</v>
      </c>
      <c r="H628" s="33" t="s">
        <v>189</v>
      </c>
      <c r="I628" s="33" t="s">
        <v>189</v>
      </c>
      <c r="J628" s="33" t="s">
        <v>189</v>
      </c>
      <c r="K628" s="33" t="s">
        <v>262</v>
      </c>
    </row>
    <row r="629" ht="15.75" customHeight="1">
      <c r="A629" s="33" t="s">
        <v>3728</v>
      </c>
      <c r="B629" s="33" t="s">
        <v>2098</v>
      </c>
      <c r="C629" s="33" t="s">
        <v>247</v>
      </c>
      <c r="D629" s="39">
        <v>45979.0</v>
      </c>
      <c r="E629" s="40">
        <v>49800.0</v>
      </c>
      <c r="F629" s="33" t="s">
        <v>230</v>
      </c>
      <c r="G629" s="33" t="s">
        <v>181</v>
      </c>
      <c r="H629" s="33" t="s">
        <v>189</v>
      </c>
      <c r="I629" s="33" t="s">
        <v>189</v>
      </c>
      <c r="J629" s="33" t="s">
        <v>189</v>
      </c>
      <c r="K629" s="33" t="s">
        <v>262</v>
      </c>
    </row>
    <row r="630" ht="15.75" customHeight="1">
      <c r="A630" s="33" t="s">
        <v>2034</v>
      </c>
      <c r="B630" s="33" t="s">
        <v>381</v>
      </c>
      <c r="C630" s="33" t="s">
        <v>247</v>
      </c>
      <c r="D630" s="39">
        <v>46138.0</v>
      </c>
      <c r="E630" s="40">
        <v>18800.0</v>
      </c>
      <c r="F630" s="33" t="s">
        <v>241</v>
      </c>
      <c r="G630" s="33" t="s">
        <v>181</v>
      </c>
      <c r="H630" s="33" t="s">
        <v>181</v>
      </c>
      <c r="I630" s="33" t="s">
        <v>181</v>
      </c>
      <c r="J630" s="33" t="s">
        <v>181</v>
      </c>
      <c r="K630" s="33" t="s">
        <v>157</v>
      </c>
    </row>
    <row r="631" ht="15.75" customHeight="1">
      <c r="A631" s="33" t="s">
        <v>2038</v>
      </c>
      <c r="B631" s="33" t="s">
        <v>226</v>
      </c>
      <c r="C631" s="33" t="s">
        <v>247</v>
      </c>
      <c r="D631" s="39">
        <v>46022.0</v>
      </c>
      <c r="E631" s="40">
        <v>49800.0</v>
      </c>
      <c r="F631" s="33" t="s">
        <v>241</v>
      </c>
      <c r="G631" s="33" t="s">
        <v>181</v>
      </c>
      <c r="H631" s="33" t="s">
        <v>181</v>
      </c>
      <c r="I631" s="33" t="s">
        <v>181</v>
      </c>
      <c r="J631" s="33" t="s">
        <v>181</v>
      </c>
      <c r="K631" s="33" t="s">
        <v>157</v>
      </c>
    </row>
    <row r="632" ht="15.75" customHeight="1">
      <c r="A632" s="33" t="s">
        <v>3737</v>
      </c>
      <c r="B632" s="33" t="s">
        <v>521</v>
      </c>
      <c r="C632" s="33" t="s">
        <v>247</v>
      </c>
      <c r="D632" s="39">
        <v>46049.0</v>
      </c>
      <c r="E632" s="40">
        <v>45100.0</v>
      </c>
      <c r="F632" s="33" t="s">
        <v>241</v>
      </c>
      <c r="G632" s="33" t="s">
        <v>181</v>
      </c>
      <c r="H632" s="33" t="s">
        <v>189</v>
      </c>
      <c r="I632" s="33" t="s">
        <v>189</v>
      </c>
      <c r="J632" s="33" t="s">
        <v>189</v>
      </c>
      <c r="K632" s="33" t="s">
        <v>262</v>
      </c>
    </row>
    <row r="633" ht="15.75" customHeight="1">
      <c r="A633" s="33" t="s">
        <v>2043</v>
      </c>
      <c r="B633" s="33" t="s">
        <v>1749</v>
      </c>
      <c r="C633" s="33" t="s">
        <v>247</v>
      </c>
      <c r="D633" s="39">
        <v>45816.0</v>
      </c>
      <c r="E633" s="40">
        <v>36200.0</v>
      </c>
      <c r="F633" s="33" t="s">
        <v>269</v>
      </c>
      <c r="G633" s="33" t="s">
        <v>181</v>
      </c>
      <c r="H633" s="33" t="s">
        <v>181</v>
      </c>
      <c r="I633" s="33" t="s">
        <v>181</v>
      </c>
      <c r="J633" s="33" t="s">
        <v>181</v>
      </c>
      <c r="K633" s="33" t="s">
        <v>157</v>
      </c>
    </row>
    <row r="634" ht="15.75" customHeight="1">
      <c r="A634" s="33" t="s">
        <v>3743</v>
      </c>
      <c r="B634" s="33" t="s">
        <v>2087</v>
      </c>
      <c r="C634" s="33" t="s">
        <v>247</v>
      </c>
      <c r="D634" s="39">
        <v>45675.0</v>
      </c>
      <c r="E634" s="40">
        <v>19700.0</v>
      </c>
      <c r="F634" s="33" t="s">
        <v>230</v>
      </c>
      <c r="G634" s="33" t="s">
        <v>189</v>
      </c>
      <c r="H634" s="33" t="s">
        <v>189</v>
      </c>
      <c r="I634" s="33" t="s">
        <v>189</v>
      </c>
      <c r="J634" s="33" t="s">
        <v>189</v>
      </c>
      <c r="K634" s="33" t="s">
        <v>252</v>
      </c>
    </row>
    <row r="635" ht="15.75" customHeight="1">
      <c r="A635" s="33" t="s">
        <v>2046</v>
      </c>
      <c r="B635" s="33" t="s">
        <v>524</v>
      </c>
      <c r="C635" s="33" t="s">
        <v>247</v>
      </c>
      <c r="D635" s="39">
        <v>46225.0</v>
      </c>
      <c r="E635" s="40">
        <v>27300.0</v>
      </c>
      <c r="F635" s="33" t="s">
        <v>241</v>
      </c>
      <c r="G635" s="33" t="s">
        <v>181</v>
      </c>
      <c r="H635" s="33" t="s">
        <v>181</v>
      </c>
      <c r="I635" s="33" t="s">
        <v>181</v>
      </c>
      <c r="J635" s="33" t="s">
        <v>181</v>
      </c>
      <c r="K635" s="33" t="s">
        <v>157</v>
      </c>
    </row>
    <row r="636" ht="15.75" customHeight="1">
      <c r="A636" s="33" t="s">
        <v>2052</v>
      </c>
      <c r="B636" s="33" t="s">
        <v>2051</v>
      </c>
      <c r="C636" s="33" t="s">
        <v>247</v>
      </c>
      <c r="D636" s="39">
        <v>46212.0</v>
      </c>
      <c r="E636" s="40">
        <v>36300.0</v>
      </c>
      <c r="F636" s="33" t="s">
        <v>248</v>
      </c>
      <c r="G636" s="33" t="s">
        <v>181</v>
      </c>
      <c r="H636" s="33" t="s">
        <v>181</v>
      </c>
      <c r="I636" s="33" t="s">
        <v>181</v>
      </c>
      <c r="J636" s="33" t="s">
        <v>181</v>
      </c>
      <c r="K636" s="33" t="s">
        <v>157</v>
      </c>
    </row>
    <row r="637" ht="15.75" customHeight="1">
      <c r="A637" s="33" t="s">
        <v>2057</v>
      </c>
      <c r="B637" s="33" t="s">
        <v>2009</v>
      </c>
      <c r="C637" s="33" t="s">
        <v>227</v>
      </c>
      <c r="D637" s="39">
        <v>46226.0</v>
      </c>
      <c r="E637" s="40">
        <v>34600.0</v>
      </c>
      <c r="F637" s="33" t="s">
        <v>248</v>
      </c>
      <c r="G637" s="33" t="s">
        <v>181</v>
      </c>
      <c r="H637" s="33" t="s">
        <v>181</v>
      </c>
      <c r="I637" s="33" t="s">
        <v>181</v>
      </c>
      <c r="J637" s="33" t="s">
        <v>181</v>
      </c>
      <c r="K637" s="33" t="s">
        <v>157</v>
      </c>
    </row>
    <row r="638" ht="15.75" customHeight="1">
      <c r="A638" s="33" t="s">
        <v>2061</v>
      </c>
      <c r="B638" s="33" t="s">
        <v>1179</v>
      </c>
      <c r="C638" s="33" t="s">
        <v>227</v>
      </c>
      <c r="D638" s="39">
        <v>45684.0</v>
      </c>
      <c r="E638" s="40">
        <v>15100.0</v>
      </c>
      <c r="F638" s="33" t="s">
        <v>230</v>
      </c>
      <c r="G638" s="33" t="s">
        <v>181</v>
      </c>
      <c r="H638" s="33" t="s">
        <v>181</v>
      </c>
      <c r="I638" s="33" t="s">
        <v>181</v>
      </c>
      <c r="J638" s="33" t="s">
        <v>181</v>
      </c>
      <c r="K638" s="33" t="s">
        <v>157</v>
      </c>
    </row>
    <row r="639" ht="15.75" customHeight="1">
      <c r="A639" s="33" t="s">
        <v>3758</v>
      </c>
      <c r="B639" s="33" t="s">
        <v>3014</v>
      </c>
      <c r="C639" s="33" t="s">
        <v>247</v>
      </c>
      <c r="D639" s="39">
        <v>46065.0</v>
      </c>
      <c r="E639" s="40">
        <v>28300.0</v>
      </c>
      <c r="F639" s="33" t="s">
        <v>269</v>
      </c>
      <c r="G639" s="33" t="s">
        <v>189</v>
      </c>
      <c r="H639" s="33" t="s">
        <v>189</v>
      </c>
      <c r="I639" s="33" t="s">
        <v>189</v>
      </c>
      <c r="J639" s="33" t="s">
        <v>189</v>
      </c>
      <c r="K639" s="33" t="s">
        <v>252</v>
      </c>
    </row>
    <row r="640" ht="15.75" customHeight="1">
      <c r="A640" s="33" t="s">
        <v>3762</v>
      </c>
      <c r="B640" s="33" t="s">
        <v>1544</v>
      </c>
      <c r="C640" s="33" t="s">
        <v>247</v>
      </c>
      <c r="D640" s="39">
        <v>45810.0</v>
      </c>
      <c r="E640" s="40">
        <v>41900.0</v>
      </c>
      <c r="F640" s="33" t="s">
        <v>241</v>
      </c>
      <c r="G640" s="33" t="s">
        <v>189</v>
      </c>
      <c r="H640" s="33" t="s">
        <v>189</v>
      </c>
      <c r="I640" s="33" t="s">
        <v>189</v>
      </c>
      <c r="J640" s="33" t="s">
        <v>189</v>
      </c>
      <c r="K640" s="33" t="s">
        <v>252</v>
      </c>
    </row>
    <row r="641" ht="15.75" customHeight="1">
      <c r="A641" s="33" t="s">
        <v>2068</v>
      </c>
      <c r="B641" s="33" t="s">
        <v>1099</v>
      </c>
      <c r="C641" s="33" t="s">
        <v>247</v>
      </c>
      <c r="D641" s="39">
        <v>45852.0</v>
      </c>
      <c r="E641" s="40">
        <v>24300.0</v>
      </c>
      <c r="F641" s="33" t="s">
        <v>248</v>
      </c>
      <c r="G641" s="33" t="s">
        <v>181</v>
      </c>
      <c r="H641" s="33" t="s">
        <v>181</v>
      </c>
      <c r="I641" s="33" t="s">
        <v>181</v>
      </c>
      <c r="J641" s="33" t="s">
        <v>181</v>
      </c>
      <c r="K641" s="33" t="s">
        <v>157</v>
      </c>
    </row>
    <row r="642" ht="15.75" customHeight="1">
      <c r="A642" s="33" t="s">
        <v>3768</v>
      </c>
      <c r="B642" s="33" t="s">
        <v>2040</v>
      </c>
      <c r="C642" s="33" t="s">
        <v>227</v>
      </c>
      <c r="D642" s="39">
        <v>45908.0</v>
      </c>
      <c r="E642" s="40">
        <v>28700.0</v>
      </c>
      <c r="F642" s="33" t="s">
        <v>269</v>
      </c>
      <c r="G642" s="33" t="s">
        <v>181</v>
      </c>
      <c r="H642" s="33" t="s">
        <v>181</v>
      </c>
      <c r="I642" s="33" t="s">
        <v>181</v>
      </c>
      <c r="J642" s="33" t="s">
        <v>189</v>
      </c>
      <c r="K642" s="33" t="s">
        <v>365</v>
      </c>
    </row>
    <row r="643" ht="15.75" customHeight="1">
      <c r="A643" s="33" t="s">
        <v>2071</v>
      </c>
      <c r="B643" s="33" t="s">
        <v>620</v>
      </c>
      <c r="C643" s="33" t="s">
        <v>247</v>
      </c>
      <c r="D643" s="39">
        <v>45799.0</v>
      </c>
      <c r="E643" s="40">
        <v>17000.0</v>
      </c>
      <c r="F643" s="33" t="s">
        <v>241</v>
      </c>
      <c r="G643" s="33" t="s">
        <v>181</v>
      </c>
      <c r="H643" s="33" t="s">
        <v>181</v>
      </c>
      <c r="I643" s="33" t="s">
        <v>181</v>
      </c>
      <c r="J643" s="33" t="s">
        <v>181</v>
      </c>
      <c r="K643" s="33" t="s">
        <v>157</v>
      </c>
    </row>
    <row r="644" ht="15.75" customHeight="1">
      <c r="A644" s="33" t="s">
        <v>2076</v>
      </c>
      <c r="B644" s="33" t="s">
        <v>2075</v>
      </c>
      <c r="C644" s="33" t="s">
        <v>235</v>
      </c>
      <c r="D644" s="39">
        <v>46019.0</v>
      </c>
      <c r="E644" s="40">
        <v>8800.0</v>
      </c>
      <c r="F644" s="33" t="s">
        <v>241</v>
      </c>
      <c r="G644" s="33" t="s">
        <v>181</v>
      </c>
      <c r="H644" s="33" t="s">
        <v>181</v>
      </c>
      <c r="I644" s="33" t="s">
        <v>181</v>
      </c>
      <c r="J644" s="33" t="s">
        <v>181</v>
      </c>
      <c r="K644" s="33" t="s">
        <v>157</v>
      </c>
    </row>
    <row r="645" ht="15.75" customHeight="1">
      <c r="A645" s="33" t="s">
        <v>3778</v>
      </c>
      <c r="B645" s="33" t="s">
        <v>2303</v>
      </c>
      <c r="C645" s="33" t="s">
        <v>227</v>
      </c>
      <c r="D645" s="39">
        <v>46019.0</v>
      </c>
      <c r="E645" s="40">
        <v>4200.0</v>
      </c>
      <c r="F645" s="33" t="s">
        <v>230</v>
      </c>
      <c r="G645" s="33" t="s">
        <v>189</v>
      </c>
      <c r="H645" s="33" t="s">
        <v>189</v>
      </c>
      <c r="I645" s="33" t="s">
        <v>189</v>
      </c>
      <c r="J645" s="33" t="s">
        <v>189</v>
      </c>
      <c r="K645" s="33" t="s">
        <v>252</v>
      </c>
    </row>
    <row r="646" ht="15.75" customHeight="1">
      <c r="A646" s="33" t="s">
        <v>3782</v>
      </c>
      <c r="B646" s="33" t="s">
        <v>2009</v>
      </c>
      <c r="C646" s="33" t="s">
        <v>247</v>
      </c>
      <c r="D646" s="39">
        <v>46221.0</v>
      </c>
      <c r="E646" s="40">
        <v>20900.0</v>
      </c>
      <c r="F646" s="33" t="s">
        <v>230</v>
      </c>
      <c r="G646" s="33" t="s">
        <v>181</v>
      </c>
      <c r="H646" s="33" t="s">
        <v>189</v>
      </c>
      <c r="I646" s="33" t="s">
        <v>189</v>
      </c>
      <c r="J646" s="33" t="s">
        <v>189</v>
      </c>
      <c r="K646" s="33" t="s">
        <v>262</v>
      </c>
    </row>
    <row r="647" ht="15.75" customHeight="1">
      <c r="A647" s="33" t="s">
        <v>3786</v>
      </c>
      <c r="B647" s="33" t="s">
        <v>819</v>
      </c>
      <c r="C647" s="33" t="s">
        <v>227</v>
      </c>
      <c r="D647" s="39">
        <v>46163.0</v>
      </c>
      <c r="E647" s="40">
        <v>32000.0</v>
      </c>
      <c r="F647" s="33" t="s">
        <v>248</v>
      </c>
      <c r="G647" s="33" t="s">
        <v>181</v>
      </c>
      <c r="H647" s="33" t="s">
        <v>189</v>
      </c>
      <c r="I647" s="33" t="s">
        <v>189</v>
      </c>
      <c r="J647" s="33" t="s">
        <v>189</v>
      </c>
      <c r="K647" s="33" t="s">
        <v>262</v>
      </c>
    </row>
    <row r="648" ht="15.75" customHeight="1">
      <c r="A648" s="33" t="s">
        <v>3790</v>
      </c>
      <c r="B648" s="33" t="s">
        <v>1802</v>
      </c>
      <c r="C648" s="33" t="s">
        <v>247</v>
      </c>
      <c r="D648" s="39">
        <v>46084.0</v>
      </c>
      <c r="E648" s="40">
        <v>38200.0</v>
      </c>
      <c r="F648" s="33" t="s">
        <v>241</v>
      </c>
      <c r="G648" s="33" t="s">
        <v>181</v>
      </c>
      <c r="H648" s="33" t="s">
        <v>181</v>
      </c>
      <c r="I648" s="33" t="s">
        <v>181</v>
      </c>
      <c r="J648" s="33" t="s">
        <v>189</v>
      </c>
      <c r="K648" s="33" t="s">
        <v>365</v>
      </c>
    </row>
    <row r="649" ht="15.75" customHeight="1">
      <c r="A649" s="33" t="s">
        <v>2082</v>
      </c>
      <c r="B649" s="33" t="s">
        <v>1006</v>
      </c>
      <c r="C649" s="33" t="s">
        <v>227</v>
      </c>
      <c r="D649" s="39">
        <v>46244.0</v>
      </c>
      <c r="E649" s="40">
        <v>5100.0</v>
      </c>
      <c r="F649" s="33" t="s">
        <v>248</v>
      </c>
      <c r="G649" s="33" t="s">
        <v>181</v>
      </c>
      <c r="H649" s="33" t="s">
        <v>181</v>
      </c>
      <c r="I649" s="33" t="s">
        <v>181</v>
      </c>
      <c r="J649" s="33" t="s">
        <v>181</v>
      </c>
      <c r="K649" s="33" t="s">
        <v>157</v>
      </c>
    </row>
    <row r="650" ht="15.75" customHeight="1">
      <c r="A650" s="33" t="s">
        <v>3797</v>
      </c>
      <c r="B650" s="33" t="s">
        <v>1530</v>
      </c>
      <c r="C650" s="33" t="s">
        <v>247</v>
      </c>
      <c r="D650" s="39">
        <v>45917.0</v>
      </c>
      <c r="E650" s="40">
        <v>16600.0</v>
      </c>
      <c r="F650" s="33" t="s">
        <v>230</v>
      </c>
      <c r="G650" s="33" t="s">
        <v>189</v>
      </c>
      <c r="H650" s="33" t="s">
        <v>189</v>
      </c>
      <c r="I650" s="33" t="s">
        <v>189</v>
      </c>
      <c r="J650" s="33" t="s">
        <v>189</v>
      </c>
      <c r="K650" s="33" t="s">
        <v>252</v>
      </c>
    </row>
    <row r="651" ht="15.75" customHeight="1">
      <c r="A651" s="33" t="s">
        <v>3801</v>
      </c>
      <c r="B651" s="33" t="s">
        <v>303</v>
      </c>
      <c r="C651" s="33" t="s">
        <v>227</v>
      </c>
      <c r="D651" s="39">
        <v>45699.0</v>
      </c>
      <c r="E651" s="40">
        <v>40600.0</v>
      </c>
      <c r="F651" s="33" t="s">
        <v>230</v>
      </c>
      <c r="G651" s="33" t="s">
        <v>181</v>
      </c>
      <c r="H651" s="33" t="s">
        <v>189</v>
      </c>
      <c r="I651" s="33" t="s">
        <v>189</v>
      </c>
      <c r="J651" s="33" t="s">
        <v>189</v>
      </c>
      <c r="K651" s="33" t="s">
        <v>262</v>
      </c>
    </row>
    <row r="652" ht="15.75" customHeight="1">
      <c r="A652" s="33" t="s">
        <v>3805</v>
      </c>
      <c r="B652" s="33" t="s">
        <v>2205</v>
      </c>
      <c r="C652" s="33" t="s">
        <v>227</v>
      </c>
      <c r="D652" s="39">
        <v>46191.0</v>
      </c>
      <c r="E652" s="40">
        <v>6500.0</v>
      </c>
      <c r="F652" s="33" t="s">
        <v>230</v>
      </c>
      <c r="G652" s="33" t="s">
        <v>181</v>
      </c>
      <c r="H652" s="33" t="s">
        <v>189</v>
      </c>
      <c r="I652" s="33" t="s">
        <v>189</v>
      </c>
      <c r="J652" s="33" t="s">
        <v>189</v>
      </c>
      <c r="K652" s="33" t="s">
        <v>262</v>
      </c>
    </row>
    <row r="653" ht="15.75" customHeight="1">
      <c r="A653" s="33" t="s">
        <v>3809</v>
      </c>
      <c r="B653" s="33" t="s">
        <v>1906</v>
      </c>
      <c r="C653" s="33" t="s">
        <v>227</v>
      </c>
      <c r="D653" s="39">
        <v>45860.0</v>
      </c>
      <c r="E653" s="40">
        <v>49700.0</v>
      </c>
      <c r="F653" s="33" t="s">
        <v>241</v>
      </c>
      <c r="G653" s="33" t="s">
        <v>181</v>
      </c>
      <c r="H653" s="33" t="s">
        <v>189</v>
      </c>
      <c r="I653" s="33" t="s">
        <v>189</v>
      </c>
      <c r="J653" s="33" t="s">
        <v>189</v>
      </c>
      <c r="K653" s="33" t="s">
        <v>262</v>
      </c>
    </row>
    <row r="654" ht="15.75" customHeight="1">
      <c r="A654" s="33" t="s">
        <v>2090</v>
      </c>
      <c r="B654" s="33" t="s">
        <v>1774</v>
      </c>
      <c r="C654" s="33" t="s">
        <v>227</v>
      </c>
      <c r="D654" s="39">
        <v>45928.0</v>
      </c>
      <c r="E654" s="40">
        <v>32000.0</v>
      </c>
      <c r="F654" s="33" t="s">
        <v>230</v>
      </c>
      <c r="G654" s="33" t="s">
        <v>181</v>
      </c>
      <c r="H654" s="33" t="s">
        <v>181</v>
      </c>
      <c r="I654" s="33" t="s">
        <v>181</v>
      </c>
      <c r="J654" s="33" t="s">
        <v>181</v>
      </c>
      <c r="K654" s="33" t="s">
        <v>157</v>
      </c>
    </row>
    <row r="655" ht="15.75" customHeight="1">
      <c r="A655" s="33" t="s">
        <v>3817</v>
      </c>
      <c r="B655" s="33" t="s">
        <v>1541</v>
      </c>
      <c r="C655" s="33" t="s">
        <v>235</v>
      </c>
      <c r="D655" s="39">
        <v>45895.0</v>
      </c>
      <c r="E655" s="40">
        <v>47100.0</v>
      </c>
      <c r="F655" s="33" t="s">
        <v>230</v>
      </c>
      <c r="G655" s="33" t="s">
        <v>181</v>
      </c>
      <c r="H655" s="33" t="s">
        <v>189</v>
      </c>
      <c r="I655" s="33" t="s">
        <v>189</v>
      </c>
      <c r="J655" s="33" t="s">
        <v>189</v>
      </c>
      <c r="K655" s="33" t="s">
        <v>262</v>
      </c>
    </row>
    <row r="656" ht="15.75" customHeight="1">
      <c r="A656" s="33" t="s">
        <v>2097</v>
      </c>
      <c r="B656" s="33" t="s">
        <v>953</v>
      </c>
      <c r="C656" s="33" t="s">
        <v>227</v>
      </c>
      <c r="D656" s="39">
        <v>46211.0</v>
      </c>
      <c r="E656" s="40">
        <v>36800.0</v>
      </c>
      <c r="F656" s="33" t="s">
        <v>248</v>
      </c>
      <c r="G656" s="33" t="s">
        <v>181</v>
      </c>
      <c r="H656" s="33" t="s">
        <v>181</v>
      </c>
      <c r="I656" s="33" t="s">
        <v>181</v>
      </c>
      <c r="J656" s="33" t="s">
        <v>181</v>
      </c>
      <c r="K656" s="33" t="s">
        <v>157</v>
      </c>
    </row>
    <row r="657" ht="15.75" customHeight="1">
      <c r="A657" s="33" t="s">
        <v>2102</v>
      </c>
      <c r="B657" s="33" t="s">
        <v>1654</v>
      </c>
      <c r="C657" s="33" t="s">
        <v>227</v>
      </c>
      <c r="D657" s="39">
        <v>45881.0</v>
      </c>
      <c r="E657" s="40">
        <v>48200.0</v>
      </c>
      <c r="F657" s="33" t="s">
        <v>230</v>
      </c>
      <c r="G657" s="33" t="s">
        <v>181</v>
      </c>
      <c r="H657" s="33" t="s">
        <v>181</v>
      </c>
      <c r="I657" s="33" t="s">
        <v>181</v>
      </c>
      <c r="J657" s="33" t="s">
        <v>181</v>
      </c>
      <c r="K657" s="33" t="s">
        <v>157</v>
      </c>
    </row>
    <row r="658" ht="15.75" customHeight="1">
      <c r="A658" s="33" t="s">
        <v>2108</v>
      </c>
      <c r="B658" s="33" t="s">
        <v>1581</v>
      </c>
      <c r="C658" s="33" t="s">
        <v>235</v>
      </c>
      <c r="D658" s="39">
        <v>46073.0</v>
      </c>
      <c r="E658" s="40">
        <v>33600.0</v>
      </c>
      <c r="F658" s="33" t="s">
        <v>248</v>
      </c>
      <c r="G658" s="33" t="s">
        <v>181</v>
      </c>
      <c r="H658" s="33" t="s">
        <v>181</v>
      </c>
      <c r="I658" s="33" t="s">
        <v>181</v>
      </c>
      <c r="J658" s="33" t="s">
        <v>181</v>
      </c>
      <c r="K658" s="33" t="s">
        <v>157</v>
      </c>
    </row>
    <row r="659" ht="15.75" customHeight="1">
      <c r="A659" s="33" t="s">
        <v>2113</v>
      </c>
      <c r="B659" s="33" t="s">
        <v>1463</v>
      </c>
      <c r="C659" s="33" t="s">
        <v>227</v>
      </c>
      <c r="D659" s="39">
        <v>46063.0</v>
      </c>
      <c r="E659" s="40">
        <v>14100.0</v>
      </c>
      <c r="F659" s="33" t="s">
        <v>248</v>
      </c>
      <c r="G659" s="33" t="s">
        <v>181</v>
      </c>
      <c r="H659" s="33" t="s">
        <v>181</v>
      </c>
      <c r="I659" s="33" t="s">
        <v>181</v>
      </c>
      <c r="J659" s="33" t="s">
        <v>181</v>
      </c>
      <c r="K659" s="33" t="s">
        <v>157</v>
      </c>
    </row>
    <row r="660" ht="15.75" customHeight="1">
      <c r="A660" s="33" t="s">
        <v>3831</v>
      </c>
      <c r="B660" s="33" t="s">
        <v>311</v>
      </c>
      <c r="C660" s="33" t="s">
        <v>247</v>
      </c>
      <c r="D660" s="39">
        <v>45995.0</v>
      </c>
      <c r="E660" s="40">
        <v>40200.0</v>
      </c>
      <c r="F660" s="33" t="s">
        <v>230</v>
      </c>
      <c r="G660" s="33" t="s">
        <v>189</v>
      </c>
      <c r="H660" s="33" t="s">
        <v>189</v>
      </c>
      <c r="I660" s="33" t="s">
        <v>189</v>
      </c>
      <c r="J660" s="33" t="s">
        <v>189</v>
      </c>
      <c r="K660" s="33" t="s">
        <v>252</v>
      </c>
    </row>
    <row r="661" ht="15.75" customHeight="1">
      <c r="A661" s="33" t="s">
        <v>2119</v>
      </c>
      <c r="B661" s="33" t="s">
        <v>2116</v>
      </c>
      <c r="C661" s="33" t="s">
        <v>227</v>
      </c>
      <c r="D661" s="39">
        <v>45990.0</v>
      </c>
      <c r="E661" s="40">
        <v>12100.0</v>
      </c>
      <c r="F661" s="33" t="s">
        <v>230</v>
      </c>
      <c r="G661" s="33" t="s">
        <v>181</v>
      </c>
      <c r="H661" s="33" t="s">
        <v>181</v>
      </c>
      <c r="I661" s="33" t="s">
        <v>181</v>
      </c>
      <c r="J661" s="33" t="s">
        <v>181</v>
      </c>
      <c r="K661" s="33" t="s">
        <v>157</v>
      </c>
    </row>
    <row r="662" ht="15.75" customHeight="1">
      <c r="A662" s="33" t="s">
        <v>2124</v>
      </c>
      <c r="B662" s="33" t="s">
        <v>2123</v>
      </c>
      <c r="C662" s="33" t="s">
        <v>235</v>
      </c>
      <c r="D662" s="39">
        <v>45701.0</v>
      </c>
      <c r="E662" s="40">
        <v>28700.0</v>
      </c>
      <c r="F662" s="33" t="s">
        <v>269</v>
      </c>
      <c r="G662" s="33" t="s">
        <v>181</v>
      </c>
      <c r="H662" s="33" t="s">
        <v>181</v>
      </c>
      <c r="I662" s="33" t="s">
        <v>181</v>
      </c>
      <c r="J662" s="33" t="s">
        <v>181</v>
      </c>
      <c r="K662" s="33" t="s">
        <v>157</v>
      </c>
    </row>
    <row r="663" ht="15.75" customHeight="1">
      <c r="A663" s="33" t="s">
        <v>3840</v>
      </c>
      <c r="B663" s="33" t="s">
        <v>1085</v>
      </c>
      <c r="C663" s="33" t="s">
        <v>247</v>
      </c>
      <c r="D663" s="39">
        <v>46199.0</v>
      </c>
      <c r="E663" s="40">
        <v>19300.0</v>
      </c>
      <c r="F663" s="33" t="s">
        <v>248</v>
      </c>
      <c r="G663" s="33" t="s">
        <v>181</v>
      </c>
      <c r="H663" s="33" t="s">
        <v>181</v>
      </c>
      <c r="I663" s="33" t="s">
        <v>181</v>
      </c>
      <c r="J663" s="33" t="s">
        <v>189</v>
      </c>
      <c r="K663" s="33" t="s">
        <v>365</v>
      </c>
    </row>
    <row r="664" ht="15.75" customHeight="1">
      <c r="A664" s="33" t="s">
        <v>3844</v>
      </c>
      <c r="B664" s="33" t="s">
        <v>296</v>
      </c>
      <c r="C664" s="33" t="s">
        <v>227</v>
      </c>
      <c r="D664" s="39">
        <v>45860.0</v>
      </c>
      <c r="E664" s="40">
        <v>40200.0</v>
      </c>
      <c r="F664" s="33" t="s">
        <v>248</v>
      </c>
      <c r="G664" s="33" t="s">
        <v>189</v>
      </c>
      <c r="H664" s="33" t="s">
        <v>189</v>
      </c>
      <c r="I664" s="33" t="s">
        <v>189</v>
      </c>
      <c r="J664" s="33" t="s">
        <v>189</v>
      </c>
      <c r="K664" s="33" t="s">
        <v>252</v>
      </c>
    </row>
    <row r="665" ht="15.75" customHeight="1">
      <c r="A665" s="33" t="s">
        <v>2127</v>
      </c>
      <c r="B665" s="33" t="s">
        <v>2088</v>
      </c>
      <c r="C665" s="33" t="s">
        <v>247</v>
      </c>
      <c r="D665" s="39">
        <v>45793.0</v>
      </c>
      <c r="E665" s="40">
        <v>38200.0</v>
      </c>
      <c r="F665" s="33" t="s">
        <v>241</v>
      </c>
      <c r="G665" s="33" t="s">
        <v>181</v>
      </c>
      <c r="H665" s="33" t="s">
        <v>181</v>
      </c>
      <c r="I665" s="33" t="s">
        <v>181</v>
      </c>
      <c r="J665" s="33" t="s">
        <v>181</v>
      </c>
      <c r="K665" s="33" t="s">
        <v>157</v>
      </c>
    </row>
    <row r="666" ht="15.75" customHeight="1">
      <c r="A666" s="33" t="s">
        <v>2133</v>
      </c>
      <c r="B666" s="33" t="s">
        <v>2131</v>
      </c>
      <c r="C666" s="33" t="s">
        <v>227</v>
      </c>
      <c r="D666" s="39">
        <v>45791.0</v>
      </c>
      <c r="E666" s="40">
        <v>43300.0</v>
      </c>
      <c r="F666" s="33" t="s">
        <v>248</v>
      </c>
      <c r="G666" s="33" t="s">
        <v>181</v>
      </c>
      <c r="H666" s="33" t="s">
        <v>181</v>
      </c>
      <c r="I666" s="33" t="s">
        <v>181</v>
      </c>
      <c r="J666" s="33" t="s">
        <v>181</v>
      </c>
      <c r="K666" s="33" t="s">
        <v>157</v>
      </c>
    </row>
    <row r="667" ht="15.75" customHeight="1">
      <c r="A667" s="33" t="s">
        <v>2135</v>
      </c>
      <c r="B667" s="33" t="s">
        <v>1103</v>
      </c>
      <c r="C667" s="33" t="s">
        <v>227</v>
      </c>
      <c r="D667" s="39">
        <v>45900.0</v>
      </c>
      <c r="E667" s="40">
        <v>13100.0</v>
      </c>
      <c r="F667" s="33" t="s">
        <v>241</v>
      </c>
      <c r="G667" s="33" t="s">
        <v>181</v>
      </c>
      <c r="H667" s="33" t="s">
        <v>181</v>
      </c>
      <c r="I667" s="33" t="s">
        <v>181</v>
      </c>
      <c r="J667" s="33" t="s">
        <v>181</v>
      </c>
      <c r="K667" s="33" t="s">
        <v>157</v>
      </c>
    </row>
    <row r="668" ht="15.75" customHeight="1">
      <c r="A668" s="33" t="s">
        <v>2140</v>
      </c>
      <c r="B668" s="33" t="s">
        <v>740</v>
      </c>
      <c r="C668" s="33" t="s">
        <v>247</v>
      </c>
      <c r="D668" s="39">
        <v>46036.0</v>
      </c>
      <c r="E668" s="40">
        <v>49900.0</v>
      </c>
      <c r="F668" s="33" t="s">
        <v>241</v>
      </c>
      <c r="G668" s="33" t="s">
        <v>181</v>
      </c>
      <c r="H668" s="33" t="s">
        <v>181</v>
      </c>
      <c r="I668" s="33" t="s">
        <v>181</v>
      </c>
      <c r="J668" s="33" t="s">
        <v>181</v>
      </c>
      <c r="K668" s="33" t="s">
        <v>157</v>
      </c>
    </row>
    <row r="669" ht="15.75" customHeight="1">
      <c r="A669" s="33" t="s">
        <v>3862</v>
      </c>
      <c r="B669" s="33" t="s">
        <v>1610</v>
      </c>
      <c r="C669" s="33" t="s">
        <v>247</v>
      </c>
      <c r="D669" s="39">
        <v>45986.0</v>
      </c>
      <c r="E669" s="40">
        <v>40500.0</v>
      </c>
      <c r="F669" s="33" t="s">
        <v>241</v>
      </c>
      <c r="G669" s="33" t="s">
        <v>181</v>
      </c>
      <c r="H669" s="33" t="s">
        <v>189</v>
      </c>
      <c r="I669" s="33" t="s">
        <v>189</v>
      </c>
      <c r="J669" s="33" t="s">
        <v>189</v>
      </c>
      <c r="K669" s="33" t="s">
        <v>262</v>
      </c>
    </row>
    <row r="670" ht="15.75" customHeight="1">
      <c r="A670" s="33" t="s">
        <v>2146</v>
      </c>
      <c r="B670" s="33" t="s">
        <v>697</v>
      </c>
      <c r="C670" s="33" t="s">
        <v>247</v>
      </c>
      <c r="D670" s="39">
        <v>46164.0</v>
      </c>
      <c r="E670" s="40">
        <v>19900.0</v>
      </c>
      <c r="F670" s="33" t="s">
        <v>230</v>
      </c>
      <c r="G670" s="33" t="s">
        <v>181</v>
      </c>
      <c r="H670" s="33" t="s">
        <v>181</v>
      </c>
      <c r="I670" s="33" t="s">
        <v>181</v>
      </c>
      <c r="J670" s="33" t="s">
        <v>181</v>
      </c>
      <c r="K670" s="33" t="s">
        <v>157</v>
      </c>
    </row>
    <row r="671" ht="15.75" customHeight="1">
      <c r="A671" s="33" t="s">
        <v>3869</v>
      </c>
      <c r="B671" s="33" t="s">
        <v>1207</v>
      </c>
      <c r="C671" s="33" t="s">
        <v>227</v>
      </c>
      <c r="D671" s="39">
        <v>46153.0</v>
      </c>
      <c r="E671" s="40">
        <v>7300.0</v>
      </c>
      <c r="F671" s="33" t="s">
        <v>248</v>
      </c>
      <c r="G671" s="33" t="s">
        <v>181</v>
      </c>
      <c r="H671" s="33" t="s">
        <v>189</v>
      </c>
      <c r="I671" s="33" t="s">
        <v>189</v>
      </c>
      <c r="J671" s="33" t="s">
        <v>189</v>
      </c>
      <c r="K671" s="33" t="s">
        <v>262</v>
      </c>
    </row>
    <row r="672" ht="15.75" customHeight="1">
      <c r="A672" s="33" t="s">
        <v>3873</v>
      </c>
      <c r="B672" s="33" t="s">
        <v>352</v>
      </c>
      <c r="C672" s="33" t="s">
        <v>247</v>
      </c>
      <c r="D672" s="39">
        <v>45861.0</v>
      </c>
      <c r="E672" s="40">
        <v>18100.0</v>
      </c>
      <c r="F672" s="33" t="s">
        <v>269</v>
      </c>
      <c r="G672" s="33" t="s">
        <v>181</v>
      </c>
      <c r="H672" s="33" t="s">
        <v>189</v>
      </c>
      <c r="I672" s="33" t="s">
        <v>189</v>
      </c>
      <c r="J672" s="33" t="s">
        <v>189</v>
      </c>
      <c r="K672" s="33" t="s">
        <v>262</v>
      </c>
    </row>
    <row r="673" ht="15.75" customHeight="1">
      <c r="A673" s="33" t="s">
        <v>3875</v>
      </c>
      <c r="B673" s="33" t="s">
        <v>322</v>
      </c>
      <c r="C673" s="33" t="s">
        <v>227</v>
      </c>
      <c r="D673" s="39">
        <v>46157.0</v>
      </c>
      <c r="E673" s="40">
        <v>6200.0</v>
      </c>
      <c r="F673" s="33" t="s">
        <v>241</v>
      </c>
      <c r="G673" s="33" t="s">
        <v>189</v>
      </c>
      <c r="H673" s="33" t="s">
        <v>189</v>
      </c>
      <c r="I673" s="33" t="s">
        <v>189</v>
      </c>
      <c r="J673" s="33" t="s">
        <v>189</v>
      </c>
      <c r="K673" s="33" t="s">
        <v>252</v>
      </c>
    </row>
    <row r="674" ht="15.75" customHeight="1">
      <c r="A674" s="33" t="s">
        <v>2151</v>
      </c>
      <c r="B674" s="33" t="s">
        <v>1444</v>
      </c>
      <c r="C674" s="33" t="s">
        <v>247</v>
      </c>
      <c r="D674" s="39">
        <v>46071.0</v>
      </c>
      <c r="E674" s="40">
        <v>31200.0</v>
      </c>
      <c r="F674" s="33" t="s">
        <v>241</v>
      </c>
      <c r="G674" s="33" t="s">
        <v>181</v>
      </c>
      <c r="H674" s="33" t="s">
        <v>181</v>
      </c>
      <c r="I674" s="33" t="s">
        <v>181</v>
      </c>
      <c r="J674" s="33" t="s">
        <v>181</v>
      </c>
      <c r="K674" s="33" t="s">
        <v>157</v>
      </c>
    </row>
    <row r="675" ht="15.75" customHeight="1">
      <c r="A675" s="33" t="s">
        <v>3880</v>
      </c>
      <c r="B675" s="33" t="s">
        <v>3044</v>
      </c>
      <c r="C675" s="33" t="s">
        <v>227</v>
      </c>
      <c r="D675" s="39">
        <v>46179.0</v>
      </c>
      <c r="E675" s="40">
        <v>6500.0</v>
      </c>
      <c r="F675" s="33" t="s">
        <v>248</v>
      </c>
      <c r="G675" s="33" t="s">
        <v>181</v>
      </c>
      <c r="H675" s="33" t="s">
        <v>189</v>
      </c>
      <c r="I675" s="33" t="s">
        <v>189</v>
      </c>
      <c r="J675" s="33" t="s">
        <v>189</v>
      </c>
      <c r="K675" s="33" t="s">
        <v>262</v>
      </c>
    </row>
    <row r="676" ht="15.75" customHeight="1">
      <c r="A676" s="33" t="s">
        <v>3883</v>
      </c>
      <c r="B676" s="33" t="s">
        <v>1693</v>
      </c>
      <c r="C676" s="33" t="s">
        <v>247</v>
      </c>
      <c r="D676" s="39">
        <v>45658.0</v>
      </c>
      <c r="E676" s="40">
        <v>22100.0</v>
      </c>
      <c r="F676" s="33" t="s">
        <v>230</v>
      </c>
      <c r="G676" s="33" t="s">
        <v>189</v>
      </c>
      <c r="H676" s="33" t="s">
        <v>189</v>
      </c>
      <c r="I676" s="33" t="s">
        <v>189</v>
      </c>
      <c r="J676" s="33" t="s">
        <v>189</v>
      </c>
      <c r="K676" s="33" t="s">
        <v>252</v>
      </c>
    </row>
    <row r="677" ht="15.75" customHeight="1">
      <c r="A677" s="33" t="s">
        <v>3887</v>
      </c>
      <c r="B677" s="33" t="s">
        <v>2610</v>
      </c>
      <c r="C677" s="33" t="s">
        <v>247</v>
      </c>
      <c r="D677" s="39">
        <v>45973.0</v>
      </c>
      <c r="E677" s="40">
        <v>33700.0</v>
      </c>
      <c r="F677" s="33" t="s">
        <v>241</v>
      </c>
      <c r="G677" s="33" t="s">
        <v>181</v>
      </c>
      <c r="H677" s="33" t="s">
        <v>189</v>
      </c>
      <c r="I677" s="33" t="s">
        <v>189</v>
      </c>
      <c r="J677" s="33" t="s">
        <v>189</v>
      </c>
      <c r="K677" s="33" t="s">
        <v>262</v>
      </c>
    </row>
    <row r="678" ht="15.75" customHeight="1">
      <c r="A678" s="33" t="s">
        <v>2156</v>
      </c>
      <c r="B678" s="33" t="s">
        <v>606</v>
      </c>
      <c r="C678" s="33" t="s">
        <v>247</v>
      </c>
      <c r="D678" s="39">
        <v>46037.0</v>
      </c>
      <c r="E678" s="40">
        <v>23200.0</v>
      </c>
      <c r="F678" s="33" t="s">
        <v>248</v>
      </c>
      <c r="G678" s="33" t="s">
        <v>181</v>
      </c>
      <c r="H678" s="33" t="s">
        <v>181</v>
      </c>
      <c r="I678" s="33" t="s">
        <v>181</v>
      </c>
      <c r="J678" s="33" t="s">
        <v>181</v>
      </c>
      <c r="K678" s="33" t="s">
        <v>157</v>
      </c>
    </row>
    <row r="679" ht="15.75" customHeight="1">
      <c r="A679" s="33" t="s">
        <v>2163</v>
      </c>
      <c r="B679" s="33" t="s">
        <v>2161</v>
      </c>
      <c r="C679" s="33" t="s">
        <v>247</v>
      </c>
      <c r="D679" s="39">
        <v>45804.0</v>
      </c>
      <c r="E679" s="40">
        <v>44200.0</v>
      </c>
      <c r="F679" s="33" t="s">
        <v>269</v>
      </c>
      <c r="G679" s="33" t="s">
        <v>181</v>
      </c>
      <c r="H679" s="33" t="s">
        <v>181</v>
      </c>
      <c r="I679" s="33" t="s">
        <v>181</v>
      </c>
      <c r="J679" s="33" t="s">
        <v>181</v>
      </c>
      <c r="K679" s="33" t="s">
        <v>157</v>
      </c>
    </row>
    <row r="680" ht="15.75" customHeight="1">
      <c r="A680" s="33" t="s">
        <v>2170</v>
      </c>
      <c r="B680" s="33" t="s">
        <v>2169</v>
      </c>
      <c r="C680" s="33" t="s">
        <v>247</v>
      </c>
      <c r="D680" s="39">
        <v>46055.0</v>
      </c>
      <c r="E680" s="40">
        <v>12800.0</v>
      </c>
      <c r="F680" s="33" t="s">
        <v>269</v>
      </c>
      <c r="G680" s="33" t="s">
        <v>181</v>
      </c>
      <c r="H680" s="33" t="s">
        <v>181</v>
      </c>
      <c r="I680" s="33" t="s">
        <v>181</v>
      </c>
      <c r="J680" s="33" t="s">
        <v>181</v>
      </c>
      <c r="K680" s="33" t="s">
        <v>157</v>
      </c>
    </row>
    <row r="681" ht="15.75" customHeight="1">
      <c r="A681" s="33" t="s">
        <v>3897</v>
      </c>
      <c r="B681" s="33" t="s">
        <v>1334</v>
      </c>
      <c r="C681" s="33" t="s">
        <v>235</v>
      </c>
      <c r="D681" s="39">
        <v>46098.0</v>
      </c>
      <c r="E681" s="40">
        <v>26700.0</v>
      </c>
      <c r="F681" s="33" t="s">
        <v>248</v>
      </c>
      <c r="G681" s="33" t="s">
        <v>181</v>
      </c>
      <c r="H681" s="33" t="s">
        <v>189</v>
      </c>
      <c r="I681" s="33" t="s">
        <v>189</v>
      </c>
      <c r="J681" s="33" t="s">
        <v>189</v>
      </c>
      <c r="K681" s="33" t="s">
        <v>262</v>
      </c>
    </row>
    <row r="682" ht="15.75" customHeight="1">
      <c r="A682" s="33" t="s">
        <v>3902</v>
      </c>
      <c r="B682" s="33" t="s">
        <v>931</v>
      </c>
      <c r="C682" s="33" t="s">
        <v>235</v>
      </c>
      <c r="D682" s="39">
        <v>45742.0</v>
      </c>
      <c r="E682" s="40">
        <v>45700.0</v>
      </c>
      <c r="F682" s="33" t="s">
        <v>248</v>
      </c>
      <c r="G682" s="33" t="s">
        <v>181</v>
      </c>
      <c r="H682" s="33" t="s">
        <v>189</v>
      </c>
      <c r="I682" s="33" t="s">
        <v>189</v>
      </c>
      <c r="J682" s="33" t="s">
        <v>189</v>
      </c>
      <c r="K682" s="33" t="s">
        <v>262</v>
      </c>
    </row>
    <row r="683" ht="15.75" customHeight="1">
      <c r="A683" s="33" t="s">
        <v>3904</v>
      </c>
      <c r="B683" s="33" t="s">
        <v>1216</v>
      </c>
      <c r="C683" s="33" t="s">
        <v>235</v>
      </c>
      <c r="D683" s="39">
        <v>46237.0</v>
      </c>
      <c r="E683" s="40">
        <v>18300.0</v>
      </c>
      <c r="F683" s="33" t="s">
        <v>230</v>
      </c>
      <c r="G683" s="33" t="s">
        <v>181</v>
      </c>
      <c r="H683" s="33" t="s">
        <v>181</v>
      </c>
      <c r="I683" s="33" t="s">
        <v>181</v>
      </c>
      <c r="J683" s="33" t="s">
        <v>189</v>
      </c>
      <c r="K683" s="33" t="s">
        <v>365</v>
      </c>
    </row>
    <row r="684" ht="15.75" customHeight="1">
      <c r="A684" s="33" t="s">
        <v>2176</v>
      </c>
      <c r="B684" s="33" t="s">
        <v>884</v>
      </c>
      <c r="C684" s="33" t="s">
        <v>227</v>
      </c>
      <c r="D684" s="39">
        <v>46232.0</v>
      </c>
      <c r="E684" s="40">
        <v>24200.0</v>
      </c>
      <c r="F684" s="33" t="s">
        <v>230</v>
      </c>
      <c r="G684" s="33" t="s">
        <v>181</v>
      </c>
      <c r="H684" s="33" t="s">
        <v>181</v>
      </c>
      <c r="I684" s="33" t="s">
        <v>181</v>
      </c>
      <c r="J684" s="33" t="s">
        <v>181</v>
      </c>
      <c r="K684" s="33" t="s">
        <v>157</v>
      </c>
    </row>
    <row r="685" ht="15.75" customHeight="1">
      <c r="A685" s="33" t="s">
        <v>3911</v>
      </c>
      <c r="B685" s="33" t="s">
        <v>1269</v>
      </c>
      <c r="C685" s="33" t="s">
        <v>227</v>
      </c>
      <c r="D685" s="39">
        <v>45831.0</v>
      </c>
      <c r="E685" s="40">
        <v>46700.0</v>
      </c>
      <c r="F685" s="33" t="s">
        <v>230</v>
      </c>
      <c r="G685" s="33" t="s">
        <v>181</v>
      </c>
      <c r="H685" s="33" t="s">
        <v>189</v>
      </c>
      <c r="I685" s="33" t="s">
        <v>189</v>
      </c>
      <c r="J685" s="33" t="s">
        <v>189</v>
      </c>
      <c r="K685" s="33" t="s">
        <v>262</v>
      </c>
    </row>
    <row r="686" ht="15.75" customHeight="1">
      <c r="A686" s="33" t="s">
        <v>3915</v>
      </c>
      <c r="B686" s="33" t="s">
        <v>279</v>
      </c>
      <c r="C686" s="33" t="s">
        <v>247</v>
      </c>
      <c r="D686" s="39">
        <v>45779.0</v>
      </c>
      <c r="E686" s="40">
        <v>25500.0</v>
      </c>
      <c r="F686" s="33" t="s">
        <v>241</v>
      </c>
      <c r="G686" s="33" t="s">
        <v>181</v>
      </c>
      <c r="H686" s="33" t="s">
        <v>189</v>
      </c>
      <c r="I686" s="33" t="s">
        <v>189</v>
      </c>
      <c r="J686" s="33" t="s">
        <v>189</v>
      </c>
      <c r="K686" s="33" t="s">
        <v>262</v>
      </c>
    </row>
    <row r="687" ht="15.75" customHeight="1">
      <c r="A687" s="33" t="s">
        <v>2181</v>
      </c>
      <c r="B687" s="33" t="s">
        <v>2180</v>
      </c>
      <c r="C687" s="33" t="s">
        <v>227</v>
      </c>
      <c r="D687" s="39">
        <v>45778.0</v>
      </c>
      <c r="E687" s="40">
        <v>43300.0</v>
      </c>
      <c r="F687" s="33" t="s">
        <v>230</v>
      </c>
      <c r="G687" s="33" t="s">
        <v>181</v>
      </c>
      <c r="H687" s="33" t="s">
        <v>181</v>
      </c>
      <c r="I687" s="33" t="s">
        <v>181</v>
      </c>
      <c r="J687" s="33" t="s">
        <v>181</v>
      </c>
      <c r="K687" s="33" t="s">
        <v>157</v>
      </c>
    </row>
    <row r="688" ht="15.75" customHeight="1">
      <c r="A688" s="33" t="s">
        <v>3922</v>
      </c>
      <c r="B688" s="33" t="s">
        <v>1165</v>
      </c>
      <c r="C688" s="33" t="s">
        <v>247</v>
      </c>
      <c r="D688" s="39">
        <v>45680.0</v>
      </c>
      <c r="E688" s="40">
        <v>47100.0</v>
      </c>
      <c r="F688" s="33" t="s">
        <v>248</v>
      </c>
      <c r="G688" s="33" t="s">
        <v>181</v>
      </c>
      <c r="H688" s="33" t="s">
        <v>189</v>
      </c>
      <c r="I688" s="33" t="s">
        <v>189</v>
      </c>
      <c r="J688" s="33" t="s">
        <v>189</v>
      </c>
      <c r="K688" s="33" t="s">
        <v>262</v>
      </c>
    </row>
    <row r="689" ht="15.75" customHeight="1">
      <c r="A689" s="33" t="s">
        <v>3926</v>
      </c>
      <c r="B689" s="33" t="s">
        <v>1936</v>
      </c>
      <c r="C689" s="33" t="s">
        <v>227</v>
      </c>
      <c r="D689" s="39">
        <v>45671.0</v>
      </c>
      <c r="E689" s="40">
        <v>13500.0</v>
      </c>
      <c r="F689" s="33" t="s">
        <v>230</v>
      </c>
      <c r="G689" s="33" t="s">
        <v>189</v>
      </c>
      <c r="H689" s="33" t="s">
        <v>189</v>
      </c>
      <c r="I689" s="33" t="s">
        <v>189</v>
      </c>
      <c r="J689" s="33" t="s">
        <v>189</v>
      </c>
      <c r="K689" s="33" t="s">
        <v>252</v>
      </c>
    </row>
    <row r="690" ht="15.75" customHeight="1">
      <c r="A690" s="33" t="s">
        <v>2185</v>
      </c>
      <c r="B690" s="33" t="s">
        <v>1147</v>
      </c>
      <c r="C690" s="33" t="s">
        <v>247</v>
      </c>
      <c r="D690" s="39">
        <v>45847.0</v>
      </c>
      <c r="E690" s="40">
        <v>39500.0</v>
      </c>
      <c r="F690" s="33" t="s">
        <v>230</v>
      </c>
      <c r="G690" s="33" t="s">
        <v>181</v>
      </c>
      <c r="H690" s="33" t="s">
        <v>181</v>
      </c>
      <c r="I690" s="33" t="s">
        <v>181</v>
      </c>
      <c r="J690" s="33" t="s">
        <v>181</v>
      </c>
      <c r="K690" s="33" t="s">
        <v>157</v>
      </c>
    </row>
    <row r="691" ht="15.75" customHeight="1">
      <c r="A691" s="33" t="s">
        <v>2191</v>
      </c>
      <c r="B691" s="33" t="s">
        <v>1911</v>
      </c>
      <c r="C691" s="33" t="s">
        <v>227</v>
      </c>
      <c r="D691" s="39">
        <v>46062.0</v>
      </c>
      <c r="E691" s="40">
        <v>33000.0</v>
      </c>
      <c r="F691" s="33" t="s">
        <v>230</v>
      </c>
      <c r="G691" s="33" t="s">
        <v>181</v>
      </c>
      <c r="H691" s="33" t="s">
        <v>181</v>
      </c>
      <c r="I691" s="33" t="s">
        <v>181</v>
      </c>
      <c r="J691" s="33" t="s">
        <v>181</v>
      </c>
      <c r="K691" s="33" t="s">
        <v>157</v>
      </c>
    </row>
    <row r="692" ht="15.75" customHeight="1">
      <c r="A692" s="33" t="s">
        <v>3939</v>
      </c>
      <c r="B692" s="33" t="s">
        <v>284</v>
      </c>
      <c r="C692" s="33" t="s">
        <v>235</v>
      </c>
      <c r="D692" s="39">
        <v>46071.0</v>
      </c>
      <c r="E692" s="40">
        <v>49300.0</v>
      </c>
      <c r="F692" s="33" t="s">
        <v>269</v>
      </c>
      <c r="G692" s="33" t="s">
        <v>189</v>
      </c>
      <c r="H692" s="33" t="s">
        <v>189</v>
      </c>
      <c r="I692" s="33" t="s">
        <v>189</v>
      </c>
      <c r="J692" s="33" t="s">
        <v>189</v>
      </c>
      <c r="K692" s="33" t="s">
        <v>252</v>
      </c>
    </row>
    <row r="693" ht="15.75" customHeight="1">
      <c r="A693" s="33" t="s">
        <v>2195</v>
      </c>
      <c r="B693" s="33" t="s">
        <v>2194</v>
      </c>
      <c r="C693" s="33" t="s">
        <v>247</v>
      </c>
      <c r="D693" s="39">
        <v>45988.0</v>
      </c>
      <c r="E693" s="40">
        <v>29700.0</v>
      </c>
      <c r="F693" s="33" t="s">
        <v>248</v>
      </c>
      <c r="G693" s="33" t="s">
        <v>181</v>
      </c>
      <c r="H693" s="33" t="s">
        <v>181</v>
      </c>
      <c r="I693" s="33" t="s">
        <v>181</v>
      </c>
      <c r="J693" s="33" t="s">
        <v>181</v>
      </c>
      <c r="K693" s="33" t="s">
        <v>157</v>
      </c>
    </row>
    <row r="694" ht="15.75" customHeight="1">
      <c r="A694" s="33" t="s">
        <v>3944</v>
      </c>
      <c r="B694" s="33" t="s">
        <v>2958</v>
      </c>
      <c r="C694" s="33" t="s">
        <v>227</v>
      </c>
      <c r="D694" s="39">
        <v>46052.0</v>
      </c>
      <c r="E694" s="40">
        <v>39800.0</v>
      </c>
      <c r="F694" s="33" t="s">
        <v>241</v>
      </c>
      <c r="G694" s="33" t="s">
        <v>181</v>
      </c>
      <c r="H694" s="33" t="s">
        <v>189</v>
      </c>
      <c r="I694" s="33" t="s">
        <v>189</v>
      </c>
      <c r="J694" s="33" t="s">
        <v>189</v>
      </c>
      <c r="K694" s="33" t="s">
        <v>262</v>
      </c>
    </row>
    <row r="695" ht="15.75" customHeight="1">
      <c r="A695" s="33" t="s">
        <v>3948</v>
      </c>
      <c r="B695" s="33" t="s">
        <v>2194</v>
      </c>
      <c r="C695" s="33" t="s">
        <v>247</v>
      </c>
      <c r="D695" s="39">
        <v>45739.0</v>
      </c>
      <c r="E695" s="40">
        <v>17900.0</v>
      </c>
      <c r="F695" s="33" t="s">
        <v>230</v>
      </c>
      <c r="G695" s="33" t="s">
        <v>189</v>
      </c>
      <c r="H695" s="33" t="s">
        <v>189</v>
      </c>
      <c r="I695" s="33" t="s">
        <v>189</v>
      </c>
      <c r="J695" s="33" t="s">
        <v>189</v>
      </c>
      <c r="K695" s="33" t="s">
        <v>252</v>
      </c>
    </row>
    <row r="696" ht="15.75" customHeight="1">
      <c r="A696" s="33" t="s">
        <v>2202</v>
      </c>
      <c r="B696" s="33" t="s">
        <v>519</v>
      </c>
      <c r="C696" s="33" t="s">
        <v>247</v>
      </c>
      <c r="D696" s="39">
        <v>46261.0</v>
      </c>
      <c r="E696" s="40">
        <v>30700.0</v>
      </c>
      <c r="F696" s="33" t="s">
        <v>241</v>
      </c>
      <c r="G696" s="33" t="s">
        <v>181</v>
      </c>
      <c r="H696" s="33" t="s">
        <v>181</v>
      </c>
      <c r="I696" s="33" t="s">
        <v>181</v>
      </c>
      <c r="J696" s="33" t="s">
        <v>181</v>
      </c>
      <c r="K696" s="33" t="s">
        <v>157</v>
      </c>
    </row>
    <row r="697" ht="15.75" customHeight="1">
      <c r="A697" s="33" t="s">
        <v>2207</v>
      </c>
      <c r="B697" s="33" t="s">
        <v>2205</v>
      </c>
      <c r="C697" s="33" t="s">
        <v>235</v>
      </c>
      <c r="D697" s="39">
        <v>45779.0</v>
      </c>
      <c r="E697" s="40">
        <v>39200.0</v>
      </c>
      <c r="F697" s="33" t="s">
        <v>230</v>
      </c>
      <c r="G697" s="33" t="s">
        <v>181</v>
      </c>
      <c r="H697" s="33" t="s">
        <v>181</v>
      </c>
      <c r="I697" s="33" t="s">
        <v>181</v>
      </c>
      <c r="J697" s="33" t="s">
        <v>181</v>
      </c>
      <c r="K697" s="33" t="s">
        <v>157</v>
      </c>
    </row>
    <row r="698" ht="15.75" customHeight="1">
      <c r="A698" s="33" t="s">
        <v>3957</v>
      </c>
      <c r="B698" s="33" t="s">
        <v>1421</v>
      </c>
      <c r="C698" s="33" t="s">
        <v>247</v>
      </c>
      <c r="D698" s="39">
        <v>45880.0</v>
      </c>
      <c r="E698" s="40">
        <v>48400.0</v>
      </c>
      <c r="F698" s="33" t="s">
        <v>230</v>
      </c>
      <c r="G698" s="33" t="s">
        <v>181</v>
      </c>
      <c r="H698" s="33" t="s">
        <v>189</v>
      </c>
      <c r="I698" s="33" t="s">
        <v>189</v>
      </c>
      <c r="J698" s="33" t="s">
        <v>189</v>
      </c>
      <c r="K698" s="33" t="s">
        <v>262</v>
      </c>
    </row>
    <row r="699" ht="15.75" customHeight="1">
      <c r="A699" s="33" t="s">
        <v>3962</v>
      </c>
      <c r="B699" s="33" t="s">
        <v>3714</v>
      </c>
      <c r="C699" s="33" t="s">
        <v>247</v>
      </c>
      <c r="D699" s="39">
        <v>46059.0</v>
      </c>
      <c r="E699" s="40">
        <v>13300.0</v>
      </c>
      <c r="F699" s="33" t="s">
        <v>230</v>
      </c>
      <c r="G699" s="33" t="s">
        <v>181</v>
      </c>
      <c r="H699" s="33" t="s">
        <v>181</v>
      </c>
      <c r="I699" s="33" t="s">
        <v>181</v>
      </c>
      <c r="J699" s="33" t="s">
        <v>189</v>
      </c>
      <c r="K699" s="33" t="s">
        <v>365</v>
      </c>
    </row>
    <row r="700" ht="15.75" customHeight="1">
      <c r="A700" s="33" t="s">
        <v>2213</v>
      </c>
      <c r="B700" s="33" t="s">
        <v>618</v>
      </c>
      <c r="C700" s="33" t="s">
        <v>227</v>
      </c>
      <c r="D700" s="39">
        <v>45735.0</v>
      </c>
      <c r="E700" s="40">
        <v>4900.0</v>
      </c>
      <c r="F700" s="33" t="s">
        <v>241</v>
      </c>
      <c r="G700" s="33" t="s">
        <v>181</v>
      </c>
      <c r="H700" s="33" t="s">
        <v>181</v>
      </c>
      <c r="I700" s="33" t="s">
        <v>181</v>
      </c>
      <c r="J700" s="33" t="s">
        <v>181</v>
      </c>
      <c r="K700" s="33" t="s">
        <v>157</v>
      </c>
    </row>
    <row r="701" ht="15.75" customHeight="1">
      <c r="A701" s="33" t="s">
        <v>2218</v>
      </c>
      <c r="B701" s="33" t="s">
        <v>539</v>
      </c>
      <c r="C701" s="33" t="s">
        <v>247</v>
      </c>
      <c r="D701" s="39">
        <v>45922.0</v>
      </c>
      <c r="E701" s="40">
        <v>48800.0</v>
      </c>
      <c r="F701" s="33" t="s">
        <v>248</v>
      </c>
      <c r="G701" s="33" t="s">
        <v>181</v>
      </c>
      <c r="H701" s="33" t="s">
        <v>181</v>
      </c>
      <c r="I701" s="33" t="s">
        <v>181</v>
      </c>
      <c r="J701" s="33" t="s">
        <v>181</v>
      </c>
      <c r="K701" s="33" t="s">
        <v>157</v>
      </c>
    </row>
    <row r="702" ht="15.75" customHeight="1">
      <c r="A702" s="33" t="s">
        <v>2224</v>
      </c>
      <c r="B702" s="33" t="s">
        <v>1758</v>
      </c>
      <c r="C702" s="33" t="s">
        <v>227</v>
      </c>
      <c r="D702" s="39">
        <v>46224.0</v>
      </c>
      <c r="E702" s="40">
        <v>30500.0</v>
      </c>
      <c r="F702" s="33" t="s">
        <v>230</v>
      </c>
      <c r="G702" s="33" t="s">
        <v>181</v>
      </c>
      <c r="H702" s="33" t="s">
        <v>181</v>
      </c>
      <c r="I702" s="33" t="s">
        <v>181</v>
      </c>
      <c r="J702" s="33" t="s">
        <v>181</v>
      </c>
      <c r="K702" s="33" t="s">
        <v>157</v>
      </c>
    </row>
    <row r="703" ht="15.75" customHeight="1">
      <c r="A703" s="33" t="s">
        <v>2232</v>
      </c>
      <c r="B703" s="33" t="s">
        <v>2231</v>
      </c>
      <c r="C703" s="33" t="s">
        <v>235</v>
      </c>
      <c r="D703" s="39">
        <v>45799.0</v>
      </c>
      <c r="E703" s="40">
        <v>1800.0</v>
      </c>
      <c r="F703" s="33" t="s">
        <v>230</v>
      </c>
      <c r="G703" s="33" t="s">
        <v>181</v>
      </c>
      <c r="H703" s="33" t="s">
        <v>181</v>
      </c>
      <c r="I703" s="33" t="s">
        <v>181</v>
      </c>
      <c r="J703" s="33" t="s">
        <v>181</v>
      </c>
      <c r="K703" s="33" t="s">
        <v>157</v>
      </c>
    </row>
    <row r="704" ht="15.75" customHeight="1">
      <c r="A704" s="33" t="s">
        <v>2237</v>
      </c>
      <c r="B704" s="33" t="s">
        <v>245</v>
      </c>
      <c r="C704" s="33" t="s">
        <v>247</v>
      </c>
      <c r="D704" s="39">
        <v>46034.0</v>
      </c>
      <c r="E704" s="40">
        <v>26500.0</v>
      </c>
      <c r="F704" s="33" t="s">
        <v>241</v>
      </c>
      <c r="G704" s="33" t="s">
        <v>181</v>
      </c>
      <c r="H704" s="33" t="s">
        <v>181</v>
      </c>
      <c r="I704" s="33" t="s">
        <v>181</v>
      </c>
      <c r="J704" s="33" t="s">
        <v>181</v>
      </c>
      <c r="K704" s="33" t="s">
        <v>157</v>
      </c>
    </row>
    <row r="705" ht="15.75" customHeight="1">
      <c r="A705" s="33" t="s">
        <v>2241</v>
      </c>
      <c r="B705" s="33" t="s">
        <v>2023</v>
      </c>
      <c r="C705" s="33" t="s">
        <v>235</v>
      </c>
      <c r="D705" s="39">
        <v>46025.0</v>
      </c>
      <c r="E705" s="40">
        <v>46900.0</v>
      </c>
      <c r="F705" s="33" t="s">
        <v>248</v>
      </c>
      <c r="G705" s="33" t="s">
        <v>181</v>
      </c>
      <c r="H705" s="33" t="s">
        <v>181</v>
      </c>
      <c r="I705" s="33" t="s">
        <v>181</v>
      </c>
      <c r="J705" s="33" t="s">
        <v>181</v>
      </c>
      <c r="K705" s="33" t="s">
        <v>157</v>
      </c>
    </row>
    <row r="706" ht="15.75" customHeight="1">
      <c r="A706" s="33" t="s">
        <v>2248</v>
      </c>
      <c r="B706" s="33" t="s">
        <v>206</v>
      </c>
      <c r="C706" s="33" t="s">
        <v>247</v>
      </c>
      <c r="D706" s="39">
        <v>45704.0</v>
      </c>
      <c r="E706" s="40">
        <v>49200.0</v>
      </c>
      <c r="F706" s="33" t="s">
        <v>248</v>
      </c>
      <c r="G706" s="33" t="s">
        <v>181</v>
      </c>
      <c r="H706" s="33" t="s">
        <v>181</v>
      </c>
      <c r="I706" s="33" t="s">
        <v>181</v>
      </c>
      <c r="J706" s="33" t="s">
        <v>181</v>
      </c>
      <c r="K706" s="33" t="s">
        <v>157</v>
      </c>
    </row>
    <row r="707" ht="15.75" customHeight="1">
      <c r="A707" s="33" t="s">
        <v>3989</v>
      </c>
      <c r="B707" s="33" t="s">
        <v>1806</v>
      </c>
      <c r="C707" s="33" t="s">
        <v>227</v>
      </c>
      <c r="D707" s="39">
        <v>45689.0</v>
      </c>
      <c r="E707" s="40">
        <v>17000.0</v>
      </c>
      <c r="F707" s="33" t="s">
        <v>241</v>
      </c>
      <c r="G707" s="33" t="s">
        <v>181</v>
      </c>
      <c r="H707" s="33" t="s">
        <v>181</v>
      </c>
      <c r="I707" s="33" t="s">
        <v>181</v>
      </c>
      <c r="J707" s="33" t="s">
        <v>189</v>
      </c>
      <c r="K707" s="33" t="s">
        <v>365</v>
      </c>
    </row>
    <row r="708" ht="15.75" customHeight="1">
      <c r="A708" s="33" t="s">
        <v>2253</v>
      </c>
      <c r="B708" s="33" t="s">
        <v>2252</v>
      </c>
      <c r="C708" s="33" t="s">
        <v>227</v>
      </c>
      <c r="D708" s="39">
        <v>45746.0</v>
      </c>
      <c r="E708" s="40">
        <v>39300.0</v>
      </c>
      <c r="F708" s="33" t="s">
        <v>230</v>
      </c>
      <c r="G708" s="33" t="s">
        <v>181</v>
      </c>
      <c r="H708" s="33" t="s">
        <v>181</v>
      </c>
      <c r="I708" s="33" t="s">
        <v>181</v>
      </c>
      <c r="J708" s="33" t="s">
        <v>181</v>
      </c>
      <c r="K708" s="33" t="s">
        <v>157</v>
      </c>
    </row>
    <row r="709" ht="15.75" customHeight="1">
      <c r="A709" s="33" t="s">
        <v>3996</v>
      </c>
      <c r="B709" s="33" t="s">
        <v>267</v>
      </c>
      <c r="C709" s="33" t="s">
        <v>227</v>
      </c>
      <c r="D709" s="39">
        <v>45667.0</v>
      </c>
      <c r="E709" s="40">
        <v>23500.0</v>
      </c>
      <c r="F709" s="33" t="s">
        <v>248</v>
      </c>
      <c r="G709" s="33" t="s">
        <v>189</v>
      </c>
      <c r="H709" s="33" t="s">
        <v>189</v>
      </c>
      <c r="I709" s="33" t="s">
        <v>189</v>
      </c>
      <c r="J709" s="33" t="s">
        <v>189</v>
      </c>
      <c r="K709" s="33" t="s">
        <v>252</v>
      </c>
    </row>
    <row r="710" ht="15.75" customHeight="1">
      <c r="A710" s="33" t="s">
        <v>2257</v>
      </c>
      <c r="B710" s="33" t="s">
        <v>306</v>
      </c>
      <c r="C710" s="33" t="s">
        <v>227</v>
      </c>
      <c r="D710" s="39">
        <v>45980.0</v>
      </c>
      <c r="E710" s="40">
        <v>20500.0</v>
      </c>
      <c r="F710" s="33" t="s">
        <v>230</v>
      </c>
      <c r="G710" s="33" t="s">
        <v>181</v>
      </c>
      <c r="H710" s="33" t="s">
        <v>181</v>
      </c>
      <c r="I710" s="33" t="s">
        <v>181</v>
      </c>
      <c r="J710" s="33" t="s">
        <v>181</v>
      </c>
      <c r="K710" s="33" t="s">
        <v>157</v>
      </c>
    </row>
    <row r="711" ht="15.75" customHeight="1">
      <c r="A711" s="33" t="s">
        <v>2262</v>
      </c>
      <c r="B711" s="33" t="s">
        <v>1321</v>
      </c>
      <c r="C711" s="33" t="s">
        <v>227</v>
      </c>
      <c r="D711" s="39">
        <v>45816.0</v>
      </c>
      <c r="E711" s="40">
        <v>38200.0</v>
      </c>
      <c r="F711" s="33" t="s">
        <v>230</v>
      </c>
      <c r="G711" s="33" t="s">
        <v>181</v>
      </c>
      <c r="H711" s="33" t="s">
        <v>181</v>
      </c>
      <c r="I711" s="33" t="s">
        <v>181</v>
      </c>
      <c r="J711" s="33" t="s">
        <v>181</v>
      </c>
      <c r="K711" s="33" t="s">
        <v>157</v>
      </c>
    </row>
    <row r="712" ht="15.75" customHeight="1">
      <c r="A712" s="33" t="s">
        <v>2267</v>
      </c>
      <c r="B712" s="33" t="s">
        <v>260</v>
      </c>
      <c r="C712" s="33" t="s">
        <v>235</v>
      </c>
      <c r="D712" s="39">
        <v>46021.0</v>
      </c>
      <c r="E712" s="40">
        <v>14200.0</v>
      </c>
      <c r="F712" s="33" t="s">
        <v>269</v>
      </c>
      <c r="G712" s="33" t="s">
        <v>181</v>
      </c>
      <c r="H712" s="33" t="s">
        <v>181</v>
      </c>
      <c r="I712" s="33" t="s">
        <v>181</v>
      </c>
      <c r="J712" s="33" t="s">
        <v>181</v>
      </c>
      <c r="K712" s="33" t="s">
        <v>157</v>
      </c>
    </row>
    <row r="713" ht="15.75" customHeight="1">
      <c r="A713" s="33" t="s">
        <v>4009</v>
      </c>
      <c r="B713" s="33" t="s">
        <v>1372</v>
      </c>
      <c r="C713" s="33" t="s">
        <v>247</v>
      </c>
      <c r="D713" s="39">
        <v>45833.0</v>
      </c>
      <c r="E713" s="40">
        <v>21900.0</v>
      </c>
      <c r="F713" s="33" t="s">
        <v>241</v>
      </c>
      <c r="G713" s="33" t="s">
        <v>181</v>
      </c>
      <c r="H713" s="33" t="s">
        <v>189</v>
      </c>
      <c r="I713" s="33" t="s">
        <v>189</v>
      </c>
      <c r="J713" s="33" t="s">
        <v>189</v>
      </c>
      <c r="K713" s="33" t="s">
        <v>262</v>
      </c>
    </row>
    <row r="714" ht="15.75" customHeight="1">
      <c r="A714" s="33" t="s">
        <v>4011</v>
      </c>
      <c r="B714" s="33" t="s">
        <v>546</v>
      </c>
      <c r="C714" s="33" t="s">
        <v>247</v>
      </c>
      <c r="D714" s="39">
        <v>45870.0</v>
      </c>
      <c r="E714" s="40">
        <v>13100.0</v>
      </c>
      <c r="F714" s="33" t="s">
        <v>241</v>
      </c>
      <c r="G714" s="33" t="s">
        <v>181</v>
      </c>
      <c r="H714" s="33" t="s">
        <v>189</v>
      </c>
      <c r="I714" s="33" t="s">
        <v>189</v>
      </c>
      <c r="J714" s="33" t="s">
        <v>189</v>
      </c>
      <c r="K714" s="33" t="s">
        <v>262</v>
      </c>
    </row>
    <row r="715" ht="15.75" customHeight="1">
      <c r="A715" s="33" t="s">
        <v>2274</v>
      </c>
      <c r="B715" s="33" t="s">
        <v>1842</v>
      </c>
      <c r="C715" s="33" t="s">
        <v>247</v>
      </c>
      <c r="D715" s="39">
        <v>45721.0</v>
      </c>
      <c r="E715" s="40">
        <v>8000.0</v>
      </c>
      <c r="F715" s="33" t="s">
        <v>241</v>
      </c>
      <c r="G715" s="33" t="s">
        <v>181</v>
      </c>
      <c r="H715" s="33" t="s">
        <v>181</v>
      </c>
      <c r="I715" s="33" t="s">
        <v>181</v>
      </c>
      <c r="J715" s="33" t="s">
        <v>181</v>
      </c>
      <c r="K715" s="33" t="s">
        <v>157</v>
      </c>
    </row>
    <row r="716" ht="15.75" customHeight="1">
      <c r="A716" s="33" t="s">
        <v>2282</v>
      </c>
      <c r="B716" s="33" t="s">
        <v>891</v>
      </c>
      <c r="C716" s="33" t="s">
        <v>227</v>
      </c>
      <c r="D716" s="39">
        <v>46140.0</v>
      </c>
      <c r="E716" s="40">
        <v>19600.0</v>
      </c>
      <c r="F716" s="33" t="s">
        <v>230</v>
      </c>
      <c r="G716" s="33" t="s">
        <v>181</v>
      </c>
      <c r="H716" s="33" t="s">
        <v>181</v>
      </c>
      <c r="I716" s="33" t="s">
        <v>181</v>
      </c>
      <c r="J716" s="33" t="s">
        <v>181</v>
      </c>
      <c r="K716" s="33" t="s">
        <v>157</v>
      </c>
    </row>
    <row r="717" ht="15.75" customHeight="1">
      <c r="A717" s="33" t="s">
        <v>2287</v>
      </c>
      <c r="B717" s="33" t="s">
        <v>2286</v>
      </c>
      <c r="C717" s="33" t="s">
        <v>247</v>
      </c>
      <c r="D717" s="39">
        <v>45727.0</v>
      </c>
      <c r="E717" s="40">
        <v>48000.0</v>
      </c>
      <c r="F717" s="33" t="s">
        <v>269</v>
      </c>
      <c r="G717" s="33" t="s">
        <v>181</v>
      </c>
      <c r="H717" s="33" t="s">
        <v>181</v>
      </c>
      <c r="I717" s="33" t="s">
        <v>181</v>
      </c>
      <c r="J717" s="33" t="s">
        <v>181</v>
      </c>
      <c r="K717" s="33" t="s">
        <v>157</v>
      </c>
    </row>
    <row r="718" ht="15.75" customHeight="1">
      <c r="A718" s="33" t="s">
        <v>2293</v>
      </c>
      <c r="B718" s="33" t="s">
        <v>1259</v>
      </c>
      <c r="C718" s="33" t="s">
        <v>227</v>
      </c>
      <c r="D718" s="39">
        <v>46212.0</v>
      </c>
      <c r="E718" s="40">
        <v>21500.0</v>
      </c>
      <c r="F718" s="33" t="s">
        <v>248</v>
      </c>
      <c r="G718" s="33" t="s">
        <v>181</v>
      </c>
      <c r="H718" s="33" t="s">
        <v>181</v>
      </c>
      <c r="I718" s="33" t="s">
        <v>181</v>
      </c>
      <c r="J718" s="33" t="s">
        <v>181</v>
      </c>
      <c r="K718" s="33" t="s">
        <v>157</v>
      </c>
    </row>
    <row r="719" ht="15.75" customHeight="1">
      <c r="A719" s="33" t="s">
        <v>2297</v>
      </c>
      <c r="B719" s="33" t="s">
        <v>208</v>
      </c>
      <c r="C719" s="33" t="s">
        <v>235</v>
      </c>
      <c r="D719" s="39">
        <v>45759.0</v>
      </c>
      <c r="E719" s="40">
        <v>34500.0</v>
      </c>
      <c r="F719" s="33" t="s">
        <v>241</v>
      </c>
      <c r="G719" s="33" t="s">
        <v>181</v>
      </c>
      <c r="H719" s="33" t="s">
        <v>181</v>
      </c>
      <c r="I719" s="33" t="s">
        <v>181</v>
      </c>
      <c r="J719" s="33" t="s">
        <v>181</v>
      </c>
      <c r="K719" s="33" t="s">
        <v>157</v>
      </c>
    </row>
    <row r="720" ht="15.75" customHeight="1">
      <c r="A720" s="33" t="s">
        <v>4027</v>
      </c>
      <c r="B720" s="33" t="s">
        <v>1085</v>
      </c>
      <c r="C720" s="33" t="s">
        <v>247</v>
      </c>
      <c r="D720" s="39">
        <v>46259.0</v>
      </c>
      <c r="E720" s="40">
        <v>15000.0</v>
      </c>
      <c r="F720" s="33" t="s">
        <v>230</v>
      </c>
      <c r="G720" s="33" t="s">
        <v>181</v>
      </c>
      <c r="H720" s="33" t="s">
        <v>189</v>
      </c>
      <c r="I720" s="33" t="s">
        <v>189</v>
      </c>
      <c r="J720" s="33" t="s">
        <v>189</v>
      </c>
      <c r="K720" s="33" t="s">
        <v>262</v>
      </c>
    </row>
    <row r="721" ht="15.75" customHeight="1">
      <c r="A721" s="33" t="s">
        <v>2304</v>
      </c>
      <c r="B721" s="33" t="s">
        <v>2303</v>
      </c>
      <c r="C721" s="33" t="s">
        <v>227</v>
      </c>
      <c r="D721" s="39">
        <v>46097.0</v>
      </c>
      <c r="E721" s="40">
        <v>43400.0</v>
      </c>
      <c r="F721" s="33" t="s">
        <v>241</v>
      </c>
      <c r="G721" s="33" t="s">
        <v>181</v>
      </c>
      <c r="H721" s="33" t="s">
        <v>181</v>
      </c>
      <c r="I721" s="33" t="s">
        <v>181</v>
      </c>
      <c r="J721" s="33" t="s">
        <v>181</v>
      </c>
      <c r="K721" s="33" t="s">
        <v>157</v>
      </c>
    </row>
    <row r="722" ht="15.75" customHeight="1">
      <c r="A722" s="33" t="s">
        <v>4033</v>
      </c>
      <c r="B722" s="33" t="s">
        <v>992</v>
      </c>
      <c r="C722" s="33" t="s">
        <v>247</v>
      </c>
      <c r="D722" s="39">
        <v>46157.0</v>
      </c>
      <c r="E722" s="40">
        <v>31600.0</v>
      </c>
      <c r="F722" s="33" t="s">
        <v>269</v>
      </c>
      <c r="G722" s="33" t="s">
        <v>181</v>
      </c>
      <c r="H722" s="33" t="s">
        <v>189</v>
      </c>
      <c r="I722" s="33" t="s">
        <v>189</v>
      </c>
      <c r="J722" s="33" t="s">
        <v>189</v>
      </c>
      <c r="K722" s="33" t="s">
        <v>262</v>
      </c>
    </row>
    <row r="723" ht="15.75" customHeight="1">
      <c r="A723" s="33" t="s">
        <v>2309</v>
      </c>
      <c r="B723" s="33" t="s">
        <v>2048</v>
      </c>
      <c r="C723" s="33" t="s">
        <v>247</v>
      </c>
      <c r="D723" s="39">
        <v>46147.0</v>
      </c>
      <c r="E723" s="40">
        <v>47600.0</v>
      </c>
      <c r="F723" s="33" t="s">
        <v>241</v>
      </c>
      <c r="G723" s="33" t="s">
        <v>181</v>
      </c>
      <c r="H723" s="33" t="s">
        <v>181</v>
      </c>
      <c r="I723" s="33" t="s">
        <v>181</v>
      </c>
      <c r="J723" s="33" t="s">
        <v>181</v>
      </c>
      <c r="K723" s="33" t="s">
        <v>157</v>
      </c>
    </row>
    <row r="724" ht="15.75" customHeight="1">
      <c r="A724" s="33" t="s">
        <v>2312</v>
      </c>
      <c r="B724" s="33" t="s">
        <v>315</v>
      </c>
      <c r="C724" s="33" t="s">
        <v>227</v>
      </c>
      <c r="D724" s="39">
        <v>45928.0</v>
      </c>
      <c r="E724" s="40">
        <v>17000.0</v>
      </c>
      <c r="F724" s="33" t="s">
        <v>241</v>
      </c>
      <c r="G724" s="33" t="s">
        <v>181</v>
      </c>
      <c r="H724" s="33" t="s">
        <v>181</v>
      </c>
      <c r="I724" s="33" t="s">
        <v>181</v>
      </c>
      <c r="J724" s="33" t="s">
        <v>181</v>
      </c>
      <c r="K724" s="33" t="s">
        <v>157</v>
      </c>
    </row>
    <row r="725" ht="15.75" customHeight="1">
      <c r="A725" s="33" t="s">
        <v>4041</v>
      </c>
      <c r="B725" s="33" t="s">
        <v>634</v>
      </c>
      <c r="C725" s="33" t="s">
        <v>227</v>
      </c>
      <c r="D725" s="39">
        <v>45768.0</v>
      </c>
      <c r="E725" s="40">
        <v>27400.0</v>
      </c>
      <c r="F725" s="33" t="s">
        <v>241</v>
      </c>
      <c r="G725" s="33" t="s">
        <v>189</v>
      </c>
      <c r="H725" s="33" t="s">
        <v>189</v>
      </c>
      <c r="I725" s="33" t="s">
        <v>189</v>
      </c>
      <c r="J725" s="33" t="s">
        <v>189</v>
      </c>
      <c r="K725" s="33" t="s">
        <v>252</v>
      </c>
    </row>
    <row r="726" ht="15.75" customHeight="1">
      <c r="A726" s="33" t="s">
        <v>2320</v>
      </c>
      <c r="B726" s="33" t="s">
        <v>2092</v>
      </c>
      <c r="C726" s="33" t="s">
        <v>227</v>
      </c>
      <c r="D726" s="39">
        <v>46068.0</v>
      </c>
      <c r="E726" s="40">
        <v>10400.0</v>
      </c>
      <c r="F726" s="33" t="s">
        <v>230</v>
      </c>
      <c r="G726" s="33" t="s">
        <v>181</v>
      </c>
      <c r="H726" s="33" t="s">
        <v>181</v>
      </c>
      <c r="I726" s="33" t="s">
        <v>181</v>
      </c>
      <c r="J726" s="33" t="s">
        <v>181</v>
      </c>
      <c r="K726" s="33" t="s">
        <v>157</v>
      </c>
    </row>
    <row r="727" ht="15.75" customHeight="1">
      <c r="A727" s="33" t="s">
        <v>2323</v>
      </c>
      <c r="B727" s="33" t="s">
        <v>576</v>
      </c>
      <c r="C727" s="33" t="s">
        <v>235</v>
      </c>
      <c r="D727" s="39">
        <v>46056.0</v>
      </c>
      <c r="E727" s="40">
        <v>7700.0</v>
      </c>
      <c r="F727" s="33" t="s">
        <v>230</v>
      </c>
      <c r="G727" s="33" t="s">
        <v>181</v>
      </c>
      <c r="H727" s="33" t="s">
        <v>181</v>
      </c>
      <c r="I727" s="33" t="s">
        <v>181</v>
      </c>
      <c r="J727" s="33" t="s">
        <v>181</v>
      </c>
      <c r="K727" s="33" t="s">
        <v>157</v>
      </c>
    </row>
    <row r="728" ht="15.75" customHeight="1">
      <c r="A728" s="33" t="s">
        <v>4051</v>
      </c>
      <c r="B728" s="33" t="s">
        <v>1944</v>
      </c>
      <c r="C728" s="33" t="s">
        <v>235</v>
      </c>
      <c r="D728" s="39">
        <v>46147.0</v>
      </c>
      <c r="E728" s="40">
        <v>29700.0</v>
      </c>
      <c r="F728" s="33" t="s">
        <v>230</v>
      </c>
      <c r="G728" s="33" t="s">
        <v>181</v>
      </c>
      <c r="H728" s="33" t="s">
        <v>189</v>
      </c>
      <c r="I728" s="33" t="s">
        <v>189</v>
      </c>
      <c r="J728" s="33" t="s">
        <v>189</v>
      </c>
      <c r="K728" s="33" t="s">
        <v>262</v>
      </c>
    </row>
    <row r="729" ht="15.75" customHeight="1">
      <c r="A729" s="33" t="s">
        <v>2328</v>
      </c>
      <c r="B729" s="33" t="s">
        <v>2161</v>
      </c>
      <c r="C729" s="33" t="s">
        <v>247</v>
      </c>
      <c r="D729" s="39">
        <v>45799.0</v>
      </c>
      <c r="E729" s="40">
        <v>40400.0</v>
      </c>
      <c r="F729" s="33" t="s">
        <v>230</v>
      </c>
      <c r="G729" s="33" t="s">
        <v>181</v>
      </c>
      <c r="H729" s="33" t="s">
        <v>181</v>
      </c>
      <c r="I729" s="33" t="s">
        <v>181</v>
      </c>
      <c r="J729" s="33" t="s">
        <v>181</v>
      </c>
      <c r="K729" s="33" t="s">
        <v>157</v>
      </c>
    </row>
    <row r="730" ht="15.75" customHeight="1">
      <c r="A730" s="33" t="s">
        <v>4058</v>
      </c>
      <c r="B730" s="33" t="s">
        <v>2354</v>
      </c>
      <c r="C730" s="33" t="s">
        <v>227</v>
      </c>
      <c r="D730" s="39">
        <v>46155.0</v>
      </c>
      <c r="E730" s="40">
        <v>10800.0</v>
      </c>
      <c r="F730" s="33" t="s">
        <v>230</v>
      </c>
      <c r="G730" s="33" t="s">
        <v>181</v>
      </c>
      <c r="H730" s="33" t="s">
        <v>189</v>
      </c>
      <c r="I730" s="33" t="s">
        <v>189</v>
      </c>
      <c r="J730" s="33" t="s">
        <v>189</v>
      </c>
      <c r="K730" s="33" t="s">
        <v>262</v>
      </c>
    </row>
    <row r="731" ht="15.75" customHeight="1">
      <c r="A731" s="33" t="s">
        <v>4062</v>
      </c>
      <c r="B731" s="33" t="s">
        <v>1025</v>
      </c>
      <c r="C731" s="33" t="s">
        <v>227</v>
      </c>
      <c r="D731" s="39">
        <v>46192.0</v>
      </c>
      <c r="E731" s="40">
        <v>35400.0</v>
      </c>
      <c r="F731" s="33" t="s">
        <v>248</v>
      </c>
      <c r="G731" s="33" t="s">
        <v>189</v>
      </c>
      <c r="H731" s="33" t="s">
        <v>189</v>
      </c>
      <c r="I731" s="33" t="s">
        <v>189</v>
      </c>
      <c r="J731" s="33" t="s">
        <v>189</v>
      </c>
      <c r="K731" s="33" t="s">
        <v>252</v>
      </c>
    </row>
    <row r="732" ht="15.75" customHeight="1">
      <c r="A732" s="33" t="s">
        <v>4065</v>
      </c>
      <c r="B732" s="33" t="s">
        <v>615</v>
      </c>
      <c r="C732" s="33" t="s">
        <v>247</v>
      </c>
      <c r="D732" s="39">
        <v>46101.0</v>
      </c>
      <c r="E732" s="40">
        <v>33900.0</v>
      </c>
      <c r="F732" s="33" t="s">
        <v>269</v>
      </c>
      <c r="G732" s="33" t="s">
        <v>181</v>
      </c>
      <c r="H732" s="33" t="s">
        <v>189</v>
      </c>
      <c r="I732" s="33" t="s">
        <v>189</v>
      </c>
      <c r="J732" s="33" t="s">
        <v>189</v>
      </c>
      <c r="K732" s="33" t="s">
        <v>262</v>
      </c>
    </row>
    <row r="733" ht="15.75" customHeight="1">
      <c r="A733" s="33" t="s">
        <v>4070</v>
      </c>
      <c r="B733" s="33" t="s">
        <v>1735</v>
      </c>
      <c r="C733" s="33" t="s">
        <v>227</v>
      </c>
      <c r="D733" s="39">
        <v>45821.0</v>
      </c>
      <c r="E733" s="40">
        <v>24600.0</v>
      </c>
      <c r="F733" s="33" t="s">
        <v>241</v>
      </c>
      <c r="G733" s="33" t="s">
        <v>181</v>
      </c>
      <c r="H733" s="33" t="s">
        <v>189</v>
      </c>
      <c r="I733" s="33" t="s">
        <v>189</v>
      </c>
      <c r="J733" s="33" t="s">
        <v>189</v>
      </c>
      <c r="K733" s="33" t="s">
        <v>262</v>
      </c>
    </row>
    <row r="734" ht="15.75" customHeight="1">
      <c r="A734" s="33" t="s">
        <v>2332</v>
      </c>
      <c r="B734" s="33" t="s">
        <v>526</v>
      </c>
      <c r="C734" s="33" t="s">
        <v>247</v>
      </c>
      <c r="D734" s="39">
        <v>45807.0</v>
      </c>
      <c r="E734" s="40">
        <v>38600.0</v>
      </c>
      <c r="F734" s="33" t="s">
        <v>248</v>
      </c>
      <c r="G734" s="33" t="s">
        <v>181</v>
      </c>
      <c r="H734" s="33" t="s">
        <v>181</v>
      </c>
      <c r="I734" s="33" t="s">
        <v>181</v>
      </c>
      <c r="J734" s="33" t="s">
        <v>181</v>
      </c>
      <c r="K734" s="33" t="s">
        <v>157</v>
      </c>
    </row>
    <row r="735" ht="15.75" customHeight="1">
      <c r="A735" s="33" t="s">
        <v>4075</v>
      </c>
      <c r="B735" s="33" t="s">
        <v>2092</v>
      </c>
      <c r="C735" s="33" t="s">
        <v>227</v>
      </c>
      <c r="D735" s="39">
        <v>45736.0</v>
      </c>
      <c r="E735" s="40">
        <v>30100.0</v>
      </c>
      <c r="F735" s="33" t="s">
        <v>241</v>
      </c>
      <c r="G735" s="33" t="s">
        <v>189</v>
      </c>
      <c r="H735" s="33" t="s">
        <v>189</v>
      </c>
      <c r="I735" s="33" t="s">
        <v>189</v>
      </c>
      <c r="J735" s="33" t="s">
        <v>189</v>
      </c>
      <c r="K735" s="33" t="s">
        <v>252</v>
      </c>
    </row>
    <row r="736" ht="15.75" customHeight="1">
      <c r="A736" s="33" t="s">
        <v>2337</v>
      </c>
      <c r="B736" s="33" t="s">
        <v>850</v>
      </c>
      <c r="C736" s="33" t="s">
        <v>227</v>
      </c>
      <c r="D736" s="39">
        <v>46161.0</v>
      </c>
      <c r="E736" s="40">
        <v>47400.0</v>
      </c>
      <c r="F736" s="33" t="s">
        <v>241</v>
      </c>
      <c r="G736" s="33" t="s">
        <v>181</v>
      </c>
      <c r="H736" s="33" t="s">
        <v>181</v>
      </c>
      <c r="I736" s="33" t="s">
        <v>181</v>
      </c>
      <c r="J736" s="33" t="s">
        <v>181</v>
      </c>
      <c r="K736" s="33" t="s">
        <v>157</v>
      </c>
    </row>
    <row r="737" ht="15.75" customHeight="1">
      <c r="A737" s="33" t="s">
        <v>4081</v>
      </c>
      <c r="B737" s="33" t="s">
        <v>2217</v>
      </c>
      <c r="C737" s="33" t="s">
        <v>247</v>
      </c>
      <c r="D737" s="39">
        <v>45924.0</v>
      </c>
      <c r="E737" s="40">
        <v>38400.0</v>
      </c>
      <c r="F737" s="33" t="s">
        <v>241</v>
      </c>
      <c r="G737" s="33" t="s">
        <v>189</v>
      </c>
      <c r="H737" s="33" t="s">
        <v>189</v>
      </c>
      <c r="I737" s="33" t="s">
        <v>189</v>
      </c>
      <c r="J737" s="33" t="s">
        <v>189</v>
      </c>
      <c r="K737" s="33" t="s">
        <v>252</v>
      </c>
    </row>
    <row r="738" ht="15.75" customHeight="1">
      <c r="A738" s="33" t="s">
        <v>2341</v>
      </c>
      <c r="B738" s="33" t="s">
        <v>225</v>
      </c>
      <c r="C738" s="33" t="s">
        <v>227</v>
      </c>
      <c r="D738" s="39">
        <v>45844.0</v>
      </c>
      <c r="E738" s="40">
        <v>44400.0</v>
      </c>
      <c r="F738" s="33" t="s">
        <v>230</v>
      </c>
      <c r="G738" s="33" t="s">
        <v>181</v>
      </c>
      <c r="H738" s="33" t="s">
        <v>181</v>
      </c>
      <c r="I738" s="33" t="s">
        <v>181</v>
      </c>
      <c r="J738" s="33" t="s">
        <v>181</v>
      </c>
      <c r="K738" s="33" t="s">
        <v>157</v>
      </c>
    </row>
    <row r="739" ht="15.75" customHeight="1">
      <c r="A739" s="33" t="s">
        <v>4087</v>
      </c>
      <c r="B739" s="33" t="s">
        <v>1421</v>
      </c>
      <c r="C739" s="33" t="s">
        <v>247</v>
      </c>
      <c r="D739" s="39">
        <v>45751.0</v>
      </c>
      <c r="E739" s="40">
        <v>18700.0</v>
      </c>
      <c r="F739" s="33" t="s">
        <v>241</v>
      </c>
      <c r="G739" s="33" t="s">
        <v>189</v>
      </c>
      <c r="H739" s="33" t="s">
        <v>189</v>
      </c>
      <c r="I739" s="33" t="s">
        <v>189</v>
      </c>
      <c r="J739" s="33" t="s">
        <v>189</v>
      </c>
      <c r="K739" s="33" t="s">
        <v>252</v>
      </c>
    </row>
    <row r="740" ht="15.75" customHeight="1">
      <c r="A740" s="33" t="s">
        <v>4091</v>
      </c>
      <c r="B740" s="33" t="s">
        <v>3652</v>
      </c>
      <c r="C740" s="33" t="s">
        <v>247</v>
      </c>
      <c r="D740" s="39">
        <v>45957.0</v>
      </c>
      <c r="E740" s="40">
        <v>40700.0</v>
      </c>
      <c r="F740" s="33" t="s">
        <v>230</v>
      </c>
      <c r="G740" s="33" t="s">
        <v>189</v>
      </c>
      <c r="H740" s="33" t="s">
        <v>189</v>
      </c>
      <c r="I740" s="33" t="s">
        <v>189</v>
      </c>
      <c r="J740" s="33" t="s">
        <v>189</v>
      </c>
      <c r="K740" s="33" t="s">
        <v>252</v>
      </c>
    </row>
    <row r="741" ht="15.75" customHeight="1">
      <c r="A741" s="33" t="s">
        <v>2344</v>
      </c>
      <c r="B741" s="33" t="s">
        <v>1640</v>
      </c>
      <c r="C741" s="33" t="s">
        <v>247</v>
      </c>
      <c r="D741" s="39">
        <v>45778.0</v>
      </c>
      <c r="E741" s="40">
        <v>49600.0</v>
      </c>
      <c r="F741" s="33" t="s">
        <v>241</v>
      </c>
      <c r="G741" s="33" t="s">
        <v>181</v>
      </c>
      <c r="H741" s="33" t="s">
        <v>181</v>
      </c>
      <c r="I741" s="33" t="s">
        <v>181</v>
      </c>
      <c r="J741" s="33" t="s">
        <v>181</v>
      </c>
      <c r="K741" s="33" t="s">
        <v>157</v>
      </c>
    </row>
    <row r="742" ht="15.75" customHeight="1">
      <c r="A742" s="33" t="s">
        <v>4097</v>
      </c>
      <c r="B742" s="33" t="s">
        <v>684</v>
      </c>
      <c r="C742" s="33" t="s">
        <v>235</v>
      </c>
      <c r="D742" s="39">
        <v>46165.0</v>
      </c>
      <c r="E742" s="40">
        <v>9000.0</v>
      </c>
      <c r="F742" s="33" t="s">
        <v>241</v>
      </c>
      <c r="G742" s="33" t="s">
        <v>189</v>
      </c>
      <c r="H742" s="33" t="s">
        <v>189</v>
      </c>
      <c r="I742" s="33" t="s">
        <v>189</v>
      </c>
      <c r="J742" s="33" t="s">
        <v>189</v>
      </c>
      <c r="K742" s="33" t="s">
        <v>252</v>
      </c>
    </row>
    <row r="743" ht="15.75" customHeight="1">
      <c r="A743" s="33" t="s">
        <v>4101</v>
      </c>
      <c r="B743" s="33" t="s">
        <v>199</v>
      </c>
      <c r="C743" s="33" t="s">
        <v>247</v>
      </c>
      <c r="D743" s="39">
        <v>45863.0</v>
      </c>
      <c r="E743" s="40">
        <v>26000.0</v>
      </c>
      <c r="F743" s="33" t="s">
        <v>248</v>
      </c>
      <c r="G743" s="33" t="s">
        <v>189</v>
      </c>
      <c r="H743" s="33" t="s">
        <v>189</v>
      </c>
      <c r="I743" s="33" t="s">
        <v>189</v>
      </c>
      <c r="J743" s="33" t="s">
        <v>189</v>
      </c>
      <c r="K743" s="33" t="s">
        <v>252</v>
      </c>
    </row>
    <row r="744" ht="15.75" customHeight="1">
      <c r="A744" s="33" t="s">
        <v>4105</v>
      </c>
      <c r="B744" s="33" t="s">
        <v>936</v>
      </c>
      <c r="C744" s="33" t="s">
        <v>247</v>
      </c>
      <c r="D744" s="39">
        <v>45928.0</v>
      </c>
      <c r="E744" s="40">
        <v>43300.0</v>
      </c>
      <c r="F744" s="33" t="s">
        <v>230</v>
      </c>
      <c r="G744" s="33" t="s">
        <v>181</v>
      </c>
      <c r="H744" s="33" t="s">
        <v>189</v>
      </c>
      <c r="I744" s="33" t="s">
        <v>189</v>
      </c>
      <c r="J744" s="33" t="s">
        <v>189</v>
      </c>
      <c r="K744" s="33" t="s">
        <v>262</v>
      </c>
    </row>
    <row r="745" ht="15.75" customHeight="1">
      <c r="A745" s="33" t="s">
        <v>2349</v>
      </c>
      <c r="B745" s="33" t="s">
        <v>1850</v>
      </c>
      <c r="C745" s="33" t="s">
        <v>247</v>
      </c>
      <c r="D745" s="39">
        <v>46059.0</v>
      </c>
      <c r="E745" s="40">
        <v>20400.0</v>
      </c>
      <c r="F745" s="33" t="s">
        <v>248</v>
      </c>
      <c r="G745" s="33" t="s">
        <v>181</v>
      </c>
      <c r="H745" s="33" t="s">
        <v>181</v>
      </c>
      <c r="I745" s="33" t="s">
        <v>181</v>
      </c>
      <c r="J745" s="33" t="s">
        <v>181</v>
      </c>
      <c r="K745" s="33" t="s">
        <v>157</v>
      </c>
    </row>
    <row r="746" ht="15.75" customHeight="1">
      <c r="A746" s="33" t="s">
        <v>4113</v>
      </c>
      <c r="B746" s="33" t="s">
        <v>952</v>
      </c>
      <c r="C746" s="33" t="s">
        <v>235</v>
      </c>
      <c r="D746" s="39">
        <v>46082.0</v>
      </c>
      <c r="E746" s="40">
        <v>25900.0</v>
      </c>
      <c r="F746" s="33" t="s">
        <v>230</v>
      </c>
      <c r="G746" s="33" t="s">
        <v>181</v>
      </c>
      <c r="H746" s="33" t="s">
        <v>181</v>
      </c>
      <c r="I746" s="33" t="s">
        <v>181</v>
      </c>
      <c r="J746" s="33" t="s">
        <v>189</v>
      </c>
      <c r="K746" s="33" t="s">
        <v>365</v>
      </c>
    </row>
    <row r="747" ht="15.75" customHeight="1">
      <c r="A747" s="33" t="s">
        <v>4116</v>
      </c>
      <c r="B747" s="33" t="s">
        <v>2239</v>
      </c>
      <c r="C747" s="33" t="s">
        <v>227</v>
      </c>
      <c r="D747" s="39">
        <v>45728.0</v>
      </c>
      <c r="E747" s="40">
        <v>37600.0</v>
      </c>
      <c r="F747" s="33" t="s">
        <v>248</v>
      </c>
      <c r="G747" s="33" t="s">
        <v>189</v>
      </c>
      <c r="H747" s="33" t="s">
        <v>189</v>
      </c>
      <c r="I747" s="33" t="s">
        <v>189</v>
      </c>
      <c r="J747" s="33" t="s">
        <v>189</v>
      </c>
      <c r="K747" s="33" t="s">
        <v>252</v>
      </c>
    </row>
    <row r="748" ht="15.75" customHeight="1">
      <c r="A748" s="33" t="s">
        <v>4120</v>
      </c>
      <c r="B748" s="33" t="s">
        <v>2857</v>
      </c>
      <c r="C748" s="33" t="s">
        <v>247</v>
      </c>
      <c r="D748" s="39">
        <v>45704.0</v>
      </c>
      <c r="E748" s="40">
        <v>41400.0</v>
      </c>
      <c r="F748" s="33" t="s">
        <v>241</v>
      </c>
      <c r="G748" s="33" t="s">
        <v>181</v>
      </c>
      <c r="H748" s="33" t="s">
        <v>189</v>
      </c>
      <c r="I748" s="33" t="s">
        <v>189</v>
      </c>
      <c r="J748" s="33" t="s">
        <v>189</v>
      </c>
      <c r="K748" s="33" t="s">
        <v>262</v>
      </c>
    </row>
    <row r="749" ht="15.75" customHeight="1">
      <c r="A749" s="33" t="s">
        <v>4124</v>
      </c>
      <c r="B749" s="33" t="s">
        <v>1850</v>
      </c>
      <c r="C749" s="33" t="s">
        <v>227</v>
      </c>
      <c r="D749" s="39">
        <v>45830.0</v>
      </c>
      <c r="E749" s="40">
        <v>10800.0</v>
      </c>
      <c r="F749" s="33" t="s">
        <v>230</v>
      </c>
      <c r="G749" s="33" t="s">
        <v>181</v>
      </c>
      <c r="H749" s="33" t="s">
        <v>189</v>
      </c>
      <c r="I749" s="33" t="s">
        <v>189</v>
      </c>
      <c r="J749" s="33" t="s">
        <v>189</v>
      </c>
      <c r="K749" s="33" t="s">
        <v>262</v>
      </c>
    </row>
    <row r="750" ht="15.75" customHeight="1">
      <c r="A750" s="33" t="s">
        <v>2352</v>
      </c>
      <c r="B750" s="33" t="s">
        <v>1693</v>
      </c>
      <c r="C750" s="33" t="s">
        <v>247</v>
      </c>
      <c r="D750" s="39">
        <v>46111.0</v>
      </c>
      <c r="E750" s="40">
        <v>20200.0</v>
      </c>
      <c r="F750" s="33" t="s">
        <v>230</v>
      </c>
      <c r="G750" s="33" t="s">
        <v>181</v>
      </c>
      <c r="H750" s="33" t="s">
        <v>181</v>
      </c>
      <c r="I750" s="33" t="s">
        <v>181</v>
      </c>
      <c r="J750" s="33" t="s">
        <v>181</v>
      </c>
      <c r="K750" s="33" t="s">
        <v>157</v>
      </c>
    </row>
    <row r="751" ht="15.75" customHeight="1">
      <c r="A751" s="33" t="s">
        <v>4130</v>
      </c>
      <c r="B751" s="33" t="s">
        <v>2644</v>
      </c>
      <c r="C751" s="33" t="s">
        <v>227</v>
      </c>
      <c r="D751" s="39">
        <v>46179.0</v>
      </c>
      <c r="E751" s="40">
        <v>20300.0</v>
      </c>
      <c r="F751" s="33" t="s">
        <v>241</v>
      </c>
      <c r="G751" s="33" t="s">
        <v>189</v>
      </c>
      <c r="H751" s="33" t="s">
        <v>189</v>
      </c>
      <c r="I751" s="33" t="s">
        <v>189</v>
      </c>
      <c r="J751" s="33" t="s">
        <v>189</v>
      </c>
      <c r="K751" s="33" t="s">
        <v>252</v>
      </c>
    </row>
    <row r="752" ht="15.75" customHeight="1">
      <c r="A752" s="33" t="s">
        <v>4135</v>
      </c>
      <c r="B752" s="33" t="s">
        <v>1890</v>
      </c>
      <c r="C752" s="33" t="s">
        <v>235</v>
      </c>
      <c r="D752" s="39">
        <v>46248.0</v>
      </c>
      <c r="E752" s="40">
        <v>8500.0</v>
      </c>
      <c r="F752" s="33" t="s">
        <v>241</v>
      </c>
      <c r="G752" s="33" t="s">
        <v>181</v>
      </c>
      <c r="H752" s="33" t="s">
        <v>189</v>
      </c>
      <c r="I752" s="33" t="s">
        <v>189</v>
      </c>
      <c r="J752" s="33" t="s">
        <v>189</v>
      </c>
      <c r="K752" s="33" t="s">
        <v>262</v>
      </c>
    </row>
    <row r="753" ht="15.75" customHeight="1">
      <c r="A753" s="33" t="s">
        <v>2356</v>
      </c>
      <c r="B753" s="33" t="s">
        <v>2165</v>
      </c>
      <c r="C753" s="33" t="s">
        <v>247</v>
      </c>
      <c r="D753" s="39">
        <v>45824.0</v>
      </c>
      <c r="E753" s="40">
        <v>5500.0</v>
      </c>
      <c r="F753" s="33" t="s">
        <v>230</v>
      </c>
      <c r="G753" s="33" t="s">
        <v>181</v>
      </c>
      <c r="H753" s="33" t="s">
        <v>181</v>
      </c>
      <c r="I753" s="33" t="s">
        <v>181</v>
      </c>
      <c r="J753" s="33" t="s">
        <v>181</v>
      </c>
      <c r="K753" s="33" t="s">
        <v>157</v>
      </c>
    </row>
    <row r="754" ht="15.75" customHeight="1">
      <c r="A754" s="33" t="s">
        <v>2361</v>
      </c>
      <c r="B754" s="33" t="s">
        <v>1325</v>
      </c>
      <c r="C754" s="33" t="s">
        <v>227</v>
      </c>
      <c r="D754" s="39">
        <v>46121.0</v>
      </c>
      <c r="E754" s="40">
        <v>37500.0</v>
      </c>
      <c r="F754" s="33" t="s">
        <v>241</v>
      </c>
      <c r="G754" s="33" t="s">
        <v>181</v>
      </c>
      <c r="H754" s="33" t="s">
        <v>181</v>
      </c>
      <c r="I754" s="33" t="s">
        <v>181</v>
      </c>
      <c r="J754" s="33" t="s">
        <v>181</v>
      </c>
      <c r="K754" s="33" t="s">
        <v>157</v>
      </c>
    </row>
    <row r="755" ht="15.75" customHeight="1">
      <c r="A755" s="33" t="s">
        <v>4146</v>
      </c>
      <c r="B755" s="33" t="s">
        <v>2886</v>
      </c>
      <c r="C755" s="33" t="s">
        <v>247</v>
      </c>
      <c r="D755" s="39">
        <v>45760.0</v>
      </c>
      <c r="E755" s="40">
        <v>42700.0</v>
      </c>
      <c r="F755" s="33" t="s">
        <v>241</v>
      </c>
      <c r="G755" s="33" t="s">
        <v>181</v>
      </c>
      <c r="H755" s="33" t="s">
        <v>189</v>
      </c>
      <c r="I755" s="33" t="s">
        <v>189</v>
      </c>
      <c r="J755" s="33" t="s">
        <v>189</v>
      </c>
      <c r="K755" s="33" t="s">
        <v>262</v>
      </c>
    </row>
    <row r="756" ht="15.75" customHeight="1">
      <c r="A756" s="33" t="s">
        <v>4149</v>
      </c>
      <c r="B756" s="33" t="s">
        <v>1620</v>
      </c>
      <c r="C756" s="33" t="s">
        <v>247</v>
      </c>
      <c r="D756" s="39">
        <v>45772.0</v>
      </c>
      <c r="E756" s="40">
        <v>47600.0</v>
      </c>
      <c r="F756" s="33" t="s">
        <v>248</v>
      </c>
      <c r="G756" s="33" t="s">
        <v>189</v>
      </c>
      <c r="H756" s="33" t="s">
        <v>189</v>
      </c>
      <c r="I756" s="33" t="s">
        <v>189</v>
      </c>
      <c r="J756" s="33" t="s">
        <v>189</v>
      </c>
      <c r="K756" s="33" t="s">
        <v>252</v>
      </c>
    </row>
    <row r="757" ht="15.75" customHeight="1">
      <c r="A757" s="33" t="s">
        <v>4155</v>
      </c>
      <c r="B757" s="33" t="s">
        <v>1289</v>
      </c>
      <c r="C757" s="33" t="s">
        <v>235</v>
      </c>
      <c r="D757" s="39">
        <v>45981.0</v>
      </c>
      <c r="E757" s="40">
        <v>47900.0</v>
      </c>
      <c r="F757" s="33" t="s">
        <v>248</v>
      </c>
      <c r="G757" s="33" t="s">
        <v>181</v>
      </c>
      <c r="H757" s="33" t="s">
        <v>189</v>
      </c>
      <c r="I757" s="33" t="s">
        <v>189</v>
      </c>
      <c r="J757" s="33" t="s">
        <v>189</v>
      </c>
      <c r="K757" s="33" t="s">
        <v>262</v>
      </c>
    </row>
    <row r="758" ht="15.75" customHeight="1">
      <c r="A758" s="33" t="s">
        <v>4159</v>
      </c>
      <c r="B758" s="33" t="s">
        <v>992</v>
      </c>
      <c r="C758" s="33" t="s">
        <v>247</v>
      </c>
      <c r="D758" s="39">
        <v>45717.0</v>
      </c>
      <c r="E758" s="40">
        <v>49700.0</v>
      </c>
      <c r="F758" s="33" t="s">
        <v>241</v>
      </c>
      <c r="G758" s="33" t="s">
        <v>189</v>
      </c>
      <c r="H758" s="33" t="s">
        <v>189</v>
      </c>
      <c r="I758" s="33" t="s">
        <v>189</v>
      </c>
      <c r="J758" s="33" t="s">
        <v>189</v>
      </c>
      <c r="K758" s="33" t="s">
        <v>252</v>
      </c>
    </row>
    <row r="759" ht="15.75" customHeight="1">
      <c r="A759" s="33" t="s">
        <v>4162</v>
      </c>
      <c r="B759" s="33" t="s">
        <v>1188</v>
      </c>
      <c r="C759" s="33" t="s">
        <v>227</v>
      </c>
      <c r="D759" s="39">
        <v>45678.0</v>
      </c>
      <c r="E759" s="40">
        <v>5100.0</v>
      </c>
      <c r="F759" s="33" t="s">
        <v>248</v>
      </c>
      <c r="G759" s="33" t="s">
        <v>189</v>
      </c>
      <c r="H759" s="33" t="s">
        <v>189</v>
      </c>
      <c r="I759" s="33" t="s">
        <v>189</v>
      </c>
      <c r="J759" s="33" t="s">
        <v>189</v>
      </c>
      <c r="K759" s="33" t="s">
        <v>252</v>
      </c>
    </row>
    <row r="760" ht="15.75" customHeight="1">
      <c r="A760" s="33" t="s">
        <v>4166</v>
      </c>
      <c r="B760" s="33" t="s">
        <v>220</v>
      </c>
      <c r="C760" s="33" t="s">
        <v>235</v>
      </c>
      <c r="D760" s="39">
        <v>46262.0</v>
      </c>
      <c r="E760" s="40">
        <v>20400.0</v>
      </c>
      <c r="F760" s="33" t="s">
        <v>248</v>
      </c>
      <c r="G760" s="33" t="s">
        <v>181</v>
      </c>
      <c r="H760" s="33" t="s">
        <v>189</v>
      </c>
      <c r="I760" s="33" t="s">
        <v>189</v>
      </c>
      <c r="J760" s="33" t="s">
        <v>189</v>
      </c>
      <c r="K760" s="33" t="s">
        <v>262</v>
      </c>
    </row>
    <row r="761" ht="15.75" customHeight="1">
      <c r="A761" s="33" t="s">
        <v>4170</v>
      </c>
      <c r="B761" s="33" t="s">
        <v>398</v>
      </c>
      <c r="C761" s="33" t="s">
        <v>235</v>
      </c>
      <c r="D761" s="39">
        <v>46145.0</v>
      </c>
      <c r="E761" s="40">
        <v>5000.0</v>
      </c>
      <c r="F761" s="33" t="s">
        <v>230</v>
      </c>
      <c r="G761" s="33" t="s">
        <v>181</v>
      </c>
      <c r="H761" s="33" t="s">
        <v>189</v>
      </c>
      <c r="I761" s="33" t="s">
        <v>189</v>
      </c>
      <c r="J761" s="33" t="s">
        <v>189</v>
      </c>
      <c r="K761" s="33" t="s">
        <v>262</v>
      </c>
    </row>
    <row r="762" ht="15.75" customHeight="1">
      <c r="A762" s="33" t="s">
        <v>4174</v>
      </c>
      <c r="B762" s="33" t="s">
        <v>1372</v>
      </c>
      <c r="C762" s="33" t="s">
        <v>235</v>
      </c>
      <c r="D762" s="39">
        <v>46068.0</v>
      </c>
      <c r="E762" s="40">
        <v>34200.0</v>
      </c>
      <c r="F762" s="33" t="s">
        <v>269</v>
      </c>
      <c r="G762" s="33" t="s">
        <v>181</v>
      </c>
      <c r="H762" s="33" t="s">
        <v>189</v>
      </c>
      <c r="I762" s="33" t="s">
        <v>189</v>
      </c>
      <c r="J762" s="33" t="s">
        <v>189</v>
      </c>
      <c r="K762" s="33" t="s">
        <v>262</v>
      </c>
    </row>
    <row r="763" ht="15.75" customHeight="1">
      <c r="A763" s="33" t="s">
        <v>4178</v>
      </c>
      <c r="B763" s="33" t="s">
        <v>2757</v>
      </c>
      <c r="C763" s="33" t="s">
        <v>247</v>
      </c>
      <c r="D763" s="39">
        <v>45793.0</v>
      </c>
      <c r="E763" s="40">
        <v>48600.0</v>
      </c>
      <c r="F763" s="33" t="s">
        <v>241</v>
      </c>
      <c r="G763" s="33" t="s">
        <v>181</v>
      </c>
      <c r="H763" s="33" t="s">
        <v>189</v>
      </c>
      <c r="I763" s="33" t="s">
        <v>189</v>
      </c>
      <c r="J763" s="33" t="s">
        <v>189</v>
      </c>
      <c r="K763" s="33" t="s">
        <v>262</v>
      </c>
    </row>
    <row r="764" ht="15.75" customHeight="1">
      <c r="A764" s="33" t="s">
        <v>4183</v>
      </c>
      <c r="B764" s="33" t="s">
        <v>1325</v>
      </c>
      <c r="C764" s="33" t="s">
        <v>227</v>
      </c>
      <c r="D764" s="39">
        <v>45704.0</v>
      </c>
      <c r="E764" s="40">
        <v>2800.0</v>
      </c>
      <c r="F764" s="33" t="s">
        <v>241</v>
      </c>
      <c r="G764" s="33" t="s">
        <v>189</v>
      </c>
      <c r="H764" s="33" t="s">
        <v>189</v>
      </c>
      <c r="I764" s="33" t="s">
        <v>189</v>
      </c>
      <c r="J764" s="33" t="s">
        <v>189</v>
      </c>
      <c r="K764" s="33" t="s">
        <v>252</v>
      </c>
    </row>
    <row r="765" ht="15.75" customHeight="1">
      <c r="A765" s="33" t="s">
        <v>2365</v>
      </c>
      <c r="B765" s="33" t="s">
        <v>749</v>
      </c>
      <c r="C765" s="33" t="s">
        <v>235</v>
      </c>
      <c r="D765" s="39">
        <v>45738.0</v>
      </c>
      <c r="E765" s="40">
        <v>26800.0</v>
      </c>
      <c r="F765" s="33" t="s">
        <v>230</v>
      </c>
      <c r="G765" s="33" t="s">
        <v>181</v>
      </c>
      <c r="H765" s="33" t="s">
        <v>181</v>
      </c>
      <c r="I765" s="33" t="s">
        <v>181</v>
      </c>
      <c r="J765" s="33" t="s">
        <v>181</v>
      </c>
      <c r="K765" s="33" t="s">
        <v>157</v>
      </c>
    </row>
    <row r="766" ht="15.75" customHeight="1">
      <c r="A766" s="33" t="s">
        <v>4189</v>
      </c>
      <c r="B766" s="33" t="s">
        <v>3857</v>
      </c>
      <c r="C766" s="33" t="s">
        <v>227</v>
      </c>
      <c r="D766" s="39">
        <v>45913.0</v>
      </c>
      <c r="E766" s="40">
        <v>27100.0</v>
      </c>
      <c r="F766" s="33" t="s">
        <v>241</v>
      </c>
      <c r="G766" s="33" t="s">
        <v>181</v>
      </c>
      <c r="H766" s="33" t="s">
        <v>189</v>
      </c>
      <c r="I766" s="33" t="s">
        <v>189</v>
      </c>
      <c r="J766" s="33" t="s">
        <v>189</v>
      </c>
      <c r="K766" s="33" t="s">
        <v>262</v>
      </c>
    </row>
    <row r="767" ht="15.75" customHeight="1">
      <c r="A767" s="33" t="s">
        <v>4192</v>
      </c>
      <c r="B767" s="33" t="s">
        <v>1399</v>
      </c>
      <c r="C767" s="33" t="s">
        <v>227</v>
      </c>
      <c r="D767" s="39">
        <v>46148.0</v>
      </c>
      <c r="E767" s="40">
        <v>9000.0</v>
      </c>
      <c r="F767" s="33" t="s">
        <v>230</v>
      </c>
      <c r="G767" s="33" t="s">
        <v>181</v>
      </c>
      <c r="H767" s="33" t="s">
        <v>189</v>
      </c>
      <c r="I767" s="33" t="s">
        <v>189</v>
      </c>
      <c r="J767" s="33" t="s">
        <v>189</v>
      </c>
      <c r="K767" s="33" t="s">
        <v>262</v>
      </c>
    </row>
    <row r="768" ht="15.75" customHeight="1">
      <c r="A768" s="33" t="s">
        <v>4194</v>
      </c>
      <c r="B768" s="33" t="s">
        <v>2239</v>
      </c>
      <c r="C768" s="33" t="s">
        <v>247</v>
      </c>
      <c r="D768" s="39">
        <v>46018.0</v>
      </c>
      <c r="E768" s="40">
        <v>41800.0</v>
      </c>
      <c r="F768" s="33" t="s">
        <v>269</v>
      </c>
      <c r="G768" s="33" t="s">
        <v>181</v>
      </c>
      <c r="H768" s="33" t="s">
        <v>189</v>
      </c>
      <c r="I768" s="33" t="s">
        <v>189</v>
      </c>
      <c r="J768" s="33" t="s">
        <v>189</v>
      </c>
      <c r="K768" s="33" t="s">
        <v>262</v>
      </c>
    </row>
    <row r="769" ht="15.75" customHeight="1">
      <c r="A769" s="33" t="s">
        <v>2370</v>
      </c>
      <c r="B769" s="33" t="s">
        <v>572</v>
      </c>
      <c r="C769" s="33" t="s">
        <v>247</v>
      </c>
      <c r="D769" s="39">
        <v>46169.0</v>
      </c>
      <c r="E769" s="40">
        <v>20300.0</v>
      </c>
      <c r="F769" s="33" t="s">
        <v>230</v>
      </c>
      <c r="G769" s="33" t="s">
        <v>181</v>
      </c>
      <c r="H769" s="33" t="s">
        <v>181</v>
      </c>
      <c r="I769" s="33" t="s">
        <v>181</v>
      </c>
      <c r="J769" s="33" t="s">
        <v>181</v>
      </c>
      <c r="K769" s="33" t="s">
        <v>157</v>
      </c>
    </row>
    <row r="770" ht="15.75" customHeight="1">
      <c r="A770" s="33" t="s">
        <v>2374</v>
      </c>
      <c r="B770" s="33" t="s">
        <v>1828</v>
      </c>
      <c r="C770" s="33" t="s">
        <v>247</v>
      </c>
      <c r="D770" s="39">
        <v>46209.0</v>
      </c>
      <c r="E770" s="40">
        <v>21600.0</v>
      </c>
      <c r="F770" s="33" t="s">
        <v>241</v>
      </c>
      <c r="G770" s="33" t="s">
        <v>181</v>
      </c>
      <c r="H770" s="33" t="s">
        <v>181</v>
      </c>
      <c r="I770" s="33" t="s">
        <v>181</v>
      </c>
      <c r="J770" s="33" t="s">
        <v>181</v>
      </c>
      <c r="K770" s="33" t="s">
        <v>157</v>
      </c>
    </row>
    <row r="771" ht="15.75" customHeight="1">
      <c r="A771" s="33" t="s">
        <v>4202</v>
      </c>
      <c r="B771" s="33" t="s">
        <v>908</v>
      </c>
      <c r="C771" s="33" t="s">
        <v>247</v>
      </c>
      <c r="D771" s="39">
        <v>46103.0</v>
      </c>
      <c r="E771" s="40">
        <v>48100.0</v>
      </c>
      <c r="F771" s="33" t="s">
        <v>269</v>
      </c>
      <c r="G771" s="33" t="s">
        <v>189</v>
      </c>
      <c r="H771" s="33" t="s">
        <v>189</v>
      </c>
      <c r="I771" s="33" t="s">
        <v>189</v>
      </c>
      <c r="J771" s="33" t="s">
        <v>189</v>
      </c>
      <c r="K771" s="33" t="s">
        <v>252</v>
      </c>
    </row>
    <row r="772" ht="15.75" customHeight="1">
      <c r="A772" s="33" t="s">
        <v>2379</v>
      </c>
      <c r="B772" s="33" t="s">
        <v>1730</v>
      </c>
      <c r="C772" s="33" t="s">
        <v>227</v>
      </c>
      <c r="D772" s="39">
        <v>45718.0</v>
      </c>
      <c r="E772" s="40">
        <v>13100.0</v>
      </c>
      <c r="F772" s="33" t="s">
        <v>269</v>
      </c>
      <c r="G772" s="33" t="s">
        <v>181</v>
      </c>
      <c r="H772" s="33" t="s">
        <v>181</v>
      </c>
      <c r="I772" s="33" t="s">
        <v>181</v>
      </c>
      <c r="J772" s="33" t="s">
        <v>181</v>
      </c>
      <c r="K772" s="33" t="s">
        <v>157</v>
      </c>
    </row>
    <row r="773" ht="15.75" customHeight="1">
      <c r="A773" s="33" t="s">
        <v>2383</v>
      </c>
      <c r="B773" s="33" t="s">
        <v>2023</v>
      </c>
      <c r="C773" s="33" t="s">
        <v>247</v>
      </c>
      <c r="D773" s="39">
        <v>45800.0</v>
      </c>
      <c r="E773" s="40">
        <v>19900.0</v>
      </c>
      <c r="F773" s="33" t="s">
        <v>248</v>
      </c>
      <c r="G773" s="33" t="s">
        <v>181</v>
      </c>
      <c r="H773" s="33" t="s">
        <v>181</v>
      </c>
      <c r="I773" s="33" t="s">
        <v>181</v>
      </c>
      <c r="J773" s="33" t="s">
        <v>181</v>
      </c>
      <c r="K773" s="33" t="s">
        <v>157</v>
      </c>
    </row>
    <row r="774" ht="15.75" customHeight="1">
      <c r="A774" s="33" t="s">
        <v>4210</v>
      </c>
      <c r="B774" s="33" t="s">
        <v>2515</v>
      </c>
      <c r="C774" s="33" t="s">
        <v>235</v>
      </c>
      <c r="D774" s="39">
        <v>45862.0</v>
      </c>
      <c r="E774" s="40">
        <v>38700.0</v>
      </c>
      <c r="F774" s="33" t="s">
        <v>248</v>
      </c>
      <c r="G774" s="33" t="s">
        <v>181</v>
      </c>
      <c r="H774" s="33" t="s">
        <v>189</v>
      </c>
      <c r="I774" s="33" t="s">
        <v>189</v>
      </c>
      <c r="J774" s="33" t="s">
        <v>189</v>
      </c>
      <c r="K774" s="33" t="s">
        <v>262</v>
      </c>
    </row>
    <row r="775" ht="15.75" customHeight="1">
      <c r="A775" s="33" t="s">
        <v>2387</v>
      </c>
      <c r="B775" s="33" t="s">
        <v>627</v>
      </c>
      <c r="C775" s="33" t="s">
        <v>235</v>
      </c>
      <c r="D775" s="39">
        <v>45977.0</v>
      </c>
      <c r="E775" s="40">
        <v>24500.0</v>
      </c>
      <c r="F775" s="33" t="s">
        <v>241</v>
      </c>
      <c r="G775" s="33" t="s">
        <v>181</v>
      </c>
      <c r="H775" s="33" t="s">
        <v>181</v>
      </c>
      <c r="I775" s="33" t="s">
        <v>181</v>
      </c>
      <c r="J775" s="33" t="s">
        <v>181</v>
      </c>
      <c r="K775" s="33" t="s">
        <v>157</v>
      </c>
    </row>
    <row r="776" ht="15.75" customHeight="1">
      <c r="A776" s="33" t="s">
        <v>2391</v>
      </c>
      <c r="B776" s="33" t="s">
        <v>496</v>
      </c>
      <c r="C776" s="33" t="s">
        <v>227</v>
      </c>
      <c r="D776" s="39">
        <v>46139.0</v>
      </c>
      <c r="E776" s="40">
        <v>30600.0</v>
      </c>
      <c r="F776" s="33" t="s">
        <v>248</v>
      </c>
      <c r="G776" s="33" t="s">
        <v>181</v>
      </c>
      <c r="H776" s="33" t="s">
        <v>181</v>
      </c>
      <c r="I776" s="33" t="s">
        <v>181</v>
      </c>
      <c r="J776" s="33" t="s">
        <v>181</v>
      </c>
      <c r="K776" s="33" t="s">
        <v>157</v>
      </c>
    </row>
    <row r="777" ht="15.75" customHeight="1">
      <c r="A777" s="33" t="s">
        <v>2395</v>
      </c>
      <c r="B777" s="33" t="s">
        <v>2362</v>
      </c>
      <c r="C777" s="33" t="s">
        <v>227</v>
      </c>
      <c r="D777" s="39">
        <v>46246.0</v>
      </c>
      <c r="E777" s="40">
        <v>24400.0</v>
      </c>
      <c r="F777" s="33" t="s">
        <v>230</v>
      </c>
      <c r="G777" s="33" t="s">
        <v>181</v>
      </c>
      <c r="H777" s="33" t="s">
        <v>181</v>
      </c>
      <c r="I777" s="33" t="s">
        <v>181</v>
      </c>
      <c r="J777" s="33" t="s">
        <v>181</v>
      </c>
      <c r="K777" s="33" t="s">
        <v>157</v>
      </c>
    </row>
    <row r="778" ht="15.75" customHeight="1">
      <c r="A778" s="33" t="s">
        <v>4222</v>
      </c>
      <c r="B778" s="33" t="s">
        <v>297</v>
      </c>
      <c r="C778" s="33" t="s">
        <v>227</v>
      </c>
      <c r="D778" s="39">
        <v>46254.0</v>
      </c>
      <c r="E778" s="40">
        <v>14900.0</v>
      </c>
      <c r="F778" s="33" t="s">
        <v>248</v>
      </c>
      <c r="G778" s="33" t="s">
        <v>181</v>
      </c>
      <c r="H778" s="33" t="s">
        <v>181</v>
      </c>
      <c r="I778" s="33" t="s">
        <v>181</v>
      </c>
      <c r="J778" s="33" t="s">
        <v>189</v>
      </c>
      <c r="K778" s="33" t="s">
        <v>365</v>
      </c>
    </row>
    <row r="779" ht="15.75" customHeight="1">
      <c r="A779" s="33" t="s">
        <v>2400</v>
      </c>
      <c r="B779" s="33" t="s">
        <v>879</v>
      </c>
      <c r="C779" s="33" t="s">
        <v>247</v>
      </c>
      <c r="D779" s="39">
        <v>45948.0</v>
      </c>
      <c r="E779" s="40">
        <v>9000.0</v>
      </c>
      <c r="F779" s="33" t="s">
        <v>230</v>
      </c>
      <c r="G779" s="33" t="s">
        <v>181</v>
      </c>
      <c r="H779" s="33" t="s">
        <v>181</v>
      </c>
      <c r="I779" s="33" t="s">
        <v>181</v>
      </c>
      <c r="J779" s="33" t="s">
        <v>181</v>
      </c>
      <c r="K779" s="33" t="s">
        <v>157</v>
      </c>
    </row>
    <row r="780" ht="15.75" customHeight="1">
      <c r="A780" s="33" t="s">
        <v>4229</v>
      </c>
      <c r="B780" s="33" t="s">
        <v>765</v>
      </c>
      <c r="C780" s="33" t="s">
        <v>247</v>
      </c>
      <c r="D780" s="39">
        <v>46259.0</v>
      </c>
      <c r="E780" s="40">
        <v>42700.0</v>
      </c>
      <c r="F780" s="33" t="s">
        <v>230</v>
      </c>
      <c r="G780" s="33" t="s">
        <v>189</v>
      </c>
      <c r="H780" s="33" t="s">
        <v>189</v>
      </c>
      <c r="I780" s="33" t="s">
        <v>189</v>
      </c>
      <c r="J780" s="33" t="s">
        <v>189</v>
      </c>
      <c r="K780" s="33" t="s">
        <v>252</v>
      </c>
    </row>
    <row r="781" ht="15.75" customHeight="1">
      <c r="A781" s="33" t="s">
        <v>2403</v>
      </c>
      <c r="B781" s="33" t="s">
        <v>1649</v>
      </c>
      <c r="C781" s="33" t="s">
        <v>247</v>
      </c>
      <c r="D781" s="39">
        <v>46234.0</v>
      </c>
      <c r="E781" s="40">
        <v>14500.0</v>
      </c>
      <c r="F781" s="33" t="s">
        <v>248</v>
      </c>
      <c r="G781" s="33" t="s">
        <v>181</v>
      </c>
      <c r="H781" s="33" t="s">
        <v>181</v>
      </c>
      <c r="I781" s="33" t="s">
        <v>181</v>
      </c>
      <c r="J781" s="33" t="s">
        <v>181</v>
      </c>
      <c r="K781" s="33" t="s">
        <v>157</v>
      </c>
    </row>
    <row r="782" ht="15.75" customHeight="1">
      <c r="A782" s="33" t="s">
        <v>4236</v>
      </c>
      <c r="B782" s="33" t="s">
        <v>2715</v>
      </c>
      <c r="C782" s="33" t="s">
        <v>227</v>
      </c>
      <c r="D782" s="39">
        <v>45759.0</v>
      </c>
      <c r="E782" s="40">
        <v>49900.0</v>
      </c>
      <c r="F782" s="33" t="s">
        <v>230</v>
      </c>
      <c r="G782" s="33" t="s">
        <v>181</v>
      </c>
      <c r="H782" s="33" t="s">
        <v>189</v>
      </c>
      <c r="I782" s="33" t="s">
        <v>189</v>
      </c>
      <c r="J782" s="33" t="s">
        <v>189</v>
      </c>
      <c r="K782" s="33" t="s">
        <v>262</v>
      </c>
    </row>
    <row r="783" ht="15.75" customHeight="1">
      <c r="A783" s="33" t="s">
        <v>4239</v>
      </c>
      <c r="B783" s="33" t="s">
        <v>2610</v>
      </c>
      <c r="C783" s="33" t="s">
        <v>247</v>
      </c>
      <c r="D783" s="39">
        <v>46068.0</v>
      </c>
      <c r="E783" s="40">
        <v>1500.0</v>
      </c>
      <c r="F783" s="33" t="s">
        <v>230</v>
      </c>
      <c r="G783" s="33" t="s">
        <v>181</v>
      </c>
      <c r="H783" s="33" t="s">
        <v>189</v>
      </c>
      <c r="I783" s="33" t="s">
        <v>189</v>
      </c>
      <c r="J783" s="33" t="s">
        <v>189</v>
      </c>
      <c r="K783" s="33" t="s">
        <v>262</v>
      </c>
    </row>
    <row r="784" ht="15.75" customHeight="1">
      <c r="A784" s="33" t="s">
        <v>2407</v>
      </c>
      <c r="B784" s="33" t="s">
        <v>2165</v>
      </c>
      <c r="C784" s="33" t="s">
        <v>247</v>
      </c>
      <c r="D784" s="39">
        <v>45924.0</v>
      </c>
      <c r="E784" s="40">
        <v>44200.0</v>
      </c>
      <c r="F784" s="33" t="s">
        <v>269</v>
      </c>
      <c r="G784" s="33" t="s">
        <v>181</v>
      </c>
      <c r="H784" s="33" t="s">
        <v>181</v>
      </c>
      <c r="I784" s="33" t="s">
        <v>181</v>
      </c>
      <c r="J784" s="33" t="s">
        <v>181</v>
      </c>
      <c r="K784" s="33" t="s">
        <v>157</v>
      </c>
    </row>
    <row r="785" ht="15.75" customHeight="1">
      <c r="A785" s="33" t="s">
        <v>4248</v>
      </c>
      <c r="B785" s="33" t="s">
        <v>749</v>
      </c>
      <c r="C785" s="33" t="s">
        <v>247</v>
      </c>
      <c r="D785" s="39">
        <v>46170.0</v>
      </c>
      <c r="E785" s="40">
        <v>47400.0</v>
      </c>
      <c r="F785" s="33" t="s">
        <v>248</v>
      </c>
      <c r="G785" s="33" t="s">
        <v>181</v>
      </c>
      <c r="H785" s="33" t="s">
        <v>181</v>
      </c>
      <c r="I785" s="33" t="s">
        <v>181</v>
      </c>
      <c r="J785" s="33" t="s">
        <v>189</v>
      </c>
      <c r="K785" s="33" t="s">
        <v>365</v>
      </c>
    </row>
    <row r="786" ht="15.75" customHeight="1">
      <c r="A786" s="33" t="s">
        <v>2411</v>
      </c>
      <c r="B786" s="33" t="s">
        <v>397</v>
      </c>
      <c r="C786" s="33" t="s">
        <v>227</v>
      </c>
      <c r="D786" s="39">
        <v>46184.0</v>
      </c>
      <c r="E786" s="40">
        <v>3900.0</v>
      </c>
      <c r="F786" s="33" t="s">
        <v>241</v>
      </c>
      <c r="G786" s="33" t="s">
        <v>181</v>
      </c>
      <c r="H786" s="33" t="s">
        <v>181</v>
      </c>
      <c r="I786" s="33" t="s">
        <v>181</v>
      </c>
      <c r="J786" s="33" t="s">
        <v>181</v>
      </c>
      <c r="K786" s="33" t="s">
        <v>157</v>
      </c>
    </row>
    <row r="787" ht="15.75" customHeight="1">
      <c r="A787" s="33" t="s">
        <v>2415</v>
      </c>
      <c r="B787" s="33" t="s">
        <v>391</v>
      </c>
      <c r="C787" s="33" t="s">
        <v>247</v>
      </c>
      <c r="D787" s="39">
        <v>45774.0</v>
      </c>
      <c r="E787" s="40">
        <v>31800.0</v>
      </c>
      <c r="F787" s="33" t="s">
        <v>269</v>
      </c>
      <c r="G787" s="33" t="s">
        <v>181</v>
      </c>
      <c r="H787" s="33" t="s">
        <v>181</v>
      </c>
      <c r="I787" s="33" t="s">
        <v>181</v>
      </c>
      <c r="J787" s="33" t="s">
        <v>181</v>
      </c>
      <c r="K787" s="33" t="s">
        <v>157</v>
      </c>
    </row>
    <row r="788" ht="15.75" customHeight="1">
      <c r="A788" s="33" t="s">
        <v>2420</v>
      </c>
      <c r="B788" s="33" t="s">
        <v>1661</v>
      </c>
      <c r="C788" s="33" t="s">
        <v>235</v>
      </c>
      <c r="D788" s="39">
        <v>46024.0</v>
      </c>
      <c r="E788" s="40">
        <v>39400.0</v>
      </c>
      <c r="F788" s="33" t="s">
        <v>230</v>
      </c>
      <c r="G788" s="33" t="s">
        <v>181</v>
      </c>
      <c r="H788" s="33" t="s">
        <v>181</v>
      </c>
      <c r="I788" s="33" t="s">
        <v>181</v>
      </c>
      <c r="J788" s="33" t="s">
        <v>181</v>
      </c>
      <c r="K788" s="33" t="s">
        <v>157</v>
      </c>
    </row>
    <row r="789" ht="15.75" customHeight="1">
      <c r="A789" s="33" t="s">
        <v>4259</v>
      </c>
      <c r="B789" s="33" t="s">
        <v>1785</v>
      </c>
      <c r="C789" s="33" t="s">
        <v>247</v>
      </c>
      <c r="D789" s="39">
        <v>46220.0</v>
      </c>
      <c r="E789" s="40">
        <v>31200.0</v>
      </c>
      <c r="F789" s="33" t="s">
        <v>241</v>
      </c>
      <c r="G789" s="33" t="s">
        <v>181</v>
      </c>
      <c r="H789" s="33" t="s">
        <v>189</v>
      </c>
      <c r="I789" s="33" t="s">
        <v>189</v>
      </c>
      <c r="J789" s="33" t="s">
        <v>189</v>
      </c>
      <c r="K789" s="33" t="s">
        <v>262</v>
      </c>
    </row>
    <row r="790" ht="15.75" customHeight="1">
      <c r="A790" s="33" t="s">
        <v>4262</v>
      </c>
      <c r="B790" s="33" t="s">
        <v>312</v>
      </c>
      <c r="C790" s="33" t="s">
        <v>247</v>
      </c>
      <c r="D790" s="39">
        <v>46063.0</v>
      </c>
      <c r="E790" s="40">
        <v>44100.0</v>
      </c>
      <c r="F790" s="33" t="s">
        <v>248</v>
      </c>
      <c r="G790" s="33" t="s">
        <v>189</v>
      </c>
      <c r="H790" s="33" t="s">
        <v>189</v>
      </c>
      <c r="I790" s="33" t="s">
        <v>189</v>
      </c>
      <c r="J790" s="33" t="s">
        <v>189</v>
      </c>
      <c r="K790" s="33" t="s">
        <v>252</v>
      </c>
    </row>
    <row r="791" ht="15.75" customHeight="1">
      <c r="A791" s="33" t="s">
        <v>4266</v>
      </c>
      <c r="B791" s="33" t="s">
        <v>602</v>
      </c>
      <c r="C791" s="33" t="s">
        <v>227</v>
      </c>
      <c r="D791" s="39">
        <v>46175.0</v>
      </c>
      <c r="E791" s="40">
        <v>7500.0</v>
      </c>
      <c r="F791" s="33" t="s">
        <v>230</v>
      </c>
      <c r="G791" s="33" t="s">
        <v>189</v>
      </c>
      <c r="H791" s="33" t="s">
        <v>189</v>
      </c>
      <c r="I791" s="33" t="s">
        <v>189</v>
      </c>
      <c r="J791" s="33" t="s">
        <v>189</v>
      </c>
      <c r="K791" s="33" t="s">
        <v>252</v>
      </c>
    </row>
    <row r="792" ht="15.75" customHeight="1">
      <c r="A792" s="33" t="s">
        <v>2423</v>
      </c>
      <c r="B792" s="33" t="s">
        <v>369</v>
      </c>
      <c r="C792" s="33" t="s">
        <v>227</v>
      </c>
      <c r="D792" s="39">
        <v>46097.0</v>
      </c>
      <c r="E792" s="40">
        <v>47500.0</v>
      </c>
      <c r="F792" s="33" t="s">
        <v>248</v>
      </c>
      <c r="G792" s="33" t="s">
        <v>181</v>
      </c>
      <c r="H792" s="33" t="s">
        <v>181</v>
      </c>
      <c r="I792" s="33" t="s">
        <v>181</v>
      </c>
      <c r="J792" s="33" t="s">
        <v>181</v>
      </c>
      <c r="K792" s="33" t="s">
        <v>157</v>
      </c>
    </row>
    <row r="793" ht="15.75" customHeight="1">
      <c r="A793" s="33" t="s">
        <v>4273</v>
      </c>
      <c r="B793" s="33" t="s">
        <v>1372</v>
      </c>
      <c r="C793" s="33" t="s">
        <v>227</v>
      </c>
      <c r="D793" s="39">
        <v>46134.0</v>
      </c>
      <c r="E793" s="40">
        <v>28000.0</v>
      </c>
      <c r="F793" s="33" t="s">
        <v>230</v>
      </c>
      <c r="G793" s="33" t="s">
        <v>181</v>
      </c>
      <c r="H793" s="33" t="s">
        <v>189</v>
      </c>
      <c r="I793" s="33" t="s">
        <v>189</v>
      </c>
      <c r="J793" s="33" t="s">
        <v>189</v>
      </c>
      <c r="K793" s="33" t="s">
        <v>262</v>
      </c>
    </row>
    <row r="794" ht="15.75" customHeight="1">
      <c r="A794" s="33" t="s">
        <v>2427</v>
      </c>
      <c r="B794" s="33" t="s">
        <v>1926</v>
      </c>
      <c r="C794" s="33" t="s">
        <v>227</v>
      </c>
      <c r="D794" s="39">
        <v>46172.0</v>
      </c>
      <c r="E794" s="40">
        <v>17900.0</v>
      </c>
      <c r="F794" s="33" t="s">
        <v>269</v>
      </c>
      <c r="G794" s="33" t="s">
        <v>181</v>
      </c>
      <c r="H794" s="33" t="s">
        <v>181</v>
      </c>
      <c r="I794" s="33" t="s">
        <v>181</v>
      </c>
      <c r="J794" s="33" t="s">
        <v>181</v>
      </c>
      <c r="K794" s="33" t="s">
        <v>157</v>
      </c>
    </row>
    <row r="795" ht="15.75" customHeight="1">
      <c r="A795" s="33" t="s">
        <v>4279</v>
      </c>
      <c r="B795" s="33" t="s">
        <v>2526</v>
      </c>
      <c r="C795" s="33" t="s">
        <v>227</v>
      </c>
      <c r="D795" s="39">
        <v>46229.0</v>
      </c>
      <c r="E795" s="40">
        <v>26700.0</v>
      </c>
      <c r="F795" s="33" t="s">
        <v>248</v>
      </c>
      <c r="G795" s="33" t="s">
        <v>189</v>
      </c>
      <c r="H795" s="33" t="s">
        <v>189</v>
      </c>
      <c r="I795" s="33" t="s">
        <v>189</v>
      </c>
      <c r="J795" s="33" t="s">
        <v>189</v>
      </c>
      <c r="K795" s="33" t="s">
        <v>252</v>
      </c>
    </row>
    <row r="796" ht="15.75" customHeight="1">
      <c r="A796" s="33" t="s">
        <v>4282</v>
      </c>
      <c r="B796" s="33" t="s">
        <v>1309</v>
      </c>
      <c r="C796" s="33" t="s">
        <v>247</v>
      </c>
      <c r="D796" s="39">
        <v>45778.0</v>
      </c>
      <c r="E796" s="40">
        <v>17600.0</v>
      </c>
      <c r="F796" s="33" t="s">
        <v>230</v>
      </c>
      <c r="G796" s="33" t="s">
        <v>189</v>
      </c>
      <c r="H796" s="33" t="s">
        <v>189</v>
      </c>
      <c r="I796" s="33" t="s">
        <v>189</v>
      </c>
      <c r="J796" s="33" t="s">
        <v>189</v>
      </c>
      <c r="K796" s="33" t="s">
        <v>252</v>
      </c>
    </row>
    <row r="797" ht="15.75" customHeight="1">
      <c r="A797" s="33" t="s">
        <v>2432</v>
      </c>
      <c r="B797" s="33" t="s">
        <v>1792</v>
      </c>
      <c r="C797" s="33" t="s">
        <v>227</v>
      </c>
      <c r="D797" s="39">
        <v>46136.0</v>
      </c>
      <c r="E797" s="40">
        <v>23300.0</v>
      </c>
      <c r="F797" s="33" t="s">
        <v>241</v>
      </c>
      <c r="G797" s="33" t="s">
        <v>181</v>
      </c>
      <c r="H797" s="33" t="s">
        <v>181</v>
      </c>
      <c r="I797" s="33" t="s">
        <v>181</v>
      </c>
      <c r="J797" s="33" t="s">
        <v>181</v>
      </c>
      <c r="K797" s="33" t="s">
        <v>157</v>
      </c>
    </row>
    <row r="798" ht="15.75" customHeight="1">
      <c r="A798" s="33" t="s">
        <v>2436</v>
      </c>
      <c r="B798" s="33" t="s">
        <v>1056</v>
      </c>
      <c r="C798" s="33" t="s">
        <v>235</v>
      </c>
      <c r="D798" s="39">
        <v>45891.0</v>
      </c>
      <c r="E798" s="40">
        <v>8700.0</v>
      </c>
      <c r="F798" s="33" t="s">
        <v>230</v>
      </c>
      <c r="G798" s="33" t="s">
        <v>181</v>
      </c>
      <c r="H798" s="33" t="s">
        <v>181</v>
      </c>
      <c r="I798" s="33" t="s">
        <v>181</v>
      </c>
      <c r="J798" s="33" t="s">
        <v>181</v>
      </c>
      <c r="K798" s="33" t="s">
        <v>157</v>
      </c>
    </row>
    <row r="799" ht="15.75" customHeight="1">
      <c r="A799" s="33" t="s">
        <v>2439</v>
      </c>
      <c r="B799" s="33" t="s">
        <v>533</v>
      </c>
      <c r="C799" s="33" t="s">
        <v>227</v>
      </c>
      <c r="D799" s="39">
        <v>46008.0</v>
      </c>
      <c r="E799" s="40">
        <v>42400.0</v>
      </c>
      <c r="F799" s="33" t="s">
        <v>230</v>
      </c>
      <c r="G799" s="33" t="s">
        <v>181</v>
      </c>
      <c r="H799" s="33" t="s">
        <v>181</v>
      </c>
      <c r="I799" s="33" t="s">
        <v>181</v>
      </c>
      <c r="J799" s="33" t="s">
        <v>181</v>
      </c>
      <c r="K799" s="33" t="s">
        <v>157</v>
      </c>
    </row>
    <row r="800" ht="15.75" customHeight="1">
      <c r="A800" s="33" t="s">
        <v>2442</v>
      </c>
      <c r="B800" s="33" t="s">
        <v>2168</v>
      </c>
      <c r="C800" s="33" t="s">
        <v>227</v>
      </c>
      <c r="D800" s="39">
        <v>46056.0</v>
      </c>
      <c r="E800" s="40">
        <v>20100.0</v>
      </c>
      <c r="F800" s="33" t="s">
        <v>230</v>
      </c>
      <c r="G800" s="33" t="s">
        <v>181</v>
      </c>
      <c r="H800" s="33" t="s">
        <v>181</v>
      </c>
      <c r="I800" s="33" t="s">
        <v>181</v>
      </c>
      <c r="J800" s="33" t="s">
        <v>181</v>
      </c>
      <c r="K800" s="33" t="s">
        <v>157</v>
      </c>
    </row>
    <row r="801" ht="15.75" customHeight="1">
      <c r="A801" s="33" t="s">
        <v>2449</v>
      </c>
      <c r="B801" s="33" t="s">
        <v>2447</v>
      </c>
      <c r="C801" s="33" t="s">
        <v>227</v>
      </c>
      <c r="D801" s="39">
        <v>46051.0</v>
      </c>
      <c r="E801" s="40">
        <v>23900.0</v>
      </c>
      <c r="F801" s="33" t="s">
        <v>230</v>
      </c>
      <c r="G801" s="33" t="s">
        <v>181</v>
      </c>
      <c r="H801" s="33" t="s">
        <v>181</v>
      </c>
      <c r="I801" s="33" t="s">
        <v>181</v>
      </c>
      <c r="J801" s="33" t="s">
        <v>181</v>
      </c>
      <c r="K801" s="33" t="s">
        <v>157</v>
      </c>
    </row>
    <row r="802" ht="15.75" customHeight="1">
      <c r="A802" s="33" t="s">
        <v>2452</v>
      </c>
      <c r="B802" s="33" t="s">
        <v>825</v>
      </c>
      <c r="C802" s="33" t="s">
        <v>227</v>
      </c>
      <c r="D802" s="39">
        <v>45777.0</v>
      </c>
      <c r="E802" s="40">
        <v>45600.0</v>
      </c>
      <c r="F802" s="33" t="s">
        <v>248</v>
      </c>
      <c r="G802" s="33" t="s">
        <v>181</v>
      </c>
      <c r="H802" s="33" t="s">
        <v>181</v>
      </c>
      <c r="I802" s="33" t="s">
        <v>181</v>
      </c>
      <c r="J802" s="33" t="s">
        <v>181</v>
      </c>
      <c r="K802" s="33" t="s">
        <v>157</v>
      </c>
    </row>
    <row r="803" ht="15.75" customHeight="1">
      <c r="A803" s="33" t="s">
        <v>4304</v>
      </c>
      <c r="B803" s="33" t="s">
        <v>2559</v>
      </c>
      <c r="C803" s="33" t="s">
        <v>247</v>
      </c>
      <c r="D803" s="39">
        <v>46156.0</v>
      </c>
      <c r="E803" s="40">
        <v>45400.0</v>
      </c>
      <c r="F803" s="33" t="s">
        <v>230</v>
      </c>
      <c r="G803" s="33" t="s">
        <v>181</v>
      </c>
      <c r="H803" s="33" t="s">
        <v>181</v>
      </c>
      <c r="I803" s="33" t="s">
        <v>181</v>
      </c>
      <c r="J803" s="33" t="s">
        <v>189</v>
      </c>
      <c r="K803" s="33" t="s">
        <v>365</v>
      </c>
    </row>
    <row r="804" ht="15.75" customHeight="1">
      <c r="A804" s="33" t="s">
        <v>2457</v>
      </c>
      <c r="B804" s="33" t="s">
        <v>2456</v>
      </c>
      <c r="C804" s="33" t="s">
        <v>247</v>
      </c>
      <c r="D804" s="39">
        <v>46092.0</v>
      </c>
      <c r="E804" s="40">
        <v>39600.0</v>
      </c>
      <c r="F804" s="33" t="s">
        <v>230</v>
      </c>
      <c r="G804" s="33" t="s">
        <v>181</v>
      </c>
      <c r="H804" s="33" t="s">
        <v>181</v>
      </c>
      <c r="I804" s="33" t="s">
        <v>181</v>
      </c>
      <c r="J804" s="33" t="s">
        <v>181</v>
      </c>
      <c r="K804" s="33" t="s">
        <v>157</v>
      </c>
    </row>
    <row r="805" ht="15.75" customHeight="1">
      <c r="A805" s="33" t="s">
        <v>2461</v>
      </c>
      <c r="B805" s="33" t="s">
        <v>1856</v>
      </c>
      <c r="C805" s="33" t="s">
        <v>247</v>
      </c>
      <c r="D805" s="39">
        <v>46112.0</v>
      </c>
      <c r="E805" s="40">
        <v>2500.0</v>
      </c>
      <c r="F805" s="33" t="s">
        <v>248</v>
      </c>
      <c r="G805" s="33" t="s">
        <v>181</v>
      </c>
      <c r="H805" s="33" t="s">
        <v>181</v>
      </c>
      <c r="I805" s="33" t="s">
        <v>181</v>
      </c>
      <c r="J805" s="33" t="s">
        <v>181</v>
      </c>
      <c r="K805" s="33" t="s">
        <v>157</v>
      </c>
    </row>
    <row r="806" ht="15.75" customHeight="1">
      <c r="A806" s="33" t="s">
        <v>4314</v>
      </c>
      <c r="B806" s="33" t="s">
        <v>2211</v>
      </c>
      <c r="C806" s="33" t="s">
        <v>235</v>
      </c>
      <c r="D806" s="39">
        <v>46032.0</v>
      </c>
      <c r="E806" s="40">
        <v>45400.0</v>
      </c>
      <c r="F806" s="33" t="s">
        <v>230</v>
      </c>
      <c r="G806" s="33" t="s">
        <v>181</v>
      </c>
      <c r="H806" s="33" t="s">
        <v>189</v>
      </c>
      <c r="I806" s="33" t="s">
        <v>189</v>
      </c>
      <c r="J806" s="33" t="s">
        <v>189</v>
      </c>
      <c r="K806" s="33" t="s">
        <v>262</v>
      </c>
    </row>
    <row r="807" ht="15.75" customHeight="1">
      <c r="A807" s="33" t="s">
        <v>2466</v>
      </c>
      <c r="B807" s="33" t="s">
        <v>876</v>
      </c>
      <c r="C807" s="33" t="s">
        <v>227</v>
      </c>
      <c r="D807" s="39">
        <v>46017.0</v>
      </c>
      <c r="E807" s="40">
        <v>10200.0</v>
      </c>
      <c r="F807" s="33" t="s">
        <v>230</v>
      </c>
      <c r="G807" s="33" t="s">
        <v>181</v>
      </c>
      <c r="H807" s="33" t="s">
        <v>181</v>
      </c>
      <c r="I807" s="33" t="s">
        <v>181</v>
      </c>
      <c r="J807" s="33" t="s">
        <v>181</v>
      </c>
      <c r="K807" s="33" t="s">
        <v>157</v>
      </c>
    </row>
    <row r="808" ht="15.75" customHeight="1">
      <c r="A808" s="33" t="s">
        <v>2470</v>
      </c>
      <c r="B808" s="33" t="s">
        <v>2469</v>
      </c>
      <c r="C808" s="33" t="s">
        <v>247</v>
      </c>
      <c r="D808" s="39">
        <v>45826.0</v>
      </c>
      <c r="E808" s="40">
        <v>22500.0</v>
      </c>
      <c r="F808" s="33" t="s">
        <v>230</v>
      </c>
      <c r="G808" s="33" t="s">
        <v>181</v>
      </c>
      <c r="H808" s="33" t="s">
        <v>181</v>
      </c>
      <c r="I808" s="33" t="s">
        <v>181</v>
      </c>
      <c r="J808" s="33" t="s">
        <v>181</v>
      </c>
      <c r="K808" s="33" t="s">
        <v>157</v>
      </c>
    </row>
    <row r="809" ht="15.75" customHeight="1">
      <c r="A809" s="33" t="s">
        <v>4323</v>
      </c>
      <c r="B809" s="33" t="s">
        <v>4325</v>
      </c>
      <c r="C809" s="33" t="s">
        <v>227</v>
      </c>
      <c r="D809" s="39">
        <v>46021.0</v>
      </c>
      <c r="E809" s="40">
        <v>45200.0</v>
      </c>
      <c r="F809" s="33" t="s">
        <v>230</v>
      </c>
      <c r="G809" s="33" t="s">
        <v>181</v>
      </c>
      <c r="H809" s="33" t="s">
        <v>189</v>
      </c>
      <c r="I809" s="33" t="s">
        <v>189</v>
      </c>
      <c r="J809" s="33" t="s">
        <v>189</v>
      </c>
      <c r="K809" s="33" t="s">
        <v>262</v>
      </c>
    </row>
    <row r="810" ht="15.75" customHeight="1">
      <c r="A810" s="33" t="s">
        <v>2476</v>
      </c>
      <c r="B810" s="33" t="s">
        <v>890</v>
      </c>
      <c r="C810" s="33" t="s">
        <v>227</v>
      </c>
      <c r="D810" s="39">
        <v>45828.0</v>
      </c>
      <c r="E810" s="40">
        <v>5700.0</v>
      </c>
      <c r="F810" s="33" t="s">
        <v>230</v>
      </c>
      <c r="G810" s="33" t="s">
        <v>181</v>
      </c>
      <c r="H810" s="33" t="s">
        <v>181</v>
      </c>
      <c r="I810" s="33" t="s">
        <v>181</v>
      </c>
      <c r="J810" s="33" t="s">
        <v>181</v>
      </c>
      <c r="K810" s="33" t="s">
        <v>157</v>
      </c>
    </row>
    <row r="811" ht="15.75" customHeight="1">
      <c r="A811" s="33" t="s">
        <v>2481</v>
      </c>
      <c r="B811" s="33" t="s">
        <v>1485</v>
      </c>
      <c r="C811" s="33" t="s">
        <v>227</v>
      </c>
      <c r="D811" s="39">
        <v>46192.0</v>
      </c>
      <c r="E811" s="40">
        <v>7500.0</v>
      </c>
      <c r="F811" s="33" t="s">
        <v>241</v>
      </c>
      <c r="G811" s="33" t="s">
        <v>181</v>
      </c>
      <c r="H811" s="33" t="s">
        <v>181</v>
      </c>
      <c r="I811" s="33" t="s">
        <v>181</v>
      </c>
      <c r="J811" s="33" t="s">
        <v>181</v>
      </c>
      <c r="K811" s="33" t="s">
        <v>157</v>
      </c>
    </row>
    <row r="812" ht="15.75" customHeight="1">
      <c r="A812" s="33" t="s">
        <v>4333</v>
      </c>
      <c r="B812" s="33" t="s">
        <v>4258</v>
      </c>
      <c r="C812" s="33" t="s">
        <v>247</v>
      </c>
      <c r="D812" s="39">
        <v>45688.0</v>
      </c>
      <c r="E812" s="40">
        <v>29200.0</v>
      </c>
      <c r="F812" s="33" t="s">
        <v>230</v>
      </c>
      <c r="G812" s="33" t="s">
        <v>181</v>
      </c>
      <c r="H812" s="33" t="s">
        <v>181</v>
      </c>
      <c r="I812" s="33" t="s">
        <v>181</v>
      </c>
      <c r="J812" s="33" t="s">
        <v>189</v>
      </c>
      <c r="K812" s="33" t="s">
        <v>365</v>
      </c>
    </row>
    <row r="813" ht="15.75" customHeight="1">
      <c r="A813" s="33" t="s">
        <v>4337</v>
      </c>
      <c r="B813" s="33" t="s">
        <v>1340</v>
      </c>
      <c r="C813" s="33" t="s">
        <v>235</v>
      </c>
      <c r="D813" s="39">
        <v>45664.0</v>
      </c>
      <c r="E813" s="40">
        <v>23900.0</v>
      </c>
      <c r="F813" s="33" t="s">
        <v>230</v>
      </c>
      <c r="G813" s="33" t="s">
        <v>181</v>
      </c>
      <c r="H813" s="33" t="s">
        <v>189</v>
      </c>
      <c r="I813" s="33" t="s">
        <v>189</v>
      </c>
      <c r="J813" s="33" t="s">
        <v>189</v>
      </c>
      <c r="K813" s="33" t="s">
        <v>262</v>
      </c>
    </row>
    <row r="814" ht="15.75" customHeight="1">
      <c r="A814" s="33" t="s">
        <v>4340</v>
      </c>
      <c r="B814" s="33" t="s">
        <v>1850</v>
      </c>
      <c r="C814" s="33" t="s">
        <v>227</v>
      </c>
      <c r="D814" s="39">
        <v>46100.0</v>
      </c>
      <c r="E814" s="40">
        <v>20100.0</v>
      </c>
      <c r="F814" s="33" t="s">
        <v>230</v>
      </c>
      <c r="G814" s="33" t="s">
        <v>181</v>
      </c>
      <c r="H814" s="33" t="s">
        <v>189</v>
      </c>
      <c r="I814" s="33" t="s">
        <v>189</v>
      </c>
      <c r="J814" s="33" t="s">
        <v>189</v>
      </c>
      <c r="K814" s="33" t="s">
        <v>262</v>
      </c>
    </row>
    <row r="815" ht="15.75" customHeight="1">
      <c r="A815" s="33" t="s">
        <v>4344</v>
      </c>
      <c r="B815" s="33" t="s">
        <v>234</v>
      </c>
      <c r="C815" s="33" t="s">
        <v>227</v>
      </c>
      <c r="D815" s="39">
        <v>46093.0</v>
      </c>
      <c r="E815" s="40">
        <v>40700.0</v>
      </c>
      <c r="F815" s="33" t="s">
        <v>230</v>
      </c>
      <c r="G815" s="33" t="s">
        <v>189</v>
      </c>
      <c r="H815" s="33" t="s">
        <v>189</v>
      </c>
      <c r="I815" s="33" t="s">
        <v>189</v>
      </c>
      <c r="J815" s="33" t="s">
        <v>189</v>
      </c>
      <c r="K815" s="33" t="s">
        <v>252</v>
      </c>
    </row>
    <row r="816" ht="15.75" customHeight="1">
      <c r="A816" s="33" t="s">
        <v>2485</v>
      </c>
      <c r="B816" s="33" t="s">
        <v>1995</v>
      </c>
      <c r="C816" s="33" t="s">
        <v>235</v>
      </c>
      <c r="D816" s="39">
        <v>45997.0</v>
      </c>
      <c r="E816" s="40">
        <v>44800.0</v>
      </c>
      <c r="F816" s="33" t="s">
        <v>241</v>
      </c>
      <c r="G816" s="33" t="s">
        <v>181</v>
      </c>
      <c r="H816" s="33" t="s">
        <v>181</v>
      </c>
      <c r="I816" s="33" t="s">
        <v>181</v>
      </c>
      <c r="J816" s="33" t="s">
        <v>181</v>
      </c>
      <c r="K816" s="33" t="s">
        <v>157</v>
      </c>
    </row>
    <row r="817" ht="15.75" customHeight="1">
      <c r="A817" s="33" t="s">
        <v>2489</v>
      </c>
      <c r="B817" s="33" t="s">
        <v>936</v>
      </c>
      <c r="C817" s="33" t="s">
        <v>247</v>
      </c>
      <c r="D817" s="39">
        <v>46001.0</v>
      </c>
      <c r="E817" s="40">
        <v>49600.0</v>
      </c>
      <c r="F817" s="33" t="s">
        <v>241</v>
      </c>
      <c r="G817" s="33" t="s">
        <v>181</v>
      </c>
      <c r="H817" s="33" t="s">
        <v>181</v>
      </c>
      <c r="I817" s="33" t="s">
        <v>181</v>
      </c>
      <c r="J817" s="33" t="s">
        <v>181</v>
      </c>
      <c r="K817" s="33" t="s">
        <v>157</v>
      </c>
    </row>
    <row r="818" ht="15.75" customHeight="1">
      <c r="A818" s="33" t="s">
        <v>2494</v>
      </c>
      <c r="B818" s="33" t="s">
        <v>1705</v>
      </c>
      <c r="C818" s="33" t="s">
        <v>247</v>
      </c>
      <c r="D818" s="39">
        <v>45679.0</v>
      </c>
      <c r="E818" s="40">
        <v>7000.0</v>
      </c>
      <c r="F818" s="33" t="s">
        <v>248</v>
      </c>
      <c r="G818" s="33" t="s">
        <v>181</v>
      </c>
      <c r="H818" s="33" t="s">
        <v>181</v>
      </c>
      <c r="I818" s="33" t="s">
        <v>181</v>
      </c>
      <c r="J818" s="33" t="s">
        <v>181</v>
      </c>
      <c r="K818" s="33" t="s">
        <v>157</v>
      </c>
    </row>
    <row r="819" ht="15.75" customHeight="1">
      <c r="A819" s="33" t="s">
        <v>4354</v>
      </c>
      <c r="B819" s="33" t="s">
        <v>1031</v>
      </c>
      <c r="C819" s="33" t="s">
        <v>247</v>
      </c>
      <c r="D819" s="39">
        <v>46166.0</v>
      </c>
      <c r="E819" s="40">
        <v>34100.0</v>
      </c>
      <c r="F819" s="33" t="s">
        <v>230</v>
      </c>
      <c r="G819" s="33" t="s">
        <v>181</v>
      </c>
      <c r="H819" s="33" t="s">
        <v>189</v>
      </c>
      <c r="I819" s="33" t="s">
        <v>189</v>
      </c>
      <c r="J819" s="33" t="s">
        <v>189</v>
      </c>
      <c r="K819" s="33" t="s">
        <v>262</v>
      </c>
    </row>
    <row r="820" ht="15.75" customHeight="1">
      <c r="A820" s="33" t="s">
        <v>4355</v>
      </c>
      <c r="B820" s="33" t="s">
        <v>499</v>
      </c>
      <c r="C820" s="33" t="s">
        <v>227</v>
      </c>
      <c r="D820" s="39">
        <v>46172.0</v>
      </c>
      <c r="E820" s="40">
        <v>43700.0</v>
      </c>
      <c r="F820" s="33" t="s">
        <v>248</v>
      </c>
      <c r="G820" s="33" t="s">
        <v>189</v>
      </c>
      <c r="H820" s="33" t="s">
        <v>189</v>
      </c>
      <c r="I820" s="33" t="s">
        <v>189</v>
      </c>
      <c r="J820" s="33" t="s">
        <v>189</v>
      </c>
      <c r="K820" s="33" t="s">
        <v>252</v>
      </c>
    </row>
    <row r="821" ht="15.75" customHeight="1">
      <c r="A821" s="33" t="s">
        <v>2498</v>
      </c>
      <c r="B821" s="33" t="s">
        <v>402</v>
      </c>
      <c r="C821" s="33" t="s">
        <v>247</v>
      </c>
      <c r="D821" s="39">
        <v>45782.0</v>
      </c>
      <c r="E821" s="40">
        <v>12800.0</v>
      </c>
      <c r="F821" s="33" t="s">
        <v>241</v>
      </c>
      <c r="G821" s="33" t="s">
        <v>181</v>
      </c>
      <c r="H821" s="33" t="s">
        <v>181</v>
      </c>
      <c r="I821" s="33" t="s">
        <v>181</v>
      </c>
      <c r="J821" s="33" t="s">
        <v>181</v>
      </c>
      <c r="K821" s="33" t="s">
        <v>157</v>
      </c>
    </row>
    <row r="822" ht="15.75" customHeight="1">
      <c r="A822" s="33" t="s">
        <v>2501</v>
      </c>
      <c r="B822" s="33" t="s">
        <v>192</v>
      </c>
      <c r="C822" s="33" t="s">
        <v>227</v>
      </c>
      <c r="D822" s="39">
        <v>45667.0</v>
      </c>
      <c r="E822" s="40">
        <v>24500.0</v>
      </c>
      <c r="F822" s="33" t="s">
        <v>269</v>
      </c>
      <c r="G822" s="33" t="s">
        <v>181</v>
      </c>
      <c r="H822" s="33" t="s">
        <v>181</v>
      </c>
      <c r="I822" s="33" t="s">
        <v>181</v>
      </c>
      <c r="J822" s="33" t="s">
        <v>181</v>
      </c>
      <c r="K822" s="33" t="s">
        <v>157</v>
      </c>
    </row>
    <row r="823" ht="15.75" customHeight="1">
      <c r="A823" s="33" t="s">
        <v>4363</v>
      </c>
      <c r="B823" s="33" t="s">
        <v>558</v>
      </c>
      <c r="C823" s="33" t="s">
        <v>247</v>
      </c>
      <c r="D823" s="39">
        <v>45976.0</v>
      </c>
      <c r="E823" s="40">
        <v>1400.0</v>
      </c>
      <c r="F823" s="33" t="s">
        <v>241</v>
      </c>
      <c r="G823" s="33" t="s">
        <v>181</v>
      </c>
      <c r="H823" s="33" t="s">
        <v>189</v>
      </c>
      <c r="I823" s="33" t="s">
        <v>189</v>
      </c>
      <c r="J823" s="33" t="s">
        <v>189</v>
      </c>
      <c r="K823" s="33" t="s">
        <v>262</v>
      </c>
    </row>
    <row r="824" ht="15.75" customHeight="1">
      <c r="A824" s="33" t="s">
        <v>4366</v>
      </c>
      <c r="B824" s="33" t="s">
        <v>2658</v>
      </c>
      <c r="C824" s="33" t="s">
        <v>227</v>
      </c>
      <c r="D824" s="39">
        <v>45811.0</v>
      </c>
      <c r="E824" s="40">
        <v>7600.0</v>
      </c>
      <c r="F824" s="33" t="s">
        <v>230</v>
      </c>
      <c r="G824" s="33" t="s">
        <v>189</v>
      </c>
      <c r="H824" s="33" t="s">
        <v>189</v>
      </c>
      <c r="I824" s="33" t="s">
        <v>189</v>
      </c>
      <c r="J824" s="33" t="s">
        <v>189</v>
      </c>
      <c r="K824" s="33" t="s">
        <v>252</v>
      </c>
    </row>
    <row r="825" ht="15.75" customHeight="1">
      <c r="A825" s="33" t="s">
        <v>2504</v>
      </c>
      <c r="B825" s="33" t="s">
        <v>652</v>
      </c>
      <c r="C825" s="33" t="s">
        <v>247</v>
      </c>
      <c r="D825" s="39">
        <v>45735.0</v>
      </c>
      <c r="E825" s="40">
        <v>7200.0</v>
      </c>
      <c r="F825" s="33" t="s">
        <v>248</v>
      </c>
      <c r="G825" s="33" t="s">
        <v>181</v>
      </c>
      <c r="H825" s="33" t="s">
        <v>181</v>
      </c>
      <c r="I825" s="33" t="s">
        <v>181</v>
      </c>
      <c r="J825" s="33" t="s">
        <v>181</v>
      </c>
      <c r="K825" s="33" t="s">
        <v>157</v>
      </c>
    </row>
    <row r="826" ht="15.75" customHeight="1">
      <c r="A826" s="33" t="s">
        <v>2509</v>
      </c>
      <c r="B826" s="33" t="s">
        <v>2508</v>
      </c>
      <c r="C826" s="33" t="s">
        <v>247</v>
      </c>
      <c r="D826" s="39">
        <v>45726.0</v>
      </c>
      <c r="E826" s="40">
        <v>35700.0</v>
      </c>
      <c r="F826" s="33" t="s">
        <v>230</v>
      </c>
      <c r="G826" s="33" t="s">
        <v>181</v>
      </c>
      <c r="H826" s="33" t="s">
        <v>181</v>
      </c>
      <c r="I826" s="33" t="s">
        <v>181</v>
      </c>
      <c r="J826" s="33" t="s">
        <v>181</v>
      </c>
      <c r="K826" s="33" t="s">
        <v>157</v>
      </c>
    </row>
    <row r="827" ht="15.75" customHeight="1">
      <c r="A827" s="33" t="s">
        <v>2514</v>
      </c>
      <c r="B827" s="33" t="s">
        <v>649</v>
      </c>
      <c r="C827" s="33" t="s">
        <v>227</v>
      </c>
      <c r="D827" s="39">
        <v>46058.0</v>
      </c>
      <c r="E827" s="40">
        <v>31500.0</v>
      </c>
      <c r="F827" s="33" t="s">
        <v>230</v>
      </c>
      <c r="G827" s="33" t="s">
        <v>181</v>
      </c>
      <c r="H827" s="33" t="s">
        <v>181</v>
      </c>
      <c r="I827" s="33" t="s">
        <v>181</v>
      </c>
      <c r="J827" s="33" t="s">
        <v>181</v>
      </c>
      <c r="K827" s="33" t="s">
        <v>157</v>
      </c>
    </row>
    <row r="828" ht="15.75" customHeight="1">
      <c r="A828" s="33" t="s">
        <v>2518</v>
      </c>
      <c r="B828" s="33" t="s">
        <v>333</v>
      </c>
      <c r="C828" s="33" t="s">
        <v>247</v>
      </c>
      <c r="D828" s="39">
        <v>45876.0</v>
      </c>
      <c r="E828" s="40">
        <v>2900.0</v>
      </c>
      <c r="F828" s="33" t="s">
        <v>269</v>
      </c>
      <c r="G828" s="33" t="s">
        <v>181</v>
      </c>
      <c r="H828" s="33" t="s">
        <v>181</v>
      </c>
      <c r="I828" s="33" t="s">
        <v>181</v>
      </c>
      <c r="J828" s="33" t="s">
        <v>181</v>
      </c>
      <c r="K828" s="33" t="s">
        <v>157</v>
      </c>
    </row>
    <row r="829" ht="15.75" customHeight="1">
      <c r="A829" s="33" t="s">
        <v>4379</v>
      </c>
      <c r="B829" s="33" t="s">
        <v>2009</v>
      </c>
      <c r="C829" s="33" t="s">
        <v>227</v>
      </c>
      <c r="D829" s="39">
        <v>46121.0</v>
      </c>
      <c r="E829" s="40">
        <v>30200.0</v>
      </c>
      <c r="F829" s="33" t="s">
        <v>230</v>
      </c>
      <c r="G829" s="33" t="s">
        <v>181</v>
      </c>
      <c r="H829" s="33" t="s">
        <v>189</v>
      </c>
      <c r="I829" s="33" t="s">
        <v>189</v>
      </c>
      <c r="J829" s="33" t="s">
        <v>189</v>
      </c>
      <c r="K829" s="33" t="s">
        <v>262</v>
      </c>
    </row>
    <row r="830" ht="15.75" customHeight="1">
      <c r="A830" s="33" t="s">
        <v>2524</v>
      </c>
      <c r="B830" s="33" t="s">
        <v>2019</v>
      </c>
      <c r="C830" s="33" t="s">
        <v>247</v>
      </c>
      <c r="D830" s="39">
        <v>45848.0</v>
      </c>
      <c r="E830" s="40">
        <v>4300.0</v>
      </c>
      <c r="F830" s="33" t="s">
        <v>269</v>
      </c>
      <c r="G830" s="33" t="s">
        <v>181</v>
      </c>
      <c r="H830" s="33" t="s">
        <v>181</v>
      </c>
      <c r="I830" s="33" t="s">
        <v>181</v>
      </c>
      <c r="J830" s="33" t="s">
        <v>181</v>
      </c>
      <c r="K830" s="33" t="s">
        <v>157</v>
      </c>
    </row>
    <row r="831" ht="15.75" customHeight="1">
      <c r="A831" s="33" t="s">
        <v>2530</v>
      </c>
      <c r="B831" s="33" t="s">
        <v>2529</v>
      </c>
      <c r="C831" s="33" t="s">
        <v>235</v>
      </c>
      <c r="D831" s="39">
        <v>46036.0</v>
      </c>
      <c r="E831" s="40">
        <v>10900.0</v>
      </c>
      <c r="F831" s="33" t="s">
        <v>230</v>
      </c>
      <c r="G831" s="33" t="s">
        <v>181</v>
      </c>
      <c r="H831" s="33" t="s">
        <v>181</v>
      </c>
      <c r="I831" s="33" t="s">
        <v>181</v>
      </c>
      <c r="J831" s="33" t="s">
        <v>181</v>
      </c>
      <c r="K831" s="33" t="s">
        <v>157</v>
      </c>
    </row>
    <row r="832" ht="15.75" customHeight="1">
      <c r="A832" s="33" t="s">
        <v>2534</v>
      </c>
      <c r="B832" s="33" t="s">
        <v>697</v>
      </c>
      <c r="C832" s="33" t="s">
        <v>227</v>
      </c>
      <c r="D832" s="39">
        <v>45823.0</v>
      </c>
      <c r="E832" s="40">
        <v>45200.0</v>
      </c>
      <c r="F832" s="33" t="s">
        <v>248</v>
      </c>
      <c r="G832" s="33" t="s">
        <v>181</v>
      </c>
      <c r="H832" s="33" t="s">
        <v>181</v>
      </c>
      <c r="I832" s="33" t="s">
        <v>181</v>
      </c>
      <c r="J832" s="33" t="s">
        <v>181</v>
      </c>
      <c r="K832" s="33" t="s">
        <v>157</v>
      </c>
    </row>
    <row r="833" ht="15.75" customHeight="1">
      <c r="A833" s="33" t="s">
        <v>2537</v>
      </c>
      <c r="B833" s="33" t="s">
        <v>689</v>
      </c>
      <c r="C833" s="33" t="s">
        <v>227</v>
      </c>
      <c r="D833" s="39">
        <v>45994.0</v>
      </c>
      <c r="E833" s="40">
        <v>22900.0</v>
      </c>
      <c r="F833" s="33" t="s">
        <v>241</v>
      </c>
      <c r="G833" s="33" t="s">
        <v>181</v>
      </c>
      <c r="H833" s="33" t="s">
        <v>181</v>
      </c>
      <c r="I833" s="33" t="s">
        <v>181</v>
      </c>
      <c r="J833" s="33" t="s">
        <v>181</v>
      </c>
      <c r="K833" s="33" t="s">
        <v>157</v>
      </c>
    </row>
    <row r="834" ht="15.75" customHeight="1">
      <c r="A834" s="33" t="s">
        <v>4393</v>
      </c>
      <c r="B834" s="33" t="s">
        <v>1972</v>
      </c>
      <c r="C834" s="33" t="s">
        <v>235</v>
      </c>
      <c r="D834" s="39">
        <v>46082.0</v>
      </c>
      <c r="E834" s="40">
        <v>39300.0</v>
      </c>
      <c r="F834" s="33" t="s">
        <v>248</v>
      </c>
      <c r="G834" s="33" t="s">
        <v>181</v>
      </c>
      <c r="H834" s="33" t="s">
        <v>189</v>
      </c>
      <c r="I834" s="33" t="s">
        <v>189</v>
      </c>
      <c r="J834" s="33" t="s">
        <v>189</v>
      </c>
      <c r="K834" s="33" t="s">
        <v>262</v>
      </c>
    </row>
    <row r="835" ht="15.75" customHeight="1">
      <c r="A835" s="33" t="s">
        <v>4397</v>
      </c>
      <c r="B835" s="33" t="s">
        <v>1043</v>
      </c>
      <c r="C835" s="33" t="s">
        <v>235</v>
      </c>
      <c r="D835" s="39">
        <v>45866.0</v>
      </c>
      <c r="E835" s="40">
        <v>16400.0</v>
      </c>
      <c r="F835" s="33" t="s">
        <v>248</v>
      </c>
      <c r="G835" s="33" t="s">
        <v>189</v>
      </c>
      <c r="H835" s="33" t="s">
        <v>189</v>
      </c>
      <c r="I835" s="33" t="s">
        <v>189</v>
      </c>
      <c r="J835" s="33" t="s">
        <v>189</v>
      </c>
      <c r="K835" s="33" t="s">
        <v>252</v>
      </c>
    </row>
    <row r="836" ht="15.75" customHeight="1">
      <c r="A836" s="33" t="s">
        <v>4400</v>
      </c>
      <c r="B836" s="33" t="s">
        <v>320</v>
      </c>
      <c r="C836" s="33" t="s">
        <v>247</v>
      </c>
      <c r="D836" s="39">
        <v>46197.0</v>
      </c>
      <c r="E836" s="40">
        <v>6400.0</v>
      </c>
      <c r="F836" s="33" t="s">
        <v>248</v>
      </c>
      <c r="G836" s="33" t="s">
        <v>189</v>
      </c>
      <c r="H836" s="33" t="s">
        <v>189</v>
      </c>
      <c r="I836" s="33" t="s">
        <v>189</v>
      </c>
      <c r="J836" s="33" t="s">
        <v>189</v>
      </c>
      <c r="K836" s="33" t="s">
        <v>252</v>
      </c>
    </row>
    <row r="837" ht="15.75" customHeight="1">
      <c r="A837" s="33" t="s">
        <v>2542</v>
      </c>
      <c r="B837" s="33" t="s">
        <v>1444</v>
      </c>
      <c r="C837" s="33" t="s">
        <v>227</v>
      </c>
      <c r="D837" s="39">
        <v>46046.0</v>
      </c>
      <c r="E837" s="40">
        <v>44500.0</v>
      </c>
      <c r="F837" s="33" t="s">
        <v>230</v>
      </c>
      <c r="G837" s="33" t="s">
        <v>181</v>
      </c>
      <c r="H837" s="33" t="s">
        <v>181</v>
      </c>
      <c r="I837" s="33" t="s">
        <v>181</v>
      </c>
      <c r="J837" s="33" t="s">
        <v>181</v>
      </c>
      <c r="K837" s="33" t="s">
        <v>157</v>
      </c>
    </row>
    <row r="838" ht="15.75" customHeight="1">
      <c r="A838" s="33" t="s">
        <v>2545</v>
      </c>
      <c r="B838" s="33" t="s">
        <v>2544</v>
      </c>
      <c r="C838" s="33" t="s">
        <v>227</v>
      </c>
      <c r="D838" s="39">
        <v>45780.0</v>
      </c>
      <c r="E838" s="40">
        <v>9000.0</v>
      </c>
      <c r="F838" s="33" t="s">
        <v>248</v>
      </c>
      <c r="G838" s="33" t="s">
        <v>181</v>
      </c>
      <c r="H838" s="33" t="s">
        <v>181</v>
      </c>
      <c r="I838" s="33" t="s">
        <v>181</v>
      </c>
      <c r="J838" s="33" t="s">
        <v>181</v>
      </c>
      <c r="K838" s="33" t="s">
        <v>157</v>
      </c>
    </row>
    <row r="839" ht="15.75" customHeight="1">
      <c r="A839" s="33" t="s">
        <v>2549</v>
      </c>
      <c r="B839" s="33" t="s">
        <v>880</v>
      </c>
      <c r="C839" s="33" t="s">
        <v>235</v>
      </c>
      <c r="D839" s="39">
        <v>46203.0</v>
      </c>
      <c r="E839" s="40">
        <v>18100.0</v>
      </c>
      <c r="F839" s="33" t="s">
        <v>269</v>
      </c>
      <c r="G839" s="33" t="s">
        <v>181</v>
      </c>
      <c r="H839" s="33" t="s">
        <v>181</v>
      </c>
      <c r="I839" s="33" t="s">
        <v>181</v>
      </c>
      <c r="J839" s="33" t="s">
        <v>181</v>
      </c>
      <c r="K839" s="33" t="s">
        <v>157</v>
      </c>
    </row>
    <row r="840" ht="15.75" customHeight="1">
      <c r="A840" s="33" t="s">
        <v>4412</v>
      </c>
      <c r="B840" s="33" t="s">
        <v>3134</v>
      </c>
      <c r="C840" s="33" t="s">
        <v>247</v>
      </c>
      <c r="D840" s="39">
        <v>45960.0</v>
      </c>
      <c r="E840" s="40">
        <v>35400.0</v>
      </c>
      <c r="F840" s="33" t="s">
        <v>241</v>
      </c>
      <c r="G840" s="33" t="s">
        <v>189</v>
      </c>
      <c r="H840" s="33" t="s">
        <v>189</v>
      </c>
      <c r="I840" s="33" t="s">
        <v>189</v>
      </c>
      <c r="J840" s="33" t="s">
        <v>189</v>
      </c>
      <c r="K840" s="33" t="s">
        <v>252</v>
      </c>
    </row>
    <row r="841" ht="15.75" customHeight="1">
      <c r="A841" s="33" t="s">
        <v>4415</v>
      </c>
      <c r="B841" s="33" t="s">
        <v>469</v>
      </c>
      <c r="C841" s="33" t="s">
        <v>227</v>
      </c>
      <c r="D841" s="39">
        <v>46095.0</v>
      </c>
      <c r="E841" s="40">
        <v>30000.0</v>
      </c>
      <c r="F841" s="33" t="s">
        <v>241</v>
      </c>
      <c r="G841" s="33" t="s">
        <v>181</v>
      </c>
      <c r="H841" s="33" t="s">
        <v>189</v>
      </c>
      <c r="I841" s="33" t="s">
        <v>189</v>
      </c>
      <c r="J841" s="33" t="s">
        <v>189</v>
      </c>
      <c r="K841" s="33" t="s">
        <v>262</v>
      </c>
    </row>
    <row r="842" ht="15.75" customHeight="1">
      <c r="A842" s="33" t="s">
        <v>2552</v>
      </c>
      <c r="B842" s="33" t="s">
        <v>1576</v>
      </c>
      <c r="C842" s="33" t="s">
        <v>247</v>
      </c>
      <c r="D842" s="39">
        <v>45867.0</v>
      </c>
      <c r="E842" s="40">
        <v>46500.0</v>
      </c>
      <c r="F842" s="33" t="s">
        <v>230</v>
      </c>
      <c r="G842" s="33" t="s">
        <v>181</v>
      </c>
      <c r="H842" s="33" t="s">
        <v>181</v>
      </c>
      <c r="I842" s="33" t="s">
        <v>181</v>
      </c>
      <c r="J842" s="33" t="s">
        <v>181</v>
      </c>
      <c r="K842" s="33" t="s">
        <v>157</v>
      </c>
    </row>
    <row r="843" ht="15.75" customHeight="1">
      <c r="A843" s="33" t="s">
        <v>2556</v>
      </c>
      <c r="B843" s="33" t="s">
        <v>2107</v>
      </c>
      <c r="C843" s="33" t="s">
        <v>247</v>
      </c>
      <c r="D843" s="39">
        <v>45671.0</v>
      </c>
      <c r="E843" s="40">
        <v>49400.0</v>
      </c>
      <c r="F843" s="33" t="s">
        <v>248</v>
      </c>
      <c r="G843" s="33" t="s">
        <v>181</v>
      </c>
      <c r="H843" s="33" t="s">
        <v>181</v>
      </c>
      <c r="I843" s="33" t="s">
        <v>181</v>
      </c>
      <c r="J843" s="33" t="s">
        <v>181</v>
      </c>
      <c r="K843" s="33" t="s">
        <v>157</v>
      </c>
    </row>
    <row r="844" ht="15.75" customHeight="1">
      <c r="A844" s="33" t="s">
        <v>2560</v>
      </c>
      <c r="B844" s="33" t="s">
        <v>2559</v>
      </c>
      <c r="C844" s="33" t="s">
        <v>227</v>
      </c>
      <c r="D844" s="39">
        <v>45999.0</v>
      </c>
      <c r="E844" s="40">
        <v>8200.0</v>
      </c>
      <c r="F844" s="33" t="s">
        <v>241</v>
      </c>
      <c r="G844" s="33" t="s">
        <v>181</v>
      </c>
      <c r="H844" s="33" t="s">
        <v>181</v>
      </c>
      <c r="I844" s="33" t="s">
        <v>181</v>
      </c>
      <c r="J844" s="33" t="s">
        <v>181</v>
      </c>
      <c r="K844" s="33" t="s">
        <v>157</v>
      </c>
    </row>
    <row r="845" ht="15.75" customHeight="1">
      <c r="A845" s="33" t="s">
        <v>4427</v>
      </c>
      <c r="B845" s="33" t="s">
        <v>1188</v>
      </c>
      <c r="C845" s="33" t="s">
        <v>235</v>
      </c>
      <c r="D845" s="39">
        <v>45966.0</v>
      </c>
      <c r="E845" s="40">
        <v>12100.0</v>
      </c>
      <c r="F845" s="33" t="s">
        <v>248</v>
      </c>
      <c r="G845" s="33" t="s">
        <v>181</v>
      </c>
      <c r="H845" s="33" t="s">
        <v>189</v>
      </c>
      <c r="I845" s="33" t="s">
        <v>189</v>
      </c>
      <c r="J845" s="33" t="s">
        <v>189</v>
      </c>
      <c r="K845" s="33" t="s">
        <v>262</v>
      </c>
    </row>
    <row r="846" ht="15.75" customHeight="1">
      <c r="A846" s="33" t="s">
        <v>2564</v>
      </c>
      <c r="B846" s="33" t="s">
        <v>2538</v>
      </c>
      <c r="C846" s="33" t="s">
        <v>247</v>
      </c>
      <c r="D846" s="39">
        <v>46097.0</v>
      </c>
      <c r="E846" s="40">
        <v>32300.0</v>
      </c>
      <c r="F846" s="33" t="s">
        <v>230</v>
      </c>
      <c r="G846" s="33" t="s">
        <v>181</v>
      </c>
      <c r="H846" s="33" t="s">
        <v>181</v>
      </c>
      <c r="I846" s="33" t="s">
        <v>181</v>
      </c>
      <c r="J846" s="33" t="s">
        <v>181</v>
      </c>
      <c r="K846" s="33" t="s">
        <v>157</v>
      </c>
    </row>
    <row r="847" ht="15.75" customHeight="1">
      <c r="A847" s="33" t="s">
        <v>4431</v>
      </c>
      <c r="B847" s="33" t="s">
        <v>3228</v>
      </c>
      <c r="C847" s="33" t="s">
        <v>227</v>
      </c>
      <c r="D847" s="39">
        <v>46105.0</v>
      </c>
      <c r="E847" s="40">
        <v>8200.0</v>
      </c>
      <c r="F847" s="33" t="s">
        <v>248</v>
      </c>
      <c r="G847" s="33" t="s">
        <v>181</v>
      </c>
      <c r="H847" s="33" t="s">
        <v>189</v>
      </c>
      <c r="I847" s="33" t="s">
        <v>189</v>
      </c>
      <c r="J847" s="33" t="s">
        <v>189</v>
      </c>
      <c r="K847" s="33" t="s">
        <v>262</v>
      </c>
    </row>
    <row r="848" ht="15.75" customHeight="1">
      <c r="A848" s="33" t="s">
        <v>4434</v>
      </c>
      <c r="B848" s="33" t="s">
        <v>1792</v>
      </c>
      <c r="C848" s="33" t="s">
        <v>227</v>
      </c>
      <c r="D848" s="39">
        <v>46075.0</v>
      </c>
      <c r="E848" s="40">
        <v>27600.0</v>
      </c>
      <c r="F848" s="33" t="s">
        <v>230</v>
      </c>
      <c r="G848" s="33" t="s">
        <v>181</v>
      </c>
      <c r="H848" s="33" t="s">
        <v>189</v>
      </c>
      <c r="I848" s="33" t="s">
        <v>189</v>
      </c>
      <c r="J848" s="33" t="s">
        <v>189</v>
      </c>
      <c r="K848" s="33" t="s">
        <v>262</v>
      </c>
    </row>
    <row r="849" ht="15.75" customHeight="1">
      <c r="A849" s="33" t="s">
        <v>4438</v>
      </c>
      <c r="B849" s="33" t="s">
        <v>1955</v>
      </c>
      <c r="C849" s="33" t="s">
        <v>247</v>
      </c>
      <c r="D849" s="39">
        <v>45964.0</v>
      </c>
      <c r="E849" s="40">
        <v>19300.0</v>
      </c>
      <c r="F849" s="33" t="s">
        <v>230</v>
      </c>
      <c r="G849" s="33" t="s">
        <v>189</v>
      </c>
      <c r="H849" s="33" t="s">
        <v>189</v>
      </c>
      <c r="I849" s="33" t="s">
        <v>189</v>
      </c>
      <c r="J849" s="33" t="s">
        <v>189</v>
      </c>
      <c r="K849" s="33" t="s">
        <v>252</v>
      </c>
    </row>
    <row r="850" ht="15.75" customHeight="1">
      <c r="A850" s="33" t="s">
        <v>4441</v>
      </c>
      <c r="B850" s="33" t="s">
        <v>3195</v>
      </c>
      <c r="C850" s="33" t="s">
        <v>247</v>
      </c>
      <c r="D850" s="39">
        <v>45661.0</v>
      </c>
      <c r="E850" s="40">
        <v>44500.0</v>
      </c>
      <c r="F850" s="33" t="s">
        <v>230</v>
      </c>
      <c r="G850" s="33" t="s">
        <v>181</v>
      </c>
      <c r="H850" s="33" t="s">
        <v>181</v>
      </c>
      <c r="I850" s="33" t="s">
        <v>181</v>
      </c>
      <c r="J850" s="33" t="s">
        <v>189</v>
      </c>
      <c r="K850" s="33" t="s">
        <v>365</v>
      </c>
    </row>
    <row r="851" ht="15.75" customHeight="1">
      <c r="A851" s="33" t="s">
        <v>4445</v>
      </c>
      <c r="B851" s="33" t="s">
        <v>1721</v>
      </c>
      <c r="C851" s="33" t="s">
        <v>227</v>
      </c>
      <c r="D851" s="39">
        <v>46016.0</v>
      </c>
      <c r="E851" s="40">
        <v>46000.0</v>
      </c>
      <c r="F851" s="33" t="s">
        <v>241</v>
      </c>
      <c r="G851" s="33" t="s">
        <v>189</v>
      </c>
      <c r="H851" s="33" t="s">
        <v>189</v>
      </c>
      <c r="I851" s="33" t="s">
        <v>189</v>
      </c>
      <c r="J851" s="33" t="s">
        <v>189</v>
      </c>
      <c r="K851" s="33" t="s">
        <v>252</v>
      </c>
    </row>
    <row r="852" ht="15.75" customHeight="1">
      <c r="A852" s="33" t="s">
        <v>4449</v>
      </c>
      <c r="B852" s="33" t="s">
        <v>1868</v>
      </c>
      <c r="C852" s="33" t="s">
        <v>247</v>
      </c>
      <c r="D852" s="39">
        <v>46234.0</v>
      </c>
      <c r="E852" s="40">
        <v>13700.0</v>
      </c>
      <c r="F852" s="33" t="s">
        <v>248</v>
      </c>
      <c r="G852" s="33" t="s">
        <v>181</v>
      </c>
      <c r="H852" s="33" t="s">
        <v>189</v>
      </c>
      <c r="I852" s="33" t="s">
        <v>189</v>
      </c>
      <c r="J852" s="33" t="s">
        <v>189</v>
      </c>
      <c r="K852" s="33" t="s">
        <v>262</v>
      </c>
    </row>
    <row r="853" ht="15.75" customHeight="1">
      <c r="A853" s="33" t="s">
        <v>4453</v>
      </c>
      <c r="B853" s="33" t="s">
        <v>969</v>
      </c>
      <c r="C853" s="33" t="s">
        <v>247</v>
      </c>
      <c r="D853" s="39">
        <v>46211.0</v>
      </c>
      <c r="E853" s="40">
        <v>5700.0</v>
      </c>
      <c r="F853" s="33" t="s">
        <v>248</v>
      </c>
      <c r="G853" s="33" t="s">
        <v>189</v>
      </c>
      <c r="H853" s="33" t="s">
        <v>189</v>
      </c>
      <c r="I853" s="33" t="s">
        <v>189</v>
      </c>
      <c r="J853" s="33" t="s">
        <v>189</v>
      </c>
      <c r="K853" s="33" t="s">
        <v>252</v>
      </c>
    </row>
    <row r="854" ht="15.75" customHeight="1">
      <c r="A854" s="33" t="s">
        <v>4456</v>
      </c>
      <c r="B854" s="33" t="s">
        <v>1309</v>
      </c>
      <c r="C854" s="33" t="s">
        <v>247</v>
      </c>
      <c r="D854" s="39">
        <v>45707.0</v>
      </c>
      <c r="E854" s="40">
        <v>49600.0</v>
      </c>
      <c r="F854" s="33" t="s">
        <v>230</v>
      </c>
      <c r="G854" s="33" t="s">
        <v>181</v>
      </c>
      <c r="H854" s="33" t="s">
        <v>189</v>
      </c>
      <c r="I854" s="33" t="s">
        <v>189</v>
      </c>
      <c r="J854" s="33" t="s">
        <v>189</v>
      </c>
      <c r="K854" s="33" t="s">
        <v>262</v>
      </c>
    </row>
    <row r="855" ht="15.75" customHeight="1">
      <c r="A855" s="33" t="s">
        <v>4460</v>
      </c>
      <c r="B855" s="33" t="s">
        <v>1077</v>
      </c>
      <c r="C855" s="33" t="s">
        <v>235</v>
      </c>
      <c r="D855" s="39">
        <v>46188.0</v>
      </c>
      <c r="E855" s="40">
        <v>8300.0</v>
      </c>
      <c r="F855" s="33" t="s">
        <v>241</v>
      </c>
      <c r="G855" s="33" t="s">
        <v>181</v>
      </c>
      <c r="H855" s="33" t="s">
        <v>189</v>
      </c>
      <c r="I855" s="33" t="s">
        <v>189</v>
      </c>
      <c r="J855" s="33" t="s">
        <v>189</v>
      </c>
      <c r="K855" s="33" t="s">
        <v>262</v>
      </c>
    </row>
    <row r="856" ht="15.75" customHeight="1">
      <c r="A856" s="33" t="s">
        <v>4464</v>
      </c>
      <c r="B856" s="33" t="s">
        <v>737</v>
      </c>
      <c r="C856" s="33" t="s">
        <v>227</v>
      </c>
      <c r="D856" s="39">
        <v>45745.0</v>
      </c>
      <c r="E856" s="40">
        <v>9500.0</v>
      </c>
      <c r="F856" s="33" t="s">
        <v>248</v>
      </c>
      <c r="G856" s="33" t="s">
        <v>189</v>
      </c>
      <c r="H856" s="33" t="s">
        <v>189</v>
      </c>
      <c r="I856" s="33" t="s">
        <v>189</v>
      </c>
      <c r="J856" s="33" t="s">
        <v>189</v>
      </c>
      <c r="K856" s="33" t="s">
        <v>252</v>
      </c>
    </row>
    <row r="857" ht="15.75" customHeight="1">
      <c r="A857" s="33" t="s">
        <v>2569</v>
      </c>
      <c r="B857" s="33" t="s">
        <v>1467</v>
      </c>
      <c r="C857" s="33" t="s">
        <v>235</v>
      </c>
      <c r="D857" s="39">
        <v>45707.0</v>
      </c>
      <c r="E857" s="40">
        <v>13400.0</v>
      </c>
      <c r="F857" s="33" t="s">
        <v>269</v>
      </c>
      <c r="G857" s="33" t="s">
        <v>181</v>
      </c>
      <c r="H857" s="33" t="s">
        <v>181</v>
      </c>
      <c r="I857" s="33" t="s">
        <v>181</v>
      </c>
      <c r="J857" s="33" t="s">
        <v>181</v>
      </c>
      <c r="K857" s="33" t="s">
        <v>157</v>
      </c>
    </row>
    <row r="858" ht="15.75" customHeight="1">
      <c r="A858" s="33" t="s">
        <v>2574</v>
      </c>
      <c r="B858" s="33" t="s">
        <v>1945</v>
      </c>
      <c r="C858" s="33" t="s">
        <v>227</v>
      </c>
      <c r="D858" s="39">
        <v>45674.0</v>
      </c>
      <c r="E858" s="40">
        <v>17700.0</v>
      </c>
      <c r="F858" s="33" t="s">
        <v>230</v>
      </c>
      <c r="G858" s="33" t="s">
        <v>181</v>
      </c>
      <c r="H858" s="33" t="s">
        <v>181</v>
      </c>
      <c r="I858" s="33" t="s">
        <v>181</v>
      </c>
      <c r="J858" s="33" t="s">
        <v>181</v>
      </c>
      <c r="K858" s="33" t="s">
        <v>157</v>
      </c>
    </row>
    <row r="859" ht="15.75" customHeight="1">
      <c r="A859" s="33" t="s">
        <v>4474</v>
      </c>
      <c r="B859" s="33" t="s">
        <v>1217</v>
      </c>
      <c r="C859" s="33" t="s">
        <v>227</v>
      </c>
      <c r="D859" s="39">
        <v>45967.0</v>
      </c>
      <c r="E859" s="40">
        <v>8200.0</v>
      </c>
      <c r="F859" s="33" t="s">
        <v>248</v>
      </c>
      <c r="G859" s="33" t="s">
        <v>189</v>
      </c>
      <c r="H859" s="33" t="s">
        <v>189</v>
      </c>
      <c r="I859" s="33" t="s">
        <v>189</v>
      </c>
      <c r="J859" s="33" t="s">
        <v>189</v>
      </c>
      <c r="K859" s="33" t="s">
        <v>252</v>
      </c>
    </row>
    <row r="860" ht="15.75" customHeight="1">
      <c r="A860" s="33" t="s">
        <v>2577</v>
      </c>
      <c r="B860" s="33" t="s">
        <v>623</v>
      </c>
      <c r="C860" s="33" t="s">
        <v>227</v>
      </c>
      <c r="D860" s="39">
        <v>45765.0</v>
      </c>
      <c r="E860" s="40">
        <v>16800.0</v>
      </c>
      <c r="F860" s="33" t="s">
        <v>230</v>
      </c>
      <c r="G860" s="33" t="s">
        <v>181</v>
      </c>
      <c r="H860" s="33" t="s">
        <v>181</v>
      </c>
      <c r="I860" s="33" t="s">
        <v>181</v>
      </c>
      <c r="J860" s="33" t="s">
        <v>181</v>
      </c>
      <c r="K860" s="33" t="s">
        <v>157</v>
      </c>
    </row>
    <row r="861" ht="15.75" customHeight="1">
      <c r="A861" s="33" t="s">
        <v>4480</v>
      </c>
      <c r="B861" s="33" t="s">
        <v>2752</v>
      </c>
      <c r="C861" s="33" t="s">
        <v>235</v>
      </c>
      <c r="D861" s="39">
        <v>46035.0</v>
      </c>
      <c r="E861" s="40">
        <v>2100.0</v>
      </c>
      <c r="F861" s="33" t="s">
        <v>230</v>
      </c>
      <c r="G861" s="33" t="s">
        <v>181</v>
      </c>
      <c r="H861" s="33" t="s">
        <v>189</v>
      </c>
      <c r="I861" s="33" t="s">
        <v>189</v>
      </c>
      <c r="J861" s="33" t="s">
        <v>189</v>
      </c>
      <c r="K861" s="33" t="s">
        <v>262</v>
      </c>
    </row>
    <row r="862" ht="15.75" customHeight="1">
      <c r="A862" s="33" t="s">
        <v>4484</v>
      </c>
      <c r="B862" s="33" t="s">
        <v>3177</v>
      </c>
      <c r="C862" s="33" t="s">
        <v>227</v>
      </c>
      <c r="D862" s="39">
        <v>45941.0</v>
      </c>
      <c r="E862" s="40">
        <v>40200.0</v>
      </c>
      <c r="F862" s="33" t="s">
        <v>230</v>
      </c>
      <c r="G862" s="33" t="s">
        <v>189</v>
      </c>
      <c r="H862" s="33" t="s">
        <v>189</v>
      </c>
      <c r="I862" s="33" t="s">
        <v>189</v>
      </c>
      <c r="J862" s="33" t="s">
        <v>189</v>
      </c>
      <c r="K862" s="33" t="s">
        <v>252</v>
      </c>
    </row>
    <row r="863" ht="15.75" customHeight="1">
      <c r="A863" s="33" t="s">
        <v>4488</v>
      </c>
      <c r="B863" s="33" t="s">
        <v>3044</v>
      </c>
      <c r="C863" s="33" t="s">
        <v>227</v>
      </c>
      <c r="D863" s="39">
        <v>46175.0</v>
      </c>
      <c r="E863" s="40">
        <v>13900.0</v>
      </c>
      <c r="F863" s="33" t="s">
        <v>248</v>
      </c>
      <c r="G863" s="33" t="s">
        <v>189</v>
      </c>
      <c r="H863" s="33" t="s">
        <v>189</v>
      </c>
      <c r="I863" s="33" t="s">
        <v>189</v>
      </c>
      <c r="J863" s="33" t="s">
        <v>189</v>
      </c>
      <c r="K863" s="33" t="s">
        <v>252</v>
      </c>
    </row>
    <row r="864" ht="15.75" customHeight="1">
      <c r="A864" s="33" t="s">
        <v>2581</v>
      </c>
      <c r="B864" s="33" t="s">
        <v>186</v>
      </c>
      <c r="C864" s="33" t="s">
        <v>227</v>
      </c>
      <c r="D864" s="39">
        <v>45785.0</v>
      </c>
      <c r="E864" s="40">
        <v>41100.0</v>
      </c>
      <c r="F864" s="33" t="s">
        <v>230</v>
      </c>
      <c r="G864" s="33" t="s">
        <v>181</v>
      </c>
      <c r="H864" s="33" t="s">
        <v>181</v>
      </c>
      <c r="I864" s="33" t="s">
        <v>181</v>
      </c>
      <c r="J864" s="33" t="s">
        <v>181</v>
      </c>
      <c r="K864" s="33" t="s">
        <v>157</v>
      </c>
    </row>
    <row r="865" ht="15.75" customHeight="1">
      <c r="A865" s="33" t="s">
        <v>4493</v>
      </c>
      <c r="B865" s="33" t="s">
        <v>303</v>
      </c>
      <c r="C865" s="33" t="s">
        <v>247</v>
      </c>
      <c r="D865" s="39">
        <v>45819.0</v>
      </c>
      <c r="E865" s="40">
        <v>32700.0</v>
      </c>
      <c r="F865" s="33" t="s">
        <v>230</v>
      </c>
      <c r="G865" s="33" t="s">
        <v>189</v>
      </c>
      <c r="H865" s="33" t="s">
        <v>189</v>
      </c>
      <c r="I865" s="33" t="s">
        <v>189</v>
      </c>
      <c r="J865" s="33" t="s">
        <v>189</v>
      </c>
      <c r="K865" s="33" t="s">
        <v>252</v>
      </c>
    </row>
    <row r="866" ht="15.75" customHeight="1">
      <c r="A866" s="33" t="s">
        <v>4495</v>
      </c>
      <c r="B866" s="33" t="s">
        <v>2993</v>
      </c>
      <c r="C866" s="33" t="s">
        <v>227</v>
      </c>
      <c r="D866" s="39">
        <v>45972.0</v>
      </c>
      <c r="E866" s="40">
        <v>24500.0</v>
      </c>
      <c r="F866" s="33" t="s">
        <v>248</v>
      </c>
      <c r="G866" s="33" t="s">
        <v>189</v>
      </c>
      <c r="H866" s="33" t="s">
        <v>189</v>
      </c>
      <c r="I866" s="33" t="s">
        <v>189</v>
      </c>
      <c r="J866" s="33" t="s">
        <v>189</v>
      </c>
      <c r="K866" s="33" t="s">
        <v>252</v>
      </c>
    </row>
    <row r="867" ht="15.75" customHeight="1">
      <c r="A867" s="33" t="s">
        <v>4498</v>
      </c>
      <c r="B867" s="33" t="s">
        <v>513</v>
      </c>
      <c r="C867" s="33" t="s">
        <v>227</v>
      </c>
      <c r="D867" s="39">
        <v>45742.0</v>
      </c>
      <c r="E867" s="40">
        <v>48600.0</v>
      </c>
      <c r="F867" s="33" t="s">
        <v>230</v>
      </c>
      <c r="G867" s="33" t="s">
        <v>181</v>
      </c>
      <c r="H867" s="33" t="s">
        <v>189</v>
      </c>
      <c r="I867" s="33" t="s">
        <v>189</v>
      </c>
      <c r="J867" s="33" t="s">
        <v>189</v>
      </c>
      <c r="K867" s="33" t="s">
        <v>262</v>
      </c>
    </row>
    <row r="868" ht="15.75" customHeight="1">
      <c r="A868" s="33" t="s">
        <v>2585</v>
      </c>
      <c r="B868" s="33" t="s">
        <v>983</v>
      </c>
      <c r="C868" s="33" t="s">
        <v>247</v>
      </c>
      <c r="D868" s="39">
        <v>45936.0</v>
      </c>
      <c r="E868" s="40">
        <v>19900.0</v>
      </c>
      <c r="F868" s="33" t="s">
        <v>241</v>
      </c>
      <c r="G868" s="33" t="s">
        <v>181</v>
      </c>
      <c r="H868" s="33" t="s">
        <v>181</v>
      </c>
      <c r="I868" s="33" t="s">
        <v>181</v>
      </c>
      <c r="J868" s="33" t="s">
        <v>181</v>
      </c>
      <c r="K868" s="33" t="s">
        <v>157</v>
      </c>
    </row>
    <row r="869" ht="15.75" customHeight="1">
      <c r="A869" s="33" t="s">
        <v>2590</v>
      </c>
      <c r="B869" s="33" t="s">
        <v>2589</v>
      </c>
      <c r="C869" s="33" t="s">
        <v>235</v>
      </c>
      <c r="D869" s="39">
        <v>46020.0</v>
      </c>
      <c r="E869" s="40">
        <v>9700.0</v>
      </c>
      <c r="F869" s="33" t="s">
        <v>241</v>
      </c>
      <c r="G869" s="33" t="s">
        <v>181</v>
      </c>
      <c r="H869" s="33" t="s">
        <v>181</v>
      </c>
      <c r="I869" s="33" t="s">
        <v>181</v>
      </c>
      <c r="J869" s="33" t="s">
        <v>181</v>
      </c>
      <c r="K869" s="33" t="s">
        <v>157</v>
      </c>
    </row>
    <row r="870" ht="15.75" customHeight="1">
      <c r="A870" s="33" t="s">
        <v>4508</v>
      </c>
      <c r="B870" s="33" t="s">
        <v>2529</v>
      </c>
      <c r="C870" s="33" t="s">
        <v>235</v>
      </c>
      <c r="D870" s="39">
        <v>46032.0</v>
      </c>
      <c r="E870" s="40">
        <v>29300.0</v>
      </c>
      <c r="F870" s="33" t="s">
        <v>230</v>
      </c>
      <c r="G870" s="33" t="s">
        <v>181</v>
      </c>
      <c r="H870" s="33" t="s">
        <v>189</v>
      </c>
      <c r="I870" s="33" t="s">
        <v>189</v>
      </c>
      <c r="J870" s="33" t="s">
        <v>189</v>
      </c>
      <c r="K870" s="33" t="s">
        <v>262</v>
      </c>
    </row>
    <row r="871" ht="15.75" customHeight="1">
      <c r="A871" s="33" t="s">
        <v>4512</v>
      </c>
      <c r="B871" s="33" t="s">
        <v>444</v>
      </c>
      <c r="C871" s="33" t="s">
        <v>235</v>
      </c>
      <c r="D871" s="39">
        <v>45941.0</v>
      </c>
      <c r="E871" s="40">
        <v>7900.0</v>
      </c>
      <c r="F871" s="33" t="s">
        <v>269</v>
      </c>
      <c r="G871" s="33" t="s">
        <v>181</v>
      </c>
      <c r="H871" s="33" t="s">
        <v>189</v>
      </c>
      <c r="I871" s="33" t="s">
        <v>189</v>
      </c>
      <c r="J871" s="33" t="s">
        <v>189</v>
      </c>
      <c r="K871" s="33" t="s">
        <v>262</v>
      </c>
    </row>
    <row r="872" ht="15.75" customHeight="1">
      <c r="A872" s="33" t="s">
        <v>4515</v>
      </c>
      <c r="B872" s="33" t="s">
        <v>2678</v>
      </c>
      <c r="C872" s="33" t="s">
        <v>227</v>
      </c>
      <c r="D872" s="39">
        <v>45719.0</v>
      </c>
      <c r="E872" s="40">
        <v>14600.0</v>
      </c>
      <c r="F872" s="33" t="s">
        <v>248</v>
      </c>
      <c r="G872" s="33" t="s">
        <v>189</v>
      </c>
      <c r="H872" s="33" t="s">
        <v>189</v>
      </c>
      <c r="I872" s="33" t="s">
        <v>189</v>
      </c>
      <c r="J872" s="33" t="s">
        <v>189</v>
      </c>
      <c r="K872" s="33" t="s">
        <v>252</v>
      </c>
    </row>
    <row r="873" ht="15.75" customHeight="1">
      <c r="A873" s="33" t="s">
        <v>2595</v>
      </c>
      <c r="B873" s="33" t="s">
        <v>2594</v>
      </c>
      <c r="C873" s="33" t="s">
        <v>227</v>
      </c>
      <c r="D873" s="39">
        <v>45814.0</v>
      </c>
      <c r="E873" s="40">
        <v>45500.0</v>
      </c>
      <c r="F873" s="33" t="s">
        <v>241</v>
      </c>
      <c r="G873" s="33" t="s">
        <v>181</v>
      </c>
      <c r="H873" s="33" t="s">
        <v>181</v>
      </c>
      <c r="I873" s="33" t="s">
        <v>181</v>
      </c>
      <c r="J873" s="33" t="s">
        <v>181</v>
      </c>
      <c r="K873" s="33" t="s">
        <v>157</v>
      </c>
    </row>
    <row r="874" ht="15.75" customHeight="1">
      <c r="A874" s="33" t="s">
        <v>4521</v>
      </c>
      <c r="B874" s="33" t="s">
        <v>293</v>
      </c>
      <c r="C874" s="33" t="s">
        <v>227</v>
      </c>
      <c r="D874" s="39">
        <v>45701.0</v>
      </c>
      <c r="E874" s="40">
        <v>44700.0</v>
      </c>
      <c r="F874" s="33" t="s">
        <v>269</v>
      </c>
      <c r="G874" s="33" t="s">
        <v>189</v>
      </c>
      <c r="H874" s="33" t="s">
        <v>189</v>
      </c>
      <c r="I874" s="33" t="s">
        <v>189</v>
      </c>
      <c r="J874" s="33" t="s">
        <v>189</v>
      </c>
      <c r="K874" s="33" t="s">
        <v>252</v>
      </c>
    </row>
    <row r="875" ht="15.75" customHeight="1">
      <c r="A875" s="33" t="s">
        <v>2598</v>
      </c>
      <c r="B875" s="33" t="s">
        <v>1430</v>
      </c>
      <c r="C875" s="33" t="s">
        <v>235</v>
      </c>
      <c r="D875" s="39">
        <v>46230.0</v>
      </c>
      <c r="E875" s="40">
        <v>23800.0</v>
      </c>
      <c r="F875" s="33" t="s">
        <v>230</v>
      </c>
      <c r="G875" s="33" t="s">
        <v>181</v>
      </c>
      <c r="H875" s="33" t="s">
        <v>181</v>
      </c>
      <c r="I875" s="33" t="s">
        <v>181</v>
      </c>
      <c r="J875" s="33" t="s">
        <v>181</v>
      </c>
      <c r="K875" s="33" t="s">
        <v>157</v>
      </c>
    </row>
    <row r="876" ht="15.75" customHeight="1">
      <c r="A876" s="33" t="s">
        <v>4527</v>
      </c>
      <c r="B876" s="33" t="s">
        <v>1294</v>
      </c>
      <c r="C876" s="33" t="s">
        <v>247</v>
      </c>
      <c r="D876" s="39">
        <v>46010.0</v>
      </c>
      <c r="E876" s="40">
        <v>24400.0</v>
      </c>
      <c r="F876" s="33" t="s">
        <v>248</v>
      </c>
      <c r="G876" s="33" t="s">
        <v>181</v>
      </c>
      <c r="H876" s="33" t="s">
        <v>189</v>
      </c>
      <c r="I876" s="33" t="s">
        <v>189</v>
      </c>
      <c r="J876" s="33" t="s">
        <v>189</v>
      </c>
      <c r="K876" s="33" t="s">
        <v>262</v>
      </c>
    </row>
    <row r="877" ht="15.75" customHeight="1">
      <c r="A877" s="33" t="s">
        <v>4532</v>
      </c>
      <c r="B877" s="33" t="s">
        <v>788</v>
      </c>
      <c r="C877" s="33" t="s">
        <v>247</v>
      </c>
      <c r="D877" s="39">
        <v>45850.0</v>
      </c>
      <c r="E877" s="40">
        <v>28800.0</v>
      </c>
      <c r="F877" s="33" t="s">
        <v>269</v>
      </c>
      <c r="G877" s="33" t="s">
        <v>181</v>
      </c>
      <c r="H877" s="33" t="s">
        <v>189</v>
      </c>
      <c r="I877" s="33" t="s">
        <v>189</v>
      </c>
      <c r="J877" s="33" t="s">
        <v>189</v>
      </c>
      <c r="K877" s="33" t="s">
        <v>262</v>
      </c>
    </row>
    <row r="878" ht="15.75" customHeight="1">
      <c r="A878" s="33" t="s">
        <v>2602</v>
      </c>
      <c r="B878" s="33" t="s">
        <v>2299</v>
      </c>
      <c r="C878" s="33" t="s">
        <v>247</v>
      </c>
      <c r="D878" s="39">
        <v>45841.0</v>
      </c>
      <c r="E878" s="40">
        <v>5100.0</v>
      </c>
      <c r="F878" s="33" t="s">
        <v>230</v>
      </c>
      <c r="G878" s="33" t="s">
        <v>181</v>
      </c>
      <c r="H878" s="33" t="s">
        <v>181</v>
      </c>
      <c r="I878" s="33" t="s">
        <v>181</v>
      </c>
      <c r="J878" s="33" t="s">
        <v>181</v>
      </c>
      <c r="K878" s="33" t="s">
        <v>157</v>
      </c>
    </row>
    <row r="879" ht="15.75" customHeight="1">
      <c r="A879" s="33" t="s">
        <v>2606</v>
      </c>
      <c r="B879" s="33" t="s">
        <v>281</v>
      </c>
      <c r="C879" s="33" t="s">
        <v>247</v>
      </c>
      <c r="D879" s="39">
        <v>45691.0</v>
      </c>
      <c r="E879" s="40">
        <v>13400.0</v>
      </c>
      <c r="F879" s="33" t="s">
        <v>248</v>
      </c>
      <c r="G879" s="33" t="s">
        <v>181</v>
      </c>
      <c r="H879" s="33" t="s">
        <v>181</v>
      </c>
      <c r="I879" s="33" t="s">
        <v>181</v>
      </c>
      <c r="J879" s="33" t="s">
        <v>181</v>
      </c>
      <c r="K879" s="33" t="s">
        <v>157</v>
      </c>
    </row>
    <row r="880" ht="15.75" customHeight="1">
      <c r="A880" s="33" t="s">
        <v>4542</v>
      </c>
      <c r="B880" s="33" t="s">
        <v>2729</v>
      </c>
      <c r="C880" s="33" t="s">
        <v>247</v>
      </c>
      <c r="D880" s="39">
        <v>45945.0</v>
      </c>
      <c r="E880" s="40">
        <v>29400.0</v>
      </c>
      <c r="F880" s="33" t="s">
        <v>269</v>
      </c>
      <c r="G880" s="33" t="s">
        <v>181</v>
      </c>
      <c r="H880" s="33" t="s">
        <v>189</v>
      </c>
      <c r="I880" s="33" t="s">
        <v>189</v>
      </c>
      <c r="J880" s="33" t="s">
        <v>189</v>
      </c>
      <c r="K880" s="33" t="s">
        <v>262</v>
      </c>
    </row>
    <row r="881" ht="15.75" customHeight="1">
      <c r="A881" s="33" t="s">
        <v>4546</v>
      </c>
      <c r="B881" s="33" t="s">
        <v>1052</v>
      </c>
      <c r="C881" s="33" t="s">
        <v>227</v>
      </c>
      <c r="D881" s="39">
        <v>45693.0</v>
      </c>
      <c r="E881" s="40">
        <v>16700.0</v>
      </c>
      <c r="F881" s="33" t="s">
        <v>230</v>
      </c>
      <c r="G881" s="33" t="s">
        <v>189</v>
      </c>
      <c r="H881" s="33" t="s">
        <v>189</v>
      </c>
      <c r="I881" s="33" t="s">
        <v>189</v>
      </c>
      <c r="J881" s="33" t="s">
        <v>189</v>
      </c>
      <c r="K881" s="33" t="s">
        <v>252</v>
      </c>
    </row>
    <row r="882" ht="15.75" customHeight="1">
      <c r="A882" s="33" t="s">
        <v>2611</v>
      </c>
      <c r="B882" s="33" t="s">
        <v>2610</v>
      </c>
      <c r="C882" s="33" t="s">
        <v>247</v>
      </c>
      <c r="D882" s="39">
        <v>46084.0</v>
      </c>
      <c r="E882" s="40">
        <v>11500.0</v>
      </c>
      <c r="F882" s="33" t="s">
        <v>230</v>
      </c>
      <c r="G882" s="33" t="s">
        <v>181</v>
      </c>
      <c r="H882" s="33" t="s">
        <v>181</v>
      </c>
      <c r="I882" s="33" t="s">
        <v>181</v>
      </c>
      <c r="J882" s="33" t="s">
        <v>181</v>
      </c>
      <c r="K882" s="33" t="s">
        <v>157</v>
      </c>
    </row>
    <row r="883" ht="15.75" customHeight="1">
      <c r="A883" s="33" t="s">
        <v>2614</v>
      </c>
      <c r="B883" s="33" t="s">
        <v>342</v>
      </c>
      <c r="C883" s="33" t="s">
        <v>227</v>
      </c>
      <c r="D883" s="39">
        <v>45780.0</v>
      </c>
      <c r="E883" s="40">
        <v>32700.0</v>
      </c>
      <c r="F883" s="33" t="s">
        <v>230</v>
      </c>
      <c r="G883" s="33" t="s">
        <v>181</v>
      </c>
      <c r="H883" s="33" t="s">
        <v>181</v>
      </c>
      <c r="I883" s="33" t="s">
        <v>181</v>
      </c>
      <c r="J883" s="33" t="s">
        <v>181</v>
      </c>
      <c r="K883" s="33" t="s">
        <v>157</v>
      </c>
    </row>
    <row r="884" ht="15.75" customHeight="1">
      <c r="A884" s="33" t="s">
        <v>2619</v>
      </c>
      <c r="B884" s="33" t="s">
        <v>2354</v>
      </c>
      <c r="C884" s="33" t="s">
        <v>227</v>
      </c>
      <c r="D884" s="39">
        <v>45718.0</v>
      </c>
      <c r="E884" s="40">
        <v>28800.0</v>
      </c>
      <c r="F884" s="33" t="s">
        <v>269</v>
      </c>
      <c r="G884" s="33" t="s">
        <v>181</v>
      </c>
      <c r="H884" s="33" t="s">
        <v>181</v>
      </c>
      <c r="I884" s="33" t="s">
        <v>181</v>
      </c>
      <c r="J884" s="33" t="s">
        <v>181</v>
      </c>
      <c r="K884" s="33" t="s">
        <v>157</v>
      </c>
    </row>
    <row r="885" ht="15.75" customHeight="1">
      <c r="A885" s="33" t="s">
        <v>4558</v>
      </c>
      <c r="B885" s="33" t="s">
        <v>282</v>
      </c>
      <c r="C885" s="33" t="s">
        <v>227</v>
      </c>
      <c r="D885" s="39">
        <v>45728.0</v>
      </c>
      <c r="E885" s="40">
        <v>17000.0</v>
      </c>
      <c r="F885" s="33" t="s">
        <v>230</v>
      </c>
      <c r="G885" s="33" t="s">
        <v>189</v>
      </c>
      <c r="H885" s="33" t="s">
        <v>189</v>
      </c>
      <c r="I885" s="33" t="s">
        <v>189</v>
      </c>
      <c r="J885" s="33" t="s">
        <v>189</v>
      </c>
      <c r="K885" s="33" t="s">
        <v>252</v>
      </c>
    </row>
    <row r="886" ht="15.75" customHeight="1">
      <c r="A886" s="33" t="s">
        <v>2623</v>
      </c>
      <c r="B886" s="33" t="s">
        <v>2622</v>
      </c>
      <c r="C886" s="33" t="s">
        <v>235</v>
      </c>
      <c r="D886" s="39">
        <v>45675.0</v>
      </c>
      <c r="E886" s="40">
        <v>46900.0</v>
      </c>
      <c r="F886" s="33" t="s">
        <v>269</v>
      </c>
      <c r="G886" s="33" t="s">
        <v>181</v>
      </c>
      <c r="H886" s="33" t="s">
        <v>181</v>
      </c>
      <c r="I886" s="33" t="s">
        <v>181</v>
      </c>
      <c r="J886" s="33" t="s">
        <v>181</v>
      </c>
      <c r="K886" s="33" t="s">
        <v>157</v>
      </c>
    </row>
    <row r="887" ht="15.75" customHeight="1">
      <c r="A887" s="33" t="s">
        <v>4565</v>
      </c>
      <c r="B887" s="33" t="s">
        <v>870</v>
      </c>
      <c r="C887" s="33" t="s">
        <v>235</v>
      </c>
      <c r="D887" s="39">
        <v>45897.0</v>
      </c>
      <c r="E887" s="40">
        <v>39100.0</v>
      </c>
      <c r="F887" s="33" t="s">
        <v>248</v>
      </c>
      <c r="G887" s="33" t="s">
        <v>181</v>
      </c>
      <c r="H887" s="33" t="s">
        <v>189</v>
      </c>
      <c r="I887" s="33" t="s">
        <v>189</v>
      </c>
      <c r="J887" s="33" t="s">
        <v>189</v>
      </c>
      <c r="K887" s="33" t="s">
        <v>262</v>
      </c>
    </row>
    <row r="888" ht="15.75" customHeight="1">
      <c r="A888" s="33" t="s">
        <v>4569</v>
      </c>
      <c r="B888" s="33" t="s">
        <v>576</v>
      </c>
      <c r="C888" s="33" t="s">
        <v>247</v>
      </c>
      <c r="D888" s="39">
        <v>45693.0</v>
      </c>
      <c r="E888" s="40">
        <v>30200.0</v>
      </c>
      <c r="F888" s="33" t="s">
        <v>241</v>
      </c>
      <c r="G888" s="33" t="s">
        <v>189</v>
      </c>
      <c r="H888" s="33" t="s">
        <v>189</v>
      </c>
      <c r="I888" s="33" t="s">
        <v>189</v>
      </c>
      <c r="J888" s="33" t="s">
        <v>189</v>
      </c>
      <c r="K888" s="33" t="s">
        <v>252</v>
      </c>
    </row>
    <row r="889" ht="15.75" customHeight="1">
      <c r="A889" s="33" t="s">
        <v>4572</v>
      </c>
      <c r="B889" s="33" t="s">
        <v>367</v>
      </c>
      <c r="C889" s="33" t="s">
        <v>235</v>
      </c>
      <c r="D889" s="39">
        <v>45706.0</v>
      </c>
      <c r="E889" s="40">
        <v>11300.0</v>
      </c>
      <c r="F889" s="33" t="s">
        <v>230</v>
      </c>
      <c r="G889" s="33" t="s">
        <v>189</v>
      </c>
      <c r="H889" s="33" t="s">
        <v>189</v>
      </c>
      <c r="I889" s="33" t="s">
        <v>189</v>
      </c>
      <c r="J889" s="33" t="s">
        <v>189</v>
      </c>
      <c r="K889" s="33" t="s">
        <v>252</v>
      </c>
    </row>
    <row r="890" ht="15.75" customHeight="1">
      <c r="A890" s="33" t="s">
        <v>2628</v>
      </c>
      <c r="B890" s="33" t="s">
        <v>2627</v>
      </c>
      <c r="C890" s="33" t="s">
        <v>227</v>
      </c>
      <c r="D890" s="39">
        <v>45790.0</v>
      </c>
      <c r="E890" s="40">
        <v>32800.0</v>
      </c>
      <c r="F890" s="33" t="s">
        <v>230</v>
      </c>
      <c r="G890" s="33" t="s">
        <v>181</v>
      </c>
      <c r="H890" s="33" t="s">
        <v>181</v>
      </c>
      <c r="I890" s="33" t="s">
        <v>181</v>
      </c>
      <c r="J890" s="33" t="s">
        <v>181</v>
      </c>
      <c r="K890" s="33" t="s">
        <v>157</v>
      </c>
    </row>
    <row r="891" ht="15.75" customHeight="1">
      <c r="A891" s="33" t="s">
        <v>4583</v>
      </c>
      <c r="B891" s="33" t="s">
        <v>2627</v>
      </c>
      <c r="C891" s="33" t="s">
        <v>227</v>
      </c>
      <c r="D891" s="39">
        <v>45998.0</v>
      </c>
      <c r="E891" s="40">
        <v>34700.0</v>
      </c>
      <c r="F891" s="33" t="s">
        <v>248</v>
      </c>
      <c r="G891" s="33" t="s">
        <v>189</v>
      </c>
      <c r="H891" s="33" t="s">
        <v>189</v>
      </c>
      <c r="I891" s="33" t="s">
        <v>189</v>
      </c>
      <c r="J891" s="33" t="s">
        <v>189</v>
      </c>
      <c r="K891" s="33" t="s">
        <v>252</v>
      </c>
    </row>
    <row r="892" ht="15.75" customHeight="1">
      <c r="A892" s="33" t="s">
        <v>4588</v>
      </c>
      <c r="B892" s="33" t="s">
        <v>1218</v>
      </c>
      <c r="C892" s="33" t="s">
        <v>227</v>
      </c>
      <c r="D892" s="39">
        <v>45791.0</v>
      </c>
      <c r="E892" s="40">
        <v>29500.0</v>
      </c>
      <c r="F892" s="33" t="s">
        <v>248</v>
      </c>
      <c r="G892" s="33" t="s">
        <v>189</v>
      </c>
      <c r="H892" s="33" t="s">
        <v>189</v>
      </c>
      <c r="I892" s="33" t="s">
        <v>189</v>
      </c>
      <c r="J892" s="33" t="s">
        <v>189</v>
      </c>
      <c r="K892" s="33" t="s">
        <v>252</v>
      </c>
    </row>
    <row r="893" ht="15.75" customHeight="1">
      <c r="A893" s="33" t="s">
        <v>4594</v>
      </c>
      <c r="B893" s="33" t="s">
        <v>474</v>
      </c>
      <c r="C893" s="33" t="s">
        <v>227</v>
      </c>
      <c r="D893" s="39">
        <v>45905.0</v>
      </c>
      <c r="E893" s="40">
        <v>32300.0</v>
      </c>
      <c r="F893" s="33" t="s">
        <v>230</v>
      </c>
      <c r="G893" s="33" t="s">
        <v>181</v>
      </c>
      <c r="H893" s="33" t="s">
        <v>181</v>
      </c>
      <c r="I893" s="33" t="s">
        <v>181</v>
      </c>
      <c r="J893" s="33" t="s">
        <v>189</v>
      </c>
      <c r="K893" s="33" t="s">
        <v>365</v>
      </c>
    </row>
    <row r="894" ht="15.75" customHeight="1">
      <c r="A894" s="33" t="s">
        <v>4598</v>
      </c>
      <c r="B894" s="33" t="s">
        <v>1342</v>
      </c>
      <c r="C894" s="33" t="s">
        <v>247</v>
      </c>
      <c r="D894" s="39">
        <v>45918.0</v>
      </c>
      <c r="E894" s="40">
        <v>8900.0</v>
      </c>
      <c r="F894" s="33" t="s">
        <v>241</v>
      </c>
      <c r="G894" s="33" t="s">
        <v>181</v>
      </c>
      <c r="H894" s="33" t="s">
        <v>189</v>
      </c>
      <c r="I894" s="33" t="s">
        <v>189</v>
      </c>
      <c r="J894" s="33" t="s">
        <v>189</v>
      </c>
      <c r="K894" s="33" t="s">
        <v>262</v>
      </c>
    </row>
    <row r="895" ht="15.75" customHeight="1">
      <c r="A895" s="33" t="s">
        <v>2632</v>
      </c>
      <c r="B895" s="33" t="s">
        <v>620</v>
      </c>
      <c r="C895" s="33" t="s">
        <v>227</v>
      </c>
      <c r="D895" s="39">
        <v>46020.0</v>
      </c>
      <c r="E895" s="40">
        <v>17400.0</v>
      </c>
      <c r="F895" s="33" t="s">
        <v>230</v>
      </c>
      <c r="G895" s="33" t="s">
        <v>181</v>
      </c>
      <c r="H895" s="33" t="s">
        <v>181</v>
      </c>
      <c r="I895" s="33" t="s">
        <v>181</v>
      </c>
      <c r="J895" s="33" t="s">
        <v>181</v>
      </c>
      <c r="K895" s="33" t="s">
        <v>157</v>
      </c>
    </row>
    <row r="896" ht="15.75" customHeight="1">
      <c r="A896" s="33" t="s">
        <v>4604</v>
      </c>
      <c r="B896" s="33" t="s">
        <v>1881</v>
      </c>
      <c r="C896" s="33" t="s">
        <v>235</v>
      </c>
      <c r="D896" s="39">
        <v>45686.0</v>
      </c>
      <c r="E896" s="40">
        <v>44600.0</v>
      </c>
      <c r="F896" s="33" t="s">
        <v>241</v>
      </c>
      <c r="G896" s="33" t="s">
        <v>189</v>
      </c>
      <c r="H896" s="33" t="s">
        <v>189</v>
      </c>
      <c r="I896" s="33" t="s">
        <v>189</v>
      </c>
      <c r="J896" s="33" t="s">
        <v>189</v>
      </c>
      <c r="K896" s="33" t="s">
        <v>252</v>
      </c>
    </row>
    <row r="897" ht="15.75" customHeight="1">
      <c r="A897" s="33" t="s">
        <v>2635</v>
      </c>
      <c r="B897" s="33" t="s">
        <v>1721</v>
      </c>
      <c r="C897" s="33" t="s">
        <v>247</v>
      </c>
      <c r="D897" s="39">
        <v>46258.0</v>
      </c>
      <c r="E897" s="40">
        <v>7700.0</v>
      </c>
      <c r="F897" s="33" t="s">
        <v>241</v>
      </c>
      <c r="G897" s="33" t="s">
        <v>181</v>
      </c>
      <c r="H897" s="33" t="s">
        <v>181</v>
      </c>
      <c r="I897" s="33" t="s">
        <v>181</v>
      </c>
      <c r="J897" s="33" t="s">
        <v>181</v>
      </c>
      <c r="K897" s="33" t="s">
        <v>157</v>
      </c>
    </row>
    <row r="898" ht="15.75" customHeight="1">
      <c r="A898" s="33" t="s">
        <v>2637</v>
      </c>
      <c r="B898" s="33" t="s">
        <v>318</v>
      </c>
      <c r="C898" s="33" t="s">
        <v>227</v>
      </c>
      <c r="D898" s="39">
        <v>45714.0</v>
      </c>
      <c r="E898" s="40">
        <v>29900.0</v>
      </c>
      <c r="F898" s="33" t="s">
        <v>241</v>
      </c>
      <c r="G898" s="33" t="s">
        <v>181</v>
      </c>
      <c r="H898" s="33" t="s">
        <v>181</v>
      </c>
      <c r="I898" s="33" t="s">
        <v>181</v>
      </c>
      <c r="J898" s="33" t="s">
        <v>181</v>
      </c>
      <c r="K898" s="33" t="s">
        <v>157</v>
      </c>
    </row>
    <row r="899" ht="15.75" customHeight="1">
      <c r="A899" s="33" t="s">
        <v>4616</v>
      </c>
      <c r="B899" s="33" t="s">
        <v>1662</v>
      </c>
      <c r="C899" s="33" t="s">
        <v>235</v>
      </c>
      <c r="D899" s="39">
        <v>46260.0</v>
      </c>
      <c r="E899" s="40">
        <v>45000.0</v>
      </c>
      <c r="F899" s="33" t="s">
        <v>241</v>
      </c>
      <c r="G899" s="33" t="s">
        <v>189</v>
      </c>
      <c r="H899" s="33" t="s">
        <v>189</v>
      </c>
      <c r="I899" s="33" t="s">
        <v>189</v>
      </c>
      <c r="J899" s="33" t="s">
        <v>189</v>
      </c>
      <c r="K899" s="33" t="s">
        <v>252</v>
      </c>
    </row>
    <row r="900" ht="15.75" customHeight="1">
      <c r="A900" s="33" t="s">
        <v>2640</v>
      </c>
      <c r="B900" s="33" t="s">
        <v>191</v>
      </c>
      <c r="C900" s="33" t="s">
        <v>235</v>
      </c>
      <c r="D900" s="39">
        <v>45831.0</v>
      </c>
      <c r="E900" s="40">
        <v>1700.0</v>
      </c>
      <c r="F900" s="33" t="s">
        <v>230</v>
      </c>
      <c r="G900" s="33" t="s">
        <v>181</v>
      </c>
      <c r="H900" s="33" t="s">
        <v>181</v>
      </c>
      <c r="I900" s="33" t="s">
        <v>181</v>
      </c>
      <c r="J900" s="33" t="s">
        <v>181</v>
      </c>
      <c r="K900" s="33" t="s">
        <v>157</v>
      </c>
    </row>
    <row r="901" ht="15.75" customHeight="1">
      <c r="A901" s="33" t="s">
        <v>4621</v>
      </c>
      <c r="B901" s="33" t="s">
        <v>961</v>
      </c>
      <c r="C901" s="33" t="s">
        <v>247</v>
      </c>
      <c r="D901" s="39">
        <v>45911.0</v>
      </c>
      <c r="E901" s="40">
        <v>48400.0</v>
      </c>
      <c r="F901" s="33" t="s">
        <v>269</v>
      </c>
      <c r="G901" s="33" t="s">
        <v>181</v>
      </c>
      <c r="H901" s="33" t="s">
        <v>189</v>
      </c>
      <c r="I901" s="33" t="s">
        <v>189</v>
      </c>
      <c r="J901" s="33" t="s">
        <v>189</v>
      </c>
      <c r="K901" s="33" t="s">
        <v>262</v>
      </c>
    </row>
    <row r="902" ht="15.75" customHeight="1">
      <c r="A902" s="33" t="s">
        <v>2642</v>
      </c>
      <c r="B902" s="33" t="s">
        <v>315</v>
      </c>
      <c r="C902" s="33" t="s">
        <v>227</v>
      </c>
      <c r="D902" s="39">
        <v>45698.0</v>
      </c>
      <c r="E902" s="40">
        <v>44300.0</v>
      </c>
      <c r="F902" s="33" t="s">
        <v>241</v>
      </c>
      <c r="G902" s="33" t="s">
        <v>181</v>
      </c>
      <c r="H902" s="33" t="s">
        <v>181</v>
      </c>
      <c r="I902" s="33" t="s">
        <v>181</v>
      </c>
      <c r="J902" s="33" t="s">
        <v>181</v>
      </c>
      <c r="K902" s="33" t="s">
        <v>157</v>
      </c>
    </row>
    <row r="903" ht="15.75" customHeight="1">
      <c r="A903" s="33" t="s">
        <v>2647</v>
      </c>
      <c r="B903" s="33" t="s">
        <v>1186</v>
      </c>
      <c r="C903" s="33" t="s">
        <v>247</v>
      </c>
      <c r="D903" s="39">
        <v>45880.0</v>
      </c>
      <c r="E903" s="40">
        <v>36000.0</v>
      </c>
      <c r="F903" s="33" t="s">
        <v>230</v>
      </c>
      <c r="G903" s="33" t="s">
        <v>181</v>
      </c>
      <c r="H903" s="33" t="s">
        <v>181</v>
      </c>
      <c r="I903" s="33" t="s">
        <v>181</v>
      </c>
      <c r="J903" s="33" t="s">
        <v>181</v>
      </c>
      <c r="K903" s="33" t="s">
        <v>157</v>
      </c>
    </row>
    <row r="904" ht="15.75" customHeight="1">
      <c r="A904" s="33" t="s">
        <v>4627</v>
      </c>
      <c r="B904" s="33" t="s">
        <v>630</v>
      </c>
      <c r="C904" s="33" t="s">
        <v>247</v>
      </c>
      <c r="D904" s="39">
        <v>46203.0</v>
      </c>
      <c r="E904" s="40">
        <v>35700.0</v>
      </c>
      <c r="F904" s="33" t="s">
        <v>241</v>
      </c>
      <c r="G904" s="33" t="s">
        <v>189</v>
      </c>
      <c r="H904" s="33" t="s">
        <v>189</v>
      </c>
      <c r="I904" s="33" t="s">
        <v>189</v>
      </c>
      <c r="J904" s="33" t="s">
        <v>189</v>
      </c>
      <c r="K904" s="33" t="s">
        <v>252</v>
      </c>
    </row>
    <row r="905" ht="15.75" customHeight="1">
      <c r="A905" s="33" t="s">
        <v>4630</v>
      </c>
      <c r="B905" s="33" t="s">
        <v>1775</v>
      </c>
      <c r="C905" s="33" t="s">
        <v>247</v>
      </c>
      <c r="D905" s="39">
        <v>46071.0</v>
      </c>
      <c r="E905" s="40">
        <v>43500.0</v>
      </c>
      <c r="F905" s="33" t="s">
        <v>241</v>
      </c>
      <c r="G905" s="33" t="s">
        <v>189</v>
      </c>
      <c r="H905" s="33" t="s">
        <v>189</v>
      </c>
      <c r="I905" s="33" t="s">
        <v>189</v>
      </c>
      <c r="J905" s="33" t="s">
        <v>189</v>
      </c>
      <c r="K905" s="33" t="s">
        <v>252</v>
      </c>
    </row>
    <row r="906" ht="15.75" customHeight="1">
      <c r="A906" s="33" t="s">
        <v>4633</v>
      </c>
      <c r="B906" s="33" t="s">
        <v>3400</v>
      </c>
      <c r="C906" s="33" t="s">
        <v>227</v>
      </c>
      <c r="D906" s="39">
        <v>46036.0</v>
      </c>
      <c r="E906" s="40">
        <v>9400.0</v>
      </c>
      <c r="F906" s="33" t="s">
        <v>241</v>
      </c>
      <c r="G906" s="33" t="s">
        <v>181</v>
      </c>
      <c r="H906" s="33" t="s">
        <v>189</v>
      </c>
      <c r="I906" s="33" t="s">
        <v>189</v>
      </c>
      <c r="J906" s="33" t="s">
        <v>189</v>
      </c>
      <c r="K906" s="33" t="s">
        <v>262</v>
      </c>
    </row>
    <row r="907" ht="15.75" customHeight="1">
      <c r="A907" s="33" t="s">
        <v>4636</v>
      </c>
      <c r="B907" s="33" t="s">
        <v>318</v>
      </c>
      <c r="C907" s="33" t="s">
        <v>235</v>
      </c>
      <c r="D907" s="39">
        <v>45881.0</v>
      </c>
      <c r="E907" s="40">
        <v>35300.0</v>
      </c>
      <c r="F907" s="33" t="s">
        <v>230</v>
      </c>
      <c r="G907" s="33" t="s">
        <v>189</v>
      </c>
      <c r="H907" s="33" t="s">
        <v>189</v>
      </c>
      <c r="I907" s="33" t="s">
        <v>189</v>
      </c>
      <c r="J907" s="33" t="s">
        <v>189</v>
      </c>
      <c r="K907" s="33" t="s">
        <v>252</v>
      </c>
    </row>
    <row r="908" ht="15.75" customHeight="1">
      <c r="A908" s="33" t="s">
        <v>2651</v>
      </c>
      <c r="B908" s="33" t="s">
        <v>902</v>
      </c>
      <c r="C908" s="33" t="s">
        <v>227</v>
      </c>
      <c r="D908" s="39">
        <v>46220.0</v>
      </c>
      <c r="E908" s="40">
        <v>17800.0</v>
      </c>
      <c r="F908" s="33" t="s">
        <v>230</v>
      </c>
      <c r="G908" s="33" t="s">
        <v>181</v>
      </c>
      <c r="H908" s="33" t="s">
        <v>181</v>
      </c>
      <c r="I908" s="33" t="s">
        <v>181</v>
      </c>
      <c r="J908" s="33" t="s">
        <v>181</v>
      </c>
      <c r="K908" s="33" t="s">
        <v>157</v>
      </c>
    </row>
    <row r="909" ht="15.75" customHeight="1">
      <c r="A909" s="33" t="s">
        <v>2655</v>
      </c>
      <c r="B909" s="33" t="s">
        <v>696</v>
      </c>
      <c r="C909" s="33" t="s">
        <v>235</v>
      </c>
      <c r="D909" s="39">
        <v>46130.0</v>
      </c>
      <c r="E909" s="40">
        <v>43900.0</v>
      </c>
      <c r="F909" s="33" t="s">
        <v>269</v>
      </c>
      <c r="G909" s="33" t="s">
        <v>181</v>
      </c>
      <c r="H909" s="33" t="s">
        <v>181</v>
      </c>
      <c r="I909" s="33" t="s">
        <v>181</v>
      </c>
      <c r="J909" s="33" t="s">
        <v>181</v>
      </c>
      <c r="K909" s="33" t="s">
        <v>157</v>
      </c>
    </row>
    <row r="910" ht="15.75" customHeight="1">
      <c r="A910" s="33" t="s">
        <v>4644</v>
      </c>
      <c r="B910" s="33" t="s">
        <v>278</v>
      </c>
      <c r="C910" s="33" t="s">
        <v>227</v>
      </c>
      <c r="D910" s="39">
        <v>45811.0</v>
      </c>
      <c r="E910" s="40">
        <v>27100.0</v>
      </c>
      <c r="F910" s="33" t="s">
        <v>269</v>
      </c>
      <c r="G910" s="33" t="s">
        <v>189</v>
      </c>
      <c r="H910" s="33" t="s">
        <v>189</v>
      </c>
      <c r="I910" s="33" t="s">
        <v>189</v>
      </c>
      <c r="J910" s="33" t="s">
        <v>189</v>
      </c>
      <c r="K910" s="33" t="s">
        <v>252</v>
      </c>
    </row>
    <row r="911" ht="15.75" customHeight="1">
      <c r="A911" s="33" t="s">
        <v>4646</v>
      </c>
      <c r="B911" s="33" t="s">
        <v>741</v>
      </c>
      <c r="C911" s="33" t="s">
        <v>235</v>
      </c>
      <c r="D911" s="39">
        <v>46023.0</v>
      </c>
      <c r="E911" s="40">
        <v>38500.0</v>
      </c>
      <c r="F911" s="33" t="s">
        <v>230</v>
      </c>
      <c r="G911" s="33" t="s">
        <v>189</v>
      </c>
      <c r="H911" s="33" t="s">
        <v>189</v>
      </c>
      <c r="I911" s="33" t="s">
        <v>189</v>
      </c>
      <c r="J911" s="33" t="s">
        <v>189</v>
      </c>
      <c r="K911" s="33" t="s">
        <v>252</v>
      </c>
    </row>
    <row r="912" ht="15.75" customHeight="1">
      <c r="A912" s="33" t="s">
        <v>4649</v>
      </c>
      <c r="B912" s="33" t="s">
        <v>1031</v>
      </c>
      <c r="C912" s="33" t="s">
        <v>227</v>
      </c>
      <c r="D912" s="39">
        <v>45898.0</v>
      </c>
      <c r="E912" s="40">
        <v>9200.0</v>
      </c>
      <c r="F912" s="33" t="s">
        <v>230</v>
      </c>
      <c r="G912" s="33" t="s">
        <v>181</v>
      </c>
      <c r="H912" s="33" t="s">
        <v>189</v>
      </c>
      <c r="I912" s="33" t="s">
        <v>189</v>
      </c>
      <c r="J912" s="33" t="s">
        <v>189</v>
      </c>
      <c r="K912" s="33" t="s">
        <v>262</v>
      </c>
    </row>
    <row r="913" ht="15.75" customHeight="1">
      <c r="A913" s="33" t="s">
        <v>2660</v>
      </c>
      <c r="B913" s="33" t="s">
        <v>1102</v>
      </c>
      <c r="C913" s="33" t="s">
        <v>247</v>
      </c>
      <c r="D913" s="39">
        <v>45779.0</v>
      </c>
      <c r="E913" s="40">
        <v>12900.0</v>
      </c>
      <c r="F913" s="33" t="s">
        <v>230</v>
      </c>
      <c r="G913" s="33" t="s">
        <v>181</v>
      </c>
      <c r="H913" s="33" t="s">
        <v>181</v>
      </c>
      <c r="I913" s="33" t="s">
        <v>181</v>
      </c>
      <c r="J913" s="33" t="s">
        <v>181</v>
      </c>
      <c r="K913" s="33" t="s">
        <v>157</v>
      </c>
    </row>
    <row r="914" ht="15.75" customHeight="1">
      <c r="A914" s="33" t="s">
        <v>2664</v>
      </c>
      <c r="B914" s="33" t="s">
        <v>2658</v>
      </c>
      <c r="C914" s="33" t="s">
        <v>235</v>
      </c>
      <c r="D914" s="39">
        <v>46056.0</v>
      </c>
      <c r="E914" s="40">
        <v>42100.0</v>
      </c>
      <c r="F914" s="33" t="s">
        <v>241</v>
      </c>
      <c r="G914" s="33" t="s">
        <v>181</v>
      </c>
      <c r="H914" s="33" t="s">
        <v>181</v>
      </c>
      <c r="I914" s="33" t="s">
        <v>181</v>
      </c>
      <c r="J914" s="33" t="s">
        <v>181</v>
      </c>
      <c r="K914" s="33" t="s">
        <v>157</v>
      </c>
    </row>
    <row r="915" ht="15.75" customHeight="1">
      <c r="A915" s="33" t="s">
        <v>4656</v>
      </c>
      <c r="B915" s="33" t="s">
        <v>2424</v>
      </c>
      <c r="C915" s="33" t="s">
        <v>227</v>
      </c>
      <c r="D915" s="39">
        <v>45909.0</v>
      </c>
      <c r="E915" s="40">
        <v>20400.0</v>
      </c>
      <c r="F915" s="33" t="s">
        <v>248</v>
      </c>
      <c r="G915" s="33" t="s">
        <v>181</v>
      </c>
      <c r="H915" s="33" t="s">
        <v>189</v>
      </c>
      <c r="I915" s="33" t="s">
        <v>189</v>
      </c>
      <c r="J915" s="33" t="s">
        <v>189</v>
      </c>
      <c r="K915" s="33" t="s">
        <v>262</v>
      </c>
    </row>
    <row r="916" ht="15.75" customHeight="1">
      <c r="A916" s="33" t="s">
        <v>4659</v>
      </c>
      <c r="B916" s="33" t="s">
        <v>835</v>
      </c>
      <c r="C916" s="33" t="s">
        <v>227</v>
      </c>
      <c r="D916" s="39">
        <v>45717.0</v>
      </c>
      <c r="E916" s="40">
        <v>26900.0</v>
      </c>
      <c r="F916" s="33" t="s">
        <v>269</v>
      </c>
      <c r="G916" s="33" t="s">
        <v>189</v>
      </c>
      <c r="H916" s="33" t="s">
        <v>189</v>
      </c>
      <c r="I916" s="33" t="s">
        <v>189</v>
      </c>
      <c r="J916" s="33" t="s">
        <v>189</v>
      </c>
      <c r="K916" s="33" t="s">
        <v>252</v>
      </c>
    </row>
    <row r="917" ht="15.75" customHeight="1">
      <c r="A917" s="33" t="s">
        <v>2670</v>
      </c>
      <c r="B917" s="33" t="s">
        <v>458</v>
      </c>
      <c r="C917" s="33" t="s">
        <v>235</v>
      </c>
      <c r="D917" s="39">
        <v>46182.0</v>
      </c>
      <c r="E917" s="40">
        <v>36600.0</v>
      </c>
      <c r="F917" s="33" t="s">
        <v>230</v>
      </c>
      <c r="G917" s="33" t="s">
        <v>181</v>
      </c>
      <c r="H917" s="33" t="s">
        <v>181</v>
      </c>
      <c r="I917" s="33" t="s">
        <v>181</v>
      </c>
      <c r="J917" s="33" t="s">
        <v>181</v>
      </c>
      <c r="K917" s="33" t="s">
        <v>157</v>
      </c>
    </row>
    <row r="918" ht="15.75" customHeight="1">
      <c r="A918" s="33" t="s">
        <v>2673</v>
      </c>
      <c r="B918" s="33" t="s">
        <v>898</v>
      </c>
      <c r="C918" s="33" t="s">
        <v>235</v>
      </c>
      <c r="D918" s="39">
        <v>46025.0</v>
      </c>
      <c r="E918" s="40">
        <v>9300.0</v>
      </c>
      <c r="F918" s="33" t="s">
        <v>230</v>
      </c>
      <c r="G918" s="33" t="s">
        <v>181</v>
      </c>
      <c r="H918" s="33" t="s">
        <v>181</v>
      </c>
      <c r="I918" s="33" t="s">
        <v>181</v>
      </c>
      <c r="J918" s="33" t="s">
        <v>181</v>
      </c>
      <c r="K918" s="33" t="s">
        <v>157</v>
      </c>
    </row>
    <row r="919" ht="15.75" customHeight="1">
      <c r="A919" s="33" t="s">
        <v>2679</v>
      </c>
      <c r="B919" s="33" t="s">
        <v>740</v>
      </c>
      <c r="C919" s="33" t="s">
        <v>247</v>
      </c>
      <c r="D919" s="39">
        <v>45993.0</v>
      </c>
      <c r="E919" s="40">
        <v>15800.0</v>
      </c>
      <c r="F919" s="33" t="s">
        <v>248</v>
      </c>
      <c r="G919" s="33" t="s">
        <v>181</v>
      </c>
      <c r="H919" s="33" t="s">
        <v>181</v>
      </c>
      <c r="I919" s="33" t="s">
        <v>181</v>
      </c>
      <c r="J919" s="33" t="s">
        <v>181</v>
      </c>
      <c r="K919" s="33" t="s">
        <v>157</v>
      </c>
    </row>
    <row r="920" ht="15.75" customHeight="1">
      <c r="A920" s="33" t="s">
        <v>2683</v>
      </c>
      <c r="B920" s="33" t="s">
        <v>195</v>
      </c>
      <c r="C920" s="33" t="s">
        <v>227</v>
      </c>
      <c r="D920" s="39">
        <v>46264.0</v>
      </c>
      <c r="E920" s="40">
        <v>17000.0</v>
      </c>
      <c r="F920" s="33" t="s">
        <v>230</v>
      </c>
      <c r="G920" s="33" t="s">
        <v>181</v>
      </c>
      <c r="H920" s="33" t="s">
        <v>181</v>
      </c>
      <c r="I920" s="33" t="s">
        <v>181</v>
      </c>
      <c r="J920" s="33" t="s">
        <v>181</v>
      </c>
      <c r="K920" s="33" t="s">
        <v>157</v>
      </c>
    </row>
    <row r="921" ht="15.75" customHeight="1">
      <c r="A921" s="33" t="s">
        <v>4672</v>
      </c>
      <c r="B921" s="33" t="s">
        <v>2158</v>
      </c>
      <c r="C921" s="33" t="s">
        <v>227</v>
      </c>
      <c r="D921" s="39">
        <v>46088.0</v>
      </c>
      <c r="E921" s="40">
        <v>45900.0</v>
      </c>
      <c r="F921" s="33" t="s">
        <v>230</v>
      </c>
      <c r="G921" s="33" t="s">
        <v>189</v>
      </c>
      <c r="H921" s="33" t="s">
        <v>189</v>
      </c>
      <c r="I921" s="33" t="s">
        <v>189</v>
      </c>
      <c r="J921" s="33" t="s">
        <v>189</v>
      </c>
      <c r="K921" s="33" t="s">
        <v>252</v>
      </c>
    </row>
    <row r="922" ht="15.75" customHeight="1">
      <c r="A922" s="33" t="s">
        <v>4675</v>
      </c>
      <c r="B922" s="33" t="s">
        <v>1789</v>
      </c>
      <c r="C922" s="33" t="s">
        <v>247</v>
      </c>
      <c r="D922" s="39">
        <v>46252.0</v>
      </c>
      <c r="E922" s="40">
        <v>7700.0</v>
      </c>
      <c r="F922" s="33" t="s">
        <v>241</v>
      </c>
      <c r="G922" s="33" t="s">
        <v>181</v>
      </c>
      <c r="H922" s="33" t="s">
        <v>189</v>
      </c>
      <c r="I922" s="33" t="s">
        <v>189</v>
      </c>
      <c r="J922" s="33" t="s">
        <v>189</v>
      </c>
      <c r="K922" s="33" t="s">
        <v>262</v>
      </c>
    </row>
    <row r="923" ht="15.75" customHeight="1">
      <c r="A923" s="33" t="s">
        <v>4679</v>
      </c>
      <c r="B923" s="33" t="s">
        <v>981</v>
      </c>
      <c r="C923" s="33" t="s">
        <v>247</v>
      </c>
      <c r="D923" s="39">
        <v>46088.0</v>
      </c>
      <c r="E923" s="40">
        <v>19200.0</v>
      </c>
      <c r="F923" s="33" t="s">
        <v>230</v>
      </c>
      <c r="G923" s="33" t="s">
        <v>189</v>
      </c>
      <c r="H923" s="33" t="s">
        <v>189</v>
      </c>
      <c r="I923" s="33" t="s">
        <v>189</v>
      </c>
      <c r="J923" s="33" t="s">
        <v>189</v>
      </c>
      <c r="K923" s="33" t="s">
        <v>252</v>
      </c>
    </row>
    <row r="924" ht="15.75" customHeight="1">
      <c r="A924" s="33" t="s">
        <v>2686</v>
      </c>
      <c r="B924" s="33" t="s">
        <v>371</v>
      </c>
      <c r="C924" s="33" t="s">
        <v>227</v>
      </c>
      <c r="D924" s="39">
        <v>45760.0</v>
      </c>
      <c r="E924" s="40">
        <v>48000.0</v>
      </c>
      <c r="F924" s="33" t="s">
        <v>230</v>
      </c>
      <c r="G924" s="33" t="s">
        <v>181</v>
      </c>
      <c r="H924" s="33" t="s">
        <v>181</v>
      </c>
      <c r="I924" s="33" t="s">
        <v>181</v>
      </c>
      <c r="J924" s="33" t="s">
        <v>181</v>
      </c>
      <c r="K924" s="33" t="s">
        <v>157</v>
      </c>
    </row>
    <row r="925" ht="15.75" customHeight="1">
      <c r="A925" s="33" t="s">
        <v>2692</v>
      </c>
      <c r="B925" s="33" t="s">
        <v>1485</v>
      </c>
      <c r="C925" s="33" t="s">
        <v>227</v>
      </c>
      <c r="D925" s="39">
        <v>45950.0</v>
      </c>
      <c r="E925" s="40">
        <v>41900.0</v>
      </c>
      <c r="F925" s="33" t="s">
        <v>230</v>
      </c>
      <c r="G925" s="33" t="s">
        <v>181</v>
      </c>
      <c r="H925" s="33" t="s">
        <v>181</v>
      </c>
      <c r="I925" s="33" t="s">
        <v>181</v>
      </c>
      <c r="J925" s="33" t="s">
        <v>181</v>
      </c>
      <c r="K925" s="33" t="s">
        <v>157</v>
      </c>
    </row>
    <row r="926" ht="15.75" customHeight="1">
      <c r="A926" s="33" t="s">
        <v>4683</v>
      </c>
      <c r="B926" s="33" t="s">
        <v>592</v>
      </c>
      <c r="C926" s="33" t="s">
        <v>235</v>
      </c>
      <c r="D926" s="39">
        <v>45967.0</v>
      </c>
      <c r="E926" s="40">
        <v>33900.0</v>
      </c>
      <c r="F926" s="33" t="s">
        <v>248</v>
      </c>
      <c r="G926" s="33" t="s">
        <v>189</v>
      </c>
      <c r="H926" s="33" t="s">
        <v>189</v>
      </c>
      <c r="I926" s="33" t="s">
        <v>189</v>
      </c>
      <c r="J926" s="33" t="s">
        <v>189</v>
      </c>
      <c r="K926" s="33" t="s">
        <v>252</v>
      </c>
    </row>
    <row r="927" ht="15.75" customHeight="1">
      <c r="A927" s="33" t="s">
        <v>2695</v>
      </c>
      <c r="B927" s="33" t="s">
        <v>1850</v>
      </c>
      <c r="C927" s="33" t="s">
        <v>247</v>
      </c>
      <c r="D927" s="39">
        <v>45837.0</v>
      </c>
      <c r="E927" s="40">
        <v>27900.0</v>
      </c>
      <c r="F927" s="33" t="s">
        <v>230</v>
      </c>
      <c r="G927" s="33" t="s">
        <v>181</v>
      </c>
      <c r="H927" s="33" t="s">
        <v>181</v>
      </c>
      <c r="I927" s="33" t="s">
        <v>181</v>
      </c>
      <c r="J927" s="33" t="s">
        <v>181</v>
      </c>
      <c r="K927" s="33" t="s">
        <v>157</v>
      </c>
    </row>
    <row r="928" ht="15.75" customHeight="1">
      <c r="A928" s="33" t="s">
        <v>2698</v>
      </c>
      <c r="B928" s="33" t="s">
        <v>1167</v>
      </c>
      <c r="C928" s="33" t="s">
        <v>247</v>
      </c>
      <c r="D928" s="39">
        <v>45845.0</v>
      </c>
      <c r="E928" s="40">
        <v>42100.0</v>
      </c>
      <c r="F928" s="33" t="s">
        <v>230</v>
      </c>
      <c r="G928" s="33" t="s">
        <v>181</v>
      </c>
      <c r="H928" s="33" t="s">
        <v>181</v>
      </c>
      <c r="I928" s="33" t="s">
        <v>181</v>
      </c>
      <c r="J928" s="33" t="s">
        <v>181</v>
      </c>
      <c r="K928" s="33" t="s">
        <v>157</v>
      </c>
    </row>
    <row r="929" ht="15.75" customHeight="1">
      <c r="A929" s="33" t="s">
        <v>2704</v>
      </c>
      <c r="B929" s="33" t="s">
        <v>767</v>
      </c>
      <c r="C929" s="33" t="s">
        <v>235</v>
      </c>
      <c r="D929" s="39">
        <v>46019.0</v>
      </c>
      <c r="E929" s="40">
        <v>47400.0</v>
      </c>
      <c r="F929" s="33" t="s">
        <v>241</v>
      </c>
      <c r="G929" s="33" t="s">
        <v>181</v>
      </c>
      <c r="H929" s="33" t="s">
        <v>181</v>
      </c>
      <c r="I929" s="33" t="s">
        <v>181</v>
      </c>
      <c r="J929" s="33" t="s">
        <v>181</v>
      </c>
      <c r="K929" s="33" t="s">
        <v>157</v>
      </c>
    </row>
    <row r="930" ht="15.75" customHeight="1">
      <c r="A930" s="33" t="s">
        <v>2708</v>
      </c>
      <c r="B930" s="33" t="s">
        <v>1868</v>
      </c>
      <c r="C930" s="33" t="s">
        <v>247</v>
      </c>
      <c r="D930" s="39">
        <v>45907.0</v>
      </c>
      <c r="E930" s="40">
        <v>46300.0</v>
      </c>
      <c r="F930" s="33" t="s">
        <v>248</v>
      </c>
      <c r="G930" s="33" t="s">
        <v>181</v>
      </c>
      <c r="H930" s="33" t="s">
        <v>181</v>
      </c>
      <c r="I930" s="33" t="s">
        <v>181</v>
      </c>
      <c r="J930" s="33" t="s">
        <v>181</v>
      </c>
      <c r="K930" s="33" t="s">
        <v>157</v>
      </c>
    </row>
    <row r="931" ht="15.75" customHeight="1">
      <c r="A931" s="33" t="s">
        <v>4696</v>
      </c>
      <c r="B931" s="33" t="s">
        <v>2515</v>
      </c>
      <c r="C931" s="33" t="s">
        <v>227</v>
      </c>
      <c r="D931" s="39">
        <v>45726.0</v>
      </c>
      <c r="E931" s="40">
        <v>32300.0</v>
      </c>
      <c r="F931" s="33" t="s">
        <v>241</v>
      </c>
      <c r="G931" s="33" t="s">
        <v>189</v>
      </c>
      <c r="H931" s="33" t="s">
        <v>189</v>
      </c>
      <c r="I931" s="33" t="s">
        <v>189</v>
      </c>
      <c r="J931" s="33" t="s">
        <v>189</v>
      </c>
      <c r="K931" s="33" t="s">
        <v>252</v>
      </c>
    </row>
    <row r="932" ht="15.75" customHeight="1">
      <c r="A932" s="33" t="s">
        <v>2712</v>
      </c>
      <c r="B932" s="33" t="s">
        <v>2268</v>
      </c>
      <c r="C932" s="33" t="s">
        <v>235</v>
      </c>
      <c r="D932" s="39">
        <v>46010.0</v>
      </c>
      <c r="E932" s="40">
        <v>36700.0</v>
      </c>
      <c r="F932" s="33" t="s">
        <v>248</v>
      </c>
      <c r="G932" s="33" t="s">
        <v>181</v>
      </c>
      <c r="H932" s="33" t="s">
        <v>181</v>
      </c>
      <c r="I932" s="33" t="s">
        <v>181</v>
      </c>
      <c r="J932" s="33" t="s">
        <v>181</v>
      </c>
      <c r="K932" s="33" t="s">
        <v>157</v>
      </c>
    </row>
    <row r="933" ht="15.75" customHeight="1">
      <c r="A933" s="33" t="s">
        <v>2717</v>
      </c>
      <c r="B933" s="33" t="s">
        <v>257</v>
      </c>
      <c r="C933" s="33" t="s">
        <v>235</v>
      </c>
      <c r="D933" s="39">
        <v>46020.0</v>
      </c>
      <c r="E933" s="40">
        <v>39000.0</v>
      </c>
      <c r="F933" s="33" t="s">
        <v>248</v>
      </c>
      <c r="G933" s="33" t="s">
        <v>181</v>
      </c>
      <c r="H933" s="33" t="s">
        <v>181</v>
      </c>
      <c r="I933" s="33" t="s">
        <v>181</v>
      </c>
      <c r="J933" s="33" t="s">
        <v>181</v>
      </c>
      <c r="K933" s="33" t="s">
        <v>157</v>
      </c>
    </row>
    <row r="934" ht="15.75" customHeight="1">
      <c r="A934" s="33" t="s">
        <v>4703</v>
      </c>
      <c r="B934" s="33" t="s">
        <v>672</v>
      </c>
      <c r="C934" s="33" t="s">
        <v>227</v>
      </c>
      <c r="D934" s="39">
        <v>46153.0</v>
      </c>
      <c r="E934" s="40">
        <v>40700.0</v>
      </c>
      <c r="F934" s="33" t="s">
        <v>230</v>
      </c>
      <c r="G934" s="33" t="s">
        <v>181</v>
      </c>
      <c r="H934" s="33" t="s">
        <v>189</v>
      </c>
      <c r="I934" s="33" t="s">
        <v>189</v>
      </c>
      <c r="J934" s="33" t="s">
        <v>189</v>
      </c>
      <c r="K934" s="33" t="s">
        <v>262</v>
      </c>
    </row>
    <row r="935" ht="15.75" customHeight="1">
      <c r="A935" s="33" t="s">
        <v>2722</v>
      </c>
      <c r="B935" s="33" t="s">
        <v>225</v>
      </c>
      <c r="C935" s="33" t="s">
        <v>227</v>
      </c>
      <c r="D935" s="39">
        <v>45720.0</v>
      </c>
      <c r="E935" s="40">
        <v>36900.0</v>
      </c>
      <c r="F935" s="33" t="s">
        <v>230</v>
      </c>
      <c r="G935" s="33" t="s">
        <v>181</v>
      </c>
      <c r="H935" s="33" t="s">
        <v>181</v>
      </c>
      <c r="I935" s="33" t="s">
        <v>181</v>
      </c>
      <c r="J935" s="33" t="s">
        <v>181</v>
      </c>
      <c r="K935" s="33" t="s">
        <v>157</v>
      </c>
    </row>
    <row r="936" ht="15.75" customHeight="1">
      <c r="A936" s="33" t="s">
        <v>2726</v>
      </c>
      <c r="B936" s="33" t="s">
        <v>483</v>
      </c>
      <c r="C936" s="33" t="s">
        <v>227</v>
      </c>
      <c r="D936" s="39">
        <v>45935.0</v>
      </c>
      <c r="E936" s="40">
        <v>9800.0</v>
      </c>
      <c r="F936" s="33" t="s">
        <v>248</v>
      </c>
      <c r="G936" s="33" t="s">
        <v>181</v>
      </c>
      <c r="H936" s="33" t="s">
        <v>181</v>
      </c>
      <c r="I936" s="33" t="s">
        <v>181</v>
      </c>
      <c r="J936" s="33" t="s">
        <v>181</v>
      </c>
      <c r="K936" s="33" t="s">
        <v>157</v>
      </c>
    </row>
    <row r="937" ht="15.75" customHeight="1">
      <c r="A937" s="33" t="s">
        <v>2730</v>
      </c>
      <c r="B937" s="33" t="s">
        <v>2729</v>
      </c>
      <c r="C937" s="33" t="s">
        <v>227</v>
      </c>
      <c r="D937" s="39">
        <v>46205.0</v>
      </c>
      <c r="E937" s="40">
        <v>38200.0</v>
      </c>
      <c r="F937" s="33" t="s">
        <v>269</v>
      </c>
      <c r="G937" s="33" t="s">
        <v>181</v>
      </c>
      <c r="H937" s="33" t="s">
        <v>181</v>
      </c>
      <c r="I937" s="33" t="s">
        <v>181</v>
      </c>
      <c r="J937" s="33" t="s">
        <v>181</v>
      </c>
      <c r="K937" s="33" t="s">
        <v>157</v>
      </c>
    </row>
    <row r="938" ht="15.75" customHeight="1">
      <c r="A938" s="33" t="s">
        <v>4714</v>
      </c>
      <c r="B938" s="33" t="s">
        <v>2836</v>
      </c>
      <c r="C938" s="33" t="s">
        <v>227</v>
      </c>
      <c r="D938" s="39">
        <v>45818.0</v>
      </c>
      <c r="E938" s="40">
        <v>20100.0</v>
      </c>
      <c r="F938" s="33" t="s">
        <v>230</v>
      </c>
      <c r="G938" s="33" t="s">
        <v>189</v>
      </c>
      <c r="H938" s="33" t="s">
        <v>189</v>
      </c>
      <c r="I938" s="33" t="s">
        <v>189</v>
      </c>
      <c r="J938" s="33" t="s">
        <v>189</v>
      </c>
      <c r="K938" s="33" t="s">
        <v>252</v>
      </c>
    </row>
    <row r="939" ht="15.75" customHeight="1">
      <c r="A939" s="33" t="s">
        <v>2735</v>
      </c>
      <c r="B939" s="33" t="s">
        <v>539</v>
      </c>
      <c r="C939" s="33" t="s">
        <v>227</v>
      </c>
      <c r="D939" s="39">
        <v>46109.0</v>
      </c>
      <c r="E939" s="40">
        <v>10800.0</v>
      </c>
      <c r="F939" s="33" t="s">
        <v>230</v>
      </c>
      <c r="G939" s="33" t="s">
        <v>181</v>
      </c>
      <c r="H939" s="33" t="s">
        <v>181</v>
      </c>
      <c r="I939" s="33" t="s">
        <v>181</v>
      </c>
      <c r="J939" s="33" t="s">
        <v>181</v>
      </c>
      <c r="K939" s="33" t="s">
        <v>157</v>
      </c>
    </row>
    <row r="940" ht="15.75" customHeight="1">
      <c r="A940" s="33" t="s">
        <v>2739</v>
      </c>
      <c r="B940" s="33" t="s">
        <v>561</v>
      </c>
      <c r="C940" s="33" t="s">
        <v>247</v>
      </c>
      <c r="D940" s="39">
        <v>45866.0</v>
      </c>
      <c r="E940" s="40">
        <v>6000.0</v>
      </c>
      <c r="F940" s="33" t="s">
        <v>269</v>
      </c>
      <c r="G940" s="33" t="s">
        <v>181</v>
      </c>
      <c r="H940" s="33" t="s">
        <v>181</v>
      </c>
      <c r="I940" s="33" t="s">
        <v>181</v>
      </c>
      <c r="J940" s="33" t="s">
        <v>181</v>
      </c>
      <c r="K940" s="33" t="s">
        <v>157</v>
      </c>
    </row>
    <row r="941" ht="15.75" customHeight="1">
      <c r="A941" s="33" t="s">
        <v>4724</v>
      </c>
      <c r="B941" s="33" t="s">
        <v>1530</v>
      </c>
      <c r="C941" s="33" t="s">
        <v>227</v>
      </c>
      <c r="D941" s="39">
        <v>45767.0</v>
      </c>
      <c r="E941" s="40">
        <v>12800.0</v>
      </c>
      <c r="F941" s="33" t="s">
        <v>230</v>
      </c>
      <c r="G941" s="33" t="s">
        <v>181</v>
      </c>
      <c r="H941" s="33" t="s">
        <v>189</v>
      </c>
      <c r="I941" s="33" t="s">
        <v>189</v>
      </c>
      <c r="J941" s="33" t="s">
        <v>189</v>
      </c>
      <c r="K941" s="33" t="s">
        <v>262</v>
      </c>
    </row>
    <row r="942" ht="15.75" customHeight="1">
      <c r="A942" s="33" t="s">
        <v>4727</v>
      </c>
      <c r="B942" s="33" t="s">
        <v>936</v>
      </c>
      <c r="C942" s="33" t="s">
        <v>235</v>
      </c>
      <c r="D942" s="39">
        <v>46089.0</v>
      </c>
      <c r="E942" s="40">
        <v>25900.0</v>
      </c>
      <c r="F942" s="33" t="s">
        <v>241</v>
      </c>
      <c r="G942" s="33" t="s">
        <v>181</v>
      </c>
      <c r="H942" s="33" t="s">
        <v>181</v>
      </c>
      <c r="I942" s="33" t="s">
        <v>181</v>
      </c>
      <c r="J942" s="33" t="s">
        <v>189</v>
      </c>
      <c r="K942" s="33" t="s">
        <v>365</v>
      </c>
    </row>
    <row r="943" ht="15.75" customHeight="1">
      <c r="A943" s="33" t="s">
        <v>4730</v>
      </c>
      <c r="B943" s="33" t="s">
        <v>3352</v>
      </c>
      <c r="C943" s="33" t="s">
        <v>247</v>
      </c>
      <c r="D943" s="39">
        <v>46134.0</v>
      </c>
      <c r="E943" s="40">
        <v>13100.0</v>
      </c>
      <c r="F943" s="33" t="s">
        <v>241</v>
      </c>
      <c r="G943" s="33" t="s">
        <v>181</v>
      </c>
      <c r="H943" s="33" t="s">
        <v>189</v>
      </c>
      <c r="I943" s="33" t="s">
        <v>189</v>
      </c>
      <c r="J943" s="33" t="s">
        <v>189</v>
      </c>
      <c r="K943" s="33" t="s">
        <v>262</v>
      </c>
    </row>
    <row r="944" ht="15.75" customHeight="1">
      <c r="A944" s="33" t="s">
        <v>2746</v>
      </c>
      <c r="B944" s="33" t="s">
        <v>1360</v>
      </c>
      <c r="C944" s="33" t="s">
        <v>227</v>
      </c>
      <c r="D944" s="39">
        <v>46213.0</v>
      </c>
      <c r="E944" s="40">
        <v>33600.0</v>
      </c>
      <c r="F944" s="33" t="s">
        <v>230</v>
      </c>
      <c r="G944" s="33" t="s">
        <v>181</v>
      </c>
      <c r="H944" s="33" t="s">
        <v>181</v>
      </c>
      <c r="I944" s="33" t="s">
        <v>181</v>
      </c>
      <c r="J944" s="33" t="s">
        <v>181</v>
      </c>
      <c r="K944" s="33" t="s">
        <v>157</v>
      </c>
    </row>
    <row r="945" ht="15.75" customHeight="1">
      <c r="A945" s="33" t="s">
        <v>2749</v>
      </c>
      <c r="B945" s="33" t="s">
        <v>323</v>
      </c>
      <c r="C945" s="33" t="s">
        <v>235</v>
      </c>
      <c r="D945" s="39">
        <v>46098.0</v>
      </c>
      <c r="E945" s="40">
        <v>48300.0</v>
      </c>
      <c r="F945" s="33" t="s">
        <v>248</v>
      </c>
      <c r="G945" s="33" t="s">
        <v>181</v>
      </c>
      <c r="H945" s="33" t="s">
        <v>181</v>
      </c>
      <c r="I945" s="33" t="s">
        <v>181</v>
      </c>
      <c r="J945" s="33" t="s">
        <v>181</v>
      </c>
      <c r="K945" s="33" t="s">
        <v>157</v>
      </c>
    </row>
    <row r="946" ht="15.75" customHeight="1">
      <c r="A946" s="33" t="s">
        <v>2758</v>
      </c>
      <c r="B946" s="33" t="s">
        <v>2252</v>
      </c>
      <c r="C946" s="33" t="s">
        <v>247</v>
      </c>
      <c r="D946" s="39">
        <v>45844.0</v>
      </c>
      <c r="E946" s="40">
        <v>3200.0</v>
      </c>
      <c r="F946" s="33" t="s">
        <v>241</v>
      </c>
      <c r="G946" s="33" t="s">
        <v>181</v>
      </c>
      <c r="H946" s="33" t="s">
        <v>181</v>
      </c>
      <c r="I946" s="33" t="s">
        <v>181</v>
      </c>
      <c r="J946" s="33" t="s">
        <v>181</v>
      </c>
      <c r="K946" s="33" t="s">
        <v>157</v>
      </c>
    </row>
    <row r="947" ht="15.75" customHeight="1">
      <c r="A947" s="33" t="s">
        <v>4742</v>
      </c>
      <c r="B947" s="33" t="s">
        <v>701</v>
      </c>
      <c r="C947" s="33" t="s">
        <v>247</v>
      </c>
      <c r="D947" s="39">
        <v>46100.0</v>
      </c>
      <c r="E947" s="40">
        <v>7400.0</v>
      </c>
      <c r="F947" s="33" t="s">
        <v>230</v>
      </c>
      <c r="G947" s="33" t="s">
        <v>189</v>
      </c>
      <c r="H947" s="33" t="s">
        <v>189</v>
      </c>
      <c r="I947" s="33" t="s">
        <v>189</v>
      </c>
      <c r="J947" s="33" t="s">
        <v>189</v>
      </c>
      <c r="K947" s="33" t="s">
        <v>252</v>
      </c>
    </row>
    <row r="948" ht="15.75" customHeight="1">
      <c r="A948" s="33" t="s">
        <v>2762</v>
      </c>
      <c r="B948" s="33" t="s">
        <v>576</v>
      </c>
      <c r="C948" s="33" t="s">
        <v>235</v>
      </c>
      <c r="D948" s="39">
        <v>45677.0</v>
      </c>
      <c r="E948" s="40">
        <v>13100.0</v>
      </c>
      <c r="F948" s="33" t="s">
        <v>230</v>
      </c>
      <c r="G948" s="33" t="s">
        <v>181</v>
      </c>
      <c r="H948" s="33" t="s">
        <v>181</v>
      </c>
      <c r="I948" s="33" t="s">
        <v>181</v>
      </c>
      <c r="J948" s="33" t="s">
        <v>181</v>
      </c>
      <c r="K948" s="33" t="s">
        <v>157</v>
      </c>
    </row>
    <row r="949" ht="15.75" customHeight="1">
      <c r="A949" s="33" t="s">
        <v>2768</v>
      </c>
      <c r="B949" s="33" t="s">
        <v>2131</v>
      </c>
      <c r="C949" s="33" t="s">
        <v>235</v>
      </c>
      <c r="D949" s="39">
        <v>45861.0</v>
      </c>
      <c r="E949" s="40">
        <v>40400.0</v>
      </c>
      <c r="F949" s="33" t="s">
        <v>230</v>
      </c>
      <c r="G949" s="33" t="s">
        <v>181</v>
      </c>
      <c r="H949" s="33" t="s">
        <v>181</v>
      </c>
      <c r="I949" s="33" t="s">
        <v>181</v>
      </c>
      <c r="J949" s="33" t="s">
        <v>181</v>
      </c>
      <c r="K949" s="33" t="s">
        <v>157</v>
      </c>
    </row>
    <row r="950" ht="15.75" customHeight="1">
      <c r="A950" s="33" t="s">
        <v>2771</v>
      </c>
      <c r="B950" s="33" t="s">
        <v>521</v>
      </c>
      <c r="C950" s="33" t="s">
        <v>247</v>
      </c>
      <c r="D950" s="39">
        <v>45787.0</v>
      </c>
      <c r="E950" s="40">
        <v>14300.0</v>
      </c>
      <c r="F950" s="33" t="s">
        <v>248</v>
      </c>
      <c r="G950" s="33" t="s">
        <v>181</v>
      </c>
      <c r="H950" s="33" t="s">
        <v>181</v>
      </c>
      <c r="I950" s="33" t="s">
        <v>181</v>
      </c>
      <c r="J950" s="33" t="s">
        <v>181</v>
      </c>
      <c r="K950" s="33" t="s">
        <v>157</v>
      </c>
    </row>
    <row r="951" ht="15.75" customHeight="1">
      <c r="A951" s="33" t="s">
        <v>4753</v>
      </c>
      <c r="B951" s="33" t="s">
        <v>1554</v>
      </c>
      <c r="C951" s="33" t="s">
        <v>247</v>
      </c>
      <c r="D951" s="39">
        <v>45975.0</v>
      </c>
      <c r="E951" s="40">
        <v>10400.0</v>
      </c>
      <c r="F951" s="33" t="s">
        <v>241</v>
      </c>
      <c r="G951" s="33" t="s">
        <v>189</v>
      </c>
      <c r="H951" s="33" t="s">
        <v>189</v>
      </c>
      <c r="I951" s="33" t="s">
        <v>189</v>
      </c>
      <c r="J951" s="33" t="s">
        <v>189</v>
      </c>
      <c r="K951" s="33" t="s">
        <v>252</v>
      </c>
    </row>
    <row r="952" ht="15.75" customHeight="1">
      <c r="A952" s="33" t="s">
        <v>4756</v>
      </c>
      <c r="B952" s="33" t="s">
        <v>1118</v>
      </c>
      <c r="C952" s="33" t="s">
        <v>227</v>
      </c>
      <c r="D952" s="39">
        <v>46076.0</v>
      </c>
      <c r="E952" s="40">
        <v>8500.0</v>
      </c>
      <c r="F952" s="33" t="s">
        <v>241</v>
      </c>
      <c r="G952" s="33" t="s">
        <v>181</v>
      </c>
      <c r="H952" s="33" t="s">
        <v>189</v>
      </c>
      <c r="I952" s="33" t="s">
        <v>189</v>
      </c>
      <c r="J952" s="33" t="s">
        <v>189</v>
      </c>
      <c r="K952" s="33" t="s">
        <v>262</v>
      </c>
    </row>
    <row r="953" ht="15.75" customHeight="1">
      <c r="A953" s="33" t="s">
        <v>2774</v>
      </c>
      <c r="B953" s="33" t="s">
        <v>620</v>
      </c>
      <c r="C953" s="33" t="s">
        <v>247</v>
      </c>
      <c r="D953" s="39">
        <v>46013.0</v>
      </c>
      <c r="E953" s="40">
        <v>8300.0</v>
      </c>
      <c r="F953" s="33" t="s">
        <v>241</v>
      </c>
      <c r="G953" s="33" t="s">
        <v>181</v>
      </c>
      <c r="H953" s="33" t="s">
        <v>181</v>
      </c>
      <c r="I953" s="33" t="s">
        <v>181</v>
      </c>
      <c r="J953" s="33" t="s">
        <v>181</v>
      </c>
      <c r="K953" s="33" t="s">
        <v>157</v>
      </c>
    </row>
    <row r="954" ht="15.75" customHeight="1">
      <c r="A954" s="33" t="s">
        <v>2780</v>
      </c>
      <c r="B954" s="33" t="s">
        <v>2779</v>
      </c>
      <c r="C954" s="33" t="s">
        <v>247</v>
      </c>
      <c r="D954" s="39">
        <v>45767.0</v>
      </c>
      <c r="E954" s="40">
        <v>36300.0</v>
      </c>
      <c r="F954" s="33" t="s">
        <v>248</v>
      </c>
      <c r="G954" s="33" t="s">
        <v>181</v>
      </c>
      <c r="H954" s="33" t="s">
        <v>181</v>
      </c>
      <c r="I954" s="33" t="s">
        <v>181</v>
      </c>
      <c r="J954" s="33" t="s">
        <v>181</v>
      </c>
      <c r="K954" s="33" t="s">
        <v>157</v>
      </c>
    </row>
    <row r="955" ht="15.75" customHeight="1">
      <c r="A955" s="33" t="s">
        <v>4766</v>
      </c>
      <c r="B955" s="33" t="s">
        <v>2562</v>
      </c>
      <c r="C955" s="33" t="s">
        <v>235</v>
      </c>
      <c r="D955" s="39">
        <v>45886.0</v>
      </c>
      <c r="E955" s="40">
        <v>35700.0</v>
      </c>
      <c r="F955" s="33" t="s">
        <v>269</v>
      </c>
      <c r="G955" s="33" t="s">
        <v>181</v>
      </c>
      <c r="H955" s="33" t="s">
        <v>189</v>
      </c>
      <c r="I955" s="33" t="s">
        <v>189</v>
      </c>
      <c r="J955" s="33" t="s">
        <v>189</v>
      </c>
      <c r="K955" s="33" t="s">
        <v>262</v>
      </c>
    </row>
    <row r="956" ht="15.75" customHeight="1">
      <c r="A956" s="33" t="s">
        <v>2783</v>
      </c>
      <c r="B956" s="33" t="s">
        <v>1448</v>
      </c>
      <c r="C956" s="33" t="s">
        <v>247</v>
      </c>
      <c r="D956" s="39">
        <v>45712.0</v>
      </c>
      <c r="E956" s="40">
        <v>16200.0</v>
      </c>
      <c r="F956" s="33" t="s">
        <v>241</v>
      </c>
      <c r="G956" s="33" t="s">
        <v>181</v>
      </c>
      <c r="H956" s="33" t="s">
        <v>181</v>
      </c>
      <c r="I956" s="33" t="s">
        <v>181</v>
      </c>
      <c r="J956" s="33" t="s">
        <v>181</v>
      </c>
      <c r="K956" s="33" t="s">
        <v>157</v>
      </c>
    </row>
    <row r="957" ht="15.75" customHeight="1">
      <c r="A957" s="33" t="s">
        <v>4772</v>
      </c>
      <c r="B957" s="33" t="s">
        <v>1186</v>
      </c>
      <c r="C957" s="33" t="s">
        <v>227</v>
      </c>
      <c r="D957" s="39">
        <v>45998.0</v>
      </c>
      <c r="E957" s="40">
        <v>23000.0</v>
      </c>
      <c r="F957" s="33" t="s">
        <v>230</v>
      </c>
      <c r="G957" s="33" t="s">
        <v>189</v>
      </c>
      <c r="H957" s="33" t="s">
        <v>189</v>
      </c>
      <c r="I957" s="33" t="s">
        <v>189</v>
      </c>
      <c r="J957" s="33" t="s">
        <v>189</v>
      </c>
      <c r="K957" s="33" t="s">
        <v>252</v>
      </c>
    </row>
    <row r="958" ht="15.75" customHeight="1">
      <c r="A958" s="33" t="s">
        <v>4776</v>
      </c>
      <c r="B958" s="33" t="s">
        <v>2678</v>
      </c>
      <c r="C958" s="33" t="s">
        <v>247</v>
      </c>
      <c r="D958" s="39">
        <v>46109.0</v>
      </c>
      <c r="E958" s="40">
        <v>31800.0</v>
      </c>
      <c r="F958" s="33" t="s">
        <v>241</v>
      </c>
      <c r="G958" s="33" t="s">
        <v>181</v>
      </c>
      <c r="H958" s="33" t="s">
        <v>189</v>
      </c>
      <c r="I958" s="33" t="s">
        <v>189</v>
      </c>
      <c r="J958" s="33" t="s">
        <v>189</v>
      </c>
      <c r="K958" s="33" t="s">
        <v>262</v>
      </c>
    </row>
    <row r="959" ht="15.75" customHeight="1">
      <c r="A959" s="33" t="s">
        <v>4780</v>
      </c>
      <c r="B959" s="33" t="s">
        <v>627</v>
      </c>
      <c r="C959" s="33" t="s">
        <v>247</v>
      </c>
      <c r="D959" s="39">
        <v>45806.0</v>
      </c>
      <c r="E959" s="40">
        <v>48800.0</v>
      </c>
      <c r="F959" s="33" t="s">
        <v>241</v>
      </c>
      <c r="G959" s="33" t="s">
        <v>189</v>
      </c>
      <c r="H959" s="33" t="s">
        <v>189</v>
      </c>
      <c r="I959" s="33" t="s">
        <v>189</v>
      </c>
      <c r="J959" s="33" t="s">
        <v>189</v>
      </c>
      <c r="K959" s="33" t="s">
        <v>252</v>
      </c>
    </row>
    <row r="960" ht="15.75" customHeight="1">
      <c r="A960" s="33" t="s">
        <v>4783</v>
      </c>
      <c r="B960" s="33" t="s">
        <v>614</v>
      </c>
      <c r="C960" s="33" t="s">
        <v>247</v>
      </c>
      <c r="D960" s="39">
        <v>45978.0</v>
      </c>
      <c r="E960" s="40">
        <v>37400.0</v>
      </c>
      <c r="F960" s="33" t="s">
        <v>230</v>
      </c>
      <c r="G960" s="33" t="s">
        <v>189</v>
      </c>
      <c r="H960" s="33" t="s">
        <v>189</v>
      </c>
      <c r="I960" s="33" t="s">
        <v>189</v>
      </c>
      <c r="J960" s="33" t="s">
        <v>189</v>
      </c>
      <c r="K960" s="33" t="s">
        <v>252</v>
      </c>
    </row>
    <row r="961" ht="15.75" customHeight="1">
      <c r="A961" s="33" t="s">
        <v>4787</v>
      </c>
      <c r="B961" s="33" t="s">
        <v>3059</v>
      </c>
      <c r="C961" s="33" t="s">
        <v>247</v>
      </c>
      <c r="D961" s="39">
        <v>46189.0</v>
      </c>
      <c r="E961" s="40">
        <v>40300.0</v>
      </c>
      <c r="F961" s="33" t="s">
        <v>230</v>
      </c>
      <c r="G961" s="33" t="s">
        <v>181</v>
      </c>
      <c r="H961" s="33" t="s">
        <v>189</v>
      </c>
      <c r="I961" s="33" t="s">
        <v>189</v>
      </c>
      <c r="J961" s="33" t="s">
        <v>189</v>
      </c>
      <c r="K961" s="33" t="s">
        <v>262</v>
      </c>
    </row>
    <row r="962" ht="15.75" customHeight="1">
      <c r="A962" s="33" t="s">
        <v>2789</v>
      </c>
      <c r="B962" s="33" t="s">
        <v>848</v>
      </c>
      <c r="C962" s="33" t="s">
        <v>235</v>
      </c>
      <c r="D962" s="39">
        <v>45727.0</v>
      </c>
      <c r="E962" s="40">
        <v>48900.0</v>
      </c>
      <c r="F962" s="33" t="s">
        <v>230</v>
      </c>
      <c r="G962" s="33" t="s">
        <v>181</v>
      </c>
      <c r="H962" s="33" t="s">
        <v>181</v>
      </c>
      <c r="I962" s="33" t="s">
        <v>181</v>
      </c>
      <c r="J962" s="33" t="s">
        <v>181</v>
      </c>
      <c r="K962" s="33" t="s">
        <v>157</v>
      </c>
    </row>
    <row r="963" ht="15.75" customHeight="1">
      <c r="A963" s="33" t="s">
        <v>4793</v>
      </c>
      <c r="B963" s="33" t="s">
        <v>2615</v>
      </c>
      <c r="C963" s="33" t="s">
        <v>227</v>
      </c>
      <c r="D963" s="39">
        <v>46240.0</v>
      </c>
      <c r="E963" s="40">
        <v>19700.0</v>
      </c>
      <c r="F963" s="33" t="s">
        <v>248</v>
      </c>
      <c r="G963" s="33" t="s">
        <v>181</v>
      </c>
      <c r="H963" s="33" t="s">
        <v>189</v>
      </c>
      <c r="I963" s="33" t="s">
        <v>189</v>
      </c>
      <c r="J963" s="33" t="s">
        <v>189</v>
      </c>
      <c r="K963" s="33" t="s">
        <v>262</v>
      </c>
    </row>
    <row r="964" ht="15.75" customHeight="1">
      <c r="A964" s="33" t="s">
        <v>4797</v>
      </c>
      <c r="B964" s="33" t="s">
        <v>530</v>
      </c>
      <c r="C964" s="33" t="s">
        <v>235</v>
      </c>
      <c r="D964" s="39">
        <v>45859.0</v>
      </c>
      <c r="E964" s="40">
        <v>4400.0</v>
      </c>
      <c r="F964" s="33" t="s">
        <v>248</v>
      </c>
      <c r="G964" s="33" t="s">
        <v>189</v>
      </c>
      <c r="H964" s="33" t="s">
        <v>189</v>
      </c>
      <c r="I964" s="33" t="s">
        <v>189</v>
      </c>
      <c r="J964" s="33" t="s">
        <v>189</v>
      </c>
      <c r="K964" s="33" t="s">
        <v>252</v>
      </c>
    </row>
    <row r="965" ht="15.75" customHeight="1">
      <c r="A965" s="33" t="s">
        <v>4800</v>
      </c>
      <c r="B965" s="33" t="s">
        <v>2779</v>
      </c>
      <c r="C965" s="33" t="s">
        <v>247</v>
      </c>
      <c r="D965" s="39">
        <v>45856.0</v>
      </c>
      <c r="E965" s="40">
        <v>37600.0</v>
      </c>
      <c r="F965" s="33" t="s">
        <v>230</v>
      </c>
      <c r="G965" s="33" t="s">
        <v>181</v>
      </c>
      <c r="H965" s="33" t="s">
        <v>181</v>
      </c>
      <c r="I965" s="33" t="s">
        <v>181</v>
      </c>
      <c r="J965" s="33" t="s">
        <v>189</v>
      </c>
      <c r="K965" s="33" t="s">
        <v>365</v>
      </c>
    </row>
    <row r="966" ht="15.75" customHeight="1">
      <c r="A966" s="33" t="s">
        <v>4804</v>
      </c>
      <c r="B966" s="33" t="s">
        <v>685</v>
      </c>
      <c r="C966" s="33" t="s">
        <v>227</v>
      </c>
      <c r="D966" s="39">
        <v>46091.0</v>
      </c>
      <c r="E966" s="40">
        <v>6900.0</v>
      </c>
      <c r="F966" s="33" t="s">
        <v>230</v>
      </c>
      <c r="G966" s="33" t="s">
        <v>189</v>
      </c>
      <c r="H966" s="33" t="s">
        <v>189</v>
      </c>
      <c r="I966" s="33" t="s">
        <v>189</v>
      </c>
      <c r="J966" s="33" t="s">
        <v>189</v>
      </c>
      <c r="K966" s="33" t="s">
        <v>252</v>
      </c>
    </row>
    <row r="967" ht="15.75" customHeight="1">
      <c r="A967" s="33" t="s">
        <v>2793</v>
      </c>
      <c r="B967" s="33" t="s">
        <v>1629</v>
      </c>
      <c r="C967" s="33" t="s">
        <v>227</v>
      </c>
      <c r="D967" s="39">
        <v>45865.0</v>
      </c>
      <c r="E967" s="40">
        <v>22500.0</v>
      </c>
      <c r="F967" s="33" t="s">
        <v>241</v>
      </c>
      <c r="G967" s="33" t="s">
        <v>181</v>
      </c>
      <c r="H967" s="33" t="s">
        <v>181</v>
      </c>
      <c r="I967" s="33" t="s">
        <v>181</v>
      </c>
      <c r="J967" s="33" t="s">
        <v>181</v>
      </c>
      <c r="K967" s="33" t="s">
        <v>157</v>
      </c>
    </row>
    <row r="968" ht="15.75" customHeight="1">
      <c r="A968" s="33" t="s">
        <v>4809</v>
      </c>
      <c r="B968" s="33" t="s">
        <v>2594</v>
      </c>
      <c r="C968" s="33" t="s">
        <v>235</v>
      </c>
      <c r="D968" s="39">
        <v>45904.0</v>
      </c>
      <c r="E968" s="40">
        <v>37200.0</v>
      </c>
      <c r="F968" s="33" t="s">
        <v>241</v>
      </c>
      <c r="G968" s="33" t="s">
        <v>189</v>
      </c>
      <c r="H968" s="33" t="s">
        <v>189</v>
      </c>
      <c r="I968" s="33" t="s">
        <v>189</v>
      </c>
      <c r="J968" s="33" t="s">
        <v>189</v>
      </c>
      <c r="K968" s="33" t="s">
        <v>252</v>
      </c>
    </row>
    <row r="969" ht="15.75" customHeight="1">
      <c r="A969" s="33" t="s">
        <v>2796</v>
      </c>
      <c r="B969" s="33" t="s">
        <v>1730</v>
      </c>
      <c r="C969" s="33" t="s">
        <v>235</v>
      </c>
      <c r="D969" s="39">
        <v>45789.0</v>
      </c>
      <c r="E969" s="40">
        <v>28400.0</v>
      </c>
      <c r="F969" s="33" t="s">
        <v>230</v>
      </c>
      <c r="G969" s="33" t="s">
        <v>181</v>
      </c>
      <c r="H969" s="33" t="s">
        <v>181</v>
      </c>
      <c r="I969" s="33" t="s">
        <v>181</v>
      </c>
      <c r="J969" s="33" t="s">
        <v>181</v>
      </c>
      <c r="K969" s="33" t="s">
        <v>157</v>
      </c>
    </row>
    <row r="970" ht="15.75" customHeight="1">
      <c r="A970" s="33" t="s">
        <v>2799</v>
      </c>
      <c r="B970" s="33" t="s">
        <v>597</v>
      </c>
      <c r="C970" s="33" t="s">
        <v>227</v>
      </c>
      <c r="D970" s="39">
        <v>45739.0</v>
      </c>
      <c r="E970" s="40">
        <v>19000.0</v>
      </c>
      <c r="F970" s="33" t="s">
        <v>230</v>
      </c>
      <c r="G970" s="33" t="s">
        <v>181</v>
      </c>
      <c r="H970" s="33" t="s">
        <v>181</v>
      </c>
      <c r="I970" s="33" t="s">
        <v>181</v>
      </c>
      <c r="J970" s="33" t="s">
        <v>181</v>
      </c>
      <c r="K970" s="33" t="s">
        <v>157</v>
      </c>
    </row>
    <row r="971" ht="15.75" customHeight="1">
      <c r="A971" s="33" t="s">
        <v>4818</v>
      </c>
      <c r="B971" s="33" t="s">
        <v>378</v>
      </c>
      <c r="C971" s="33" t="s">
        <v>247</v>
      </c>
      <c r="D971" s="39">
        <v>46182.0</v>
      </c>
      <c r="E971" s="40">
        <v>26200.0</v>
      </c>
      <c r="F971" s="33" t="s">
        <v>241</v>
      </c>
      <c r="G971" s="33" t="s">
        <v>181</v>
      </c>
      <c r="H971" s="33" t="s">
        <v>189</v>
      </c>
      <c r="I971" s="33" t="s">
        <v>189</v>
      </c>
      <c r="J971" s="33" t="s">
        <v>189</v>
      </c>
      <c r="K971" s="33" t="s">
        <v>262</v>
      </c>
    </row>
    <row r="972" ht="15.75" customHeight="1">
      <c r="A972" s="33" t="s">
        <v>4822</v>
      </c>
      <c r="B972" s="33" t="s">
        <v>354</v>
      </c>
      <c r="C972" s="33" t="s">
        <v>227</v>
      </c>
      <c r="D972" s="39">
        <v>45717.0</v>
      </c>
      <c r="E972" s="40">
        <v>13000.0</v>
      </c>
      <c r="F972" s="33" t="s">
        <v>230</v>
      </c>
      <c r="G972" s="33" t="s">
        <v>181</v>
      </c>
      <c r="H972" s="33" t="s">
        <v>189</v>
      </c>
      <c r="I972" s="33" t="s">
        <v>189</v>
      </c>
      <c r="J972" s="33" t="s">
        <v>189</v>
      </c>
      <c r="K972" s="33" t="s">
        <v>262</v>
      </c>
    </row>
    <row r="973" ht="15.75" customHeight="1">
      <c r="A973" s="33" t="s">
        <v>4825</v>
      </c>
      <c r="B973" s="33" t="s">
        <v>2242</v>
      </c>
      <c r="C973" s="33" t="s">
        <v>247</v>
      </c>
      <c r="D973" s="39">
        <v>45757.0</v>
      </c>
      <c r="E973" s="40">
        <v>4600.0</v>
      </c>
      <c r="F973" s="33" t="s">
        <v>241</v>
      </c>
      <c r="G973" s="33" t="s">
        <v>181</v>
      </c>
      <c r="H973" s="33" t="s">
        <v>189</v>
      </c>
      <c r="I973" s="33" t="s">
        <v>189</v>
      </c>
      <c r="J973" s="33" t="s">
        <v>189</v>
      </c>
      <c r="K973" s="33" t="s">
        <v>262</v>
      </c>
    </row>
    <row r="974" ht="15.75" customHeight="1">
      <c r="A974" s="33" t="s">
        <v>4829</v>
      </c>
      <c r="B974" s="33" t="s">
        <v>1207</v>
      </c>
      <c r="C974" s="33" t="s">
        <v>227</v>
      </c>
      <c r="D974" s="39">
        <v>46158.0</v>
      </c>
      <c r="E974" s="40">
        <v>21200.0</v>
      </c>
      <c r="F974" s="33" t="s">
        <v>230</v>
      </c>
      <c r="G974" s="33" t="s">
        <v>181</v>
      </c>
      <c r="H974" s="33" t="s">
        <v>189</v>
      </c>
      <c r="I974" s="33" t="s">
        <v>189</v>
      </c>
      <c r="J974" s="33" t="s">
        <v>189</v>
      </c>
      <c r="K974" s="33" t="s">
        <v>262</v>
      </c>
    </row>
    <row r="975" ht="15.75" customHeight="1">
      <c r="A975" s="33" t="s">
        <v>4833</v>
      </c>
      <c r="B975" s="33" t="s">
        <v>3633</v>
      </c>
      <c r="C975" s="33" t="s">
        <v>227</v>
      </c>
      <c r="D975" s="39">
        <v>46142.0</v>
      </c>
      <c r="E975" s="40">
        <v>3900.0</v>
      </c>
      <c r="F975" s="33" t="s">
        <v>269</v>
      </c>
      <c r="G975" s="33" t="s">
        <v>181</v>
      </c>
      <c r="H975" s="33" t="s">
        <v>189</v>
      </c>
      <c r="I975" s="33" t="s">
        <v>189</v>
      </c>
      <c r="J975" s="33" t="s">
        <v>189</v>
      </c>
      <c r="K975" s="33" t="s">
        <v>262</v>
      </c>
    </row>
    <row r="976" ht="15.75" customHeight="1">
      <c r="A976" s="33" t="s">
        <v>4836</v>
      </c>
      <c r="B976" s="33" t="s">
        <v>342</v>
      </c>
      <c r="C976" s="33" t="s">
        <v>227</v>
      </c>
      <c r="D976" s="39">
        <v>45788.0</v>
      </c>
      <c r="E976" s="40">
        <v>49000.0</v>
      </c>
      <c r="F976" s="33" t="s">
        <v>248</v>
      </c>
      <c r="G976" s="33" t="s">
        <v>189</v>
      </c>
      <c r="H976" s="33" t="s">
        <v>189</v>
      </c>
      <c r="I976" s="33" t="s">
        <v>189</v>
      </c>
      <c r="J976" s="33" t="s">
        <v>189</v>
      </c>
      <c r="K976" s="33" t="s">
        <v>252</v>
      </c>
    </row>
    <row r="977" ht="15.75" customHeight="1">
      <c r="A977" s="33" t="s">
        <v>4840</v>
      </c>
      <c r="B977" s="33" t="s">
        <v>1524</v>
      </c>
      <c r="C977" s="33" t="s">
        <v>247</v>
      </c>
      <c r="D977" s="39">
        <v>46163.0</v>
      </c>
      <c r="E977" s="40">
        <v>22900.0</v>
      </c>
      <c r="F977" s="33" t="s">
        <v>241</v>
      </c>
      <c r="G977" s="33" t="s">
        <v>189</v>
      </c>
      <c r="H977" s="33" t="s">
        <v>189</v>
      </c>
      <c r="I977" s="33" t="s">
        <v>189</v>
      </c>
      <c r="J977" s="33" t="s">
        <v>189</v>
      </c>
      <c r="K977" s="33" t="s">
        <v>252</v>
      </c>
    </row>
    <row r="978" ht="15.75" customHeight="1">
      <c r="A978" s="33" t="s">
        <v>4843</v>
      </c>
      <c r="B978" s="33" t="s">
        <v>769</v>
      </c>
      <c r="C978" s="33" t="s">
        <v>227</v>
      </c>
      <c r="D978" s="39">
        <v>46098.0</v>
      </c>
      <c r="E978" s="40">
        <v>44200.0</v>
      </c>
      <c r="F978" s="33" t="s">
        <v>230</v>
      </c>
      <c r="G978" s="33" t="s">
        <v>189</v>
      </c>
      <c r="H978" s="33" t="s">
        <v>189</v>
      </c>
      <c r="I978" s="33" t="s">
        <v>189</v>
      </c>
      <c r="J978" s="33" t="s">
        <v>189</v>
      </c>
      <c r="K978" s="33" t="s">
        <v>252</v>
      </c>
    </row>
    <row r="979" ht="15.75" customHeight="1">
      <c r="A979" s="33" t="s">
        <v>4847</v>
      </c>
      <c r="B979" s="33" t="s">
        <v>1524</v>
      </c>
      <c r="C979" s="33" t="s">
        <v>247</v>
      </c>
      <c r="D979" s="39">
        <v>45849.0</v>
      </c>
      <c r="E979" s="40">
        <v>47600.0</v>
      </c>
      <c r="F979" s="33" t="s">
        <v>248</v>
      </c>
      <c r="G979" s="33" t="s">
        <v>189</v>
      </c>
      <c r="H979" s="33" t="s">
        <v>189</v>
      </c>
      <c r="I979" s="33" t="s">
        <v>189</v>
      </c>
      <c r="J979" s="33" t="s">
        <v>189</v>
      </c>
      <c r="K979" s="33" t="s">
        <v>252</v>
      </c>
    </row>
    <row r="980" ht="15.75" customHeight="1">
      <c r="A980" s="33" t="s">
        <v>2802</v>
      </c>
      <c r="B980" s="33" t="s">
        <v>705</v>
      </c>
      <c r="C980" s="33" t="s">
        <v>235</v>
      </c>
      <c r="D980" s="39">
        <v>45706.0</v>
      </c>
      <c r="E980" s="40">
        <v>23000.0</v>
      </c>
      <c r="F980" s="33" t="s">
        <v>230</v>
      </c>
      <c r="G980" s="33" t="s">
        <v>181</v>
      </c>
      <c r="H980" s="33" t="s">
        <v>181</v>
      </c>
      <c r="I980" s="33" t="s">
        <v>181</v>
      </c>
      <c r="J980" s="33" t="s">
        <v>181</v>
      </c>
      <c r="K980" s="33" t="s">
        <v>157</v>
      </c>
    </row>
    <row r="981" ht="15.75" customHeight="1">
      <c r="A981" s="33" t="s">
        <v>4854</v>
      </c>
      <c r="B981" s="33" t="s">
        <v>1953</v>
      </c>
      <c r="C981" s="33" t="s">
        <v>247</v>
      </c>
      <c r="D981" s="39">
        <v>46129.0</v>
      </c>
      <c r="E981" s="40">
        <v>21600.0</v>
      </c>
      <c r="F981" s="33" t="s">
        <v>248</v>
      </c>
      <c r="G981" s="33" t="s">
        <v>189</v>
      </c>
      <c r="H981" s="33" t="s">
        <v>189</v>
      </c>
      <c r="I981" s="33" t="s">
        <v>189</v>
      </c>
      <c r="J981" s="33" t="s">
        <v>189</v>
      </c>
      <c r="K981" s="33" t="s">
        <v>252</v>
      </c>
    </row>
    <row r="982" ht="15.75" customHeight="1">
      <c r="A982" s="33" t="s">
        <v>2806</v>
      </c>
      <c r="B982" s="33" t="s">
        <v>2678</v>
      </c>
      <c r="C982" s="33" t="s">
        <v>235</v>
      </c>
      <c r="D982" s="39">
        <v>46071.0</v>
      </c>
      <c r="E982" s="40">
        <v>44800.0</v>
      </c>
      <c r="F982" s="33" t="s">
        <v>230</v>
      </c>
      <c r="G982" s="33" t="s">
        <v>181</v>
      </c>
      <c r="H982" s="33" t="s">
        <v>181</v>
      </c>
      <c r="I982" s="33" t="s">
        <v>181</v>
      </c>
      <c r="J982" s="33" t="s">
        <v>181</v>
      </c>
      <c r="K982" s="33" t="s">
        <v>157</v>
      </c>
    </row>
    <row r="983" ht="15.75" customHeight="1">
      <c r="A983" s="33" t="s">
        <v>2813</v>
      </c>
      <c r="B983" s="33" t="s">
        <v>2812</v>
      </c>
      <c r="C983" s="33" t="s">
        <v>247</v>
      </c>
      <c r="D983" s="39">
        <v>45932.0</v>
      </c>
      <c r="E983" s="40">
        <v>2700.0</v>
      </c>
      <c r="F983" s="33" t="s">
        <v>230</v>
      </c>
      <c r="G983" s="33" t="s">
        <v>181</v>
      </c>
      <c r="H983" s="33" t="s">
        <v>181</v>
      </c>
      <c r="I983" s="33" t="s">
        <v>181</v>
      </c>
      <c r="J983" s="33" t="s">
        <v>181</v>
      </c>
      <c r="K983" s="33" t="s">
        <v>157</v>
      </c>
    </row>
    <row r="984" ht="15.75" customHeight="1">
      <c r="A984" s="33" t="s">
        <v>2817</v>
      </c>
      <c r="B984" s="33" t="s">
        <v>2816</v>
      </c>
      <c r="C984" s="33" t="s">
        <v>227</v>
      </c>
      <c r="D984" s="39">
        <v>45824.0</v>
      </c>
      <c r="E984" s="40">
        <v>24900.0</v>
      </c>
      <c r="F984" s="33" t="s">
        <v>230</v>
      </c>
      <c r="G984" s="33" t="s">
        <v>181</v>
      </c>
      <c r="H984" s="33" t="s">
        <v>181</v>
      </c>
      <c r="I984" s="33" t="s">
        <v>181</v>
      </c>
      <c r="J984" s="33" t="s">
        <v>181</v>
      </c>
      <c r="K984" s="33" t="s">
        <v>157</v>
      </c>
    </row>
    <row r="985" ht="15.75" customHeight="1">
      <c r="A985" s="33" t="s">
        <v>2822</v>
      </c>
      <c r="B985" s="33" t="s">
        <v>254</v>
      </c>
      <c r="C985" s="33" t="s">
        <v>227</v>
      </c>
      <c r="D985" s="39">
        <v>45869.0</v>
      </c>
      <c r="E985" s="40">
        <v>14200.0</v>
      </c>
      <c r="F985" s="33" t="s">
        <v>230</v>
      </c>
      <c r="G985" s="33" t="s">
        <v>181</v>
      </c>
      <c r="H985" s="33" t="s">
        <v>181</v>
      </c>
      <c r="I985" s="33" t="s">
        <v>181</v>
      </c>
      <c r="J985" s="33" t="s">
        <v>181</v>
      </c>
      <c r="K985" s="33" t="s">
        <v>157</v>
      </c>
    </row>
    <row r="986" ht="15.75" customHeight="1">
      <c r="A986" s="33" t="s">
        <v>2827</v>
      </c>
      <c r="B986" s="33" t="s">
        <v>2826</v>
      </c>
      <c r="C986" s="33" t="s">
        <v>247</v>
      </c>
      <c r="D986" s="39">
        <v>45823.0</v>
      </c>
      <c r="E986" s="40">
        <v>37900.0</v>
      </c>
      <c r="F986" s="33" t="s">
        <v>230</v>
      </c>
      <c r="G986" s="33" t="s">
        <v>181</v>
      </c>
      <c r="H986" s="33" t="s">
        <v>181</v>
      </c>
      <c r="I986" s="33" t="s">
        <v>181</v>
      </c>
      <c r="J986" s="33" t="s">
        <v>181</v>
      </c>
      <c r="K986" s="33" t="s">
        <v>157</v>
      </c>
    </row>
    <row r="987" ht="15.75" customHeight="1">
      <c r="A987" s="33" t="s">
        <v>2831</v>
      </c>
      <c r="B987" s="33" t="s">
        <v>952</v>
      </c>
      <c r="C987" s="33" t="s">
        <v>247</v>
      </c>
      <c r="D987" s="39">
        <v>46200.0</v>
      </c>
      <c r="E987" s="40">
        <v>42000.0</v>
      </c>
      <c r="F987" s="33" t="s">
        <v>248</v>
      </c>
      <c r="G987" s="33" t="s">
        <v>181</v>
      </c>
      <c r="H987" s="33" t="s">
        <v>181</v>
      </c>
      <c r="I987" s="33" t="s">
        <v>181</v>
      </c>
      <c r="J987" s="33" t="s">
        <v>181</v>
      </c>
      <c r="K987" s="33" t="s">
        <v>157</v>
      </c>
    </row>
    <row r="988" ht="15.75" customHeight="1">
      <c r="A988" s="33" t="s">
        <v>4875</v>
      </c>
      <c r="B988" s="33" t="s">
        <v>2497</v>
      </c>
      <c r="C988" s="33" t="s">
        <v>235</v>
      </c>
      <c r="D988" s="39">
        <v>45781.0</v>
      </c>
      <c r="E988" s="40">
        <v>31400.0</v>
      </c>
      <c r="F988" s="33" t="s">
        <v>230</v>
      </c>
      <c r="G988" s="33" t="s">
        <v>189</v>
      </c>
      <c r="H988" s="33" t="s">
        <v>189</v>
      </c>
      <c r="I988" s="33" t="s">
        <v>189</v>
      </c>
      <c r="J988" s="33" t="s">
        <v>189</v>
      </c>
      <c r="K988" s="33" t="s">
        <v>252</v>
      </c>
    </row>
    <row r="989" ht="15.75" customHeight="1">
      <c r="A989" s="33" t="s">
        <v>4879</v>
      </c>
      <c r="B989" s="33" t="s">
        <v>2923</v>
      </c>
      <c r="C989" s="33" t="s">
        <v>227</v>
      </c>
      <c r="D989" s="39">
        <v>45933.0</v>
      </c>
      <c r="E989" s="40">
        <v>20900.0</v>
      </c>
      <c r="F989" s="33" t="s">
        <v>230</v>
      </c>
      <c r="G989" s="33" t="s">
        <v>181</v>
      </c>
      <c r="H989" s="33" t="s">
        <v>189</v>
      </c>
      <c r="I989" s="33" t="s">
        <v>189</v>
      </c>
      <c r="J989" s="33" t="s">
        <v>189</v>
      </c>
      <c r="K989" s="33" t="s">
        <v>262</v>
      </c>
    </row>
    <row r="990" ht="15.75" customHeight="1">
      <c r="A990" s="33" t="s">
        <v>4883</v>
      </c>
      <c r="B990" s="33" t="s">
        <v>1887</v>
      </c>
      <c r="C990" s="33" t="s">
        <v>227</v>
      </c>
      <c r="D990" s="39">
        <v>46047.0</v>
      </c>
      <c r="E990" s="40">
        <v>28200.0</v>
      </c>
      <c r="F990" s="33" t="s">
        <v>230</v>
      </c>
      <c r="G990" s="33" t="s">
        <v>189</v>
      </c>
      <c r="H990" s="33" t="s">
        <v>189</v>
      </c>
      <c r="I990" s="33" t="s">
        <v>189</v>
      </c>
      <c r="J990" s="33" t="s">
        <v>189</v>
      </c>
      <c r="K990" s="33" t="s">
        <v>252</v>
      </c>
    </row>
    <row r="991" ht="15.75" customHeight="1">
      <c r="A991" s="33" t="s">
        <v>4886</v>
      </c>
      <c r="B991" s="33" t="s">
        <v>1660</v>
      </c>
      <c r="C991" s="33" t="s">
        <v>235</v>
      </c>
      <c r="D991" s="39">
        <v>45691.0</v>
      </c>
      <c r="E991" s="40">
        <v>29100.0</v>
      </c>
      <c r="F991" s="33" t="s">
        <v>230</v>
      </c>
      <c r="G991" s="33" t="s">
        <v>189</v>
      </c>
      <c r="H991" s="33" t="s">
        <v>189</v>
      </c>
      <c r="I991" s="33" t="s">
        <v>189</v>
      </c>
      <c r="J991" s="33" t="s">
        <v>189</v>
      </c>
      <c r="K991" s="33" t="s">
        <v>252</v>
      </c>
    </row>
    <row r="992" ht="15.75" customHeight="1">
      <c r="A992" s="33" t="s">
        <v>4890</v>
      </c>
      <c r="B992" s="33" t="s">
        <v>1774</v>
      </c>
      <c r="C992" s="33" t="s">
        <v>235</v>
      </c>
      <c r="D992" s="39">
        <v>45962.0</v>
      </c>
      <c r="E992" s="40">
        <v>32100.0</v>
      </c>
      <c r="F992" s="33" t="s">
        <v>248</v>
      </c>
      <c r="G992" s="33" t="s">
        <v>189</v>
      </c>
      <c r="H992" s="33" t="s">
        <v>189</v>
      </c>
      <c r="I992" s="33" t="s">
        <v>189</v>
      </c>
      <c r="J992" s="33" t="s">
        <v>189</v>
      </c>
      <c r="K992" s="33" t="s">
        <v>252</v>
      </c>
    </row>
    <row r="993" ht="15.75" customHeight="1">
      <c r="A993" s="33" t="s">
        <v>4892</v>
      </c>
      <c r="B993" s="33" t="s">
        <v>311</v>
      </c>
      <c r="C993" s="33" t="s">
        <v>247</v>
      </c>
      <c r="D993" s="39">
        <v>46043.0</v>
      </c>
      <c r="E993" s="40">
        <v>46200.0</v>
      </c>
      <c r="F993" s="33" t="s">
        <v>230</v>
      </c>
      <c r="G993" s="33" t="s">
        <v>189</v>
      </c>
      <c r="H993" s="33" t="s">
        <v>189</v>
      </c>
      <c r="I993" s="33" t="s">
        <v>189</v>
      </c>
      <c r="J993" s="33" t="s">
        <v>189</v>
      </c>
      <c r="K993" s="33" t="s">
        <v>252</v>
      </c>
    </row>
    <row r="994" ht="15.75" customHeight="1">
      <c r="A994" s="33" t="s">
        <v>4896</v>
      </c>
      <c r="B994" s="33" t="s">
        <v>483</v>
      </c>
      <c r="C994" s="33" t="s">
        <v>247</v>
      </c>
      <c r="D994" s="39">
        <v>45978.0</v>
      </c>
      <c r="E994" s="40">
        <v>13200.0</v>
      </c>
      <c r="F994" s="33" t="s">
        <v>248</v>
      </c>
      <c r="G994" s="33" t="s">
        <v>189</v>
      </c>
      <c r="H994" s="33" t="s">
        <v>189</v>
      </c>
      <c r="I994" s="33" t="s">
        <v>189</v>
      </c>
      <c r="J994" s="33" t="s">
        <v>189</v>
      </c>
      <c r="K994" s="33" t="s">
        <v>252</v>
      </c>
    </row>
    <row r="995" ht="15.75" customHeight="1">
      <c r="A995" s="33" t="s">
        <v>2834</v>
      </c>
      <c r="B995" s="33" t="s">
        <v>1099</v>
      </c>
      <c r="C995" s="33" t="s">
        <v>235</v>
      </c>
      <c r="D995" s="39">
        <v>46057.0</v>
      </c>
      <c r="E995" s="40">
        <v>10900.0</v>
      </c>
      <c r="F995" s="33" t="s">
        <v>230</v>
      </c>
      <c r="G995" s="33" t="s">
        <v>181</v>
      </c>
      <c r="H995" s="33" t="s">
        <v>181</v>
      </c>
      <c r="I995" s="33" t="s">
        <v>181</v>
      </c>
      <c r="J995" s="33" t="s">
        <v>181</v>
      </c>
      <c r="K995" s="33" t="s">
        <v>157</v>
      </c>
    </row>
    <row r="996" ht="15.75" customHeight="1">
      <c r="A996" s="33" t="s">
        <v>2838</v>
      </c>
      <c r="B996" s="33" t="s">
        <v>1102</v>
      </c>
      <c r="C996" s="33" t="s">
        <v>247</v>
      </c>
      <c r="D996" s="39">
        <v>45954.0</v>
      </c>
      <c r="E996" s="40">
        <v>10300.0</v>
      </c>
      <c r="F996" s="33" t="s">
        <v>241</v>
      </c>
      <c r="G996" s="33" t="s">
        <v>181</v>
      </c>
      <c r="H996" s="33" t="s">
        <v>181</v>
      </c>
      <c r="I996" s="33" t="s">
        <v>181</v>
      </c>
      <c r="J996" s="33" t="s">
        <v>181</v>
      </c>
      <c r="K996" s="33" t="s">
        <v>157</v>
      </c>
    </row>
    <row r="997" ht="15.75" customHeight="1">
      <c r="A997" s="33" t="s">
        <v>2843</v>
      </c>
      <c r="B997" s="33" t="s">
        <v>2276</v>
      </c>
      <c r="C997" s="33" t="s">
        <v>247</v>
      </c>
      <c r="D997" s="39">
        <v>46043.0</v>
      </c>
      <c r="E997" s="40">
        <v>35200.0</v>
      </c>
      <c r="F997" s="33" t="s">
        <v>241</v>
      </c>
      <c r="G997" s="33" t="s">
        <v>181</v>
      </c>
      <c r="H997" s="33" t="s">
        <v>181</v>
      </c>
      <c r="I997" s="33" t="s">
        <v>181</v>
      </c>
      <c r="J997" s="33" t="s">
        <v>181</v>
      </c>
      <c r="K997" s="33" t="s">
        <v>157</v>
      </c>
    </row>
    <row r="998" ht="15.75" customHeight="1">
      <c r="A998" s="33" t="s">
        <v>4909</v>
      </c>
      <c r="B998" s="33" t="s">
        <v>4175</v>
      </c>
      <c r="C998" s="33" t="s">
        <v>235</v>
      </c>
      <c r="D998" s="39">
        <v>46251.0</v>
      </c>
      <c r="E998" s="40">
        <v>45300.0</v>
      </c>
      <c r="F998" s="33" t="s">
        <v>248</v>
      </c>
      <c r="G998" s="33" t="s">
        <v>181</v>
      </c>
      <c r="H998" s="33" t="s">
        <v>181</v>
      </c>
      <c r="I998" s="33" t="s">
        <v>181</v>
      </c>
      <c r="J998" s="33" t="s">
        <v>189</v>
      </c>
      <c r="K998" s="33" t="s">
        <v>365</v>
      </c>
    </row>
    <row r="999" ht="15.75" customHeight="1">
      <c r="A999" s="33" t="s">
        <v>4912</v>
      </c>
      <c r="B999" s="33" t="s">
        <v>2775</v>
      </c>
      <c r="C999" s="33" t="s">
        <v>227</v>
      </c>
      <c r="D999" s="39">
        <v>45876.0</v>
      </c>
      <c r="E999" s="40">
        <v>17000.0</v>
      </c>
      <c r="F999" s="33" t="s">
        <v>230</v>
      </c>
      <c r="G999" s="33" t="s">
        <v>181</v>
      </c>
      <c r="H999" s="33" t="s">
        <v>189</v>
      </c>
      <c r="I999" s="33" t="s">
        <v>189</v>
      </c>
      <c r="J999" s="33" t="s">
        <v>189</v>
      </c>
      <c r="K999" s="33" t="s">
        <v>262</v>
      </c>
    </row>
    <row r="1000" ht="15.75" customHeight="1">
      <c r="A1000" s="33" t="s">
        <v>2846</v>
      </c>
      <c r="B1000" s="33" t="s">
        <v>324</v>
      </c>
      <c r="C1000" s="33" t="s">
        <v>227</v>
      </c>
      <c r="D1000" s="39">
        <v>45874.0</v>
      </c>
      <c r="E1000" s="40">
        <v>21600.0</v>
      </c>
      <c r="F1000" s="33" t="s">
        <v>230</v>
      </c>
      <c r="G1000" s="33" t="s">
        <v>181</v>
      </c>
      <c r="H1000" s="33" t="s">
        <v>181</v>
      </c>
      <c r="I1000" s="33" t="s">
        <v>181</v>
      </c>
      <c r="J1000" s="33" t="s">
        <v>181</v>
      </c>
      <c r="K1000" s="33" t="s">
        <v>157</v>
      </c>
    </row>
    <row r="1001" ht="15.75" customHeight="1">
      <c r="A1001" s="33" t="s">
        <v>4919</v>
      </c>
      <c r="B1001" s="33" t="s">
        <v>781</v>
      </c>
      <c r="C1001" s="33" t="s">
        <v>235</v>
      </c>
      <c r="D1001" s="39">
        <v>46069.0</v>
      </c>
      <c r="E1001" s="40">
        <v>48400.0</v>
      </c>
      <c r="F1001" s="33" t="s">
        <v>230</v>
      </c>
      <c r="G1001" s="33" t="s">
        <v>189</v>
      </c>
      <c r="H1001" s="33" t="s">
        <v>189</v>
      </c>
      <c r="I1001" s="33" t="s">
        <v>189</v>
      </c>
      <c r="J1001" s="33" t="s">
        <v>189</v>
      </c>
      <c r="K1001" s="33" t="s">
        <v>252</v>
      </c>
    </row>
    <row r="1002" ht="15.75" customHeight="1">
      <c r="A1002" s="33" t="s">
        <v>2850</v>
      </c>
      <c r="B1002" s="33" t="s">
        <v>1660</v>
      </c>
      <c r="C1002" s="33" t="s">
        <v>247</v>
      </c>
      <c r="D1002" s="39">
        <v>45712.0</v>
      </c>
      <c r="E1002" s="40">
        <v>8100.0</v>
      </c>
      <c r="F1002" s="33" t="s">
        <v>241</v>
      </c>
      <c r="G1002" s="33" t="s">
        <v>181</v>
      </c>
      <c r="H1002" s="33" t="s">
        <v>181</v>
      </c>
      <c r="I1002" s="33" t="s">
        <v>181</v>
      </c>
      <c r="J1002" s="33" t="s">
        <v>181</v>
      </c>
      <c r="K1002" s="33" t="s">
        <v>157</v>
      </c>
    </row>
    <row r="1003" ht="15.75" customHeight="1">
      <c r="A1003" s="33" t="s">
        <v>4925</v>
      </c>
      <c r="B1003" s="33" t="s">
        <v>1953</v>
      </c>
      <c r="C1003" s="33" t="s">
        <v>227</v>
      </c>
      <c r="D1003" s="39">
        <v>45834.0</v>
      </c>
      <c r="E1003" s="40">
        <v>44100.0</v>
      </c>
      <c r="F1003" s="33" t="s">
        <v>241</v>
      </c>
      <c r="G1003" s="33" t="s">
        <v>189</v>
      </c>
      <c r="H1003" s="33" t="s">
        <v>189</v>
      </c>
      <c r="I1003" s="33" t="s">
        <v>189</v>
      </c>
      <c r="J1003" s="33" t="s">
        <v>189</v>
      </c>
      <c r="K1003" s="33" t="s">
        <v>252</v>
      </c>
    </row>
    <row r="1004" ht="15.75" customHeight="1">
      <c r="A1004" s="33" t="s">
        <v>2854</v>
      </c>
      <c r="B1004" s="33" t="s">
        <v>467</v>
      </c>
      <c r="C1004" s="33" t="s">
        <v>247</v>
      </c>
      <c r="D1004" s="39">
        <v>45759.0</v>
      </c>
      <c r="E1004" s="40">
        <v>48000.0</v>
      </c>
      <c r="F1004" s="33" t="s">
        <v>248</v>
      </c>
      <c r="G1004" s="33" t="s">
        <v>181</v>
      </c>
      <c r="H1004" s="33" t="s">
        <v>181</v>
      </c>
      <c r="I1004" s="33" t="s">
        <v>181</v>
      </c>
      <c r="J1004" s="33" t="s">
        <v>181</v>
      </c>
      <c r="K1004" s="33" t="s">
        <v>157</v>
      </c>
    </row>
    <row r="1005" ht="15.75" customHeight="1">
      <c r="A1005" s="33" t="s">
        <v>2859</v>
      </c>
      <c r="B1005" s="33" t="s">
        <v>539</v>
      </c>
      <c r="C1005" s="33" t="s">
        <v>247</v>
      </c>
      <c r="D1005" s="39">
        <v>45939.0</v>
      </c>
      <c r="E1005" s="40">
        <v>40200.0</v>
      </c>
      <c r="F1005" s="33" t="s">
        <v>241</v>
      </c>
      <c r="G1005" s="33" t="s">
        <v>181</v>
      </c>
      <c r="H1005" s="33" t="s">
        <v>181</v>
      </c>
      <c r="I1005" s="33" t="s">
        <v>181</v>
      </c>
      <c r="J1005" s="33" t="s">
        <v>181</v>
      </c>
      <c r="K1005" s="33" t="s">
        <v>157</v>
      </c>
    </row>
    <row r="1006" ht="15.75" customHeight="1">
      <c r="A1006" s="33" t="s">
        <v>4935</v>
      </c>
      <c r="B1006" s="33" t="s">
        <v>579</v>
      </c>
      <c r="C1006" s="33" t="s">
        <v>227</v>
      </c>
      <c r="D1006" s="39">
        <v>45731.0</v>
      </c>
      <c r="E1006" s="40">
        <v>17500.0</v>
      </c>
      <c r="F1006" s="33" t="s">
        <v>241</v>
      </c>
      <c r="G1006" s="33" t="s">
        <v>181</v>
      </c>
      <c r="H1006" s="33" t="s">
        <v>189</v>
      </c>
      <c r="I1006" s="33" t="s">
        <v>189</v>
      </c>
      <c r="J1006" s="33" t="s">
        <v>189</v>
      </c>
      <c r="K1006" s="33" t="s">
        <v>262</v>
      </c>
    </row>
    <row r="1007" ht="15.75" customHeight="1">
      <c r="A1007" s="33" t="s">
        <v>4938</v>
      </c>
      <c r="B1007" s="33" t="s">
        <v>1816</v>
      </c>
      <c r="C1007" s="33" t="s">
        <v>247</v>
      </c>
      <c r="D1007" s="39">
        <v>45789.0</v>
      </c>
      <c r="E1007" s="40">
        <v>33000.0</v>
      </c>
      <c r="F1007" s="33" t="s">
        <v>269</v>
      </c>
      <c r="G1007" s="33" t="s">
        <v>189</v>
      </c>
      <c r="H1007" s="33" t="s">
        <v>189</v>
      </c>
      <c r="I1007" s="33" t="s">
        <v>189</v>
      </c>
      <c r="J1007" s="33" t="s">
        <v>189</v>
      </c>
      <c r="K1007" s="33" t="s">
        <v>252</v>
      </c>
    </row>
    <row r="1008" ht="15.75" customHeight="1">
      <c r="A1008" s="33" t="s">
        <v>2863</v>
      </c>
      <c r="B1008" s="33" t="s">
        <v>251</v>
      </c>
      <c r="C1008" s="33" t="s">
        <v>227</v>
      </c>
      <c r="D1008" s="39">
        <v>45915.0</v>
      </c>
      <c r="E1008" s="40">
        <v>15300.0</v>
      </c>
      <c r="F1008" s="33" t="s">
        <v>248</v>
      </c>
      <c r="G1008" s="33" t="s">
        <v>181</v>
      </c>
      <c r="H1008" s="33" t="s">
        <v>181</v>
      </c>
      <c r="I1008" s="33" t="s">
        <v>181</v>
      </c>
      <c r="J1008" s="33" t="s">
        <v>181</v>
      </c>
      <c r="K1008" s="33" t="s">
        <v>157</v>
      </c>
    </row>
    <row r="1009" ht="15.75" customHeight="1">
      <c r="A1009" s="33" t="s">
        <v>2866</v>
      </c>
      <c r="B1009" s="33" t="s">
        <v>879</v>
      </c>
      <c r="C1009" s="33" t="s">
        <v>227</v>
      </c>
      <c r="D1009" s="39">
        <v>46030.0</v>
      </c>
      <c r="E1009" s="40">
        <v>6900.0</v>
      </c>
      <c r="F1009" s="33" t="s">
        <v>269</v>
      </c>
      <c r="G1009" s="33" t="s">
        <v>181</v>
      </c>
      <c r="H1009" s="33" t="s">
        <v>181</v>
      </c>
      <c r="I1009" s="33" t="s">
        <v>181</v>
      </c>
      <c r="J1009" s="33" t="s">
        <v>181</v>
      </c>
      <c r="K1009" s="33" t="s">
        <v>157</v>
      </c>
    </row>
    <row r="1010" ht="15.75" customHeight="1">
      <c r="A1010" s="33" t="s">
        <v>4947</v>
      </c>
      <c r="B1010" s="33" t="s">
        <v>2923</v>
      </c>
      <c r="C1010" s="33" t="s">
        <v>227</v>
      </c>
      <c r="D1010" s="39">
        <v>45919.0</v>
      </c>
      <c r="E1010" s="40">
        <v>6300.0</v>
      </c>
      <c r="F1010" s="33" t="s">
        <v>248</v>
      </c>
      <c r="G1010" s="33" t="s">
        <v>189</v>
      </c>
      <c r="H1010" s="33" t="s">
        <v>189</v>
      </c>
      <c r="I1010" s="33" t="s">
        <v>189</v>
      </c>
      <c r="J1010" s="33" t="s">
        <v>189</v>
      </c>
      <c r="K1010" s="33" t="s">
        <v>252</v>
      </c>
    </row>
    <row r="1011" ht="15.75" customHeight="1">
      <c r="A1011" s="33" t="s">
        <v>2870</v>
      </c>
      <c r="B1011" s="33" t="s">
        <v>2669</v>
      </c>
      <c r="C1011" s="33" t="s">
        <v>247</v>
      </c>
      <c r="D1011" s="39">
        <v>46149.0</v>
      </c>
      <c r="E1011" s="40">
        <v>1500.0</v>
      </c>
      <c r="F1011" s="33" t="s">
        <v>230</v>
      </c>
      <c r="G1011" s="33" t="s">
        <v>181</v>
      </c>
      <c r="H1011" s="33" t="s">
        <v>181</v>
      </c>
      <c r="I1011" s="33" t="s">
        <v>181</v>
      </c>
      <c r="J1011" s="33" t="s">
        <v>181</v>
      </c>
      <c r="K1011" s="33" t="s">
        <v>157</v>
      </c>
    </row>
    <row r="1012" ht="15.75" customHeight="1">
      <c r="A1012" s="33" t="s">
        <v>4953</v>
      </c>
      <c r="B1012" s="33" t="s">
        <v>2264</v>
      </c>
      <c r="C1012" s="33" t="s">
        <v>235</v>
      </c>
      <c r="D1012" s="39">
        <v>46143.0</v>
      </c>
      <c r="E1012" s="40">
        <v>48900.0</v>
      </c>
      <c r="F1012" s="33" t="s">
        <v>230</v>
      </c>
      <c r="G1012" s="33" t="s">
        <v>189</v>
      </c>
      <c r="H1012" s="33" t="s">
        <v>189</v>
      </c>
      <c r="I1012" s="33" t="s">
        <v>189</v>
      </c>
      <c r="J1012" s="33" t="s">
        <v>189</v>
      </c>
      <c r="K1012" s="33" t="s">
        <v>252</v>
      </c>
    </row>
    <row r="1013" ht="15.75" customHeight="1">
      <c r="A1013" s="33" t="s">
        <v>2873</v>
      </c>
      <c r="B1013" s="33" t="s">
        <v>2872</v>
      </c>
      <c r="C1013" s="33" t="s">
        <v>247</v>
      </c>
      <c r="D1013" s="39">
        <v>45717.0</v>
      </c>
      <c r="E1013" s="40">
        <v>33100.0</v>
      </c>
      <c r="F1013" s="33" t="s">
        <v>230</v>
      </c>
      <c r="G1013" s="33" t="s">
        <v>181</v>
      </c>
      <c r="H1013" s="33" t="s">
        <v>181</v>
      </c>
      <c r="I1013" s="33" t="s">
        <v>181</v>
      </c>
      <c r="J1013" s="33" t="s">
        <v>181</v>
      </c>
      <c r="K1013" s="33" t="s">
        <v>157</v>
      </c>
    </row>
    <row r="1014" ht="15.75" customHeight="1">
      <c r="A1014" s="33" t="s">
        <v>2880</v>
      </c>
      <c r="B1014" s="33" t="s">
        <v>2424</v>
      </c>
      <c r="C1014" s="33" t="s">
        <v>235</v>
      </c>
      <c r="D1014" s="39">
        <v>46080.0</v>
      </c>
      <c r="E1014" s="40">
        <v>16700.0</v>
      </c>
      <c r="F1014" s="33" t="s">
        <v>230</v>
      </c>
      <c r="G1014" s="33" t="s">
        <v>181</v>
      </c>
      <c r="H1014" s="33" t="s">
        <v>181</v>
      </c>
      <c r="I1014" s="33" t="s">
        <v>181</v>
      </c>
      <c r="J1014" s="33" t="s">
        <v>181</v>
      </c>
      <c r="K1014" s="33" t="s">
        <v>157</v>
      </c>
    </row>
    <row r="1015" ht="15.75" customHeight="1">
      <c r="A1015" s="33" t="s">
        <v>4962</v>
      </c>
      <c r="B1015" s="33" t="s">
        <v>728</v>
      </c>
      <c r="C1015" s="33" t="s">
        <v>227</v>
      </c>
      <c r="D1015" s="39">
        <v>45674.0</v>
      </c>
      <c r="E1015" s="40">
        <v>29400.0</v>
      </c>
      <c r="F1015" s="33" t="s">
        <v>248</v>
      </c>
      <c r="G1015" s="33" t="s">
        <v>181</v>
      </c>
      <c r="H1015" s="33" t="s">
        <v>189</v>
      </c>
      <c r="I1015" s="33" t="s">
        <v>189</v>
      </c>
      <c r="J1015" s="33" t="s">
        <v>189</v>
      </c>
      <c r="K1015" s="33" t="s">
        <v>262</v>
      </c>
    </row>
    <row r="1016" ht="15.75" customHeight="1">
      <c r="A1016" s="33" t="s">
        <v>2883</v>
      </c>
      <c r="B1016" s="33" t="s">
        <v>808</v>
      </c>
      <c r="C1016" s="33" t="s">
        <v>227</v>
      </c>
      <c r="D1016" s="39">
        <v>45763.0</v>
      </c>
      <c r="E1016" s="40">
        <v>31300.0</v>
      </c>
      <c r="F1016" s="33" t="s">
        <v>241</v>
      </c>
      <c r="G1016" s="33" t="s">
        <v>181</v>
      </c>
      <c r="H1016" s="33" t="s">
        <v>181</v>
      </c>
      <c r="I1016" s="33" t="s">
        <v>181</v>
      </c>
      <c r="J1016" s="33" t="s">
        <v>181</v>
      </c>
      <c r="K1016" s="33" t="s">
        <v>157</v>
      </c>
    </row>
    <row r="1017" ht="15.75" customHeight="1">
      <c r="A1017" s="33" t="s">
        <v>4968</v>
      </c>
      <c r="B1017" s="33" t="s">
        <v>250</v>
      </c>
      <c r="C1017" s="33" t="s">
        <v>247</v>
      </c>
      <c r="D1017" s="39">
        <v>46120.0</v>
      </c>
      <c r="E1017" s="40">
        <v>10000.0</v>
      </c>
      <c r="F1017" s="33" t="s">
        <v>230</v>
      </c>
      <c r="G1017" s="33" t="s">
        <v>189</v>
      </c>
      <c r="H1017" s="33" t="s">
        <v>189</v>
      </c>
      <c r="I1017" s="33" t="s">
        <v>189</v>
      </c>
      <c r="J1017" s="33" t="s">
        <v>189</v>
      </c>
      <c r="K1017" s="33" t="s">
        <v>252</v>
      </c>
    </row>
    <row r="1018" ht="15.75" customHeight="1">
      <c r="A1018" s="33" t="s">
        <v>2887</v>
      </c>
      <c r="B1018" s="33" t="s">
        <v>2886</v>
      </c>
      <c r="C1018" s="33" t="s">
        <v>235</v>
      </c>
      <c r="D1018" s="39">
        <v>46011.0</v>
      </c>
      <c r="E1018" s="40">
        <v>15200.0</v>
      </c>
      <c r="F1018" s="33" t="s">
        <v>241</v>
      </c>
      <c r="G1018" s="33" t="s">
        <v>181</v>
      </c>
      <c r="H1018" s="33" t="s">
        <v>181</v>
      </c>
      <c r="I1018" s="33" t="s">
        <v>181</v>
      </c>
      <c r="J1018" s="33" t="s">
        <v>181</v>
      </c>
      <c r="K1018" s="33" t="s">
        <v>157</v>
      </c>
    </row>
    <row r="1019" ht="15.75" customHeight="1">
      <c r="A1019" s="33" t="s">
        <v>2890</v>
      </c>
      <c r="B1019" s="33" t="s">
        <v>845</v>
      </c>
      <c r="C1019" s="33" t="s">
        <v>247</v>
      </c>
      <c r="D1019" s="39">
        <v>45853.0</v>
      </c>
      <c r="E1019" s="40">
        <v>27800.0</v>
      </c>
      <c r="F1019" s="33" t="s">
        <v>230</v>
      </c>
      <c r="G1019" s="33" t="s">
        <v>181</v>
      </c>
      <c r="H1019" s="33" t="s">
        <v>181</v>
      </c>
      <c r="I1019" s="33" t="s">
        <v>181</v>
      </c>
      <c r="J1019" s="33" t="s">
        <v>181</v>
      </c>
      <c r="K1019" s="33" t="s">
        <v>157</v>
      </c>
    </row>
    <row r="1020" ht="15.75" customHeight="1">
      <c r="A1020" s="33" t="s">
        <v>2894</v>
      </c>
      <c r="B1020" s="33" t="s">
        <v>1742</v>
      </c>
      <c r="C1020" s="33" t="s">
        <v>247</v>
      </c>
      <c r="D1020" s="39">
        <v>45751.0</v>
      </c>
      <c r="E1020" s="40">
        <v>42100.0</v>
      </c>
      <c r="F1020" s="33" t="s">
        <v>248</v>
      </c>
      <c r="G1020" s="33" t="s">
        <v>181</v>
      </c>
      <c r="H1020" s="33" t="s">
        <v>181</v>
      </c>
      <c r="I1020" s="33" t="s">
        <v>181</v>
      </c>
      <c r="J1020" s="33" t="s">
        <v>181</v>
      </c>
      <c r="K1020" s="33" t="s">
        <v>157</v>
      </c>
    </row>
    <row r="1021" ht="15.75" customHeight="1">
      <c r="A1021" s="33" t="s">
        <v>4981</v>
      </c>
      <c r="B1021" s="33" t="s">
        <v>1981</v>
      </c>
      <c r="C1021" s="33" t="s">
        <v>227</v>
      </c>
      <c r="D1021" s="39">
        <v>45854.0</v>
      </c>
      <c r="E1021" s="40">
        <v>7300.0</v>
      </c>
      <c r="F1021" s="33" t="s">
        <v>230</v>
      </c>
      <c r="G1021" s="33" t="s">
        <v>181</v>
      </c>
      <c r="H1021" s="33" t="s">
        <v>189</v>
      </c>
      <c r="I1021" s="33" t="s">
        <v>189</v>
      </c>
      <c r="J1021" s="33" t="s">
        <v>189</v>
      </c>
      <c r="K1021" s="33" t="s">
        <v>262</v>
      </c>
    </row>
    <row r="1022" ht="15.75" customHeight="1">
      <c r="A1022" s="33" t="s">
        <v>4984</v>
      </c>
      <c r="B1022" s="33" t="s">
        <v>2327</v>
      </c>
      <c r="C1022" s="33" t="s">
        <v>235</v>
      </c>
      <c r="D1022" s="39">
        <v>46131.0</v>
      </c>
      <c r="E1022" s="40">
        <v>43100.0</v>
      </c>
      <c r="F1022" s="33" t="s">
        <v>241</v>
      </c>
      <c r="G1022" s="33" t="s">
        <v>181</v>
      </c>
      <c r="H1022" s="33" t="s">
        <v>189</v>
      </c>
      <c r="I1022" s="33" t="s">
        <v>189</v>
      </c>
      <c r="J1022" s="33" t="s">
        <v>189</v>
      </c>
      <c r="K1022" s="33" t="s">
        <v>262</v>
      </c>
    </row>
    <row r="1023" ht="15.75" customHeight="1">
      <c r="A1023" s="33" t="s">
        <v>2898</v>
      </c>
      <c r="B1023" s="33" t="s">
        <v>876</v>
      </c>
      <c r="C1023" s="33" t="s">
        <v>235</v>
      </c>
      <c r="D1023" s="39">
        <v>46000.0</v>
      </c>
      <c r="E1023" s="40">
        <v>30800.0</v>
      </c>
      <c r="F1023" s="33" t="s">
        <v>248</v>
      </c>
      <c r="G1023" s="33" t="s">
        <v>181</v>
      </c>
      <c r="H1023" s="33" t="s">
        <v>181</v>
      </c>
      <c r="I1023" s="33" t="s">
        <v>181</v>
      </c>
      <c r="J1023" s="33" t="s">
        <v>181</v>
      </c>
      <c r="K1023" s="33" t="s">
        <v>157</v>
      </c>
    </row>
    <row r="1024" ht="15.75" customHeight="1">
      <c r="A1024" s="33" t="s">
        <v>4991</v>
      </c>
      <c r="B1024" s="33" t="s">
        <v>2129</v>
      </c>
      <c r="C1024" s="33" t="s">
        <v>235</v>
      </c>
      <c r="D1024" s="39">
        <v>45737.0</v>
      </c>
      <c r="E1024" s="40">
        <v>25000.0</v>
      </c>
      <c r="F1024" s="33" t="s">
        <v>269</v>
      </c>
      <c r="G1024" s="33" t="s">
        <v>181</v>
      </c>
      <c r="H1024" s="33" t="s">
        <v>189</v>
      </c>
      <c r="I1024" s="33" t="s">
        <v>189</v>
      </c>
      <c r="J1024" s="33" t="s">
        <v>189</v>
      </c>
      <c r="K1024" s="33" t="s">
        <v>262</v>
      </c>
    </row>
    <row r="1025" ht="15.75" customHeight="1">
      <c r="A1025" s="33" t="s">
        <v>2901</v>
      </c>
      <c r="B1025" s="33" t="s">
        <v>2453</v>
      </c>
      <c r="C1025" s="33" t="s">
        <v>227</v>
      </c>
      <c r="D1025" s="39">
        <v>45953.0</v>
      </c>
      <c r="E1025" s="40">
        <v>8100.0</v>
      </c>
      <c r="F1025" s="33" t="s">
        <v>230</v>
      </c>
      <c r="G1025" s="33" t="s">
        <v>181</v>
      </c>
      <c r="H1025" s="33" t="s">
        <v>181</v>
      </c>
      <c r="I1025" s="33" t="s">
        <v>181</v>
      </c>
      <c r="J1025" s="33" t="s">
        <v>181</v>
      </c>
      <c r="K1025" s="33" t="s">
        <v>157</v>
      </c>
    </row>
    <row r="1026" ht="15.75" customHeight="1">
      <c r="A1026" s="33" t="s">
        <v>4998</v>
      </c>
      <c r="B1026" s="33" t="s">
        <v>2879</v>
      </c>
      <c r="C1026" s="33" t="s">
        <v>227</v>
      </c>
      <c r="D1026" s="39">
        <v>45780.0</v>
      </c>
      <c r="E1026" s="40">
        <v>27900.0</v>
      </c>
      <c r="F1026" s="33" t="s">
        <v>241</v>
      </c>
      <c r="G1026" s="33" t="s">
        <v>181</v>
      </c>
      <c r="H1026" s="33" t="s">
        <v>189</v>
      </c>
      <c r="I1026" s="33" t="s">
        <v>189</v>
      </c>
      <c r="J1026" s="33" t="s">
        <v>189</v>
      </c>
      <c r="K1026" s="33" t="s">
        <v>262</v>
      </c>
    </row>
    <row r="1027" ht="15.75" customHeight="1">
      <c r="A1027" s="33" t="s">
        <v>2906</v>
      </c>
      <c r="B1027" s="33" t="s">
        <v>1812</v>
      </c>
      <c r="C1027" s="33" t="s">
        <v>247</v>
      </c>
      <c r="D1027" s="39">
        <v>45731.0</v>
      </c>
      <c r="E1027" s="40">
        <v>18300.0</v>
      </c>
      <c r="F1027" s="33" t="s">
        <v>230</v>
      </c>
      <c r="G1027" s="33" t="s">
        <v>181</v>
      </c>
      <c r="H1027" s="33" t="s">
        <v>181</v>
      </c>
      <c r="I1027" s="33" t="s">
        <v>181</v>
      </c>
      <c r="J1027" s="33" t="s">
        <v>181</v>
      </c>
      <c r="K1027" s="33" t="s">
        <v>157</v>
      </c>
    </row>
    <row r="1028" ht="15.75" customHeight="1">
      <c r="A1028" s="33" t="s">
        <v>5003</v>
      </c>
      <c r="B1028" s="33" t="s">
        <v>1615</v>
      </c>
      <c r="C1028" s="33" t="s">
        <v>247</v>
      </c>
      <c r="D1028" s="39">
        <v>45710.0</v>
      </c>
      <c r="E1028" s="40">
        <v>10300.0</v>
      </c>
      <c r="F1028" s="33" t="s">
        <v>241</v>
      </c>
      <c r="G1028" s="33" t="s">
        <v>189</v>
      </c>
      <c r="H1028" s="33" t="s">
        <v>189</v>
      </c>
      <c r="I1028" s="33" t="s">
        <v>189</v>
      </c>
      <c r="J1028" s="33" t="s">
        <v>189</v>
      </c>
      <c r="K1028" s="33" t="s">
        <v>252</v>
      </c>
    </row>
    <row r="1029" ht="15.75" customHeight="1">
      <c r="A1029" s="33" t="s">
        <v>5006</v>
      </c>
      <c r="B1029" s="33" t="s">
        <v>992</v>
      </c>
      <c r="C1029" s="33" t="s">
        <v>247</v>
      </c>
      <c r="D1029" s="39">
        <v>46119.0</v>
      </c>
      <c r="E1029" s="40">
        <v>44100.0</v>
      </c>
      <c r="F1029" s="33" t="s">
        <v>241</v>
      </c>
      <c r="G1029" s="33" t="s">
        <v>189</v>
      </c>
      <c r="H1029" s="33" t="s">
        <v>189</v>
      </c>
      <c r="I1029" s="33" t="s">
        <v>189</v>
      </c>
      <c r="J1029" s="33" t="s">
        <v>189</v>
      </c>
      <c r="K1029" s="33" t="s">
        <v>252</v>
      </c>
    </row>
    <row r="1030" ht="15.75" customHeight="1">
      <c r="A1030" s="33" t="s">
        <v>5009</v>
      </c>
      <c r="B1030" s="33" t="s">
        <v>2987</v>
      </c>
      <c r="C1030" s="33" t="s">
        <v>227</v>
      </c>
      <c r="D1030" s="39">
        <v>45755.0</v>
      </c>
      <c r="E1030" s="40">
        <v>23600.0</v>
      </c>
      <c r="F1030" s="33" t="s">
        <v>241</v>
      </c>
      <c r="G1030" s="33" t="s">
        <v>189</v>
      </c>
      <c r="H1030" s="33" t="s">
        <v>189</v>
      </c>
      <c r="I1030" s="33" t="s">
        <v>189</v>
      </c>
      <c r="J1030" s="33" t="s">
        <v>189</v>
      </c>
      <c r="K1030" s="33" t="s">
        <v>252</v>
      </c>
    </row>
    <row r="1031" ht="15.75" customHeight="1">
      <c r="A1031" s="33" t="s">
        <v>5013</v>
      </c>
      <c r="B1031" s="33" t="s">
        <v>1505</v>
      </c>
      <c r="C1031" s="33" t="s">
        <v>247</v>
      </c>
      <c r="D1031" s="39">
        <v>45764.0</v>
      </c>
      <c r="E1031" s="40">
        <v>4900.0</v>
      </c>
      <c r="F1031" s="33" t="s">
        <v>248</v>
      </c>
      <c r="G1031" s="33" t="s">
        <v>189</v>
      </c>
      <c r="H1031" s="33" t="s">
        <v>189</v>
      </c>
      <c r="I1031" s="33" t="s">
        <v>189</v>
      </c>
      <c r="J1031" s="33" t="s">
        <v>189</v>
      </c>
      <c r="K1031" s="33" t="s">
        <v>252</v>
      </c>
    </row>
    <row r="1032" ht="15.75" customHeight="1">
      <c r="A1032" s="33" t="s">
        <v>2909</v>
      </c>
      <c r="B1032" s="33" t="s">
        <v>374</v>
      </c>
      <c r="C1032" s="33" t="s">
        <v>227</v>
      </c>
      <c r="D1032" s="39">
        <v>46183.0</v>
      </c>
      <c r="E1032" s="40">
        <v>15800.0</v>
      </c>
      <c r="F1032" s="33" t="s">
        <v>248</v>
      </c>
      <c r="G1032" s="33" t="s">
        <v>181</v>
      </c>
      <c r="H1032" s="33" t="s">
        <v>181</v>
      </c>
      <c r="I1032" s="33" t="s">
        <v>181</v>
      </c>
      <c r="J1032" s="33" t="s">
        <v>181</v>
      </c>
      <c r="K1032" s="33" t="s">
        <v>157</v>
      </c>
    </row>
    <row r="1033" ht="15.75" customHeight="1">
      <c r="A1033" s="33" t="s">
        <v>5018</v>
      </c>
      <c r="B1033" s="33" t="s">
        <v>2199</v>
      </c>
      <c r="C1033" s="33" t="s">
        <v>247</v>
      </c>
      <c r="D1033" s="39">
        <v>46159.0</v>
      </c>
      <c r="E1033" s="40">
        <v>9900.0</v>
      </c>
      <c r="F1033" s="33" t="s">
        <v>248</v>
      </c>
      <c r="G1033" s="33" t="s">
        <v>189</v>
      </c>
      <c r="H1033" s="33" t="s">
        <v>189</v>
      </c>
      <c r="I1033" s="33" t="s">
        <v>189</v>
      </c>
      <c r="J1033" s="33" t="s">
        <v>189</v>
      </c>
      <c r="K1033" s="33" t="s">
        <v>252</v>
      </c>
    </row>
    <row r="1034" ht="15.75" customHeight="1">
      <c r="A1034" s="33" t="s">
        <v>2915</v>
      </c>
      <c r="B1034" s="33" t="s">
        <v>2914</v>
      </c>
      <c r="C1034" s="33" t="s">
        <v>227</v>
      </c>
      <c r="D1034" s="39">
        <v>45962.0</v>
      </c>
      <c r="E1034" s="40">
        <v>47000.0</v>
      </c>
      <c r="F1034" s="33" t="s">
        <v>269</v>
      </c>
      <c r="G1034" s="33" t="s">
        <v>181</v>
      </c>
      <c r="H1034" s="33" t="s">
        <v>181</v>
      </c>
      <c r="I1034" s="33" t="s">
        <v>181</v>
      </c>
      <c r="J1034" s="33" t="s">
        <v>181</v>
      </c>
      <c r="K1034" s="33" t="s">
        <v>157</v>
      </c>
    </row>
    <row r="1035" ht="15.75" customHeight="1">
      <c r="A1035" s="33" t="s">
        <v>2920</v>
      </c>
      <c r="B1035" s="33" t="s">
        <v>220</v>
      </c>
      <c r="C1035" s="33" t="s">
        <v>235</v>
      </c>
      <c r="D1035" s="39">
        <v>46121.0</v>
      </c>
      <c r="E1035" s="40">
        <v>12900.0</v>
      </c>
      <c r="F1035" s="33" t="s">
        <v>230</v>
      </c>
      <c r="G1035" s="33" t="s">
        <v>181</v>
      </c>
      <c r="H1035" s="33" t="s">
        <v>181</v>
      </c>
      <c r="I1035" s="33" t="s">
        <v>181</v>
      </c>
      <c r="J1035" s="33" t="s">
        <v>181</v>
      </c>
      <c r="K1035" s="33" t="s">
        <v>157</v>
      </c>
    </row>
    <row r="1036" ht="15.75" customHeight="1">
      <c r="A1036" s="33" t="s">
        <v>5027</v>
      </c>
      <c r="B1036" s="33" t="s">
        <v>3193</v>
      </c>
      <c r="C1036" s="33" t="s">
        <v>227</v>
      </c>
      <c r="D1036" s="39">
        <v>45671.0</v>
      </c>
      <c r="E1036" s="40">
        <v>25800.0</v>
      </c>
      <c r="F1036" s="33" t="s">
        <v>230</v>
      </c>
      <c r="G1036" s="33" t="s">
        <v>189</v>
      </c>
      <c r="H1036" s="33" t="s">
        <v>189</v>
      </c>
      <c r="I1036" s="33" t="s">
        <v>189</v>
      </c>
      <c r="J1036" s="33" t="s">
        <v>189</v>
      </c>
      <c r="K1036" s="33" t="s">
        <v>252</v>
      </c>
    </row>
    <row r="1037" ht="15.75" customHeight="1">
      <c r="A1037" s="33" t="s">
        <v>5031</v>
      </c>
      <c r="B1037" s="33" t="s">
        <v>908</v>
      </c>
      <c r="C1037" s="33" t="s">
        <v>247</v>
      </c>
      <c r="D1037" s="39">
        <v>45759.0</v>
      </c>
      <c r="E1037" s="40">
        <v>37500.0</v>
      </c>
      <c r="F1037" s="33" t="s">
        <v>248</v>
      </c>
      <c r="G1037" s="33" t="s">
        <v>189</v>
      </c>
      <c r="H1037" s="33" t="s">
        <v>189</v>
      </c>
      <c r="I1037" s="33" t="s">
        <v>189</v>
      </c>
      <c r="J1037" s="33" t="s">
        <v>189</v>
      </c>
      <c r="K1037" s="33" t="s">
        <v>252</v>
      </c>
    </row>
    <row r="1038" ht="15.75" customHeight="1">
      <c r="A1038" s="33" t="s">
        <v>5034</v>
      </c>
      <c r="B1038" s="33" t="s">
        <v>1463</v>
      </c>
      <c r="C1038" s="33" t="s">
        <v>227</v>
      </c>
      <c r="D1038" s="39">
        <v>45872.0</v>
      </c>
      <c r="E1038" s="40">
        <v>8800.0</v>
      </c>
      <c r="F1038" s="33" t="s">
        <v>230</v>
      </c>
      <c r="G1038" s="33" t="s">
        <v>181</v>
      </c>
      <c r="H1038" s="33" t="s">
        <v>181</v>
      </c>
      <c r="I1038" s="33" t="s">
        <v>181</v>
      </c>
      <c r="J1038" s="33" t="s">
        <v>189</v>
      </c>
      <c r="K1038" s="33" t="s">
        <v>365</v>
      </c>
    </row>
    <row r="1039" ht="15.75" customHeight="1">
      <c r="A1039" s="33" t="s">
        <v>5038</v>
      </c>
      <c r="B1039" s="33" t="s">
        <v>1955</v>
      </c>
      <c r="C1039" s="33" t="s">
        <v>227</v>
      </c>
      <c r="D1039" s="39">
        <v>46118.0</v>
      </c>
      <c r="E1039" s="40">
        <v>22400.0</v>
      </c>
      <c r="F1039" s="33" t="s">
        <v>269</v>
      </c>
      <c r="G1039" s="33" t="s">
        <v>189</v>
      </c>
      <c r="H1039" s="33" t="s">
        <v>189</v>
      </c>
      <c r="I1039" s="33" t="s">
        <v>189</v>
      </c>
      <c r="J1039" s="33" t="s">
        <v>189</v>
      </c>
      <c r="K1039" s="33" t="s">
        <v>252</v>
      </c>
    </row>
    <row r="1040" ht="15.75" customHeight="1">
      <c r="A1040" s="33" t="s">
        <v>5043</v>
      </c>
      <c r="B1040" s="33" t="s">
        <v>369</v>
      </c>
      <c r="C1040" s="33" t="s">
        <v>247</v>
      </c>
      <c r="D1040" s="39">
        <v>45712.0</v>
      </c>
      <c r="E1040" s="40">
        <v>33000.0</v>
      </c>
      <c r="F1040" s="33" t="s">
        <v>241</v>
      </c>
      <c r="G1040" s="33" t="s">
        <v>181</v>
      </c>
      <c r="H1040" s="33" t="s">
        <v>189</v>
      </c>
      <c r="I1040" s="33" t="s">
        <v>189</v>
      </c>
      <c r="J1040" s="33" t="s">
        <v>189</v>
      </c>
      <c r="K1040" s="33" t="s">
        <v>262</v>
      </c>
    </row>
    <row r="1041" ht="15.75" customHeight="1">
      <c r="A1041" s="33" t="s">
        <v>5048</v>
      </c>
      <c r="B1041" s="33" t="s">
        <v>1749</v>
      </c>
      <c r="C1041" s="33" t="s">
        <v>227</v>
      </c>
      <c r="D1041" s="39">
        <v>46059.0</v>
      </c>
      <c r="E1041" s="40">
        <v>44200.0</v>
      </c>
      <c r="F1041" s="33" t="s">
        <v>248</v>
      </c>
      <c r="G1041" s="33" t="s">
        <v>181</v>
      </c>
      <c r="H1041" s="33" t="s">
        <v>189</v>
      </c>
      <c r="I1041" s="33" t="s">
        <v>189</v>
      </c>
      <c r="J1041" s="33" t="s">
        <v>189</v>
      </c>
      <c r="K1041" s="33" t="s">
        <v>262</v>
      </c>
    </row>
    <row r="1042" ht="15.75" customHeight="1">
      <c r="A1042" s="33" t="s">
        <v>5052</v>
      </c>
      <c r="B1042" s="33" t="s">
        <v>1920</v>
      </c>
      <c r="C1042" s="33" t="s">
        <v>247</v>
      </c>
      <c r="D1042" s="39">
        <v>45700.0</v>
      </c>
      <c r="E1042" s="40">
        <v>33100.0</v>
      </c>
      <c r="F1042" s="33" t="s">
        <v>241</v>
      </c>
      <c r="G1042" s="33" t="s">
        <v>189</v>
      </c>
      <c r="H1042" s="33" t="s">
        <v>189</v>
      </c>
      <c r="I1042" s="33" t="s">
        <v>189</v>
      </c>
      <c r="J1042" s="33" t="s">
        <v>189</v>
      </c>
      <c r="K1042" s="33" t="s">
        <v>252</v>
      </c>
    </row>
    <row r="1043" ht="15.75" customHeight="1">
      <c r="A1043" s="33" t="s">
        <v>2927</v>
      </c>
      <c r="B1043" s="33" t="s">
        <v>2926</v>
      </c>
      <c r="C1043" s="33" t="s">
        <v>227</v>
      </c>
      <c r="D1043" s="39">
        <v>46253.0</v>
      </c>
      <c r="E1043" s="40">
        <v>4900.0</v>
      </c>
      <c r="F1043" s="33" t="s">
        <v>269</v>
      </c>
      <c r="G1043" s="33" t="s">
        <v>181</v>
      </c>
      <c r="H1043" s="33" t="s">
        <v>181</v>
      </c>
      <c r="I1043" s="33" t="s">
        <v>181</v>
      </c>
      <c r="J1043" s="33" t="s">
        <v>181</v>
      </c>
      <c r="K1043" s="33" t="s">
        <v>157</v>
      </c>
    </row>
    <row r="1044" ht="15.75" customHeight="1">
      <c r="A1044" s="33" t="s">
        <v>5057</v>
      </c>
      <c r="B1044" s="33" t="s">
        <v>1314</v>
      </c>
      <c r="C1044" s="33" t="s">
        <v>247</v>
      </c>
      <c r="D1044" s="39">
        <v>45784.0</v>
      </c>
      <c r="E1044" s="40">
        <v>16800.0</v>
      </c>
      <c r="F1044" s="33" t="s">
        <v>241</v>
      </c>
      <c r="G1044" s="33" t="s">
        <v>189</v>
      </c>
      <c r="H1044" s="33" t="s">
        <v>189</v>
      </c>
      <c r="I1044" s="33" t="s">
        <v>189</v>
      </c>
      <c r="J1044" s="33" t="s">
        <v>189</v>
      </c>
      <c r="K1044" s="33" t="s">
        <v>252</v>
      </c>
    </row>
    <row r="1045" ht="15.75" customHeight="1">
      <c r="A1045" s="33" t="s">
        <v>5061</v>
      </c>
      <c r="B1045" s="33" t="s">
        <v>3140</v>
      </c>
      <c r="C1045" s="33" t="s">
        <v>235</v>
      </c>
      <c r="D1045" s="39">
        <v>46090.0</v>
      </c>
      <c r="E1045" s="40">
        <v>18200.0</v>
      </c>
      <c r="F1045" s="33" t="s">
        <v>230</v>
      </c>
      <c r="G1045" s="33" t="s">
        <v>189</v>
      </c>
      <c r="H1045" s="33" t="s">
        <v>189</v>
      </c>
      <c r="I1045" s="33" t="s">
        <v>189</v>
      </c>
      <c r="J1045" s="33" t="s">
        <v>189</v>
      </c>
      <c r="K1045" s="33" t="s">
        <v>252</v>
      </c>
    </row>
    <row r="1046" ht="15.75" customHeight="1">
      <c r="A1046" s="33" t="s">
        <v>2931</v>
      </c>
      <c r="B1046" s="33" t="s">
        <v>1693</v>
      </c>
      <c r="C1046" s="33" t="s">
        <v>247</v>
      </c>
      <c r="D1046" s="39">
        <v>46035.0</v>
      </c>
      <c r="E1046" s="40">
        <v>20000.0</v>
      </c>
      <c r="F1046" s="33" t="s">
        <v>241</v>
      </c>
      <c r="G1046" s="33" t="s">
        <v>181</v>
      </c>
      <c r="H1046" s="33" t="s">
        <v>181</v>
      </c>
      <c r="I1046" s="33" t="s">
        <v>181</v>
      </c>
      <c r="J1046" s="33" t="s">
        <v>181</v>
      </c>
      <c r="K1046" s="33" t="s">
        <v>157</v>
      </c>
    </row>
    <row r="1047" ht="15.75" customHeight="1">
      <c r="A1047" s="33" t="s">
        <v>5067</v>
      </c>
      <c r="B1047" s="33" t="s">
        <v>2879</v>
      </c>
      <c r="C1047" s="33" t="s">
        <v>227</v>
      </c>
      <c r="D1047" s="39">
        <v>45894.0</v>
      </c>
      <c r="E1047" s="40">
        <v>47100.0</v>
      </c>
      <c r="F1047" s="33" t="s">
        <v>241</v>
      </c>
      <c r="G1047" s="33" t="s">
        <v>189</v>
      </c>
      <c r="H1047" s="33" t="s">
        <v>189</v>
      </c>
      <c r="I1047" s="33" t="s">
        <v>189</v>
      </c>
      <c r="J1047" s="33" t="s">
        <v>189</v>
      </c>
      <c r="K1047" s="33" t="s">
        <v>252</v>
      </c>
    </row>
    <row r="1048" ht="15.75" customHeight="1">
      <c r="A1048" s="33" t="s">
        <v>5070</v>
      </c>
      <c r="B1048" s="33" t="s">
        <v>276</v>
      </c>
      <c r="C1048" s="33" t="s">
        <v>247</v>
      </c>
      <c r="D1048" s="39">
        <v>46121.0</v>
      </c>
      <c r="E1048" s="40">
        <v>2700.0</v>
      </c>
      <c r="F1048" s="33" t="s">
        <v>241</v>
      </c>
      <c r="G1048" s="33" t="s">
        <v>181</v>
      </c>
      <c r="H1048" s="33" t="s">
        <v>189</v>
      </c>
      <c r="I1048" s="33" t="s">
        <v>189</v>
      </c>
      <c r="J1048" s="33" t="s">
        <v>189</v>
      </c>
      <c r="K1048" s="33" t="s">
        <v>262</v>
      </c>
    </row>
    <row r="1049" ht="15.75" customHeight="1">
      <c r="A1049" s="33" t="s">
        <v>5073</v>
      </c>
      <c r="B1049" s="33" t="s">
        <v>3326</v>
      </c>
      <c r="C1049" s="33" t="s">
        <v>227</v>
      </c>
      <c r="D1049" s="39">
        <v>46034.0</v>
      </c>
      <c r="E1049" s="40">
        <v>15800.0</v>
      </c>
      <c r="F1049" s="33" t="s">
        <v>241</v>
      </c>
      <c r="G1049" s="33" t="s">
        <v>189</v>
      </c>
      <c r="H1049" s="33" t="s">
        <v>189</v>
      </c>
      <c r="I1049" s="33" t="s">
        <v>189</v>
      </c>
      <c r="J1049" s="33" t="s">
        <v>189</v>
      </c>
      <c r="K1049" s="33" t="s">
        <v>252</v>
      </c>
    </row>
    <row r="1050" ht="15.75" customHeight="1">
      <c r="A1050" s="33" t="s">
        <v>2935</v>
      </c>
      <c r="B1050" s="33" t="s">
        <v>2199</v>
      </c>
      <c r="C1050" s="33" t="s">
        <v>247</v>
      </c>
      <c r="D1050" s="39">
        <v>45931.0</v>
      </c>
      <c r="E1050" s="40">
        <v>25100.0</v>
      </c>
      <c r="F1050" s="33" t="s">
        <v>230</v>
      </c>
      <c r="G1050" s="33" t="s">
        <v>181</v>
      </c>
      <c r="H1050" s="33" t="s">
        <v>181</v>
      </c>
      <c r="I1050" s="33" t="s">
        <v>181</v>
      </c>
      <c r="J1050" s="33" t="s">
        <v>181</v>
      </c>
      <c r="K1050" s="33" t="s">
        <v>157</v>
      </c>
    </row>
    <row r="1051" ht="15.75" customHeight="1">
      <c r="A1051" s="33" t="s">
        <v>5079</v>
      </c>
      <c r="B1051" s="33" t="s">
        <v>1944</v>
      </c>
      <c r="C1051" s="33" t="s">
        <v>235</v>
      </c>
      <c r="D1051" s="39">
        <v>46059.0</v>
      </c>
      <c r="E1051" s="40">
        <v>5200.0</v>
      </c>
      <c r="F1051" s="33" t="s">
        <v>248</v>
      </c>
      <c r="G1051" s="33" t="s">
        <v>181</v>
      </c>
      <c r="H1051" s="33" t="s">
        <v>189</v>
      </c>
      <c r="I1051" s="33" t="s">
        <v>189</v>
      </c>
      <c r="J1051" s="33" t="s">
        <v>189</v>
      </c>
      <c r="K1051" s="33" t="s">
        <v>262</v>
      </c>
    </row>
    <row r="1052" ht="15.75" customHeight="1">
      <c r="A1052" s="33" t="s">
        <v>5083</v>
      </c>
      <c r="B1052" s="33" t="s">
        <v>931</v>
      </c>
      <c r="C1052" s="33" t="s">
        <v>227</v>
      </c>
      <c r="D1052" s="39">
        <v>45832.0</v>
      </c>
      <c r="E1052" s="40">
        <v>24700.0</v>
      </c>
      <c r="F1052" s="33" t="s">
        <v>230</v>
      </c>
      <c r="G1052" s="33" t="s">
        <v>189</v>
      </c>
      <c r="H1052" s="33" t="s">
        <v>189</v>
      </c>
      <c r="I1052" s="33" t="s">
        <v>189</v>
      </c>
      <c r="J1052" s="33" t="s">
        <v>189</v>
      </c>
      <c r="K1052" s="33" t="s">
        <v>252</v>
      </c>
    </row>
    <row r="1053" ht="15.75" customHeight="1">
      <c r="A1053" s="33" t="s">
        <v>2939</v>
      </c>
      <c r="B1053" s="33" t="s">
        <v>765</v>
      </c>
      <c r="C1053" s="33" t="s">
        <v>227</v>
      </c>
      <c r="D1053" s="39">
        <v>46110.0</v>
      </c>
      <c r="E1053" s="40">
        <v>6200.0</v>
      </c>
      <c r="F1053" s="33" t="s">
        <v>248</v>
      </c>
      <c r="G1053" s="33" t="s">
        <v>181</v>
      </c>
      <c r="H1053" s="33" t="s">
        <v>181</v>
      </c>
      <c r="I1053" s="33" t="s">
        <v>181</v>
      </c>
      <c r="J1053" s="33" t="s">
        <v>181</v>
      </c>
      <c r="K1053" s="33" t="s">
        <v>157</v>
      </c>
    </row>
    <row r="1054" ht="15.75" customHeight="1">
      <c r="A1054" s="33" t="s">
        <v>5089</v>
      </c>
      <c r="B1054" s="33" t="s">
        <v>234</v>
      </c>
      <c r="C1054" s="33" t="s">
        <v>235</v>
      </c>
      <c r="D1054" s="39">
        <v>46083.0</v>
      </c>
      <c r="E1054" s="40">
        <v>42100.0</v>
      </c>
      <c r="F1054" s="33" t="s">
        <v>241</v>
      </c>
      <c r="G1054" s="33" t="s">
        <v>181</v>
      </c>
      <c r="H1054" s="33" t="s">
        <v>189</v>
      </c>
      <c r="I1054" s="33" t="s">
        <v>189</v>
      </c>
      <c r="J1054" s="33" t="s">
        <v>189</v>
      </c>
      <c r="K1054" s="33" t="s">
        <v>262</v>
      </c>
    </row>
    <row r="1055" ht="15.75" customHeight="1">
      <c r="A1055" s="33" t="s">
        <v>2942</v>
      </c>
      <c r="B1055" s="33" t="s">
        <v>393</v>
      </c>
      <c r="C1055" s="33" t="s">
        <v>247</v>
      </c>
      <c r="D1055" s="39">
        <v>45942.0</v>
      </c>
      <c r="E1055" s="40">
        <v>14200.0</v>
      </c>
      <c r="F1055" s="33" t="s">
        <v>269</v>
      </c>
      <c r="G1055" s="33" t="s">
        <v>181</v>
      </c>
      <c r="H1055" s="33" t="s">
        <v>181</v>
      </c>
      <c r="I1055" s="33" t="s">
        <v>181</v>
      </c>
      <c r="J1055" s="33" t="s">
        <v>181</v>
      </c>
      <c r="K1055" s="33" t="s">
        <v>157</v>
      </c>
    </row>
    <row r="1056" ht="15.75" customHeight="1">
      <c r="A1056" s="33" t="s">
        <v>5095</v>
      </c>
      <c r="B1056" s="33" t="s">
        <v>2123</v>
      </c>
      <c r="C1056" s="33" t="s">
        <v>227</v>
      </c>
      <c r="D1056" s="39">
        <v>46057.0</v>
      </c>
      <c r="E1056" s="40">
        <v>26600.0</v>
      </c>
      <c r="F1056" s="33" t="s">
        <v>248</v>
      </c>
      <c r="G1056" s="33" t="s">
        <v>181</v>
      </c>
      <c r="H1056" s="33" t="s">
        <v>189</v>
      </c>
      <c r="I1056" s="33" t="s">
        <v>189</v>
      </c>
      <c r="J1056" s="33" t="s">
        <v>189</v>
      </c>
      <c r="K1056" s="33" t="s">
        <v>262</v>
      </c>
    </row>
    <row r="1057" ht="15.75" customHeight="1">
      <c r="A1057" s="33" t="s">
        <v>2945</v>
      </c>
      <c r="B1057" s="33" t="s">
        <v>1113</v>
      </c>
      <c r="C1057" s="33" t="s">
        <v>235</v>
      </c>
      <c r="D1057" s="39">
        <v>46160.0</v>
      </c>
      <c r="E1057" s="40">
        <v>31300.0</v>
      </c>
      <c r="F1057" s="33" t="s">
        <v>230</v>
      </c>
      <c r="G1057" s="33" t="s">
        <v>181</v>
      </c>
      <c r="H1057" s="33" t="s">
        <v>181</v>
      </c>
      <c r="I1057" s="33" t="s">
        <v>181</v>
      </c>
      <c r="J1057" s="33" t="s">
        <v>181</v>
      </c>
      <c r="K1057" s="33" t="s">
        <v>157</v>
      </c>
    </row>
    <row r="1058" ht="15.75" customHeight="1">
      <c r="A1058" s="33" t="s">
        <v>2948</v>
      </c>
      <c r="B1058" s="33" t="s">
        <v>492</v>
      </c>
      <c r="C1058" s="33" t="s">
        <v>227</v>
      </c>
      <c r="D1058" s="39">
        <v>46047.0</v>
      </c>
      <c r="E1058" s="40">
        <v>16000.0</v>
      </c>
      <c r="F1058" s="33" t="s">
        <v>241</v>
      </c>
      <c r="G1058" s="33" t="s">
        <v>181</v>
      </c>
      <c r="H1058" s="33" t="s">
        <v>181</v>
      </c>
      <c r="I1058" s="33" t="s">
        <v>181</v>
      </c>
      <c r="J1058" s="33" t="s">
        <v>181</v>
      </c>
      <c r="K1058" s="33" t="s">
        <v>157</v>
      </c>
    </row>
    <row r="1059" ht="15.75" customHeight="1">
      <c r="A1059" s="33" t="s">
        <v>2952</v>
      </c>
      <c r="B1059" s="33" t="s">
        <v>2816</v>
      </c>
      <c r="C1059" s="33" t="s">
        <v>247</v>
      </c>
      <c r="D1059" s="39">
        <v>45832.0</v>
      </c>
      <c r="E1059" s="40">
        <v>18200.0</v>
      </c>
      <c r="F1059" s="33" t="s">
        <v>248</v>
      </c>
      <c r="G1059" s="33" t="s">
        <v>181</v>
      </c>
      <c r="H1059" s="33" t="s">
        <v>181</v>
      </c>
      <c r="I1059" s="33" t="s">
        <v>181</v>
      </c>
      <c r="J1059" s="33" t="s">
        <v>181</v>
      </c>
      <c r="K1059" s="33" t="s">
        <v>157</v>
      </c>
    </row>
    <row r="1060" ht="15.75" customHeight="1">
      <c r="A1060" s="33" t="s">
        <v>5106</v>
      </c>
      <c r="B1060" s="33" t="s">
        <v>478</v>
      </c>
      <c r="C1060" s="33" t="s">
        <v>227</v>
      </c>
      <c r="D1060" s="39">
        <v>45825.0</v>
      </c>
      <c r="E1060" s="40">
        <v>26000.0</v>
      </c>
      <c r="F1060" s="33" t="s">
        <v>230</v>
      </c>
      <c r="G1060" s="33" t="s">
        <v>189</v>
      </c>
      <c r="H1060" s="33" t="s">
        <v>189</v>
      </c>
      <c r="I1060" s="33" t="s">
        <v>189</v>
      </c>
      <c r="J1060" s="33" t="s">
        <v>189</v>
      </c>
      <c r="K1060" s="33" t="s">
        <v>252</v>
      </c>
    </row>
    <row r="1061" ht="15.75" customHeight="1">
      <c r="A1061" s="33" t="s">
        <v>2959</v>
      </c>
      <c r="B1061" s="33" t="s">
        <v>2958</v>
      </c>
      <c r="C1061" s="33" t="s">
        <v>235</v>
      </c>
      <c r="D1061" s="39">
        <v>46242.0</v>
      </c>
      <c r="E1061" s="40">
        <v>40500.0</v>
      </c>
      <c r="F1061" s="33" t="s">
        <v>241</v>
      </c>
      <c r="G1061" s="33" t="s">
        <v>181</v>
      </c>
      <c r="H1061" s="33" t="s">
        <v>181</v>
      </c>
      <c r="I1061" s="33" t="s">
        <v>181</v>
      </c>
      <c r="J1061" s="33" t="s">
        <v>181</v>
      </c>
      <c r="K1061" s="33" t="s">
        <v>157</v>
      </c>
    </row>
    <row r="1062" ht="15.75" customHeight="1">
      <c r="A1062" s="33" t="s">
        <v>5113</v>
      </c>
      <c r="B1062" s="33" t="s">
        <v>1205</v>
      </c>
      <c r="C1062" s="33" t="s">
        <v>247</v>
      </c>
      <c r="D1062" s="39">
        <v>46148.0</v>
      </c>
      <c r="E1062" s="40">
        <v>23200.0</v>
      </c>
      <c r="F1062" s="33" t="s">
        <v>230</v>
      </c>
      <c r="G1062" s="33" t="s">
        <v>189</v>
      </c>
      <c r="H1062" s="33" t="s">
        <v>189</v>
      </c>
      <c r="I1062" s="33" t="s">
        <v>189</v>
      </c>
      <c r="J1062" s="33" t="s">
        <v>189</v>
      </c>
      <c r="K1062" s="33" t="s">
        <v>252</v>
      </c>
    </row>
    <row r="1063" ht="15.75" customHeight="1">
      <c r="A1063" s="33" t="s">
        <v>5116</v>
      </c>
      <c r="B1063" s="33" t="s">
        <v>1802</v>
      </c>
      <c r="C1063" s="33" t="s">
        <v>227</v>
      </c>
      <c r="D1063" s="39">
        <v>45846.0</v>
      </c>
      <c r="E1063" s="40">
        <v>25100.0</v>
      </c>
      <c r="F1063" s="33" t="s">
        <v>241</v>
      </c>
      <c r="G1063" s="33" t="s">
        <v>181</v>
      </c>
      <c r="H1063" s="33" t="s">
        <v>189</v>
      </c>
      <c r="I1063" s="33" t="s">
        <v>189</v>
      </c>
      <c r="J1063" s="33" t="s">
        <v>189</v>
      </c>
      <c r="K1063" s="33" t="s">
        <v>262</v>
      </c>
    </row>
    <row r="1064" ht="15.75" customHeight="1">
      <c r="A1064" s="33" t="s">
        <v>5120</v>
      </c>
      <c r="B1064" s="33" t="s">
        <v>483</v>
      </c>
      <c r="C1064" s="33" t="s">
        <v>235</v>
      </c>
      <c r="D1064" s="39">
        <v>46093.0</v>
      </c>
      <c r="E1064" s="40">
        <v>30200.0</v>
      </c>
      <c r="F1064" s="33" t="s">
        <v>241</v>
      </c>
      <c r="G1064" s="33" t="s">
        <v>189</v>
      </c>
      <c r="H1064" s="33" t="s">
        <v>189</v>
      </c>
      <c r="I1064" s="33" t="s">
        <v>189</v>
      </c>
      <c r="J1064" s="33" t="s">
        <v>189</v>
      </c>
      <c r="K1064" s="33" t="s">
        <v>252</v>
      </c>
    </row>
    <row r="1065" ht="15.75" customHeight="1">
      <c r="A1065" s="33" t="s">
        <v>5124</v>
      </c>
      <c r="B1065" s="33" t="s">
        <v>1157</v>
      </c>
      <c r="C1065" s="33" t="s">
        <v>227</v>
      </c>
      <c r="D1065" s="39">
        <v>45680.0</v>
      </c>
      <c r="E1065" s="40">
        <v>21800.0</v>
      </c>
      <c r="F1065" s="33" t="s">
        <v>241</v>
      </c>
      <c r="G1065" s="33" t="s">
        <v>189</v>
      </c>
      <c r="H1065" s="33" t="s">
        <v>189</v>
      </c>
      <c r="I1065" s="33" t="s">
        <v>189</v>
      </c>
      <c r="J1065" s="33" t="s">
        <v>189</v>
      </c>
      <c r="K1065" s="33" t="s">
        <v>252</v>
      </c>
    </row>
    <row r="1066" ht="15.75" customHeight="1">
      <c r="A1066" s="33" t="s">
        <v>2962</v>
      </c>
      <c r="B1066" s="33" t="s">
        <v>2497</v>
      </c>
      <c r="C1066" s="33" t="s">
        <v>235</v>
      </c>
      <c r="D1066" s="39">
        <v>46078.0</v>
      </c>
      <c r="E1066" s="40">
        <v>36600.0</v>
      </c>
      <c r="F1066" s="33" t="s">
        <v>248</v>
      </c>
      <c r="G1066" s="33" t="s">
        <v>181</v>
      </c>
      <c r="H1066" s="33" t="s">
        <v>181</v>
      </c>
      <c r="I1066" s="33" t="s">
        <v>181</v>
      </c>
      <c r="J1066" s="33" t="s">
        <v>181</v>
      </c>
      <c r="K1066" s="33" t="s">
        <v>157</v>
      </c>
    </row>
    <row r="1067" ht="15.75" customHeight="1">
      <c r="A1067" s="33" t="s">
        <v>2968</v>
      </c>
      <c r="B1067" s="33" t="s">
        <v>861</v>
      </c>
      <c r="C1067" s="33" t="s">
        <v>247</v>
      </c>
      <c r="D1067" s="39">
        <v>45779.0</v>
      </c>
      <c r="E1067" s="40">
        <v>1200.0</v>
      </c>
      <c r="F1067" s="33" t="s">
        <v>248</v>
      </c>
      <c r="G1067" s="33" t="s">
        <v>181</v>
      </c>
      <c r="H1067" s="33" t="s">
        <v>181</v>
      </c>
      <c r="I1067" s="33" t="s">
        <v>181</v>
      </c>
      <c r="J1067" s="33" t="s">
        <v>181</v>
      </c>
      <c r="K1067" s="33" t="s">
        <v>157</v>
      </c>
    </row>
    <row r="1068" ht="15.75" customHeight="1">
      <c r="A1068" s="33" t="s">
        <v>5131</v>
      </c>
      <c r="B1068" s="33" t="s">
        <v>4533</v>
      </c>
      <c r="C1068" s="33" t="s">
        <v>227</v>
      </c>
      <c r="D1068" s="39">
        <v>45846.0</v>
      </c>
      <c r="E1068" s="40">
        <v>24700.0</v>
      </c>
      <c r="F1068" s="33" t="s">
        <v>248</v>
      </c>
      <c r="G1068" s="33" t="s">
        <v>189</v>
      </c>
      <c r="H1068" s="33" t="s">
        <v>189</v>
      </c>
      <c r="I1068" s="33" t="s">
        <v>189</v>
      </c>
      <c r="J1068" s="33" t="s">
        <v>189</v>
      </c>
      <c r="K1068" s="33" t="s">
        <v>252</v>
      </c>
    </row>
    <row r="1069" ht="15.75" customHeight="1">
      <c r="A1069" s="33" t="s">
        <v>5133</v>
      </c>
      <c r="B1069" s="33" t="s">
        <v>1972</v>
      </c>
      <c r="C1069" s="33" t="s">
        <v>247</v>
      </c>
      <c r="D1069" s="39">
        <v>46220.0</v>
      </c>
      <c r="E1069" s="40">
        <v>46200.0</v>
      </c>
      <c r="F1069" s="33" t="s">
        <v>230</v>
      </c>
      <c r="G1069" s="33" t="s">
        <v>189</v>
      </c>
      <c r="H1069" s="33" t="s">
        <v>189</v>
      </c>
      <c r="I1069" s="33" t="s">
        <v>189</v>
      </c>
      <c r="J1069" s="33" t="s">
        <v>189</v>
      </c>
      <c r="K1069" s="33" t="s">
        <v>252</v>
      </c>
    </row>
    <row r="1070" ht="15.75" customHeight="1">
      <c r="A1070" s="33" t="s">
        <v>2972</v>
      </c>
      <c r="B1070" s="33" t="s">
        <v>2161</v>
      </c>
      <c r="C1070" s="33" t="s">
        <v>227</v>
      </c>
      <c r="D1070" s="39">
        <v>45742.0</v>
      </c>
      <c r="E1070" s="40">
        <v>31200.0</v>
      </c>
      <c r="F1070" s="33" t="s">
        <v>248</v>
      </c>
      <c r="G1070" s="33" t="s">
        <v>181</v>
      </c>
      <c r="H1070" s="33" t="s">
        <v>181</v>
      </c>
      <c r="I1070" s="33" t="s">
        <v>181</v>
      </c>
      <c r="J1070" s="33" t="s">
        <v>181</v>
      </c>
      <c r="K1070" s="33" t="s">
        <v>157</v>
      </c>
    </row>
    <row r="1071" ht="15.75" customHeight="1">
      <c r="A1071" s="33" t="s">
        <v>5135</v>
      </c>
      <c r="B1071" s="33" t="s">
        <v>311</v>
      </c>
      <c r="C1071" s="33" t="s">
        <v>247</v>
      </c>
      <c r="D1071" s="39">
        <v>46137.0</v>
      </c>
      <c r="E1071" s="40">
        <v>24800.0</v>
      </c>
      <c r="F1071" s="33" t="s">
        <v>241</v>
      </c>
      <c r="G1071" s="33" t="s">
        <v>189</v>
      </c>
      <c r="H1071" s="33" t="s">
        <v>189</v>
      </c>
      <c r="I1071" s="33" t="s">
        <v>189</v>
      </c>
      <c r="J1071" s="33" t="s">
        <v>189</v>
      </c>
      <c r="K1071" s="33" t="s">
        <v>252</v>
      </c>
    </row>
    <row r="1072" ht="15.75" customHeight="1">
      <c r="A1072" s="33" t="s">
        <v>5138</v>
      </c>
      <c r="B1072" s="33" t="s">
        <v>430</v>
      </c>
      <c r="C1072" s="33" t="s">
        <v>247</v>
      </c>
      <c r="D1072" s="39">
        <v>45902.0</v>
      </c>
      <c r="E1072" s="40">
        <v>38800.0</v>
      </c>
      <c r="F1072" s="33" t="s">
        <v>230</v>
      </c>
      <c r="G1072" s="33" t="s">
        <v>189</v>
      </c>
      <c r="H1072" s="33" t="s">
        <v>189</v>
      </c>
      <c r="I1072" s="33" t="s">
        <v>189</v>
      </c>
      <c r="J1072" s="33" t="s">
        <v>189</v>
      </c>
      <c r="K1072" s="33" t="s">
        <v>252</v>
      </c>
    </row>
    <row r="1073" ht="15.75" customHeight="1">
      <c r="A1073" s="33" t="s">
        <v>5140</v>
      </c>
      <c r="B1073" s="33" t="s">
        <v>1216</v>
      </c>
      <c r="C1073" s="33" t="s">
        <v>247</v>
      </c>
      <c r="D1073" s="39">
        <v>45924.0</v>
      </c>
      <c r="E1073" s="40">
        <v>20300.0</v>
      </c>
      <c r="F1073" s="33" t="s">
        <v>241</v>
      </c>
      <c r="G1073" s="33" t="s">
        <v>181</v>
      </c>
      <c r="H1073" s="33" t="s">
        <v>189</v>
      </c>
      <c r="I1073" s="33" t="s">
        <v>189</v>
      </c>
      <c r="J1073" s="33" t="s">
        <v>189</v>
      </c>
      <c r="K1073" s="33" t="s">
        <v>262</v>
      </c>
    </row>
    <row r="1074" ht="15.75" customHeight="1">
      <c r="A1074" s="33" t="s">
        <v>5142</v>
      </c>
      <c r="B1074" s="33" t="s">
        <v>2842</v>
      </c>
      <c r="C1074" s="33" t="s">
        <v>235</v>
      </c>
      <c r="D1074" s="39">
        <v>45938.0</v>
      </c>
      <c r="E1074" s="40">
        <v>23900.0</v>
      </c>
      <c r="F1074" s="33" t="s">
        <v>241</v>
      </c>
      <c r="G1074" s="33" t="s">
        <v>181</v>
      </c>
      <c r="H1074" s="33" t="s">
        <v>189</v>
      </c>
      <c r="I1074" s="33" t="s">
        <v>189</v>
      </c>
      <c r="J1074" s="33" t="s">
        <v>189</v>
      </c>
      <c r="K1074" s="33" t="s">
        <v>262</v>
      </c>
    </row>
    <row r="1075" ht="15.75" customHeight="1">
      <c r="A1075" s="33" t="s">
        <v>5145</v>
      </c>
      <c r="B1075" s="33" t="s">
        <v>812</v>
      </c>
      <c r="C1075" s="33" t="s">
        <v>235</v>
      </c>
      <c r="D1075" s="39">
        <v>46207.0</v>
      </c>
      <c r="E1075" s="40">
        <v>10600.0</v>
      </c>
      <c r="F1075" s="33" t="s">
        <v>230</v>
      </c>
      <c r="G1075" s="33" t="s">
        <v>181</v>
      </c>
      <c r="H1075" s="33" t="s">
        <v>189</v>
      </c>
      <c r="I1075" s="33" t="s">
        <v>189</v>
      </c>
      <c r="J1075" s="33" t="s">
        <v>189</v>
      </c>
      <c r="K1075" s="33" t="s">
        <v>262</v>
      </c>
    </row>
    <row r="1076" ht="15.75" customHeight="1">
      <c r="A1076" s="33" t="s">
        <v>2976</v>
      </c>
      <c r="B1076" s="33" t="s">
        <v>659</v>
      </c>
      <c r="C1076" s="33" t="s">
        <v>247</v>
      </c>
      <c r="D1076" s="39">
        <v>45961.0</v>
      </c>
      <c r="E1076" s="40">
        <v>7100.0</v>
      </c>
      <c r="F1076" s="33" t="s">
        <v>230</v>
      </c>
      <c r="G1076" s="33" t="s">
        <v>181</v>
      </c>
      <c r="H1076" s="33" t="s">
        <v>181</v>
      </c>
      <c r="I1076" s="33" t="s">
        <v>181</v>
      </c>
      <c r="J1076" s="33" t="s">
        <v>181</v>
      </c>
      <c r="K1076" s="33" t="s">
        <v>157</v>
      </c>
    </row>
    <row r="1077" ht="15.75" customHeight="1">
      <c r="A1077" s="33" t="s">
        <v>5149</v>
      </c>
      <c r="B1077" s="33" t="s">
        <v>786</v>
      </c>
      <c r="C1077" s="33" t="s">
        <v>247</v>
      </c>
      <c r="D1077" s="39">
        <v>45807.0</v>
      </c>
      <c r="E1077" s="40">
        <v>2300.0</v>
      </c>
      <c r="F1077" s="33" t="s">
        <v>248</v>
      </c>
      <c r="G1077" s="33" t="s">
        <v>189</v>
      </c>
      <c r="H1077" s="33" t="s">
        <v>189</v>
      </c>
      <c r="I1077" s="33" t="s">
        <v>189</v>
      </c>
      <c r="J1077" s="33" t="s">
        <v>189</v>
      </c>
      <c r="K1077" s="33" t="s">
        <v>252</v>
      </c>
    </row>
    <row r="1078" ht="15.75" customHeight="1">
      <c r="A1078" s="33" t="s">
        <v>2980</v>
      </c>
      <c r="B1078" s="33" t="s">
        <v>1571</v>
      </c>
      <c r="C1078" s="33" t="s">
        <v>227</v>
      </c>
      <c r="D1078" s="39">
        <v>45662.0</v>
      </c>
      <c r="E1078" s="40">
        <v>36800.0</v>
      </c>
      <c r="F1078" s="33" t="s">
        <v>241</v>
      </c>
      <c r="G1078" s="33" t="s">
        <v>181</v>
      </c>
      <c r="H1078" s="33" t="s">
        <v>181</v>
      </c>
      <c r="I1078" s="33" t="s">
        <v>181</v>
      </c>
      <c r="J1078" s="33" t="s">
        <v>181</v>
      </c>
      <c r="K1078" s="33" t="s">
        <v>157</v>
      </c>
    </row>
    <row r="1079" ht="15.75" customHeight="1">
      <c r="A1079" s="33" t="s">
        <v>5153</v>
      </c>
      <c r="B1079" s="33" t="s">
        <v>1656</v>
      </c>
      <c r="C1079" s="33" t="s">
        <v>235</v>
      </c>
      <c r="D1079" s="39">
        <v>45799.0</v>
      </c>
      <c r="E1079" s="40">
        <v>23900.0</v>
      </c>
      <c r="F1079" s="33" t="s">
        <v>230</v>
      </c>
      <c r="G1079" s="33" t="s">
        <v>181</v>
      </c>
      <c r="H1079" s="33" t="s">
        <v>189</v>
      </c>
      <c r="I1079" s="33" t="s">
        <v>189</v>
      </c>
      <c r="J1079" s="33" t="s">
        <v>189</v>
      </c>
      <c r="K1079" s="33" t="s">
        <v>262</v>
      </c>
    </row>
    <row r="1080" ht="15.75" customHeight="1">
      <c r="A1080" s="33" t="s">
        <v>2984</v>
      </c>
      <c r="B1080" s="33" t="s">
        <v>299</v>
      </c>
      <c r="C1080" s="33" t="s">
        <v>235</v>
      </c>
      <c r="D1080" s="39">
        <v>45754.0</v>
      </c>
      <c r="E1080" s="40">
        <v>47000.0</v>
      </c>
      <c r="F1080" s="33" t="s">
        <v>230</v>
      </c>
      <c r="G1080" s="33" t="s">
        <v>181</v>
      </c>
      <c r="H1080" s="33" t="s">
        <v>181</v>
      </c>
      <c r="I1080" s="33" t="s">
        <v>181</v>
      </c>
      <c r="J1080" s="33" t="s">
        <v>181</v>
      </c>
      <c r="K1080" s="33" t="s">
        <v>157</v>
      </c>
    </row>
    <row r="1081" ht="15.75" customHeight="1">
      <c r="A1081" s="33" t="s">
        <v>5157</v>
      </c>
      <c r="B1081" s="33" t="s">
        <v>1382</v>
      </c>
      <c r="C1081" s="33" t="s">
        <v>235</v>
      </c>
      <c r="D1081" s="39">
        <v>45736.0</v>
      </c>
      <c r="E1081" s="40">
        <v>9700.0</v>
      </c>
      <c r="F1081" s="33" t="s">
        <v>241</v>
      </c>
      <c r="G1081" s="33" t="s">
        <v>181</v>
      </c>
      <c r="H1081" s="33" t="s">
        <v>189</v>
      </c>
      <c r="I1081" s="33" t="s">
        <v>189</v>
      </c>
      <c r="J1081" s="33" t="s">
        <v>189</v>
      </c>
      <c r="K1081" s="33" t="s">
        <v>262</v>
      </c>
    </row>
    <row r="1082" ht="15.75" customHeight="1">
      <c r="A1082" s="33" t="s">
        <v>2989</v>
      </c>
      <c r="B1082" s="33" t="s">
        <v>2987</v>
      </c>
      <c r="C1082" s="33" t="s">
        <v>247</v>
      </c>
      <c r="D1082" s="39">
        <v>46260.0</v>
      </c>
      <c r="E1082" s="40">
        <v>13000.0</v>
      </c>
      <c r="F1082" s="33" t="s">
        <v>230</v>
      </c>
      <c r="G1082" s="33" t="s">
        <v>181</v>
      </c>
      <c r="H1082" s="33" t="s">
        <v>181</v>
      </c>
      <c r="I1082" s="33" t="s">
        <v>181</v>
      </c>
      <c r="J1082" s="33" t="s">
        <v>181</v>
      </c>
      <c r="K1082" s="33" t="s">
        <v>157</v>
      </c>
    </row>
    <row r="1083" ht="15.75" customHeight="1">
      <c r="A1083" s="33" t="s">
        <v>5162</v>
      </c>
      <c r="B1083" s="33" t="s">
        <v>1346</v>
      </c>
      <c r="C1083" s="33" t="s">
        <v>227</v>
      </c>
      <c r="D1083" s="39">
        <v>45926.0</v>
      </c>
      <c r="E1083" s="40">
        <v>32300.0</v>
      </c>
      <c r="F1083" s="33" t="s">
        <v>230</v>
      </c>
      <c r="G1083" s="33" t="s">
        <v>181</v>
      </c>
      <c r="H1083" s="33" t="s">
        <v>189</v>
      </c>
      <c r="I1083" s="33" t="s">
        <v>189</v>
      </c>
      <c r="J1083" s="33" t="s">
        <v>189</v>
      </c>
      <c r="K1083" s="33" t="s">
        <v>262</v>
      </c>
    </row>
    <row r="1084" ht="15.75" customHeight="1">
      <c r="A1084" s="33" t="s">
        <v>5164</v>
      </c>
      <c r="B1084" s="33" t="s">
        <v>2622</v>
      </c>
      <c r="C1084" s="33" t="s">
        <v>227</v>
      </c>
      <c r="D1084" s="39">
        <v>46264.0</v>
      </c>
      <c r="E1084" s="40">
        <v>3700.0</v>
      </c>
      <c r="F1084" s="33" t="s">
        <v>230</v>
      </c>
      <c r="G1084" s="33" t="s">
        <v>181</v>
      </c>
      <c r="H1084" s="33" t="s">
        <v>189</v>
      </c>
      <c r="I1084" s="33" t="s">
        <v>189</v>
      </c>
      <c r="J1084" s="33" t="s">
        <v>189</v>
      </c>
      <c r="K1084" s="33" t="s">
        <v>262</v>
      </c>
    </row>
    <row r="1085" ht="15.75" customHeight="1">
      <c r="A1085" s="33" t="s">
        <v>2994</v>
      </c>
      <c r="B1085" s="33" t="s">
        <v>2993</v>
      </c>
      <c r="C1085" s="33" t="s">
        <v>247</v>
      </c>
      <c r="D1085" s="39">
        <v>45970.0</v>
      </c>
      <c r="E1085" s="40">
        <v>25700.0</v>
      </c>
      <c r="F1085" s="33" t="s">
        <v>230</v>
      </c>
      <c r="G1085" s="33" t="s">
        <v>181</v>
      </c>
      <c r="H1085" s="33" t="s">
        <v>181</v>
      </c>
      <c r="I1085" s="33" t="s">
        <v>181</v>
      </c>
      <c r="J1085" s="33" t="s">
        <v>181</v>
      </c>
      <c r="K1085" s="33" t="s">
        <v>157</v>
      </c>
    </row>
    <row r="1086" ht="15.75" customHeight="1">
      <c r="A1086" s="33" t="s">
        <v>5168</v>
      </c>
      <c r="B1086" s="33" t="s">
        <v>2669</v>
      </c>
      <c r="C1086" s="33" t="s">
        <v>227</v>
      </c>
      <c r="D1086" s="39">
        <v>45791.0</v>
      </c>
      <c r="E1086" s="40">
        <v>7100.0</v>
      </c>
      <c r="F1086" s="33" t="s">
        <v>241</v>
      </c>
      <c r="G1086" s="33" t="s">
        <v>189</v>
      </c>
      <c r="H1086" s="33" t="s">
        <v>189</v>
      </c>
      <c r="I1086" s="33" t="s">
        <v>189</v>
      </c>
      <c r="J1086" s="33" t="s">
        <v>189</v>
      </c>
      <c r="K1086" s="33" t="s">
        <v>252</v>
      </c>
    </row>
    <row r="1087" ht="15.75" customHeight="1">
      <c r="A1087" s="33" t="s">
        <v>2998</v>
      </c>
      <c r="B1087" s="33" t="s">
        <v>742</v>
      </c>
      <c r="C1087" s="33" t="s">
        <v>247</v>
      </c>
      <c r="D1087" s="39">
        <v>45746.0</v>
      </c>
      <c r="E1087" s="40">
        <v>8900.0</v>
      </c>
      <c r="F1087" s="33" t="s">
        <v>241</v>
      </c>
      <c r="G1087" s="33" t="s">
        <v>181</v>
      </c>
      <c r="H1087" s="33" t="s">
        <v>181</v>
      </c>
      <c r="I1087" s="33" t="s">
        <v>181</v>
      </c>
      <c r="J1087" s="33" t="s">
        <v>181</v>
      </c>
      <c r="K1087" s="33" t="s">
        <v>157</v>
      </c>
    </row>
    <row r="1088" ht="15.75" customHeight="1">
      <c r="A1088" s="33" t="s">
        <v>3001</v>
      </c>
      <c r="B1088" s="33" t="s">
        <v>2965</v>
      </c>
      <c r="C1088" s="33" t="s">
        <v>227</v>
      </c>
      <c r="D1088" s="39">
        <v>46119.0</v>
      </c>
      <c r="E1088" s="40">
        <v>26100.0</v>
      </c>
      <c r="F1088" s="33" t="s">
        <v>230</v>
      </c>
      <c r="G1088" s="33" t="s">
        <v>181</v>
      </c>
      <c r="H1088" s="33" t="s">
        <v>181</v>
      </c>
      <c r="I1088" s="33" t="s">
        <v>181</v>
      </c>
      <c r="J1088" s="33" t="s">
        <v>181</v>
      </c>
      <c r="K1088" s="33" t="s">
        <v>157</v>
      </c>
    </row>
    <row r="1089" ht="15.75" customHeight="1">
      <c r="A1089" s="33" t="s">
        <v>3005</v>
      </c>
      <c r="B1089" s="33" t="s">
        <v>1674</v>
      </c>
      <c r="C1089" s="33" t="s">
        <v>247</v>
      </c>
      <c r="D1089" s="39">
        <v>45727.0</v>
      </c>
      <c r="E1089" s="40">
        <v>28900.0</v>
      </c>
      <c r="F1089" s="33" t="s">
        <v>241</v>
      </c>
      <c r="G1089" s="33" t="s">
        <v>181</v>
      </c>
      <c r="H1089" s="33" t="s">
        <v>181</v>
      </c>
      <c r="I1089" s="33" t="s">
        <v>181</v>
      </c>
      <c r="J1089" s="33" t="s">
        <v>181</v>
      </c>
      <c r="K1089" s="33" t="s">
        <v>157</v>
      </c>
    </row>
    <row r="1090" ht="15.75" customHeight="1">
      <c r="A1090" s="33" t="s">
        <v>3009</v>
      </c>
      <c r="B1090" s="33" t="s">
        <v>2826</v>
      </c>
      <c r="C1090" s="33" t="s">
        <v>247</v>
      </c>
      <c r="D1090" s="39">
        <v>45689.0</v>
      </c>
      <c r="E1090" s="40">
        <v>11400.0</v>
      </c>
      <c r="F1090" s="33" t="s">
        <v>248</v>
      </c>
      <c r="G1090" s="33" t="s">
        <v>181</v>
      </c>
      <c r="H1090" s="33" t="s">
        <v>181</v>
      </c>
      <c r="I1090" s="33" t="s">
        <v>181</v>
      </c>
      <c r="J1090" s="33" t="s">
        <v>181</v>
      </c>
      <c r="K1090" s="33" t="s">
        <v>157</v>
      </c>
    </row>
    <row r="1091" ht="15.75" customHeight="1">
      <c r="A1091" s="33" t="s">
        <v>3015</v>
      </c>
      <c r="B1091" s="33" t="s">
        <v>3013</v>
      </c>
      <c r="C1091" s="33" t="s">
        <v>227</v>
      </c>
      <c r="D1091" s="39">
        <v>45895.0</v>
      </c>
      <c r="E1091" s="40">
        <v>14300.0</v>
      </c>
      <c r="F1091" s="33" t="s">
        <v>230</v>
      </c>
      <c r="G1091" s="33" t="s">
        <v>181</v>
      </c>
      <c r="H1091" s="33" t="s">
        <v>181</v>
      </c>
      <c r="I1091" s="33" t="s">
        <v>181</v>
      </c>
      <c r="J1091" s="33" t="s">
        <v>181</v>
      </c>
      <c r="K1091" s="33" t="s">
        <v>157</v>
      </c>
    </row>
    <row r="1092" ht="15.75" customHeight="1">
      <c r="A1092" s="33" t="s">
        <v>5177</v>
      </c>
      <c r="B1092" s="33" t="s">
        <v>741</v>
      </c>
      <c r="C1092" s="33" t="s">
        <v>247</v>
      </c>
      <c r="D1092" s="39">
        <v>45849.0</v>
      </c>
      <c r="E1092" s="40">
        <v>14900.0</v>
      </c>
      <c r="F1092" s="33" t="s">
        <v>241</v>
      </c>
      <c r="G1092" s="33" t="s">
        <v>181</v>
      </c>
      <c r="H1092" s="33" t="s">
        <v>189</v>
      </c>
      <c r="I1092" s="33" t="s">
        <v>189</v>
      </c>
      <c r="J1092" s="33" t="s">
        <v>189</v>
      </c>
      <c r="K1092" s="33" t="s">
        <v>262</v>
      </c>
    </row>
    <row r="1093" ht="15.75" customHeight="1">
      <c r="A1093" s="33" t="s">
        <v>3020</v>
      </c>
      <c r="B1093" s="33" t="s">
        <v>1077</v>
      </c>
      <c r="C1093" s="33" t="s">
        <v>227</v>
      </c>
      <c r="D1093" s="39">
        <v>45799.0</v>
      </c>
      <c r="E1093" s="40">
        <v>7900.0</v>
      </c>
      <c r="F1093" s="33" t="s">
        <v>230</v>
      </c>
      <c r="G1093" s="33" t="s">
        <v>181</v>
      </c>
      <c r="H1093" s="33" t="s">
        <v>181</v>
      </c>
      <c r="I1093" s="33" t="s">
        <v>181</v>
      </c>
      <c r="J1093" s="33" t="s">
        <v>181</v>
      </c>
      <c r="K1093" s="33" t="s">
        <v>157</v>
      </c>
    </row>
    <row r="1094" ht="15.75" customHeight="1">
      <c r="A1094" s="33" t="s">
        <v>5181</v>
      </c>
      <c r="B1094" s="33" t="s">
        <v>1043</v>
      </c>
      <c r="C1094" s="33" t="s">
        <v>227</v>
      </c>
      <c r="D1094" s="39">
        <v>45969.0</v>
      </c>
      <c r="E1094" s="40">
        <v>48300.0</v>
      </c>
      <c r="F1094" s="33" t="s">
        <v>241</v>
      </c>
      <c r="G1094" s="33" t="s">
        <v>181</v>
      </c>
      <c r="H1094" s="33" t="s">
        <v>189</v>
      </c>
      <c r="I1094" s="33" t="s">
        <v>189</v>
      </c>
      <c r="J1094" s="33" t="s">
        <v>189</v>
      </c>
      <c r="K1094" s="33" t="s">
        <v>262</v>
      </c>
    </row>
    <row r="1095" ht="15.75" customHeight="1">
      <c r="A1095" s="33" t="s">
        <v>5183</v>
      </c>
      <c r="B1095" s="33" t="s">
        <v>3434</v>
      </c>
      <c r="C1095" s="33" t="s">
        <v>247</v>
      </c>
      <c r="D1095" s="39">
        <v>46006.0</v>
      </c>
      <c r="E1095" s="40">
        <v>34900.0</v>
      </c>
      <c r="F1095" s="33" t="s">
        <v>230</v>
      </c>
      <c r="G1095" s="33" t="s">
        <v>181</v>
      </c>
      <c r="H1095" s="33" t="s">
        <v>181</v>
      </c>
      <c r="I1095" s="33" t="s">
        <v>181</v>
      </c>
      <c r="J1095" s="33" t="s">
        <v>189</v>
      </c>
      <c r="K1095" s="33" t="s">
        <v>365</v>
      </c>
    </row>
    <row r="1096" ht="15.75" customHeight="1">
      <c r="A1096" s="33" t="s">
        <v>5186</v>
      </c>
      <c r="B1096" s="33" t="s">
        <v>2744</v>
      </c>
      <c r="C1096" s="33" t="s">
        <v>227</v>
      </c>
      <c r="D1096" s="39">
        <v>45921.0</v>
      </c>
      <c r="E1096" s="40">
        <v>6400.0</v>
      </c>
      <c r="F1096" s="33" t="s">
        <v>230</v>
      </c>
      <c r="G1096" s="33" t="s">
        <v>181</v>
      </c>
      <c r="H1096" s="33" t="s">
        <v>189</v>
      </c>
      <c r="I1096" s="33" t="s">
        <v>189</v>
      </c>
      <c r="J1096" s="33" t="s">
        <v>189</v>
      </c>
      <c r="K1096" s="33" t="s">
        <v>262</v>
      </c>
    </row>
    <row r="1097" ht="15.75" customHeight="1">
      <c r="A1097" s="33" t="s">
        <v>5188</v>
      </c>
      <c r="B1097" s="33" t="s">
        <v>204</v>
      </c>
      <c r="C1097" s="33" t="s">
        <v>227</v>
      </c>
      <c r="D1097" s="39">
        <v>45976.0</v>
      </c>
      <c r="E1097" s="40">
        <v>18500.0</v>
      </c>
      <c r="F1097" s="33" t="s">
        <v>230</v>
      </c>
      <c r="G1097" s="33" t="s">
        <v>189</v>
      </c>
      <c r="H1097" s="33" t="s">
        <v>189</v>
      </c>
      <c r="I1097" s="33" t="s">
        <v>189</v>
      </c>
      <c r="J1097" s="33" t="s">
        <v>189</v>
      </c>
      <c r="K1097" s="33" t="s">
        <v>252</v>
      </c>
    </row>
    <row r="1098" ht="15.75" customHeight="1">
      <c r="A1098" s="33" t="s">
        <v>3023</v>
      </c>
      <c r="B1098" s="33" t="s">
        <v>1977</v>
      </c>
      <c r="C1098" s="33" t="s">
        <v>227</v>
      </c>
      <c r="D1098" s="39">
        <v>46063.0</v>
      </c>
      <c r="E1098" s="40">
        <v>9500.0</v>
      </c>
      <c r="F1098" s="33" t="s">
        <v>241</v>
      </c>
      <c r="G1098" s="33" t="s">
        <v>181</v>
      </c>
      <c r="H1098" s="33" t="s">
        <v>181</v>
      </c>
      <c r="I1098" s="33" t="s">
        <v>181</v>
      </c>
      <c r="J1098" s="33" t="s">
        <v>181</v>
      </c>
      <c r="K1098" s="33" t="s">
        <v>157</v>
      </c>
    </row>
    <row r="1099" ht="15.75" customHeight="1">
      <c r="A1099" s="33" t="s">
        <v>5192</v>
      </c>
      <c r="B1099" s="33" t="s">
        <v>1232</v>
      </c>
      <c r="C1099" s="33" t="s">
        <v>227</v>
      </c>
      <c r="D1099" s="39">
        <v>45756.0</v>
      </c>
      <c r="E1099" s="40">
        <v>12500.0</v>
      </c>
      <c r="F1099" s="33" t="s">
        <v>248</v>
      </c>
      <c r="G1099" s="33" t="s">
        <v>181</v>
      </c>
      <c r="H1099" s="33" t="s">
        <v>189</v>
      </c>
      <c r="I1099" s="33" t="s">
        <v>189</v>
      </c>
      <c r="J1099" s="33" t="s">
        <v>189</v>
      </c>
      <c r="K1099" s="33" t="s">
        <v>262</v>
      </c>
    </row>
    <row r="1100" ht="15.75" customHeight="1">
      <c r="A1100" s="33" t="s">
        <v>5194</v>
      </c>
      <c r="B1100" s="33" t="s">
        <v>356</v>
      </c>
      <c r="C1100" s="33" t="s">
        <v>227</v>
      </c>
      <c r="D1100" s="39">
        <v>45882.0</v>
      </c>
      <c r="E1100" s="40">
        <v>47000.0</v>
      </c>
      <c r="F1100" s="33" t="s">
        <v>241</v>
      </c>
      <c r="G1100" s="33" t="s">
        <v>189</v>
      </c>
      <c r="H1100" s="33" t="s">
        <v>189</v>
      </c>
      <c r="I1100" s="33" t="s">
        <v>189</v>
      </c>
      <c r="J1100" s="33" t="s">
        <v>189</v>
      </c>
      <c r="K1100" s="33" t="s">
        <v>252</v>
      </c>
    </row>
    <row r="1101" ht="15.75" customHeight="1">
      <c r="A1101" s="33" t="s">
        <v>5196</v>
      </c>
      <c r="B1101" s="33" t="s">
        <v>1145</v>
      </c>
      <c r="C1101" s="33" t="s">
        <v>247</v>
      </c>
      <c r="D1101" s="39">
        <v>45666.0</v>
      </c>
      <c r="E1101" s="40">
        <v>7700.0</v>
      </c>
      <c r="F1101" s="33" t="s">
        <v>248</v>
      </c>
      <c r="G1101" s="33" t="s">
        <v>181</v>
      </c>
      <c r="H1101" s="33" t="s">
        <v>189</v>
      </c>
      <c r="I1101" s="33" t="s">
        <v>189</v>
      </c>
      <c r="J1101" s="33" t="s">
        <v>189</v>
      </c>
      <c r="K1101" s="33" t="s">
        <v>262</v>
      </c>
    </row>
    <row r="1102" ht="15.75" customHeight="1">
      <c r="A1102" s="33" t="s">
        <v>3027</v>
      </c>
      <c r="B1102" s="33" t="s">
        <v>2644</v>
      </c>
      <c r="C1102" s="33" t="s">
        <v>235</v>
      </c>
      <c r="D1102" s="39">
        <v>46246.0</v>
      </c>
      <c r="E1102" s="40">
        <v>44100.0</v>
      </c>
      <c r="F1102" s="33" t="s">
        <v>248</v>
      </c>
      <c r="G1102" s="33" t="s">
        <v>181</v>
      </c>
      <c r="H1102" s="33" t="s">
        <v>181</v>
      </c>
      <c r="I1102" s="33" t="s">
        <v>181</v>
      </c>
      <c r="J1102" s="33" t="s">
        <v>181</v>
      </c>
      <c r="K1102" s="33" t="s">
        <v>157</v>
      </c>
    </row>
    <row r="1103" ht="15.75" customHeight="1">
      <c r="A1103" s="33" t="s">
        <v>3030</v>
      </c>
      <c r="B1103" s="33" t="s">
        <v>1842</v>
      </c>
      <c r="C1103" s="33" t="s">
        <v>227</v>
      </c>
      <c r="D1103" s="39">
        <v>46049.0</v>
      </c>
      <c r="E1103" s="40">
        <v>42200.0</v>
      </c>
      <c r="F1103" s="33" t="s">
        <v>241</v>
      </c>
      <c r="G1103" s="33" t="s">
        <v>181</v>
      </c>
      <c r="H1103" s="33" t="s">
        <v>181</v>
      </c>
      <c r="I1103" s="33" t="s">
        <v>181</v>
      </c>
      <c r="J1103" s="33" t="s">
        <v>181</v>
      </c>
      <c r="K1103" s="33" t="s">
        <v>157</v>
      </c>
    </row>
    <row r="1104" ht="15.75" customHeight="1">
      <c r="A1104" s="33" t="s">
        <v>5200</v>
      </c>
      <c r="B1104" s="33" t="s">
        <v>1645</v>
      </c>
      <c r="C1104" s="33" t="s">
        <v>227</v>
      </c>
      <c r="D1104" s="39">
        <v>46145.0</v>
      </c>
      <c r="E1104" s="40">
        <v>37400.0</v>
      </c>
      <c r="F1104" s="33" t="s">
        <v>230</v>
      </c>
      <c r="G1104" s="33" t="s">
        <v>189</v>
      </c>
      <c r="H1104" s="33" t="s">
        <v>189</v>
      </c>
      <c r="I1104" s="33" t="s">
        <v>189</v>
      </c>
      <c r="J1104" s="33" t="s">
        <v>189</v>
      </c>
      <c r="K1104" s="33" t="s">
        <v>252</v>
      </c>
    </row>
    <row r="1105" ht="15.75" customHeight="1">
      <c r="A1105" s="33" t="s">
        <v>3034</v>
      </c>
      <c r="B1105" s="33" t="s">
        <v>1251</v>
      </c>
      <c r="C1105" s="33" t="s">
        <v>227</v>
      </c>
      <c r="D1105" s="39">
        <v>46127.0</v>
      </c>
      <c r="E1105" s="40">
        <v>25300.0</v>
      </c>
      <c r="F1105" s="33" t="s">
        <v>230</v>
      </c>
      <c r="G1105" s="33" t="s">
        <v>181</v>
      </c>
      <c r="H1105" s="33" t="s">
        <v>181</v>
      </c>
      <c r="I1105" s="33" t="s">
        <v>181</v>
      </c>
      <c r="J1105" s="33" t="s">
        <v>181</v>
      </c>
      <c r="K1105" s="33" t="s">
        <v>157</v>
      </c>
    </row>
    <row r="1106" ht="15.75" customHeight="1">
      <c r="A1106" s="33" t="s">
        <v>3037</v>
      </c>
      <c r="B1106" s="33" t="s">
        <v>1862</v>
      </c>
      <c r="C1106" s="33" t="s">
        <v>227</v>
      </c>
      <c r="D1106" s="39">
        <v>45661.0</v>
      </c>
      <c r="E1106" s="40">
        <v>13700.0</v>
      </c>
      <c r="F1106" s="33" t="s">
        <v>230</v>
      </c>
      <c r="G1106" s="33" t="s">
        <v>181</v>
      </c>
      <c r="H1106" s="33" t="s">
        <v>181</v>
      </c>
      <c r="I1106" s="33" t="s">
        <v>181</v>
      </c>
      <c r="J1106" s="33" t="s">
        <v>181</v>
      </c>
      <c r="K1106" s="33" t="s">
        <v>157</v>
      </c>
    </row>
    <row r="1107" ht="15.75" customHeight="1">
      <c r="A1107" s="33" t="s">
        <v>3041</v>
      </c>
      <c r="B1107" s="33" t="s">
        <v>1095</v>
      </c>
      <c r="C1107" s="33" t="s">
        <v>227</v>
      </c>
      <c r="D1107" s="39">
        <v>45954.0</v>
      </c>
      <c r="E1107" s="40">
        <v>41700.0</v>
      </c>
      <c r="F1107" s="33" t="s">
        <v>248</v>
      </c>
      <c r="G1107" s="33" t="s">
        <v>181</v>
      </c>
      <c r="H1107" s="33" t="s">
        <v>181</v>
      </c>
      <c r="I1107" s="33" t="s">
        <v>181</v>
      </c>
      <c r="J1107" s="33" t="s">
        <v>181</v>
      </c>
      <c r="K1107" s="33" t="s">
        <v>157</v>
      </c>
    </row>
    <row r="1108" ht="15.75" customHeight="1">
      <c r="A1108" s="33" t="s">
        <v>5205</v>
      </c>
      <c r="B1108" s="33" t="s">
        <v>668</v>
      </c>
      <c r="C1108" s="33" t="s">
        <v>247</v>
      </c>
      <c r="D1108" s="39">
        <v>46185.0</v>
      </c>
      <c r="E1108" s="40">
        <v>41900.0</v>
      </c>
      <c r="F1108" s="33" t="s">
        <v>241</v>
      </c>
      <c r="G1108" s="33" t="s">
        <v>181</v>
      </c>
      <c r="H1108" s="33" t="s">
        <v>189</v>
      </c>
      <c r="I1108" s="33" t="s">
        <v>189</v>
      </c>
      <c r="J1108" s="33" t="s">
        <v>189</v>
      </c>
      <c r="K1108" s="33" t="s">
        <v>262</v>
      </c>
    </row>
    <row r="1109" ht="15.75" customHeight="1">
      <c r="A1109" s="33" t="s">
        <v>3046</v>
      </c>
      <c r="B1109" s="33" t="s">
        <v>527</v>
      </c>
      <c r="C1109" s="33" t="s">
        <v>247</v>
      </c>
      <c r="D1109" s="39">
        <v>46007.0</v>
      </c>
      <c r="E1109" s="40">
        <v>26700.0</v>
      </c>
      <c r="F1109" s="33" t="s">
        <v>241</v>
      </c>
      <c r="G1109" s="33" t="s">
        <v>181</v>
      </c>
      <c r="H1109" s="33" t="s">
        <v>181</v>
      </c>
      <c r="I1109" s="33" t="s">
        <v>181</v>
      </c>
      <c r="J1109" s="33" t="s">
        <v>181</v>
      </c>
      <c r="K1109" s="33" t="s">
        <v>157</v>
      </c>
    </row>
    <row r="1110" ht="15.75" customHeight="1">
      <c r="A1110" s="33" t="s">
        <v>3050</v>
      </c>
      <c r="B1110" s="33" t="s">
        <v>644</v>
      </c>
      <c r="C1110" s="33" t="s">
        <v>247</v>
      </c>
      <c r="D1110" s="39">
        <v>46020.0</v>
      </c>
      <c r="E1110" s="40">
        <v>3300.0</v>
      </c>
      <c r="F1110" s="33" t="s">
        <v>248</v>
      </c>
      <c r="G1110" s="33" t="s">
        <v>181</v>
      </c>
      <c r="H1110" s="33" t="s">
        <v>181</v>
      </c>
      <c r="I1110" s="33" t="s">
        <v>181</v>
      </c>
      <c r="J1110" s="33" t="s">
        <v>181</v>
      </c>
      <c r="K1110" s="33" t="s">
        <v>157</v>
      </c>
    </row>
    <row r="1111" ht="15.75" customHeight="1">
      <c r="A1111" s="33" t="s">
        <v>5209</v>
      </c>
      <c r="B1111" s="33" t="s">
        <v>1585</v>
      </c>
      <c r="C1111" s="33" t="s">
        <v>235</v>
      </c>
      <c r="D1111" s="39">
        <v>46241.0</v>
      </c>
      <c r="E1111" s="40">
        <v>10500.0</v>
      </c>
      <c r="F1111" s="33" t="s">
        <v>241</v>
      </c>
      <c r="G1111" s="33" t="s">
        <v>189</v>
      </c>
      <c r="H1111" s="33" t="s">
        <v>189</v>
      </c>
      <c r="I1111" s="33" t="s">
        <v>189</v>
      </c>
      <c r="J1111" s="33" t="s">
        <v>189</v>
      </c>
      <c r="K1111" s="33" t="s">
        <v>252</v>
      </c>
    </row>
    <row r="1112" ht="15.75" customHeight="1">
      <c r="A1112" s="33" t="s">
        <v>3053</v>
      </c>
      <c r="B1112" s="33" t="s">
        <v>1303</v>
      </c>
      <c r="C1112" s="33" t="s">
        <v>235</v>
      </c>
      <c r="D1112" s="39">
        <v>46112.0</v>
      </c>
      <c r="E1112" s="40">
        <v>3700.0</v>
      </c>
      <c r="F1112" s="33" t="s">
        <v>248</v>
      </c>
      <c r="G1112" s="33" t="s">
        <v>181</v>
      </c>
      <c r="H1112" s="33" t="s">
        <v>181</v>
      </c>
      <c r="I1112" s="33" t="s">
        <v>181</v>
      </c>
      <c r="J1112" s="33" t="s">
        <v>181</v>
      </c>
      <c r="K1112" s="33" t="s">
        <v>157</v>
      </c>
    </row>
    <row r="1113" ht="15.75" customHeight="1">
      <c r="A1113" s="33" t="s">
        <v>5213</v>
      </c>
      <c r="B1113" s="33" t="s">
        <v>1662</v>
      </c>
      <c r="C1113" s="33" t="s">
        <v>227</v>
      </c>
      <c r="D1113" s="39">
        <v>46123.0</v>
      </c>
      <c r="E1113" s="40">
        <v>9800.0</v>
      </c>
      <c r="F1113" s="33" t="s">
        <v>241</v>
      </c>
      <c r="G1113" s="33" t="s">
        <v>181</v>
      </c>
      <c r="H1113" s="33" t="s">
        <v>181</v>
      </c>
      <c r="I1113" s="33" t="s">
        <v>181</v>
      </c>
      <c r="J1113" s="33" t="s">
        <v>189</v>
      </c>
      <c r="K1113" s="33" t="s">
        <v>365</v>
      </c>
    </row>
    <row r="1114" ht="15.75" customHeight="1">
      <c r="A1114" s="33" t="s">
        <v>3057</v>
      </c>
      <c r="B1114" s="33" t="s">
        <v>1186</v>
      </c>
      <c r="C1114" s="33" t="s">
        <v>227</v>
      </c>
      <c r="D1114" s="39">
        <v>46142.0</v>
      </c>
      <c r="E1114" s="40">
        <v>25900.0</v>
      </c>
      <c r="F1114" s="33" t="s">
        <v>241</v>
      </c>
      <c r="G1114" s="33" t="s">
        <v>181</v>
      </c>
      <c r="H1114" s="33" t="s">
        <v>181</v>
      </c>
      <c r="I1114" s="33" t="s">
        <v>181</v>
      </c>
      <c r="J1114" s="33" t="s">
        <v>181</v>
      </c>
      <c r="K1114" s="33" t="s">
        <v>157</v>
      </c>
    </row>
    <row r="1115" ht="15.75" customHeight="1">
      <c r="A1115" s="33" t="s">
        <v>5217</v>
      </c>
      <c r="B1115" s="33" t="s">
        <v>521</v>
      </c>
      <c r="C1115" s="33" t="s">
        <v>247</v>
      </c>
      <c r="D1115" s="39">
        <v>45860.0</v>
      </c>
      <c r="E1115" s="40">
        <v>42900.0</v>
      </c>
      <c r="F1115" s="33" t="s">
        <v>269</v>
      </c>
      <c r="G1115" s="33" t="s">
        <v>181</v>
      </c>
      <c r="H1115" s="33" t="s">
        <v>189</v>
      </c>
      <c r="I1115" s="33" t="s">
        <v>189</v>
      </c>
      <c r="J1115" s="33" t="s">
        <v>189</v>
      </c>
      <c r="K1115" s="33" t="s">
        <v>262</v>
      </c>
    </row>
    <row r="1116" ht="15.75" customHeight="1">
      <c r="A1116" s="33" t="s">
        <v>3061</v>
      </c>
      <c r="B1116" s="33" t="s">
        <v>484</v>
      </c>
      <c r="C1116" s="33" t="s">
        <v>247</v>
      </c>
      <c r="D1116" s="39">
        <v>46248.0</v>
      </c>
      <c r="E1116" s="40">
        <v>33000.0</v>
      </c>
      <c r="F1116" s="33" t="s">
        <v>241</v>
      </c>
      <c r="G1116" s="33" t="s">
        <v>181</v>
      </c>
      <c r="H1116" s="33" t="s">
        <v>181</v>
      </c>
      <c r="I1116" s="33" t="s">
        <v>181</v>
      </c>
      <c r="J1116" s="33" t="s">
        <v>181</v>
      </c>
      <c r="K1116" s="33" t="s">
        <v>157</v>
      </c>
    </row>
    <row r="1117" ht="15.75" customHeight="1">
      <c r="A1117" s="33" t="s">
        <v>3065</v>
      </c>
      <c r="B1117" s="33" t="s">
        <v>2965</v>
      </c>
      <c r="C1117" s="33" t="s">
        <v>247</v>
      </c>
      <c r="D1117" s="39">
        <v>46174.0</v>
      </c>
      <c r="E1117" s="40">
        <v>30400.0</v>
      </c>
      <c r="F1117" s="33" t="s">
        <v>241</v>
      </c>
      <c r="G1117" s="33" t="s">
        <v>181</v>
      </c>
      <c r="H1117" s="33" t="s">
        <v>181</v>
      </c>
      <c r="I1117" s="33" t="s">
        <v>181</v>
      </c>
      <c r="J1117" s="33" t="s">
        <v>181</v>
      </c>
      <c r="K1117" s="33" t="s">
        <v>157</v>
      </c>
    </row>
    <row r="1118" ht="15.75" customHeight="1">
      <c r="A1118" s="33" t="s">
        <v>5222</v>
      </c>
      <c r="B1118" s="33" t="s">
        <v>1421</v>
      </c>
      <c r="C1118" s="33" t="s">
        <v>247</v>
      </c>
      <c r="D1118" s="39">
        <v>45678.0</v>
      </c>
      <c r="E1118" s="40">
        <v>37600.0</v>
      </c>
      <c r="F1118" s="33" t="s">
        <v>269</v>
      </c>
      <c r="G1118" s="33" t="s">
        <v>181</v>
      </c>
      <c r="H1118" s="33" t="s">
        <v>189</v>
      </c>
      <c r="I1118" s="33" t="s">
        <v>189</v>
      </c>
      <c r="J1118" s="33" t="s">
        <v>189</v>
      </c>
      <c r="K1118" s="33" t="s">
        <v>262</v>
      </c>
    </row>
    <row r="1119" ht="15.75" customHeight="1">
      <c r="A1119" s="33" t="s">
        <v>5225</v>
      </c>
      <c r="B1119" s="33" t="s">
        <v>1372</v>
      </c>
      <c r="C1119" s="33" t="s">
        <v>235</v>
      </c>
      <c r="D1119" s="39">
        <v>45990.0</v>
      </c>
      <c r="E1119" s="40">
        <v>32400.0</v>
      </c>
      <c r="F1119" s="33" t="s">
        <v>241</v>
      </c>
      <c r="G1119" s="33" t="s">
        <v>181</v>
      </c>
      <c r="H1119" s="33" t="s">
        <v>189</v>
      </c>
      <c r="I1119" s="33" t="s">
        <v>189</v>
      </c>
      <c r="J1119" s="33" t="s">
        <v>189</v>
      </c>
      <c r="K1119" s="33" t="s">
        <v>262</v>
      </c>
    </row>
    <row r="1120" ht="15.75" customHeight="1">
      <c r="A1120" s="33" t="s">
        <v>5227</v>
      </c>
      <c r="B1120" s="33" t="s">
        <v>1642</v>
      </c>
      <c r="C1120" s="33" t="s">
        <v>247</v>
      </c>
      <c r="D1120" s="39">
        <v>45808.0</v>
      </c>
      <c r="E1120" s="40">
        <v>22700.0</v>
      </c>
      <c r="F1120" s="33" t="s">
        <v>241</v>
      </c>
      <c r="G1120" s="33" t="s">
        <v>189</v>
      </c>
      <c r="H1120" s="33" t="s">
        <v>189</v>
      </c>
      <c r="I1120" s="33" t="s">
        <v>189</v>
      </c>
      <c r="J1120" s="33" t="s">
        <v>189</v>
      </c>
      <c r="K1120" s="33" t="s">
        <v>252</v>
      </c>
    </row>
    <row r="1121" ht="15.75" customHeight="1">
      <c r="A1121" s="33" t="s">
        <v>5230</v>
      </c>
      <c r="B1121" s="33" t="s">
        <v>608</v>
      </c>
      <c r="C1121" s="33" t="s">
        <v>235</v>
      </c>
      <c r="D1121" s="39">
        <v>45974.0</v>
      </c>
      <c r="E1121" s="40">
        <v>41000.0</v>
      </c>
      <c r="F1121" s="33" t="s">
        <v>248</v>
      </c>
      <c r="G1121" s="33" t="s">
        <v>189</v>
      </c>
      <c r="H1121" s="33" t="s">
        <v>189</v>
      </c>
      <c r="I1121" s="33" t="s">
        <v>189</v>
      </c>
      <c r="J1121" s="33" t="s">
        <v>189</v>
      </c>
      <c r="K1121" s="33" t="s">
        <v>252</v>
      </c>
    </row>
    <row r="1122" ht="15.75" customHeight="1">
      <c r="A1122" s="33" t="s">
        <v>3067</v>
      </c>
      <c r="B1122" s="33" t="s">
        <v>2478</v>
      </c>
      <c r="C1122" s="33" t="s">
        <v>235</v>
      </c>
      <c r="D1122" s="39">
        <v>46148.0</v>
      </c>
      <c r="E1122" s="40">
        <v>16200.0</v>
      </c>
      <c r="F1122" s="33" t="s">
        <v>241</v>
      </c>
      <c r="G1122" s="33" t="s">
        <v>181</v>
      </c>
      <c r="H1122" s="33" t="s">
        <v>181</v>
      </c>
      <c r="I1122" s="33" t="s">
        <v>181</v>
      </c>
      <c r="J1122" s="33" t="s">
        <v>181</v>
      </c>
      <c r="K1122" s="33" t="s">
        <v>157</v>
      </c>
    </row>
    <row r="1123" ht="15.75" customHeight="1">
      <c r="A1123" s="33" t="s">
        <v>5233</v>
      </c>
      <c r="B1123" s="33" t="s">
        <v>838</v>
      </c>
      <c r="C1123" s="33" t="s">
        <v>247</v>
      </c>
      <c r="D1123" s="39">
        <v>46077.0</v>
      </c>
      <c r="E1123" s="40">
        <v>46500.0</v>
      </c>
      <c r="F1123" s="33" t="s">
        <v>241</v>
      </c>
      <c r="G1123" s="33" t="s">
        <v>181</v>
      </c>
      <c r="H1123" s="33" t="s">
        <v>189</v>
      </c>
      <c r="I1123" s="33" t="s">
        <v>189</v>
      </c>
      <c r="J1123" s="33" t="s">
        <v>189</v>
      </c>
      <c r="K1123" s="33" t="s">
        <v>262</v>
      </c>
    </row>
    <row r="1124" ht="15.75" customHeight="1">
      <c r="A1124" s="33" t="s">
        <v>5236</v>
      </c>
      <c r="B1124" s="33" t="s">
        <v>2562</v>
      </c>
      <c r="C1124" s="33" t="s">
        <v>227</v>
      </c>
      <c r="D1124" s="39">
        <v>46143.0</v>
      </c>
      <c r="E1124" s="40">
        <v>6700.0</v>
      </c>
      <c r="F1124" s="33" t="s">
        <v>269</v>
      </c>
      <c r="G1124" s="33" t="s">
        <v>181</v>
      </c>
      <c r="H1124" s="33" t="s">
        <v>181</v>
      </c>
      <c r="I1124" s="33" t="s">
        <v>181</v>
      </c>
      <c r="J1124" s="33" t="s">
        <v>189</v>
      </c>
      <c r="K1124" s="33" t="s">
        <v>365</v>
      </c>
    </row>
    <row r="1125" ht="15.75" customHeight="1">
      <c r="A1125" s="33" t="s">
        <v>3070</v>
      </c>
      <c r="B1125" s="33" t="s">
        <v>642</v>
      </c>
      <c r="C1125" s="33" t="s">
        <v>227</v>
      </c>
      <c r="D1125" s="39">
        <v>45918.0</v>
      </c>
      <c r="E1125" s="40">
        <v>32200.0</v>
      </c>
      <c r="F1125" s="33" t="s">
        <v>241</v>
      </c>
      <c r="G1125" s="33" t="s">
        <v>181</v>
      </c>
      <c r="H1125" s="33" t="s">
        <v>181</v>
      </c>
      <c r="I1125" s="33" t="s">
        <v>181</v>
      </c>
      <c r="J1125" s="33" t="s">
        <v>181</v>
      </c>
      <c r="K1125" s="33" t="s">
        <v>157</v>
      </c>
    </row>
    <row r="1126" ht="15.75" customHeight="1">
      <c r="A1126" s="33" t="s">
        <v>3073</v>
      </c>
      <c r="B1126" s="33" t="s">
        <v>1405</v>
      </c>
      <c r="C1126" s="33" t="s">
        <v>227</v>
      </c>
      <c r="D1126" s="39">
        <v>45704.0</v>
      </c>
      <c r="E1126" s="40">
        <v>25500.0</v>
      </c>
      <c r="F1126" s="33" t="s">
        <v>230</v>
      </c>
      <c r="G1126" s="33" t="s">
        <v>181</v>
      </c>
      <c r="H1126" s="33" t="s">
        <v>181</v>
      </c>
      <c r="I1126" s="33" t="s">
        <v>181</v>
      </c>
      <c r="J1126" s="33" t="s">
        <v>181</v>
      </c>
      <c r="K1126" s="33" t="s">
        <v>157</v>
      </c>
    </row>
    <row r="1127" ht="15.75" customHeight="1">
      <c r="A1127" s="33" t="s">
        <v>3077</v>
      </c>
      <c r="B1127" s="33" t="s">
        <v>273</v>
      </c>
      <c r="C1127" s="33" t="s">
        <v>235</v>
      </c>
      <c r="D1127" s="39">
        <v>46192.0</v>
      </c>
      <c r="E1127" s="40">
        <v>21900.0</v>
      </c>
      <c r="F1127" s="33" t="s">
        <v>248</v>
      </c>
      <c r="G1127" s="33" t="s">
        <v>181</v>
      </c>
      <c r="H1127" s="33" t="s">
        <v>181</v>
      </c>
      <c r="I1127" s="33" t="s">
        <v>181</v>
      </c>
      <c r="J1127" s="33" t="s">
        <v>181</v>
      </c>
      <c r="K1127" s="33" t="s">
        <v>157</v>
      </c>
    </row>
    <row r="1128" ht="15.75" customHeight="1">
      <c r="A1128" s="33" t="s">
        <v>5243</v>
      </c>
      <c r="B1128" s="33" t="s">
        <v>1113</v>
      </c>
      <c r="C1128" s="33" t="s">
        <v>235</v>
      </c>
      <c r="D1128" s="39">
        <v>45705.0</v>
      </c>
      <c r="E1128" s="40">
        <v>22100.0</v>
      </c>
      <c r="F1128" s="33" t="s">
        <v>230</v>
      </c>
      <c r="G1128" s="33" t="s">
        <v>189</v>
      </c>
      <c r="H1128" s="33" t="s">
        <v>189</v>
      </c>
      <c r="I1128" s="33" t="s">
        <v>189</v>
      </c>
      <c r="J1128" s="33" t="s">
        <v>189</v>
      </c>
      <c r="K1128" s="33" t="s">
        <v>252</v>
      </c>
    </row>
    <row r="1129" ht="15.75" customHeight="1">
      <c r="A1129" s="33" t="s">
        <v>5245</v>
      </c>
      <c r="B1129" s="33" t="s">
        <v>3179</v>
      </c>
      <c r="C1129" s="33" t="s">
        <v>227</v>
      </c>
      <c r="D1129" s="39">
        <v>45759.0</v>
      </c>
      <c r="E1129" s="40">
        <v>3100.0</v>
      </c>
      <c r="F1129" s="33" t="s">
        <v>230</v>
      </c>
      <c r="G1129" s="33" t="s">
        <v>189</v>
      </c>
      <c r="H1129" s="33" t="s">
        <v>189</v>
      </c>
      <c r="I1129" s="33" t="s">
        <v>189</v>
      </c>
      <c r="J1129" s="33" t="s">
        <v>189</v>
      </c>
      <c r="K1129" s="33" t="s">
        <v>252</v>
      </c>
    </row>
    <row r="1130" ht="15.75" customHeight="1">
      <c r="A1130" s="33" t="s">
        <v>5248</v>
      </c>
      <c r="B1130" s="33" t="s">
        <v>1662</v>
      </c>
      <c r="C1130" s="33" t="s">
        <v>227</v>
      </c>
      <c r="D1130" s="39">
        <v>46096.0</v>
      </c>
      <c r="E1130" s="40">
        <v>37800.0</v>
      </c>
      <c r="F1130" s="33" t="s">
        <v>241</v>
      </c>
      <c r="G1130" s="33" t="s">
        <v>181</v>
      </c>
      <c r="H1130" s="33" t="s">
        <v>189</v>
      </c>
      <c r="I1130" s="33" t="s">
        <v>189</v>
      </c>
      <c r="J1130" s="33" t="s">
        <v>189</v>
      </c>
      <c r="K1130" s="33" t="s">
        <v>262</v>
      </c>
    </row>
    <row r="1131" ht="15.75" customHeight="1">
      <c r="A1131" s="33" t="s">
        <v>3081</v>
      </c>
      <c r="B1131" s="33" t="s">
        <v>884</v>
      </c>
      <c r="C1131" s="33" t="s">
        <v>235</v>
      </c>
      <c r="D1131" s="39">
        <v>45914.0</v>
      </c>
      <c r="E1131" s="40">
        <v>18300.0</v>
      </c>
      <c r="F1131" s="33" t="s">
        <v>248</v>
      </c>
      <c r="G1131" s="33" t="s">
        <v>181</v>
      </c>
      <c r="H1131" s="33" t="s">
        <v>181</v>
      </c>
      <c r="I1131" s="33" t="s">
        <v>181</v>
      </c>
      <c r="J1131" s="33" t="s">
        <v>181</v>
      </c>
      <c r="K1131" s="33" t="s">
        <v>157</v>
      </c>
    </row>
    <row r="1132" ht="15.75" customHeight="1">
      <c r="A1132" s="33" t="s">
        <v>3085</v>
      </c>
      <c r="B1132" s="33" t="s">
        <v>475</v>
      </c>
      <c r="C1132" s="33" t="s">
        <v>247</v>
      </c>
      <c r="D1132" s="39">
        <v>45947.0</v>
      </c>
      <c r="E1132" s="40">
        <v>24400.0</v>
      </c>
      <c r="F1132" s="33" t="s">
        <v>248</v>
      </c>
      <c r="G1132" s="33" t="s">
        <v>181</v>
      </c>
      <c r="H1132" s="33" t="s">
        <v>181</v>
      </c>
      <c r="I1132" s="33" t="s">
        <v>181</v>
      </c>
      <c r="J1132" s="33" t="s">
        <v>181</v>
      </c>
      <c r="K1132" s="33" t="s">
        <v>157</v>
      </c>
    </row>
    <row r="1133" ht="15.75" customHeight="1">
      <c r="A1133" s="33" t="s">
        <v>3089</v>
      </c>
      <c r="B1133" s="33" t="s">
        <v>2048</v>
      </c>
      <c r="C1133" s="33" t="s">
        <v>247</v>
      </c>
      <c r="D1133" s="39">
        <v>45697.0</v>
      </c>
      <c r="E1133" s="40">
        <v>42500.0</v>
      </c>
      <c r="F1133" s="33" t="s">
        <v>230</v>
      </c>
      <c r="G1133" s="33" t="s">
        <v>181</v>
      </c>
      <c r="H1133" s="33" t="s">
        <v>181</v>
      </c>
      <c r="I1133" s="33" t="s">
        <v>181</v>
      </c>
      <c r="J1133" s="33" t="s">
        <v>181</v>
      </c>
      <c r="K1133" s="33" t="s">
        <v>157</v>
      </c>
    </row>
    <row r="1134" ht="15.75" customHeight="1">
      <c r="A1134" s="33" t="s">
        <v>5255</v>
      </c>
      <c r="B1134" s="33" t="s">
        <v>441</v>
      </c>
      <c r="C1134" s="33" t="s">
        <v>227</v>
      </c>
      <c r="D1134" s="39">
        <v>45761.0</v>
      </c>
      <c r="E1134" s="40">
        <v>29300.0</v>
      </c>
      <c r="F1134" s="33" t="s">
        <v>241</v>
      </c>
      <c r="G1134" s="33" t="s">
        <v>189</v>
      </c>
      <c r="H1134" s="33" t="s">
        <v>189</v>
      </c>
      <c r="I1134" s="33" t="s">
        <v>189</v>
      </c>
      <c r="J1134" s="33" t="s">
        <v>189</v>
      </c>
      <c r="K1134" s="33" t="s">
        <v>252</v>
      </c>
    </row>
    <row r="1135" ht="15.75" customHeight="1">
      <c r="A1135" s="33" t="s">
        <v>5257</v>
      </c>
      <c r="B1135" s="33" t="s">
        <v>2515</v>
      </c>
      <c r="C1135" s="33" t="s">
        <v>227</v>
      </c>
      <c r="D1135" s="39">
        <v>46086.0</v>
      </c>
      <c r="E1135" s="40">
        <v>42700.0</v>
      </c>
      <c r="F1135" s="33" t="s">
        <v>230</v>
      </c>
      <c r="G1135" s="33" t="s">
        <v>181</v>
      </c>
      <c r="H1135" s="33" t="s">
        <v>181</v>
      </c>
      <c r="I1135" s="33" t="s">
        <v>181</v>
      </c>
      <c r="J1135" s="33" t="s">
        <v>189</v>
      </c>
      <c r="K1135" s="33" t="s">
        <v>365</v>
      </c>
    </row>
    <row r="1136" ht="15.75" customHeight="1">
      <c r="A1136" s="33" t="s">
        <v>5259</v>
      </c>
      <c r="B1136" s="33" t="s">
        <v>790</v>
      </c>
      <c r="C1136" s="33" t="s">
        <v>227</v>
      </c>
      <c r="D1136" s="39">
        <v>46001.0</v>
      </c>
      <c r="E1136" s="40">
        <v>7700.0</v>
      </c>
      <c r="F1136" s="33" t="s">
        <v>248</v>
      </c>
      <c r="G1136" s="33" t="s">
        <v>189</v>
      </c>
      <c r="H1136" s="33" t="s">
        <v>189</v>
      </c>
      <c r="I1136" s="33" t="s">
        <v>189</v>
      </c>
      <c r="J1136" s="33" t="s">
        <v>189</v>
      </c>
      <c r="K1136" s="33" t="s">
        <v>252</v>
      </c>
    </row>
    <row r="1137" ht="15.75" customHeight="1">
      <c r="A1137" s="33" t="s">
        <v>5261</v>
      </c>
      <c r="B1137" s="33" t="s">
        <v>705</v>
      </c>
      <c r="C1137" s="33" t="s">
        <v>227</v>
      </c>
      <c r="D1137" s="39">
        <v>45822.0</v>
      </c>
      <c r="E1137" s="40">
        <v>14800.0</v>
      </c>
      <c r="F1137" s="33" t="s">
        <v>230</v>
      </c>
      <c r="G1137" s="33" t="s">
        <v>181</v>
      </c>
      <c r="H1137" s="33" t="s">
        <v>181</v>
      </c>
      <c r="I1137" s="33" t="s">
        <v>181</v>
      </c>
      <c r="J1137" s="33" t="s">
        <v>189</v>
      </c>
      <c r="K1137" s="33" t="s">
        <v>365</v>
      </c>
    </row>
    <row r="1138" ht="15.75" customHeight="1">
      <c r="A1138" s="33" t="s">
        <v>3091</v>
      </c>
      <c r="B1138" s="33" t="s">
        <v>2418</v>
      </c>
      <c r="C1138" s="33" t="s">
        <v>227</v>
      </c>
      <c r="D1138" s="39">
        <v>45900.0</v>
      </c>
      <c r="E1138" s="40">
        <v>12200.0</v>
      </c>
      <c r="F1138" s="33" t="s">
        <v>248</v>
      </c>
      <c r="G1138" s="33" t="s">
        <v>181</v>
      </c>
      <c r="H1138" s="33" t="s">
        <v>181</v>
      </c>
      <c r="I1138" s="33" t="s">
        <v>181</v>
      </c>
      <c r="J1138" s="33" t="s">
        <v>181</v>
      </c>
      <c r="K1138" s="33" t="s">
        <v>157</v>
      </c>
    </row>
    <row r="1139" ht="15.75" customHeight="1">
      <c r="A1139" s="33" t="s">
        <v>3095</v>
      </c>
      <c r="B1139" s="33" t="s">
        <v>1383</v>
      </c>
      <c r="C1139" s="33" t="s">
        <v>227</v>
      </c>
      <c r="D1139" s="39">
        <v>45916.0</v>
      </c>
      <c r="E1139" s="40">
        <v>44400.0</v>
      </c>
      <c r="F1139" s="33" t="s">
        <v>241</v>
      </c>
      <c r="G1139" s="33" t="s">
        <v>181</v>
      </c>
      <c r="H1139" s="33" t="s">
        <v>181</v>
      </c>
      <c r="I1139" s="33" t="s">
        <v>181</v>
      </c>
      <c r="J1139" s="33" t="s">
        <v>181</v>
      </c>
      <c r="K1139" s="33" t="s">
        <v>157</v>
      </c>
    </row>
    <row r="1140" ht="15.75" customHeight="1">
      <c r="A1140" s="33" t="s">
        <v>5266</v>
      </c>
      <c r="B1140" s="33" t="s">
        <v>2187</v>
      </c>
      <c r="C1140" s="33" t="s">
        <v>247</v>
      </c>
      <c r="D1140" s="39">
        <v>46218.0</v>
      </c>
      <c r="E1140" s="40">
        <v>39300.0</v>
      </c>
      <c r="F1140" s="33" t="s">
        <v>241</v>
      </c>
      <c r="G1140" s="33" t="s">
        <v>181</v>
      </c>
      <c r="H1140" s="33" t="s">
        <v>181</v>
      </c>
      <c r="I1140" s="33" t="s">
        <v>181</v>
      </c>
      <c r="J1140" s="33" t="s">
        <v>189</v>
      </c>
      <c r="K1140" s="33" t="s">
        <v>365</v>
      </c>
    </row>
    <row r="1141" ht="15.75" customHeight="1">
      <c r="A1141" s="33" t="s">
        <v>3099</v>
      </c>
      <c r="B1141" s="33" t="s">
        <v>2779</v>
      </c>
      <c r="C1141" s="33" t="s">
        <v>247</v>
      </c>
      <c r="D1141" s="39">
        <v>46196.0</v>
      </c>
      <c r="E1141" s="40">
        <v>41900.0</v>
      </c>
      <c r="F1141" s="33" t="s">
        <v>248</v>
      </c>
      <c r="G1141" s="33" t="s">
        <v>181</v>
      </c>
      <c r="H1141" s="33" t="s">
        <v>181</v>
      </c>
      <c r="I1141" s="33" t="s">
        <v>181</v>
      </c>
      <c r="J1141" s="33" t="s">
        <v>181</v>
      </c>
      <c r="K1141" s="33" t="s">
        <v>157</v>
      </c>
    </row>
    <row r="1142" ht="15.75" customHeight="1">
      <c r="A1142" s="33" t="s">
        <v>5270</v>
      </c>
      <c r="B1142" s="33" t="s">
        <v>501</v>
      </c>
      <c r="C1142" s="33" t="s">
        <v>227</v>
      </c>
      <c r="D1142" s="39">
        <v>45949.0</v>
      </c>
      <c r="E1142" s="40">
        <v>28900.0</v>
      </c>
      <c r="F1142" s="33" t="s">
        <v>241</v>
      </c>
      <c r="G1142" s="33" t="s">
        <v>189</v>
      </c>
      <c r="H1142" s="33" t="s">
        <v>189</v>
      </c>
      <c r="I1142" s="33" t="s">
        <v>189</v>
      </c>
      <c r="J1142" s="33" t="s">
        <v>189</v>
      </c>
      <c r="K1142" s="33" t="s">
        <v>252</v>
      </c>
    </row>
    <row r="1143" ht="15.75" customHeight="1">
      <c r="A1143" s="33" t="s">
        <v>5272</v>
      </c>
      <c r="B1143" s="33" t="s">
        <v>2917</v>
      </c>
      <c r="C1143" s="33" t="s">
        <v>235</v>
      </c>
      <c r="D1143" s="39">
        <v>45771.0</v>
      </c>
      <c r="E1143" s="40">
        <v>11800.0</v>
      </c>
      <c r="F1143" s="33" t="s">
        <v>241</v>
      </c>
      <c r="G1143" s="33" t="s">
        <v>181</v>
      </c>
      <c r="H1143" s="33" t="s">
        <v>189</v>
      </c>
      <c r="I1143" s="33" t="s">
        <v>189</v>
      </c>
      <c r="J1143" s="33" t="s">
        <v>189</v>
      </c>
      <c r="K1143" s="33" t="s">
        <v>262</v>
      </c>
    </row>
    <row r="1144" ht="15.75" customHeight="1">
      <c r="A1144" s="33" t="s">
        <v>3103</v>
      </c>
      <c r="B1144" s="33" t="s">
        <v>801</v>
      </c>
      <c r="C1144" s="33" t="s">
        <v>227</v>
      </c>
      <c r="D1144" s="39">
        <v>46002.0</v>
      </c>
      <c r="E1144" s="40">
        <v>19500.0</v>
      </c>
      <c r="F1144" s="33" t="s">
        <v>248</v>
      </c>
      <c r="G1144" s="33" t="s">
        <v>181</v>
      </c>
      <c r="H1144" s="33" t="s">
        <v>181</v>
      </c>
      <c r="I1144" s="33" t="s">
        <v>181</v>
      </c>
      <c r="J1144" s="33" t="s">
        <v>181</v>
      </c>
      <c r="K1144" s="33" t="s">
        <v>157</v>
      </c>
    </row>
    <row r="1145" ht="15.75" customHeight="1">
      <c r="A1145" s="33" t="s">
        <v>3107</v>
      </c>
      <c r="B1145" s="33" t="s">
        <v>1006</v>
      </c>
      <c r="C1145" s="33" t="s">
        <v>247</v>
      </c>
      <c r="D1145" s="39">
        <v>45659.0</v>
      </c>
      <c r="E1145" s="40">
        <v>28000.0</v>
      </c>
      <c r="F1145" s="33" t="s">
        <v>248</v>
      </c>
      <c r="G1145" s="33" t="s">
        <v>181</v>
      </c>
      <c r="H1145" s="33" t="s">
        <v>181</v>
      </c>
      <c r="I1145" s="33" t="s">
        <v>181</v>
      </c>
      <c r="J1145" s="33" t="s">
        <v>181</v>
      </c>
      <c r="K1145" s="33" t="s">
        <v>157</v>
      </c>
    </row>
    <row r="1146" ht="15.75" customHeight="1">
      <c r="A1146" s="33" t="s">
        <v>5277</v>
      </c>
      <c r="B1146" s="33" t="s">
        <v>1945</v>
      </c>
      <c r="C1146" s="33" t="s">
        <v>227</v>
      </c>
      <c r="D1146" s="39">
        <v>46050.0</v>
      </c>
      <c r="E1146" s="40">
        <v>1900.0</v>
      </c>
      <c r="F1146" s="33" t="s">
        <v>248</v>
      </c>
      <c r="G1146" s="33" t="s">
        <v>189</v>
      </c>
      <c r="H1146" s="33" t="s">
        <v>189</v>
      </c>
      <c r="I1146" s="33" t="s">
        <v>189</v>
      </c>
      <c r="J1146" s="33" t="s">
        <v>189</v>
      </c>
      <c r="K1146" s="33" t="s">
        <v>252</v>
      </c>
    </row>
    <row r="1147" ht="15.75" customHeight="1">
      <c r="A1147" s="33" t="s">
        <v>5280</v>
      </c>
      <c r="B1147" s="33" t="s">
        <v>848</v>
      </c>
      <c r="C1147" s="33" t="s">
        <v>235</v>
      </c>
      <c r="D1147" s="39">
        <v>46008.0</v>
      </c>
      <c r="E1147" s="40">
        <v>32300.0</v>
      </c>
      <c r="F1147" s="33" t="s">
        <v>248</v>
      </c>
      <c r="G1147" s="33" t="s">
        <v>189</v>
      </c>
      <c r="H1147" s="33" t="s">
        <v>189</v>
      </c>
      <c r="I1147" s="33" t="s">
        <v>189</v>
      </c>
      <c r="J1147" s="33" t="s">
        <v>189</v>
      </c>
      <c r="K1147" s="33" t="s">
        <v>252</v>
      </c>
    </row>
    <row r="1148" ht="15.75" customHeight="1">
      <c r="A1148" s="33" t="s">
        <v>3111</v>
      </c>
      <c r="B1148" s="33" t="s">
        <v>1917</v>
      </c>
      <c r="C1148" s="33" t="s">
        <v>227</v>
      </c>
      <c r="D1148" s="39">
        <v>46203.0</v>
      </c>
      <c r="E1148" s="40">
        <v>42900.0</v>
      </c>
      <c r="F1148" s="33" t="s">
        <v>230</v>
      </c>
      <c r="G1148" s="33" t="s">
        <v>181</v>
      </c>
      <c r="H1148" s="33" t="s">
        <v>181</v>
      </c>
      <c r="I1148" s="33" t="s">
        <v>181</v>
      </c>
      <c r="J1148" s="33" t="s">
        <v>181</v>
      </c>
      <c r="K1148" s="33" t="s">
        <v>157</v>
      </c>
    </row>
    <row r="1149" ht="15.75" customHeight="1">
      <c r="A1149" s="33" t="s">
        <v>3114</v>
      </c>
      <c r="B1149" s="33" t="s">
        <v>336</v>
      </c>
      <c r="C1149" s="33" t="s">
        <v>247</v>
      </c>
      <c r="D1149" s="39">
        <v>45923.0</v>
      </c>
      <c r="E1149" s="40">
        <v>17000.0</v>
      </c>
      <c r="F1149" s="33" t="s">
        <v>269</v>
      </c>
      <c r="G1149" s="33" t="s">
        <v>181</v>
      </c>
      <c r="H1149" s="33" t="s">
        <v>181</v>
      </c>
      <c r="I1149" s="33" t="s">
        <v>181</v>
      </c>
      <c r="J1149" s="33" t="s">
        <v>181</v>
      </c>
      <c r="K1149" s="33" t="s">
        <v>157</v>
      </c>
    </row>
    <row r="1150" ht="15.75" customHeight="1">
      <c r="A1150" s="33" t="s">
        <v>5285</v>
      </c>
      <c r="B1150" s="33" t="s">
        <v>964</v>
      </c>
      <c r="C1150" s="33" t="s">
        <v>235</v>
      </c>
      <c r="D1150" s="39">
        <v>45999.0</v>
      </c>
      <c r="E1150" s="40">
        <v>34300.0</v>
      </c>
      <c r="F1150" s="33" t="s">
        <v>248</v>
      </c>
      <c r="G1150" s="33" t="s">
        <v>189</v>
      </c>
      <c r="H1150" s="33" t="s">
        <v>189</v>
      </c>
      <c r="I1150" s="33" t="s">
        <v>189</v>
      </c>
      <c r="J1150" s="33" t="s">
        <v>189</v>
      </c>
      <c r="K1150" s="33" t="s">
        <v>252</v>
      </c>
    </row>
    <row r="1151" ht="15.75" customHeight="1">
      <c r="A1151" s="33" t="s">
        <v>5287</v>
      </c>
      <c r="B1151" s="33" t="s">
        <v>619</v>
      </c>
      <c r="C1151" s="33" t="s">
        <v>227</v>
      </c>
      <c r="D1151" s="39">
        <v>45691.0</v>
      </c>
      <c r="E1151" s="40">
        <v>24700.0</v>
      </c>
      <c r="F1151" s="33" t="s">
        <v>269</v>
      </c>
      <c r="G1151" s="33" t="s">
        <v>189</v>
      </c>
      <c r="H1151" s="33" t="s">
        <v>189</v>
      </c>
      <c r="I1151" s="33" t="s">
        <v>189</v>
      </c>
      <c r="J1151" s="33" t="s">
        <v>189</v>
      </c>
      <c r="K1151" s="33" t="s">
        <v>252</v>
      </c>
    </row>
    <row r="1152" ht="15.75" customHeight="1">
      <c r="A1152" s="33" t="s">
        <v>3119</v>
      </c>
      <c r="B1152" s="33" t="s">
        <v>1901</v>
      </c>
      <c r="C1152" s="33" t="s">
        <v>247</v>
      </c>
      <c r="D1152" s="39">
        <v>46158.0</v>
      </c>
      <c r="E1152" s="40">
        <v>1200.0</v>
      </c>
      <c r="F1152" s="33" t="s">
        <v>230</v>
      </c>
      <c r="G1152" s="33" t="s">
        <v>181</v>
      </c>
      <c r="H1152" s="33" t="s">
        <v>181</v>
      </c>
      <c r="I1152" s="33" t="s">
        <v>181</v>
      </c>
      <c r="J1152" s="33" t="s">
        <v>181</v>
      </c>
      <c r="K1152" s="33" t="s">
        <v>157</v>
      </c>
    </row>
    <row r="1153" ht="15.75" customHeight="1">
      <c r="A1153" s="33" t="s">
        <v>5290</v>
      </c>
      <c r="B1153" s="33" t="s">
        <v>478</v>
      </c>
      <c r="C1153" s="33" t="s">
        <v>247</v>
      </c>
      <c r="D1153" s="39">
        <v>45837.0</v>
      </c>
      <c r="E1153" s="40">
        <v>14900.0</v>
      </c>
      <c r="F1153" s="33" t="s">
        <v>230</v>
      </c>
      <c r="G1153" s="33" t="s">
        <v>189</v>
      </c>
      <c r="H1153" s="33" t="s">
        <v>189</v>
      </c>
      <c r="I1153" s="33" t="s">
        <v>189</v>
      </c>
      <c r="J1153" s="33" t="s">
        <v>189</v>
      </c>
      <c r="K1153" s="33" t="s">
        <v>252</v>
      </c>
    </row>
    <row r="1154" ht="15.75" customHeight="1">
      <c r="A1154" s="33" t="s">
        <v>5292</v>
      </c>
      <c r="B1154" s="33" t="s">
        <v>1463</v>
      </c>
      <c r="C1154" s="33" t="s">
        <v>227</v>
      </c>
      <c r="D1154" s="39">
        <v>46117.0</v>
      </c>
      <c r="E1154" s="40">
        <v>26900.0</v>
      </c>
      <c r="F1154" s="33" t="s">
        <v>241</v>
      </c>
      <c r="G1154" s="33" t="s">
        <v>189</v>
      </c>
      <c r="H1154" s="33" t="s">
        <v>189</v>
      </c>
      <c r="I1154" s="33" t="s">
        <v>189</v>
      </c>
      <c r="J1154" s="33" t="s">
        <v>189</v>
      </c>
      <c r="K1154" s="33" t="s">
        <v>252</v>
      </c>
    </row>
    <row r="1155" ht="15.75" customHeight="1">
      <c r="A1155" s="33" t="s">
        <v>3123</v>
      </c>
      <c r="B1155" s="33" t="s">
        <v>1399</v>
      </c>
      <c r="C1155" s="33" t="s">
        <v>227</v>
      </c>
      <c r="D1155" s="39">
        <v>45803.0</v>
      </c>
      <c r="E1155" s="40">
        <v>36500.0</v>
      </c>
      <c r="F1155" s="33" t="s">
        <v>241</v>
      </c>
      <c r="G1155" s="33" t="s">
        <v>181</v>
      </c>
      <c r="H1155" s="33" t="s">
        <v>181</v>
      </c>
      <c r="I1155" s="33" t="s">
        <v>181</v>
      </c>
      <c r="J1155" s="33" t="s">
        <v>181</v>
      </c>
      <c r="K1155" s="33" t="s">
        <v>157</v>
      </c>
    </row>
    <row r="1156" ht="15.75" customHeight="1">
      <c r="A1156" s="33" t="s">
        <v>5295</v>
      </c>
      <c r="B1156" s="33" t="s">
        <v>801</v>
      </c>
      <c r="C1156" s="33" t="s">
        <v>235</v>
      </c>
      <c r="D1156" s="39">
        <v>45868.0</v>
      </c>
      <c r="E1156" s="40">
        <v>20700.0</v>
      </c>
      <c r="F1156" s="33" t="s">
        <v>269</v>
      </c>
      <c r="G1156" s="33" t="s">
        <v>181</v>
      </c>
      <c r="H1156" s="33" t="s">
        <v>181</v>
      </c>
      <c r="I1156" s="33" t="s">
        <v>181</v>
      </c>
      <c r="J1156" s="33" t="s">
        <v>189</v>
      </c>
      <c r="K1156" s="33" t="s">
        <v>365</v>
      </c>
    </row>
    <row r="1157" ht="15.75" customHeight="1">
      <c r="A1157" s="33" t="s">
        <v>5298</v>
      </c>
      <c r="B1157" s="33" t="s">
        <v>759</v>
      </c>
      <c r="C1157" s="33" t="s">
        <v>235</v>
      </c>
      <c r="D1157" s="39">
        <v>45816.0</v>
      </c>
      <c r="E1157" s="40">
        <v>10100.0</v>
      </c>
      <c r="F1157" s="33" t="s">
        <v>248</v>
      </c>
      <c r="G1157" s="33" t="s">
        <v>181</v>
      </c>
      <c r="H1157" s="33" t="s">
        <v>189</v>
      </c>
      <c r="I1157" s="33" t="s">
        <v>189</v>
      </c>
      <c r="J1157" s="33" t="s">
        <v>189</v>
      </c>
      <c r="K1157" s="33" t="s">
        <v>262</v>
      </c>
    </row>
    <row r="1158" ht="15.75" customHeight="1">
      <c r="A1158" s="33" t="s">
        <v>3126</v>
      </c>
      <c r="B1158" s="33" t="s">
        <v>511</v>
      </c>
      <c r="C1158" s="33" t="s">
        <v>227</v>
      </c>
      <c r="D1158" s="39">
        <v>46203.0</v>
      </c>
      <c r="E1158" s="40">
        <v>4000.0</v>
      </c>
      <c r="F1158" s="33" t="s">
        <v>230</v>
      </c>
      <c r="G1158" s="33" t="s">
        <v>181</v>
      </c>
      <c r="H1158" s="33" t="s">
        <v>181</v>
      </c>
      <c r="I1158" s="33" t="s">
        <v>181</v>
      </c>
      <c r="J1158" s="33" t="s">
        <v>181</v>
      </c>
      <c r="K1158" s="33" t="s">
        <v>157</v>
      </c>
    </row>
    <row r="1159" ht="15.75" customHeight="1">
      <c r="A1159" s="33" t="s">
        <v>5302</v>
      </c>
      <c r="B1159" s="33" t="s">
        <v>2252</v>
      </c>
      <c r="C1159" s="33" t="s">
        <v>235</v>
      </c>
      <c r="D1159" s="39">
        <v>46137.0</v>
      </c>
      <c r="E1159" s="40">
        <v>36000.0</v>
      </c>
      <c r="F1159" s="33" t="s">
        <v>248</v>
      </c>
      <c r="G1159" s="33" t="s">
        <v>189</v>
      </c>
      <c r="H1159" s="33" t="s">
        <v>189</v>
      </c>
      <c r="I1159" s="33" t="s">
        <v>189</v>
      </c>
      <c r="J1159" s="33" t="s">
        <v>189</v>
      </c>
      <c r="K1159" s="33" t="s">
        <v>252</v>
      </c>
    </row>
    <row r="1160" ht="15.75" customHeight="1">
      <c r="A1160" s="33" t="s">
        <v>3130</v>
      </c>
      <c r="B1160" s="33" t="s">
        <v>1693</v>
      </c>
      <c r="C1160" s="33" t="s">
        <v>235</v>
      </c>
      <c r="D1160" s="39">
        <v>46085.0</v>
      </c>
      <c r="E1160" s="40">
        <v>18900.0</v>
      </c>
      <c r="F1160" s="33" t="s">
        <v>248</v>
      </c>
      <c r="G1160" s="33" t="s">
        <v>181</v>
      </c>
      <c r="H1160" s="33" t="s">
        <v>181</v>
      </c>
      <c r="I1160" s="33" t="s">
        <v>181</v>
      </c>
      <c r="J1160" s="33" t="s">
        <v>181</v>
      </c>
      <c r="K1160" s="33" t="s">
        <v>157</v>
      </c>
    </row>
    <row r="1161" ht="15.75" customHeight="1">
      <c r="A1161" s="33" t="s">
        <v>5306</v>
      </c>
      <c r="B1161" s="33" t="s">
        <v>680</v>
      </c>
      <c r="C1161" s="33" t="s">
        <v>247</v>
      </c>
      <c r="D1161" s="39">
        <v>45842.0</v>
      </c>
      <c r="E1161" s="40">
        <v>32700.0</v>
      </c>
      <c r="F1161" s="33" t="s">
        <v>248</v>
      </c>
      <c r="G1161" s="33" t="s">
        <v>189</v>
      </c>
      <c r="H1161" s="33" t="s">
        <v>189</v>
      </c>
      <c r="I1161" s="33" t="s">
        <v>189</v>
      </c>
      <c r="J1161" s="33" t="s">
        <v>189</v>
      </c>
      <c r="K1161" s="33" t="s">
        <v>252</v>
      </c>
    </row>
    <row r="1162" ht="15.75" customHeight="1">
      <c r="A1162" s="33" t="s">
        <v>3132</v>
      </c>
      <c r="B1162" s="33" t="s">
        <v>583</v>
      </c>
      <c r="C1162" s="33" t="s">
        <v>247</v>
      </c>
      <c r="D1162" s="39">
        <v>46103.0</v>
      </c>
      <c r="E1162" s="40">
        <v>11900.0</v>
      </c>
      <c r="F1162" s="33" t="s">
        <v>241</v>
      </c>
      <c r="G1162" s="33" t="s">
        <v>181</v>
      </c>
      <c r="H1162" s="33" t="s">
        <v>181</v>
      </c>
      <c r="I1162" s="33" t="s">
        <v>181</v>
      </c>
      <c r="J1162" s="33" t="s">
        <v>181</v>
      </c>
      <c r="K1162" s="33" t="s">
        <v>157</v>
      </c>
    </row>
    <row r="1163" ht="15.75" customHeight="1">
      <c r="A1163" s="33" t="s">
        <v>5310</v>
      </c>
      <c r="B1163" s="33" t="s">
        <v>470</v>
      </c>
      <c r="C1163" s="33" t="s">
        <v>227</v>
      </c>
      <c r="D1163" s="39">
        <v>45955.0</v>
      </c>
      <c r="E1163" s="40">
        <v>38000.0</v>
      </c>
      <c r="F1163" s="33" t="s">
        <v>248</v>
      </c>
      <c r="G1163" s="33" t="s">
        <v>189</v>
      </c>
      <c r="H1163" s="33" t="s">
        <v>189</v>
      </c>
      <c r="I1163" s="33" t="s">
        <v>189</v>
      </c>
      <c r="J1163" s="33" t="s">
        <v>189</v>
      </c>
      <c r="K1163" s="33" t="s">
        <v>252</v>
      </c>
    </row>
    <row r="1164" ht="15.75" customHeight="1">
      <c r="A1164" s="33" t="s">
        <v>5312</v>
      </c>
      <c r="B1164" s="33" t="s">
        <v>250</v>
      </c>
      <c r="C1164" s="33" t="s">
        <v>247</v>
      </c>
      <c r="D1164" s="39">
        <v>46092.0</v>
      </c>
      <c r="E1164" s="40">
        <v>17900.0</v>
      </c>
      <c r="F1164" s="33" t="s">
        <v>241</v>
      </c>
      <c r="G1164" s="33" t="s">
        <v>189</v>
      </c>
      <c r="H1164" s="33" t="s">
        <v>189</v>
      </c>
      <c r="I1164" s="33" t="s">
        <v>189</v>
      </c>
      <c r="J1164" s="33" t="s">
        <v>189</v>
      </c>
      <c r="K1164" s="33" t="s">
        <v>252</v>
      </c>
    </row>
    <row r="1165" ht="15.75" customHeight="1">
      <c r="A1165" s="33" t="s">
        <v>5314</v>
      </c>
      <c r="B1165" s="33" t="s">
        <v>625</v>
      </c>
      <c r="C1165" s="33" t="s">
        <v>235</v>
      </c>
      <c r="D1165" s="39">
        <v>45819.0</v>
      </c>
      <c r="E1165" s="40">
        <v>3600.0</v>
      </c>
      <c r="F1165" s="33" t="s">
        <v>241</v>
      </c>
      <c r="G1165" s="33" t="s">
        <v>181</v>
      </c>
      <c r="H1165" s="33" t="s">
        <v>181</v>
      </c>
      <c r="I1165" s="33" t="s">
        <v>181</v>
      </c>
      <c r="J1165" s="33" t="s">
        <v>189</v>
      </c>
      <c r="K1165" s="33" t="s">
        <v>365</v>
      </c>
    </row>
    <row r="1166" ht="15.75" customHeight="1">
      <c r="A1166" s="33" t="s">
        <v>3136</v>
      </c>
      <c r="B1166" s="33" t="s">
        <v>891</v>
      </c>
      <c r="C1166" s="33" t="s">
        <v>247</v>
      </c>
      <c r="D1166" s="39">
        <v>45985.0</v>
      </c>
      <c r="E1166" s="40">
        <v>26000.0</v>
      </c>
      <c r="F1166" s="33" t="s">
        <v>230</v>
      </c>
      <c r="G1166" s="33" t="s">
        <v>181</v>
      </c>
      <c r="H1166" s="33" t="s">
        <v>181</v>
      </c>
      <c r="I1166" s="33" t="s">
        <v>181</v>
      </c>
      <c r="J1166" s="33" t="s">
        <v>181</v>
      </c>
      <c r="K1166" s="33" t="s">
        <v>157</v>
      </c>
    </row>
    <row r="1167" ht="15.75" customHeight="1">
      <c r="A1167" s="33" t="s">
        <v>5317</v>
      </c>
      <c r="B1167" s="33" t="s">
        <v>1690</v>
      </c>
      <c r="C1167" s="33" t="s">
        <v>227</v>
      </c>
      <c r="D1167" s="39">
        <v>46234.0</v>
      </c>
      <c r="E1167" s="40">
        <v>36800.0</v>
      </c>
      <c r="F1167" s="33" t="s">
        <v>230</v>
      </c>
      <c r="G1167" s="33" t="s">
        <v>189</v>
      </c>
      <c r="H1167" s="33" t="s">
        <v>189</v>
      </c>
      <c r="I1167" s="33" t="s">
        <v>189</v>
      </c>
      <c r="J1167" s="33" t="s">
        <v>189</v>
      </c>
      <c r="K1167" s="33" t="s">
        <v>252</v>
      </c>
    </row>
    <row r="1168" ht="15.75" customHeight="1">
      <c r="A1168" s="33" t="s">
        <v>5319</v>
      </c>
      <c r="B1168" s="33" t="s">
        <v>3613</v>
      </c>
      <c r="C1168" s="33" t="s">
        <v>247</v>
      </c>
      <c r="D1168" s="39">
        <v>45705.0</v>
      </c>
      <c r="E1168" s="40">
        <v>46700.0</v>
      </c>
      <c r="F1168" s="33" t="s">
        <v>241</v>
      </c>
      <c r="G1168" s="33" t="s">
        <v>181</v>
      </c>
      <c r="H1168" s="33" t="s">
        <v>189</v>
      </c>
      <c r="I1168" s="33" t="s">
        <v>189</v>
      </c>
      <c r="J1168" s="33" t="s">
        <v>189</v>
      </c>
      <c r="K1168" s="33" t="s">
        <v>262</v>
      </c>
    </row>
    <row r="1169" ht="15.75" customHeight="1">
      <c r="A1169" s="33" t="s">
        <v>3139</v>
      </c>
      <c r="B1169" s="33" t="s">
        <v>3138</v>
      </c>
      <c r="C1169" s="33" t="s">
        <v>227</v>
      </c>
      <c r="D1169" s="39">
        <v>46127.0</v>
      </c>
      <c r="E1169" s="40">
        <v>48600.0</v>
      </c>
      <c r="F1169" s="33" t="s">
        <v>248</v>
      </c>
      <c r="G1169" s="33" t="s">
        <v>181</v>
      </c>
      <c r="H1169" s="33" t="s">
        <v>181</v>
      </c>
      <c r="I1169" s="33" t="s">
        <v>181</v>
      </c>
      <c r="J1169" s="33" t="s">
        <v>181</v>
      </c>
      <c r="K1169" s="33" t="s">
        <v>157</v>
      </c>
    </row>
    <row r="1170" ht="15.75" customHeight="1">
      <c r="A1170" s="33" t="s">
        <v>5323</v>
      </c>
      <c r="B1170" s="33" t="s">
        <v>1040</v>
      </c>
      <c r="C1170" s="33" t="s">
        <v>227</v>
      </c>
      <c r="D1170" s="39">
        <v>46081.0</v>
      </c>
      <c r="E1170" s="40">
        <v>23400.0</v>
      </c>
      <c r="F1170" s="33" t="s">
        <v>230</v>
      </c>
      <c r="G1170" s="33" t="s">
        <v>189</v>
      </c>
      <c r="H1170" s="33" t="s">
        <v>189</v>
      </c>
      <c r="I1170" s="33" t="s">
        <v>189</v>
      </c>
      <c r="J1170" s="33" t="s">
        <v>189</v>
      </c>
      <c r="K1170" s="33" t="s">
        <v>252</v>
      </c>
    </row>
    <row r="1171" ht="15.75" customHeight="1">
      <c r="A1171" s="33" t="s">
        <v>5325</v>
      </c>
      <c r="B1171" s="33" t="s">
        <v>3605</v>
      </c>
      <c r="C1171" s="33" t="s">
        <v>227</v>
      </c>
      <c r="D1171" s="39">
        <v>45914.0</v>
      </c>
      <c r="E1171" s="40">
        <v>31000.0</v>
      </c>
      <c r="F1171" s="33" t="s">
        <v>248</v>
      </c>
      <c r="G1171" s="33" t="s">
        <v>181</v>
      </c>
      <c r="H1171" s="33" t="s">
        <v>189</v>
      </c>
      <c r="I1171" s="33" t="s">
        <v>189</v>
      </c>
      <c r="J1171" s="33" t="s">
        <v>189</v>
      </c>
      <c r="K1171" s="33" t="s">
        <v>262</v>
      </c>
    </row>
    <row r="1172" ht="15.75" customHeight="1">
      <c r="A1172" s="33" t="s">
        <v>5328</v>
      </c>
      <c r="B1172" s="33" t="s">
        <v>3687</v>
      </c>
      <c r="C1172" s="33" t="s">
        <v>227</v>
      </c>
      <c r="D1172" s="39">
        <v>46210.0</v>
      </c>
      <c r="E1172" s="40">
        <v>28300.0</v>
      </c>
      <c r="F1172" s="33" t="s">
        <v>248</v>
      </c>
      <c r="G1172" s="33" t="s">
        <v>181</v>
      </c>
      <c r="H1172" s="33" t="s">
        <v>189</v>
      </c>
      <c r="I1172" s="33" t="s">
        <v>189</v>
      </c>
      <c r="J1172" s="33" t="s">
        <v>189</v>
      </c>
      <c r="K1172" s="33" t="s">
        <v>262</v>
      </c>
    </row>
    <row r="1173" ht="15.75" customHeight="1">
      <c r="A1173" s="33" t="s">
        <v>5330</v>
      </c>
      <c r="B1173" s="33" t="s">
        <v>1218</v>
      </c>
      <c r="C1173" s="33" t="s">
        <v>247</v>
      </c>
      <c r="D1173" s="39">
        <v>46099.0</v>
      </c>
      <c r="E1173" s="40">
        <v>27100.0</v>
      </c>
      <c r="F1173" s="33" t="s">
        <v>230</v>
      </c>
      <c r="G1173" s="33" t="s">
        <v>189</v>
      </c>
      <c r="H1173" s="33" t="s">
        <v>189</v>
      </c>
      <c r="I1173" s="33" t="s">
        <v>189</v>
      </c>
      <c r="J1173" s="33" t="s">
        <v>189</v>
      </c>
      <c r="K1173" s="33" t="s">
        <v>252</v>
      </c>
    </row>
    <row r="1174" ht="15.75" customHeight="1">
      <c r="A1174" s="33" t="s">
        <v>3143</v>
      </c>
      <c r="B1174" s="33" t="s">
        <v>1359</v>
      </c>
      <c r="C1174" s="33" t="s">
        <v>227</v>
      </c>
      <c r="D1174" s="39">
        <v>45978.0</v>
      </c>
      <c r="E1174" s="40">
        <v>6600.0</v>
      </c>
      <c r="F1174" s="33" t="s">
        <v>248</v>
      </c>
      <c r="G1174" s="33" t="s">
        <v>181</v>
      </c>
      <c r="H1174" s="33" t="s">
        <v>181</v>
      </c>
      <c r="I1174" s="33" t="s">
        <v>181</v>
      </c>
      <c r="J1174" s="33" t="s">
        <v>181</v>
      </c>
      <c r="K1174" s="33" t="s">
        <v>157</v>
      </c>
    </row>
    <row r="1175" ht="15.75" customHeight="1">
      <c r="A1175" s="33" t="s">
        <v>3146</v>
      </c>
      <c r="B1175" s="33" t="s">
        <v>536</v>
      </c>
      <c r="C1175" s="33" t="s">
        <v>247</v>
      </c>
      <c r="D1175" s="39">
        <v>45849.0</v>
      </c>
      <c r="E1175" s="40">
        <v>33900.0</v>
      </c>
      <c r="F1175" s="33" t="s">
        <v>230</v>
      </c>
      <c r="G1175" s="33" t="s">
        <v>181</v>
      </c>
      <c r="H1175" s="33" t="s">
        <v>181</v>
      </c>
      <c r="I1175" s="33" t="s">
        <v>181</v>
      </c>
      <c r="J1175" s="33" t="s">
        <v>181</v>
      </c>
      <c r="K1175" s="33" t="s">
        <v>157</v>
      </c>
    </row>
    <row r="1176" ht="15.75" customHeight="1">
      <c r="A1176" s="33" t="s">
        <v>5334</v>
      </c>
      <c r="B1176" s="33" t="s">
        <v>955</v>
      </c>
      <c r="C1176" s="33" t="s">
        <v>235</v>
      </c>
      <c r="D1176" s="39">
        <v>46074.0</v>
      </c>
      <c r="E1176" s="40">
        <v>48300.0</v>
      </c>
      <c r="F1176" s="33" t="s">
        <v>241</v>
      </c>
      <c r="G1176" s="33" t="s">
        <v>181</v>
      </c>
      <c r="H1176" s="33" t="s">
        <v>189</v>
      </c>
      <c r="I1176" s="33" t="s">
        <v>189</v>
      </c>
      <c r="J1176" s="33" t="s">
        <v>189</v>
      </c>
      <c r="K1176" s="33" t="s">
        <v>262</v>
      </c>
    </row>
    <row r="1177" ht="15.75" customHeight="1">
      <c r="A1177" s="33" t="s">
        <v>3148</v>
      </c>
      <c r="B1177" s="33" t="s">
        <v>284</v>
      </c>
      <c r="C1177" s="33" t="s">
        <v>247</v>
      </c>
      <c r="D1177" s="39">
        <v>45707.0</v>
      </c>
      <c r="E1177" s="40">
        <v>7200.0</v>
      </c>
      <c r="F1177" s="33" t="s">
        <v>241</v>
      </c>
      <c r="G1177" s="33" t="s">
        <v>181</v>
      </c>
      <c r="H1177" s="33" t="s">
        <v>181</v>
      </c>
      <c r="I1177" s="33" t="s">
        <v>181</v>
      </c>
      <c r="J1177" s="33" t="s">
        <v>181</v>
      </c>
      <c r="K1177" s="33" t="s">
        <v>157</v>
      </c>
    </row>
    <row r="1178" ht="15.75" customHeight="1">
      <c r="A1178" s="33" t="s">
        <v>3151</v>
      </c>
      <c r="B1178" s="33" t="s">
        <v>988</v>
      </c>
      <c r="C1178" s="33" t="s">
        <v>227</v>
      </c>
      <c r="D1178" s="39">
        <v>45814.0</v>
      </c>
      <c r="E1178" s="40">
        <v>16300.0</v>
      </c>
      <c r="F1178" s="33" t="s">
        <v>230</v>
      </c>
      <c r="G1178" s="33" t="s">
        <v>181</v>
      </c>
      <c r="H1178" s="33" t="s">
        <v>181</v>
      </c>
      <c r="I1178" s="33" t="s">
        <v>181</v>
      </c>
      <c r="J1178" s="33" t="s">
        <v>181</v>
      </c>
      <c r="K1178" s="33" t="s">
        <v>157</v>
      </c>
    </row>
    <row r="1179" ht="15.75" customHeight="1">
      <c r="A1179" s="33" t="s">
        <v>3155</v>
      </c>
      <c r="B1179" s="33" t="s">
        <v>1452</v>
      </c>
      <c r="C1179" s="33" t="s">
        <v>235</v>
      </c>
      <c r="D1179" s="39">
        <v>45919.0</v>
      </c>
      <c r="E1179" s="40">
        <v>4800.0</v>
      </c>
      <c r="F1179" s="33" t="s">
        <v>248</v>
      </c>
      <c r="G1179" s="33" t="s">
        <v>181</v>
      </c>
      <c r="H1179" s="33" t="s">
        <v>181</v>
      </c>
      <c r="I1179" s="33" t="s">
        <v>181</v>
      </c>
      <c r="J1179" s="33" t="s">
        <v>181</v>
      </c>
      <c r="K1179" s="33" t="s">
        <v>157</v>
      </c>
    </row>
    <row r="1180" ht="15.75" customHeight="1">
      <c r="A1180" s="33" t="s">
        <v>5339</v>
      </c>
      <c r="B1180" s="33" t="s">
        <v>206</v>
      </c>
      <c r="C1180" s="33" t="s">
        <v>227</v>
      </c>
      <c r="D1180" s="39">
        <v>45794.0</v>
      </c>
      <c r="E1180" s="40">
        <v>20700.0</v>
      </c>
      <c r="F1180" s="33" t="s">
        <v>248</v>
      </c>
      <c r="G1180" s="33" t="s">
        <v>181</v>
      </c>
      <c r="H1180" s="33" t="s">
        <v>189</v>
      </c>
      <c r="I1180" s="33" t="s">
        <v>189</v>
      </c>
      <c r="J1180" s="33" t="s">
        <v>189</v>
      </c>
      <c r="K1180" s="33" t="s">
        <v>262</v>
      </c>
    </row>
    <row r="1181" ht="15.75" customHeight="1">
      <c r="A1181" s="33" t="s">
        <v>5341</v>
      </c>
      <c r="B1181" s="33" t="s">
        <v>543</v>
      </c>
      <c r="C1181" s="33" t="s">
        <v>247</v>
      </c>
      <c r="D1181" s="39">
        <v>46000.0</v>
      </c>
      <c r="E1181" s="40">
        <v>24600.0</v>
      </c>
      <c r="F1181" s="33" t="s">
        <v>230</v>
      </c>
      <c r="G1181" s="33" t="s">
        <v>189</v>
      </c>
      <c r="H1181" s="33" t="s">
        <v>189</v>
      </c>
      <c r="I1181" s="33" t="s">
        <v>189</v>
      </c>
      <c r="J1181" s="33" t="s">
        <v>189</v>
      </c>
      <c r="K1181" s="33" t="s">
        <v>252</v>
      </c>
    </row>
    <row r="1182" ht="15.75" customHeight="1">
      <c r="A1182" s="33" t="s">
        <v>3158</v>
      </c>
      <c r="B1182" s="33" t="s">
        <v>786</v>
      </c>
      <c r="C1182" s="33" t="s">
        <v>227</v>
      </c>
      <c r="D1182" s="39">
        <v>46187.0</v>
      </c>
      <c r="E1182" s="40">
        <v>18500.0</v>
      </c>
      <c r="F1182" s="33" t="s">
        <v>230</v>
      </c>
      <c r="G1182" s="33" t="s">
        <v>181</v>
      </c>
      <c r="H1182" s="33" t="s">
        <v>181</v>
      </c>
      <c r="I1182" s="33" t="s">
        <v>181</v>
      </c>
      <c r="J1182" s="33" t="s">
        <v>181</v>
      </c>
      <c r="K1182" s="33" t="s">
        <v>157</v>
      </c>
    </row>
    <row r="1183" ht="15.75" customHeight="1">
      <c r="A1183" s="33" t="s">
        <v>5344</v>
      </c>
      <c r="B1183" s="33" t="s">
        <v>4028</v>
      </c>
      <c r="C1183" s="33" t="s">
        <v>235</v>
      </c>
      <c r="D1183" s="39">
        <v>45870.0</v>
      </c>
      <c r="E1183" s="40">
        <v>24400.0</v>
      </c>
      <c r="F1183" s="33" t="s">
        <v>241</v>
      </c>
      <c r="G1183" s="33" t="s">
        <v>181</v>
      </c>
      <c r="H1183" s="33" t="s">
        <v>189</v>
      </c>
      <c r="I1183" s="33" t="s">
        <v>189</v>
      </c>
      <c r="J1183" s="33" t="s">
        <v>189</v>
      </c>
      <c r="K1183" s="33" t="s">
        <v>262</v>
      </c>
    </row>
    <row r="1184" ht="15.75" customHeight="1">
      <c r="A1184" s="33" t="s">
        <v>3164</v>
      </c>
      <c r="B1184" s="33" t="s">
        <v>3162</v>
      </c>
      <c r="C1184" s="33" t="s">
        <v>227</v>
      </c>
      <c r="D1184" s="39">
        <v>45905.0</v>
      </c>
      <c r="E1184" s="40">
        <v>40300.0</v>
      </c>
      <c r="F1184" s="33" t="s">
        <v>248</v>
      </c>
      <c r="G1184" s="33" t="s">
        <v>181</v>
      </c>
      <c r="H1184" s="33" t="s">
        <v>181</v>
      </c>
      <c r="I1184" s="33" t="s">
        <v>181</v>
      </c>
      <c r="J1184" s="33" t="s">
        <v>181</v>
      </c>
      <c r="K1184" s="33" t="s">
        <v>157</v>
      </c>
    </row>
    <row r="1185" ht="15.75" customHeight="1">
      <c r="A1185" s="33" t="s">
        <v>3167</v>
      </c>
      <c r="B1185" s="33" t="s">
        <v>1076</v>
      </c>
      <c r="C1185" s="33" t="s">
        <v>235</v>
      </c>
      <c r="D1185" s="39">
        <v>45901.0</v>
      </c>
      <c r="E1185" s="40">
        <v>11500.0</v>
      </c>
      <c r="F1185" s="33" t="s">
        <v>241</v>
      </c>
      <c r="G1185" s="33" t="s">
        <v>181</v>
      </c>
      <c r="H1185" s="33" t="s">
        <v>181</v>
      </c>
      <c r="I1185" s="33" t="s">
        <v>181</v>
      </c>
      <c r="J1185" s="33" t="s">
        <v>181</v>
      </c>
      <c r="K1185" s="33" t="s">
        <v>157</v>
      </c>
    </row>
    <row r="1186" ht="15.75" customHeight="1">
      <c r="A1186" s="33" t="s">
        <v>5347</v>
      </c>
      <c r="B1186" s="33" t="s">
        <v>1862</v>
      </c>
      <c r="C1186" s="33" t="s">
        <v>235</v>
      </c>
      <c r="D1186" s="39">
        <v>46097.0</v>
      </c>
      <c r="E1186" s="40">
        <v>38100.0</v>
      </c>
      <c r="F1186" s="33" t="s">
        <v>248</v>
      </c>
      <c r="G1186" s="33" t="s">
        <v>181</v>
      </c>
      <c r="H1186" s="33" t="s">
        <v>181</v>
      </c>
      <c r="I1186" s="33" t="s">
        <v>181</v>
      </c>
      <c r="J1186" s="33" t="s">
        <v>189</v>
      </c>
      <c r="K1186" s="33" t="s">
        <v>365</v>
      </c>
    </row>
    <row r="1187" ht="15.75" customHeight="1">
      <c r="A1187" s="33" t="s">
        <v>5349</v>
      </c>
      <c r="B1187" s="33" t="s">
        <v>984</v>
      </c>
      <c r="C1187" s="33" t="s">
        <v>235</v>
      </c>
      <c r="D1187" s="39">
        <v>46091.0</v>
      </c>
      <c r="E1187" s="40">
        <v>39900.0</v>
      </c>
      <c r="F1187" s="33" t="s">
        <v>230</v>
      </c>
      <c r="G1187" s="33" t="s">
        <v>181</v>
      </c>
      <c r="H1187" s="33" t="s">
        <v>189</v>
      </c>
      <c r="I1187" s="33" t="s">
        <v>189</v>
      </c>
      <c r="J1187" s="33" t="s">
        <v>189</v>
      </c>
      <c r="K1187" s="33" t="s">
        <v>262</v>
      </c>
    </row>
    <row r="1188" ht="15.75" customHeight="1">
      <c r="A1188" s="33" t="s">
        <v>5351</v>
      </c>
      <c r="B1188" s="33" t="s">
        <v>797</v>
      </c>
      <c r="C1188" s="33" t="s">
        <v>247</v>
      </c>
      <c r="D1188" s="39">
        <v>45800.0</v>
      </c>
      <c r="E1188" s="40">
        <v>29500.0</v>
      </c>
      <c r="F1188" s="33" t="s">
        <v>241</v>
      </c>
      <c r="G1188" s="33" t="s">
        <v>189</v>
      </c>
      <c r="H1188" s="33" t="s">
        <v>189</v>
      </c>
      <c r="I1188" s="33" t="s">
        <v>189</v>
      </c>
      <c r="J1188" s="33" t="s">
        <v>189</v>
      </c>
      <c r="K1188" s="33" t="s">
        <v>252</v>
      </c>
    </row>
    <row r="1189" ht="15.75" customHeight="1">
      <c r="A1189" s="33" t="s">
        <v>5353</v>
      </c>
      <c r="B1189" s="33" t="s">
        <v>3864</v>
      </c>
      <c r="C1189" s="33" t="s">
        <v>247</v>
      </c>
      <c r="D1189" s="39">
        <v>46201.0</v>
      </c>
      <c r="E1189" s="40">
        <v>16500.0</v>
      </c>
      <c r="F1189" s="33" t="s">
        <v>241</v>
      </c>
      <c r="G1189" s="33" t="s">
        <v>189</v>
      </c>
      <c r="H1189" s="33" t="s">
        <v>189</v>
      </c>
      <c r="I1189" s="33" t="s">
        <v>189</v>
      </c>
      <c r="J1189" s="33" t="s">
        <v>189</v>
      </c>
      <c r="K1189" s="33" t="s">
        <v>252</v>
      </c>
    </row>
    <row r="1190" ht="15.75" customHeight="1">
      <c r="A1190" s="33" t="s">
        <v>3171</v>
      </c>
      <c r="B1190" s="33" t="s">
        <v>2314</v>
      </c>
      <c r="C1190" s="33" t="s">
        <v>235</v>
      </c>
      <c r="D1190" s="39">
        <v>46051.0</v>
      </c>
      <c r="E1190" s="40">
        <v>46900.0</v>
      </c>
      <c r="F1190" s="33" t="s">
        <v>230</v>
      </c>
      <c r="G1190" s="33" t="s">
        <v>181</v>
      </c>
      <c r="H1190" s="33" t="s">
        <v>181</v>
      </c>
      <c r="I1190" s="33" t="s">
        <v>181</v>
      </c>
      <c r="J1190" s="33" t="s">
        <v>181</v>
      </c>
      <c r="K1190" s="33" t="s">
        <v>157</v>
      </c>
    </row>
    <row r="1191" ht="15.75" customHeight="1">
      <c r="A1191" s="33" t="s">
        <v>5356</v>
      </c>
      <c r="B1191" s="33" t="s">
        <v>2741</v>
      </c>
      <c r="C1191" s="33" t="s">
        <v>227</v>
      </c>
      <c r="D1191" s="39">
        <v>46200.0</v>
      </c>
      <c r="E1191" s="40">
        <v>18800.0</v>
      </c>
      <c r="F1191" s="33" t="s">
        <v>248</v>
      </c>
      <c r="G1191" s="33" t="s">
        <v>189</v>
      </c>
      <c r="H1191" s="33" t="s">
        <v>189</v>
      </c>
      <c r="I1191" s="33" t="s">
        <v>189</v>
      </c>
      <c r="J1191" s="33" t="s">
        <v>189</v>
      </c>
      <c r="K1191" s="33" t="s">
        <v>252</v>
      </c>
    </row>
    <row r="1192" ht="15.75" customHeight="1">
      <c r="A1192" s="33" t="s">
        <v>3174</v>
      </c>
      <c r="B1192" s="33" t="s">
        <v>1510</v>
      </c>
      <c r="C1192" s="33" t="s">
        <v>235</v>
      </c>
      <c r="D1192" s="39">
        <v>46189.0</v>
      </c>
      <c r="E1192" s="40">
        <v>3400.0</v>
      </c>
      <c r="F1192" s="33" t="s">
        <v>230</v>
      </c>
      <c r="G1192" s="33" t="s">
        <v>181</v>
      </c>
      <c r="H1192" s="33" t="s">
        <v>181</v>
      </c>
      <c r="I1192" s="33" t="s">
        <v>181</v>
      </c>
      <c r="J1192" s="33" t="s">
        <v>181</v>
      </c>
      <c r="K1192" s="33" t="s">
        <v>157</v>
      </c>
    </row>
    <row r="1193" ht="15.75" customHeight="1">
      <c r="A1193" s="33" t="s">
        <v>3178</v>
      </c>
      <c r="B1193" s="33" t="s">
        <v>3177</v>
      </c>
      <c r="C1193" s="33" t="s">
        <v>227</v>
      </c>
      <c r="D1193" s="39">
        <v>46007.0</v>
      </c>
      <c r="E1193" s="40">
        <v>7700.0</v>
      </c>
      <c r="F1193" s="33" t="s">
        <v>241</v>
      </c>
      <c r="G1193" s="33" t="s">
        <v>181</v>
      </c>
      <c r="H1193" s="33" t="s">
        <v>181</v>
      </c>
      <c r="I1193" s="33" t="s">
        <v>181</v>
      </c>
      <c r="J1193" s="33" t="s">
        <v>181</v>
      </c>
      <c r="K1193" s="33" t="s">
        <v>157</v>
      </c>
    </row>
    <row r="1194" ht="15.75" customHeight="1">
      <c r="A1194" s="33" t="s">
        <v>5360</v>
      </c>
      <c r="B1194" s="33" t="s">
        <v>1530</v>
      </c>
      <c r="C1194" s="33" t="s">
        <v>227</v>
      </c>
      <c r="D1194" s="39">
        <v>46085.0</v>
      </c>
      <c r="E1194" s="40">
        <v>44700.0</v>
      </c>
      <c r="F1194" s="33" t="s">
        <v>230</v>
      </c>
      <c r="G1194" s="33" t="s">
        <v>189</v>
      </c>
      <c r="H1194" s="33" t="s">
        <v>189</v>
      </c>
      <c r="I1194" s="33" t="s">
        <v>189</v>
      </c>
      <c r="J1194" s="33" t="s">
        <v>189</v>
      </c>
      <c r="K1194" s="33" t="s">
        <v>252</v>
      </c>
    </row>
    <row r="1195" ht="15.75" customHeight="1">
      <c r="A1195" s="33" t="s">
        <v>5362</v>
      </c>
      <c r="B1195" s="33" t="s">
        <v>1082</v>
      </c>
      <c r="C1195" s="33" t="s">
        <v>247</v>
      </c>
      <c r="D1195" s="39">
        <v>46040.0</v>
      </c>
      <c r="E1195" s="40">
        <v>8300.0</v>
      </c>
      <c r="F1195" s="33" t="s">
        <v>248</v>
      </c>
      <c r="G1195" s="33" t="s">
        <v>181</v>
      </c>
      <c r="H1195" s="33" t="s">
        <v>189</v>
      </c>
      <c r="I1195" s="33" t="s">
        <v>189</v>
      </c>
      <c r="J1195" s="33" t="s">
        <v>189</v>
      </c>
      <c r="K1195" s="33" t="s">
        <v>262</v>
      </c>
    </row>
    <row r="1196" ht="15.75" customHeight="1">
      <c r="A1196" s="33" t="s">
        <v>5364</v>
      </c>
      <c r="B1196" s="33" t="s">
        <v>317</v>
      </c>
      <c r="C1196" s="33" t="s">
        <v>235</v>
      </c>
      <c r="D1196" s="39">
        <v>46027.0</v>
      </c>
      <c r="E1196" s="40">
        <v>22900.0</v>
      </c>
      <c r="F1196" s="33" t="s">
        <v>230</v>
      </c>
      <c r="G1196" s="33" t="s">
        <v>181</v>
      </c>
      <c r="H1196" s="33" t="s">
        <v>181</v>
      </c>
      <c r="I1196" s="33" t="s">
        <v>181</v>
      </c>
      <c r="J1196" s="33" t="s">
        <v>189</v>
      </c>
      <c r="K1196" s="33" t="s">
        <v>365</v>
      </c>
    </row>
    <row r="1197" ht="15.75" customHeight="1">
      <c r="A1197" s="33" t="s">
        <v>3182</v>
      </c>
      <c r="B1197" s="33" t="s">
        <v>1945</v>
      </c>
      <c r="C1197" s="33" t="s">
        <v>227</v>
      </c>
      <c r="D1197" s="39">
        <v>45981.0</v>
      </c>
      <c r="E1197" s="40">
        <v>34900.0</v>
      </c>
      <c r="F1197" s="33" t="s">
        <v>241</v>
      </c>
      <c r="G1197" s="33" t="s">
        <v>181</v>
      </c>
      <c r="H1197" s="33" t="s">
        <v>181</v>
      </c>
      <c r="I1197" s="33" t="s">
        <v>181</v>
      </c>
      <c r="J1197" s="33" t="s">
        <v>181</v>
      </c>
      <c r="K1197" s="33" t="s">
        <v>157</v>
      </c>
    </row>
    <row r="1198" ht="15.75" customHeight="1">
      <c r="A1198" s="33" t="s">
        <v>5367</v>
      </c>
      <c r="B1198" s="33" t="s">
        <v>1544</v>
      </c>
      <c r="C1198" s="33" t="s">
        <v>247</v>
      </c>
      <c r="D1198" s="39">
        <v>45798.0</v>
      </c>
      <c r="E1198" s="40">
        <v>29100.0</v>
      </c>
      <c r="F1198" s="33" t="s">
        <v>230</v>
      </c>
      <c r="G1198" s="33" t="s">
        <v>189</v>
      </c>
      <c r="H1198" s="33" t="s">
        <v>189</v>
      </c>
      <c r="I1198" s="33" t="s">
        <v>189</v>
      </c>
      <c r="J1198" s="33" t="s">
        <v>189</v>
      </c>
      <c r="K1198" s="33" t="s">
        <v>252</v>
      </c>
    </row>
    <row r="1199" ht="15.75" customHeight="1">
      <c r="A1199" s="33" t="s">
        <v>3186</v>
      </c>
      <c r="B1199" s="33" t="s">
        <v>858</v>
      </c>
      <c r="C1199" s="33" t="s">
        <v>247</v>
      </c>
      <c r="D1199" s="39">
        <v>45883.0</v>
      </c>
      <c r="E1199" s="40">
        <v>33000.0</v>
      </c>
      <c r="F1199" s="33" t="s">
        <v>248</v>
      </c>
      <c r="G1199" s="33" t="s">
        <v>181</v>
      </c>
      <c r="H1199" s="33" t="s">
        <v>181</v>
      </c>
      <c r="I1199" s="33" t="s">
        <v>181</v>
      </c>
      <c r="J1199" s="33" t="s">
        <v>181</v>
      </c>
      <c r="K1199" s="33" t="s">
        <v>157</v>
      </c>
    </row>
    <row r="1200" ht="15.75" customHeight="1">
      <c r="A1200" s="33" t="s">
        <v>5370</v>
      </c>
      <c r="B1200" s="33" t="s">
        <v>404</v>
      </c>
      <c r="C1200" s="33" t="s">
        <v>247</v>
      </c>
      <c r="D1200" s="39">
        <v>46086.0</v>
      </c>
      <c r="E1200" s="40">
        <v>18100.0</v>
      </c>
      <c r="F1200" s="33" t="s">
        <v>241</v>
      </c>
      <c r="G1200" s="33" t="s">
        <v>181</v>
      </c>
      <c r="H1200" s="33" t="s">
        <v>189</v>
      </c>
      <c r="I1200" s="33" t="s">
        <v>189</v>
      </c>
      <c r="J1200" s="33" t="s">
        <v>189</v>
      </c>
      <c r="K1200" s="33" t="s">
        <v>262</v>
      </c>
    </row>
    <row r="1201" ht="15.75" customHeight="1">
      <c r="A1201" s="33" t="s">
        <v>5372</v>
      </c>
      <c r="B1201" s="33" t="s">
        <v>1132</v>
      </c>
      <c r="C1201" s="33" t="s">
        <v>227</v>
      </c>
      <c r="D1201" s="39">
        <v>46106.0</v>
      </c>
      <c r="E1201" s="40">
        <v>33400.0</v>
      </c>
      <c r="F1201" s="33" t="s">
        <v>241</v>
      </c>
      <c r="G1201" s="33" t="s">
        <v>181</v>
      </c>
      <c r="H1201" s="33" t="s">
        <v>189</v>
      </c>
      <c r="I1201" s="33" t="s">
        <v>189</v>
      </c>
      <c r="J1201" s="33" t="s">
        <v>189</v>
      </c>
      <c r="K1201" s="33" t="s">
        <v>262</v>
      </c>
    </row>
    <row r="1202" ht="15.75" customHeight="1">
      <c r="A1202" s="33" t="s">
        <v>5374</v>
      </c>
      <c r="B1202" s="33" t="s">
        <v>475</v>
      </c>
      <c r="C1202" s="33" t="s">
        <v>247</v>
      </c>
      <c r="D1202" s="39">
        <v>45941.0</v>
      </c>
      <c r="E1202" s="40">
        <v>1400.0</v>
      </c>
      <c r="F1202" s="33" t="s">
        <v>241</v>
      </c>
      <c r="G1202" s="33" t="s">
        <v>181</v>
      </c>
      <c r="H1202" s="33" t="s">
        <v>189</v>
      </c>
      <c r="I1202" s="33" t="s">
        <v>189</v>
      </c>
      <c r="J1202" s="33" t="s">
        <v>189</v>
      </c>
      <c r="K1202" s="33" t="s">
        <v>262</v>
      </c>
    </row>
    <row r="1203" ht="15.75" customHeight="1">
      <c r="A1203" s="33" t="s">
        <v>5376</v>
      </c>
      <c r="B1203" s="33" t="s">
        <v>1972</v>
      </c>
      <c r="C1203" s="33" t="s">
        <v>247</v>
      </c>
      <c r="D1203" s="39">
        <v>45725.0</v>
      </c>
      <c r="E1203" s="40">
        <v>13900.0</v>
      </c>
      <c r="F1203" s="33" t="s">
        <v>248</v>
      </c>
      <c r="G1203" s="33" t="s">
        <v>181</v>
      </c>
      <c r="H1203" s="33" t="s">
        <v>189</v>
      </c>
      <c r="I1203" s="33" t="s">
        <v>189</v>
      </c>
      <c r="J1203" s="33" t="s">
        <v>189</v>
      </c>
      <c r="K1203" s="33" t="s">
        <v>262</v>
      </c>
    </row>
    <row r="1204" ht="15.75" customHeight="1">
      <c r="A1204" s="33" t="s">
        <v>5378</v>
      </c>
      <c r="B1204" s="33" t="s">
        <v>1727</v>
      </c>
      <c r="C1204" s="33" t="s">
        <v>235</v>
      </c>
      <c r="D1204" s="39">
        <v>45739.0</v>
      </c>
      <c r="E1204" s="40">
        <v>7100.0</v>
      </c>
      <c r="F1204" s="33" t="s">
        <v>248</v>
      </c>
      <c r="G1204" s="33" t="s">
        <v>181</v>
      </c>
      <c r="H1204" s="33" t="s">
        <v>181</v>
      </c>
      <c r="I1204" s="33" t="s">
        <v>181</v>
      </c>
      <c r="J1204" s="33" t="s">
        <v>189</v>
      </c>
      <c r="K1204" s="33" t="s">
        <v>365</v>
      </c>
    </row>
    <row r="1205" ht="15.75" customHeight="1">
      <c r="A1205" s="33" t="s">
        <v>5380</v>
      </c>
      <c r="B1205" s="33" t="s">
        <v>2107</v>
      </c>
      <c r="C1205" s="33" t="s">
        <v>235</v>
      </c>
      <c r="D1205" s="39">
        <v>46200.0</v>
      </c>
      <c r="E1205" s="40">
        <v>23300.0</v>
      </c>
      <c r="F1205" s="33" t="s">
        <v>241</v>
      </c>
      <c r="G1205" s="33" t="s">
        <v>181</v>
      </c>
      <c r="H1205" s="33" t="s">
        <v>189</v>
      </c>
      <c r="I1205" s="33" t="s">
        <v>189</v>
      </c>
      <c r="J1205" s="33" t="s">
        <v>189</v>
      </c>
      <c r="K1205" s="33" t="s">
        <v>262</v>
      </c>
    </row>
    <row r="1206" ht="15.75" customHeight="1">
      <c r="A1206" s="33" t="s">
        <v>5382</v>
      </c>
      <c r="B1206" s="33" t="s">
        <v>596</v>
      </c>
      <c r="C1206" s="33" t="s">
        <v>227</v>
      </c>
      <c r="D1206" s="39">
        <v>45734.0</v>
      </c>
      <c r="E1206" s="40">
        <v>8100.0</v>
      </c>
      <c r="F1206" s="33" t="s">
        <v>241</v>
      </c>
      <c r="G1206" s="33" t="s">
        <v>181</v>
      </c>
      <c r="H1206" s="33" t="s">
        <v>189</v>
      </c>
      <c r="I1206" s="33" t="s">
        <v>189</v>
      </c>
      <c r="J1206" s="33" t="s">
        <v>189</v>
      </c>
      <c r="K1206" s="33" t="s">
        <v>262</v>
      </c>
    </row>
    <row r="1207" ht="15.75" customHeight="1">
      <c r="A1207" s="33" t="s">
        <v>3191</v>
      </c>
      <c r="B1207" s="33" t="s">
        <v>3190</v>
      </c>
      <c r="C1207" s="33" t="s">
        <v>227</v>
      </c>
      <c r="D1207" s="39">
        <v>45830.0</v>
      </c>
      <c r="E1207" s="40">
        <v>27800.0</v>
      </c>
      <c r="F1207" s="33" t="s">
        <v>230</v>
      </c>
      <c r="G1207" s="33" t="s">
        <v>181</v>
      </c>
      <c r="H1207" s="33" t="s">
        <v>181</v>
      </c>
      <c r="I1207" s="33" t="s">
        <v>181</v>
      </c>
      <c r="J1207" s="33" t="s">
        <v>181</v>
      </c>
      <c r="K1207" s="33" t="s">
        <v>157</v>
      </c>
    </row>
    <row r="1208" ht="15.75" customHeight="1">
      <c r="A1208" s="33" t="s">
        <v>3196</v>
      </c>
      <c r="B1208" s="33" t="s">
        <v>3195</v>
      </c>
      <c r="C1208" s="33" t="s">
        <v>247</v>
      </c>
      <c r="D1208" s="39">
        <v>45696.0</v>
      </c>
      <c r="E1208" s="40">
        <v>9900.0</v>
      </c>
      <c r="F1208" s="33" t="s">
        <v>230</v>
      </c>
      <c r="G1208" s="33" t="s">
        <v>181</v>
      </c>
      <c r="H1208" s="33" t="s">
        <v>181</v>
      </c>
      <c r="I1208" s="33" t="s">
        <v>181</v>
      </c>
      <c r="J1208" s="33" t="s">
        <v>181</v>
      </c>
      <c r="K1208" s="33" t="s">
        <v>157</v>
      </c>
    </row>
    <row r="1209" ht="15.75" customHeight="1">
      <c r="A1209" s="33" t="s">
        <v>5386</v>
      </c>
      <c r="B1209" s="33" t="s">
        <v>354</v>
      </c>
      <c r="C1209" s="33" t="s">
        <v>247</v>
      </c>
      <c r="D1209" s="39">
        <v>45790.0</v>
      </c>
      <c r="E1209" s="40">
        <v>21300.0</v>
      </c>
      <c r="F1209" s="33" t="s">
        <v>269</v>
      </c>
      <c r="G1209" s="33" t="s">
        <v>181</v>
      </c>
      <c r="H1209" s="33" t="s">
        <v>189</v>
      </c>
      <c r="I1209" s="33" t="s">
        <v>189</v>
      </c>
      <c r="J1209" s="33" t="s">
        <v>189</v>
      </c>
      <c r="K1209" s="33" t="s">
        <v>262</v>
      </c>
    </row>
    <row r="1210" ht="15.75" customHeight="1">
      <c r="A1210" s="33" t="s">
        <v>5388</v>
      </c>
      <c r="B1210" s="33" t="s">
        <v>3344</v>
      </c>
      <c r="C1210" s="33" t="s">
        <v>247</v>
      </c>
      <c r="D1210" s="39">
        <v>46167.0</v>
      </c>
      <c r="E1210" s="40">
        <v>4600.0</v>
      </c>
      <c r="F1210" s="33" t="s">
        <v>230</v>
      </c>
      <c r="G1210" s="33" t="s">
        <v>181</v>
      </c>
      <c r="H1210" s="33" t="s">
        <v>189</v>
      </c>
      <c r="I1210" s="33" t="s">
        <v>189</v>
      </c>
      <c r="J1210" s="33" t="s">
        <v>189</v>
      </c>
      <c r="K1210" s="33" t="s">
        <v>262</v>
      </c>
    </row>
    <row r="1211" ht="15.75" customHeight="1">
      <c r="A1211" s="33" t="s">
        <v>3200</v>
      </c>
      <c r="B1211" s="33" t="s">
        <v>812</v>
      </c>
      <c r="C1211" s="33" t="s">
        <v>235</v>
      </c>
      <c r="D1211" s="39">
        <v>45824.0</v>
      </c>
      <c r="E1211" s="40">
        <v>22600.0</v>
      </c>
      <c r="F1211" s="33" t="s">
        <v>269</v>
      </c>
      <c r="G1211" s="33" t="s">
        <v>181</v>
      </c>
      <c r="H1211" s="33" t="s">
        <v>181</v>
      </c>
      <c r="I1211" s="33" t="s">
        <v>181</v>
      </c>
      <c r="J1211" s="33" t="s">
        <v>181</v>
      </c>
      <c r="K1211" s="33" t="s">
        <v>157</v>
      </c>
    </row>
    <row r="1212" ht="15.75" customHeight="1">
      <c r="A1212" s="33" t="s">
        <v>5391</v>
      </c>
      <c r="B1212" s="33" t="s">
        <v>1207</v>
      </c>
      <c r="C1212" s="33" t="s">
        <v>227</v>
      </c>
      <c r="D1212" s="39">
        <v>46164.0</v>
      </c>
      <c r="E1212" s="40">
        <v>40600.0</v>
      </c>
      <c r="F1212" s="33" t="s">
        <v>230</v>
      </c>
      <c r="G1212" s="33" t="s">
        <v>189</v>
      </c>
      <c r="H1212" s="33" t="s">
        <v>189</v>
      </c>
      <c r="I1212" s="33" t="s">
        <v>189</v>
      </c>
      <c r="J1212" s="33" t="s">
        <v>189</v>
      </c>
      <c r="K1212" s="33" t="s">
        <v>252</v>
      </c>
    </row>
    <row r="1213" ht="15.75" customHeight="1">
      <c r="A1213" s="33" t="s">
        <v>3204</v>
      </c>
      <c r="B1213" s="33" t="s">
        <v>3203</v>
      </c>
      <c r="C1213" s="33" t="s">
        <v>235</v>
      </c>
      <c r="D1213" s="39">
        <v>46150.0</v>
      </c>
      <c r="E1213" s="40">
        <v>16500.0</v>
      </c>
      <c r="F1213" s="33" t="s">
        <v>241</v>
      </c>
      <c r="G1213" s="33" t="s">
        <v>181</v>
      </c>
      <c r="H1213" s="33" t="s">
        <v>181</v>
      </c>
      <c r="I1213" s="33" t="s">
        <v>181</v>
      </c>
      <c r="J1213" s="33" t="s">
        <v>181</v>
      </c>
      <c r="K1213" s="33" t="s">
        <v>157</v>
      </c>
    </row>
    <row r="1214" ht="15.75" customHeight="1">
      <c r="A1214" s="33" t="s">
        <v>3207</v>
      </c>
      <c r="B1214" s="33" t="s">
        <v>953</v>
      </c>
      <c r="C1214" s="33" t="s">
        <v>227</v>
      </c>
      <c r="D1214" s="39">
        <v>46082.0</v>
      </c>
      <c r="E1214" s="40">
        <v>35600.0</v>
      </c>
      <c r="F1214" s="33" t="s">
        <v>248</v>
      </c>
      <c r="G1214" s="33" t="s">
        <v>181</v>
      </c>
      <c r="H1214" s="33" t="s">
        <v>181</v>
      </c>
      <c r="I1214" s="33" t="s">
        <v>181</v>
      </c>
      <c r="J1214" s="33" t="s">
        <v>181</v>
      </c>
      <c r="K1214" s="33" t="s">
        <v>157</v>
      </c>
    </row>
    <row r="1215" ht="15.75" customHeight="1">
      <c r="A1215" s="33" t="s">
        <v>5395</v>
      </c>
      <c r="B1215" s="33" t="s">
        <v>2544</v>
      </c>
      <c r="C1215" s="33" t="s">
        <v>235</v>
      </c>
      <c r="D1215" s="39">
        <v>45821.0</v>
      </c>
      <c r="E1215" s="40">
        <v>21900.0</v>
      </c>
      <c r="F1215" s="33" t="s">
        <v>230</v>
      </c>
      <c r="G1215" s="33" t="s">
        <v>189</v>
      </c>
      <c r="H1215" s="33" t="s">
        <v>189</v>
      </c>
      <c r="I1215" s="33" t="s">
        <v>189</v>
      </c>
      <c r="J1215" s="33" t="s">
        <v>189</v>
      </c>
      <c r="K1215" s="33" t="s">
        <v>252</v>
      </c>
    </row>
    <row r="1216" ht="15.75" customHeight="1">
      <c r="A1216" s="33" t="s">
        <v>3211</v>
      </c>
      <c r="B1216" s="33" t="s">
        <v>453</v>
      </c>
      <c r="C1216" s="33" t="s">
        <v>247</v>
      </c>
      <c r="D1216" s="39">
        <v>46263.0</v>
      </c>
      <c r="E1216" s="40">
        <v>12500.0</v>
      </c>
      <c r="F1216" s="33" t="s">
        <v>269</v>
      </c>
      <c r="G1216" s="33" t="s">
        <v>181</v>
      </c>
      <c r="H1216" s="33" t="s">
        <v>181</v>
      </c>
      <c r="I1216" s="33" t="s">
        <v>181</v>
      </c>
      <c r="J1216" s="33" t="s">
        <v>181</v>
      </c>
      <c r="K1216" s="33" t="s">
        <v>157</v>
      </c>
    </row>
    <row r="1217" ht="15.75" customHeight="1">
      <c r="A1217" s="33" t="s">
        <v>5399</v>
      </c>
      <c r="B1217" s="33" t="s">
        <v>312</v>
      </c>
      <c r="C1217" s="33" t="s">
        <v>235</v>
      </c>
      <c r="D1217" s="39">
        <v>46027.0</v>
      </c>
      <c r="E1217" s="40">
        <v>15900.0</v>
      </c>
      <c r="F1217" s="33" t="s">
        <v>241</v>
      </c>
      <c r="G1217" s="33" t="s">
        <v>189</v>
      </c>
      <c r="H1217" s="33" t="s">
        <v>189</v>
      </c>
      <c r="I1217" s="33" t="s">
        <v>189</v>
      </c>
      <c r="J1217" s="33" t="s">
        <v>189</v>
      </c>
      <c r="K1217" s="33" t="s">
        <v>252</v>
      </c>
    </row>
    <row r="1218" ht="15.75" customHeight="1">
      <c r="A1218" s="33" t="s">
        <v>3215</v>
      </c>
      <c r="B1218" s="33" t="s">
        <v>2264</v>
      </c>
      <c r="C1218" s="33" t="s">
        <v>227</v>
      </c>
      <c r="D1218" s="39">
        <v>46125.0</v>
      </c>
      <c r="E1218" s="40">
        <v>15800.0</v>
      </c>
      <c r="F1218" s="33" t="s">
        <v>230</v>
      </c>
      <c r="G1218" s="33" t="s">
        <v>181</v>
      </c>
      <c r="H1218" s="33" t="s">
        <v>181</v>
      </c>
      <c r="I1218" s="33" t="s">
        <v>181</v>
      </c>
      <c r="J1218" s="33" t="s">
        <v>181</v>
      </c>
      <c r="K1218" s="33" t="s">
        <v>157</v>
      </c>
    </row>
    <row r="1219" ht="15.75" customHeight="1">
      <c r="A1219" s="33" t="s">
        <v>3219</v>
      </c>
      <c r="B1219" s="33" t="s">
        <v>526</v>
      </c>
      <c r="C1219" s="33" t="s">
        <v>247</v>
      </c>
      <c r="D1219" s="39">
        <v>45866.0</v>
      </c>
      <c r="E1219" s="40">
        <v>37400.0</v>
      </c>
      <c r="F1219" s="33" t="s">
        <v>230</v>
      </c>
      <c r="G1219" s="33" t="s">
        <v>181</v>
      </c>
      <c r="H1219" s="33" t="s">
        <v>181</v>
      </c>
      <c r="I1219" s="33" t="s">
        <v>181</v>
      </c>
      <c r="J1219" s="33" t="s">
        <v>181</v>
      </c>
      <c r="K1219" s="33" t="s">
        <v>157</v>
      </c>
    </row>
    <row r="1220" ht="15.75" customHeight="1">
      <c r="A1220" s="33" t="s">
        <v>5403</v>
      </c>
      <c r="B1220" s="33" t="s">
        <v>1759</v>
      </c>
      <c r="C1220" s="33" t="s">
        <v>227</v>
      </c>
      <c r="D1220" s="39">
        <v>46060.0</v>
      </c>
      <c r="E1220" s="40">
        <v>10800.0</v>
      </c>
      <c r="F1220" s="33" t="s">
        <v>248</v>
      </c>
      <c r="G1220" s="33" t="s">
        <v>189</v>
      </c>
      <c r="H1220" s="33" t="s">
        <v>189</v>
      </c>
      <c r="I1220" s="33" t="s">
        <v>189</v>
      </c>
      <c r="J1220" s="33" t="s">
        <v>189</v>
      </c>
      <c r="K1220" s="33" t="s">
        <v>252</v>
      </c>
    </row>
    <row r="1221" ht="15.75" customHeight="1">
      <c r="A1221" s="33" t="s">
        <v>5405</v>
      </c>
      <c r="B1221" s="33" t="s">
        <v>2650</v>
      </c>
      <c r="C1221" s="33" t="s">
        <v>247</v>
      </c>
      <c r="D1221" s="39">
        <v>46056.0</v>
      </c>
      <c r="E1221" s="40">
        <v>48900.0</v>
      </c>
      <c r="F1221" s="33" t="s">
        <v>241</v>
      </c>
      <c r="G1221" s="33" t="s">
        <v>181</v>
      </c>
      <c r="H1221" s="33" t="s">
        <v>189</v>
      </c>
      <c r="I1221" s="33" t="s">
        <v>189</v>
      </c>
      <c r="J1221" s="33" t="s">
        <v>189</v>
      </c>
      <c r="K1221" s="33" t="s">
        <v>262</v>
      </c>
    </row>
    <row r="1222" ht="15.75" customHeight="1">
      <c r="A1222" s="33" t="s">
        <v>5407</v>
      </c>
      <c r="B1222" s="33" t="s">
        <v>1329</v>
      </c>
      <c r="C1222" s="33" t="s">
        <v>235</v>
      </c>
      <c r="D1222" s="39">
        <v>46020.0</v>
      </c>
      <c r="E1222" s="40">
        <v>34700.0</v>
      </c>
      <c r="F1222" s="33" t="s">
        <v>248</v>
      </c>
      <c r="G1222" s="33" t="s">
        <v>189</v>
      </c>
      <c r="H1222" s="33" t="s">
        <v>189</v>
      </c>
      <c r="I1222" s="33" t="s">
        <v>189</v>
      </c>
      <c r="J1222" s="33" t="s">
        <v>189</v>
      </c>
      <c r="K1222" s="33" t="s">
        <v>252</v>
      </c>
    </row>
    <row r="1223" ht="15.75" customHeight="1">
      <c r="A1223" s="33" t="s">
        <v>3223</v>
      </c>
      <c r="B1223" s="33" t="s">
        <v>496</v>
      </c>
      <c r="C1223" s="33" t="s">
        <v>235</v>
      </c>
      <c r="D1223" s="39">
        <v>46017.0</v>
      </c>
      <c r="E1223" s="40">
        <v>20700.0</v>
      </c>
      <c r="F1223" s="33" t="s">
        <v>230</v>
      </c>
      <c r="G1223" s="33" t="s">
        <v>181</v>
      </c>
      <c r="H1223" s="33" t="s">
        <v>181</v>
      </c>
      <c r="I1223" s="33" t="s">
        <v>181</v>
      </c>
      <c r="J1223" s="33" t="s">
        <v>181</v>
      </c>
      <c r="K1223" s="33" t="s">
        <v>157</v>
      </c>
    </row>
    <row r="1224" ht="15.75" customHeight="1">
      <c r="A1224" s="33" t="s">
        <v>3226</v>
      </c>
      <c r="B1224" s="33" t="s">
        <v>1842</v>
      </c>
      <c r="C1224" s="33" t="s">
        <v>247</v>
      </c>
      <c r="D1224" s="39">
        <v>46084.0</v>
      </c>
      <c r="E1224" s="40">
        <v>49900.0</v>
      </c>
      <c r="F1224" s="33" t="s">
        <v>230</v>
      </c>
      <c r="G1224" s="33" t="s">
        <v>181</v>
      </c>
      <c r="H1224" s="33" t="s">
        <v>181</v>
      </c>
      <c r="I1224" s="33" t="s">
        <v>181</v>
      </c>
      <c r="J1224" s="33" t="s">
        <v>181</v>
      </c>
      <c r="K1224" s="33" t="s">
        <v>157</v>
      </c>
    </row>
    <row r="1225" ht="15.75" customHeight="1">
      <c r="A1225" s="33" t="s">
        <v>5411</v>
      </c>
      <c r="B1225" s="33" t="s">
        <v>590</v>
      </c>
      <c r="C1225" s="33" t="s">
        <v>227</v>
      </c>
      <c r="D1225" s="39">
        <v>46263.0</v>
      </c>
      <c r="E1225" s="40">
        <v>11600.0</v>
      </c>
      <c r="F1225" s="33" t="s">
        <v>241</v>
      </c>
      <c r="G1225" s="33" t="s">
        <v>181</v>
      </c>
      <c r="H1225" s="33" t="s">
        <v>189</v>
      </c>
      <c r="I1225" s="33" t="s">
        <v>189</v>
      </c>
      <c r="J1225" s="33" t="s">
        <v>189</v>
      </c>
      <c r="K1225" s="33" t="s">
        <v>262</v>
      </c>
    </row>
    <row r="1226" ht="15.75" customHeight="1">
      <c r="A1226" s="33" t="s">
        <v>5413</v>
      </c>
      <c r="B1226" s="33" t="s">
        <v>835</v>
      </c>
      <c r="C1226" s="33" t="s">
        <v>235</v>
      </c>
      <c r="D1226" s="39">
        <v>46185.0</v>
      </c>
      <c r="E1226" s="40">
        <v>38400.0</v>
      </c>
      <c r="F1226" s="33" t="s">
        <v>230</v>
      </c>
      <c r="G1226" s="33" t="s">
        <v>181</v>
      </c>
      <c r="H1226" s="33" t="s">
        <v>189</v>
      </c>
      <c r="I1226" s="33" t="s">
        <v>189</v>
      </c>
      <c r="J1226" s="33" t="s">
        <v>189</v>
      </c>
      <c r="K1226" s="33" t="s">
        <v>262</v>
      </c>
    </row>
    <row r="1227" ht="15.75" customHeight="1">
      <c r="A1227" s="33" t="s">
        <v>5415</v>
      </c>
      <c r="B1227" s="33" t="s">
        <v>539</v>
      </c>
      <c r="C1227" s="33" t="s">
        <v>227</v>
      </c>
      <c r="D1227" s="39">
        <v>45846.0</v>
      </c>
      <c r="E1227" s="40">
        <v>14300.0</v>
      </c>
      <c r="F1227" s="33" t="s">
        <v>269</v>
      </c>
      <c r="G1227" s="33" t="s">
        <v>189</v>
      </c>
      <c r="H1227" s="33" t="s">
        <v>189</v>
      </c>
      <c r="I1227" s="33" t="s">
        <v>189</v>
      </c>
      <c r="J1227" s="33" t="s">
        <v>189</v>
      </c>
      <c r="K1227" s="33" t="s">
        <v>252</v>
      </c>
    </row>
    <row r="1228" ht="15.75" customHeight="1">
      <c r="A1228" s="33" t="s">
        <v>3231</v>
      </c>
      <c r="B1228" s="33" t="s">
        <v>948</v>
      </c>
      <c r="C1228" s="33" t="s">
        <v>247</v>
      </c>
      <c r="D1228" s="39">
        <v>46197.0</v>
      </c>
      <c r="E1228" s="40">
        <v>27600.0</v>
      </c>
      <c r="F1228" s="33" t="s">
        <v>241</v>
      </c>
      <c r="G1228" s="33" t="s">
        <v>181</v>
      </c>
      <c r="H1228" s="33" t="s">
        <v>181</v>
      </c>
      <c r="I1228" s="33" t="s">
        <v>181</v>
      </c>
      <c r="J1228" s="33" t="s">
        <v>181</v>
      </c>
      <c r="K1228" s="33" t="s">
        <v>157</v>
      </c>
    </row>
    <row r="1229" ht="15.75" customHeight="1">
      <c r="A1229" s="33" t="s">
        <v>3235</v>
      </c>
      <c r="B1229" s="33" t="s">
        <v>866</v>
      </c>
      <c r="C1229" s="33" t="s">
        <v>227</v>
      </c>
      <c r="D1229" s="39">
        <v>45870.0</v>
      </c>
      <c r="E1229" s="40">
        <v>3700.0</v>
      </c>
      <c r="F1229" s="33" t="s">
        <v>269</v>
      </c>
      <c r="G1229" s="33" t="s">
        <v>181</v>
      </c>
      <c r="H1229" s="33" t="s">
        <v>181</v>
      </c>
      <c r="I1229" s="33" t="s">
        <v>181</v>
      </c>
      <c r="J1229" s="33" t="s">
        <v>181</v>
      </c>
      <c r="K1229" s="33" t="s">
        <v>157</v>
      </c>
    </row>
    <row r="1230" ht="15.75" customHeight="1">
      <c r="A1230" s="33" t="s">
        <v>5418</v>
      </c>
      <c r="B1230" s="33" t="s">
        <v>1116</v>
      </c>
      <c r="C1230" s="33" t="s">
        <v>235</v>
      </c>
      <c r="D1230" s="39">
        <v>45809.0</v>
      </c>
      <c r="E1230" s="40">
        <v>42500.0</v>
      </c>
      <c r="F1230" s="33" t="s">
        <v>230</v>
      </c>
      <c r="G1230" s="33" t="s">
        <v>181</v>
      </c>
      <c r="H1230" s="33" t="s">
        <v>189</v>
      </c>
      <c r="I1230" s="33" t="s">
        <v>189</v>
      </c>
      <c r="J1230" s="33" t="s">
        <v>189</v>
      </c>
      <c r="K1230" s="33" t="s">
        <v>262</v>
      </c>
    </row>
    <row r="1231" ht="15.75" customHeight="1">
      <c r="A1231" s="33" t="s">
        <v>5420</v>
      </c>
      <c r="B1231" s="33" t="s">
        <v>2394</v>
      </c>
      <c r="C1231" s="33" t="s">
        <v>227</v>
      </c>
      <c r="D1231" s="39">
        <v>45778.0</v>
      </c>
      <c r="E1231" s="40">
        <v>18900.0</v>
      </c>
      <c r="F1231" s="33" t="s">
        <v>230</v>
      </c>
      <c r="G1231" s="33" t="s">
        <v>181</v>
      </c>
      <c r="H1231" s="33" t="s">
        <v>189</v>
      </c>
      <c r="I1231" s="33" t="s">
        <v>189</v>
      </c>
      <c r="J1231" s="33" t="s">
        <v>189</v>
      </c>
      <c r="K1231" s="33" t="s">
        <v>262</v>
      </c>
    </row>
    <row r="1232" ht="15.75" customHeight="1">
      <c r="A1232" s="33" t="s">
        <v>3239</v>
      </c>
      <c r="B1232" s="33" t="s">
        <v>2625</v>
      </c>
      <c r="C1232" s="33" t="s">
        <v>227</v>
      </c>
      <c r="D1232" s="39">
        <v>46085.0</v>
      </c>
      <c r="E1232" s="40">
        <v>29600.0</v>
      </c>
      <c r="F1232" s="33" t="s">
        <v>269</v>
      </c>
      <c r="G1232" s="33" t="s">
        <v>181</v>
      </c>
      <c r="H1232" s="33" t="s">
        <v>181</v>
      </c>
      <c r="I1232" s="33" t="s">
        <v>181</v>
      </c>
      <c r="J1232" s="33" t="s">
        <v>181</v>
      </c>
      <c r="K1232" s="33" t="s">
        <v>157</v>
      </c>
    </row>
    <row r="1233" ht="15.75" customHeight="1">
      <c r="A1233" s="33" t="s">
        <v>5423</v>
      </c>
      <c r="B1233" s="33" t="s">
        <v>1830</v>
      </c>
      <c r="C1233" s="33" t="s">
        <v>227</v>
      </c>
      <c r="D1233" s="39">
        <v>45939.0</v>
      </c>
      <c r="E1233" s="40">
        <v>46400.0</v>
      </c>
      <c r="F1233" s="33" t="s">
        <v>248</v>
      </c>
      <c r="G1233" s="33" t="s">
        <v>181</v>
      </c>
      <c r="H1233" s="33" t="s">
        <v>189</v>
      </c>
      <c r="I1233" s="33" t="s">
        <v>189</v>
      </c>
      <c r="J1233" s="33" t="s">
        <v>189</v>
      </c>
      <c r="K1233" s="33" t="s">
        <v>262</v>
      </c>
    </row>
    <row r="1234" ht="15.75" customHeight="1">
      <c r="A1234" s="33" t="s">
        <v>3244</v>
      </c>
      <c r="B1234" s="33" t="s">
        <v>3242</v>
      </c>
      <c r="C1234" s="33" t="s">
        <v>247</v>
      </c>
      <c r="D1234" s="39">
        <v>46160.0</v>
      </c>
      <c r="E1234" s="40">
        <v>2500.0</v>
      </c>
      <c r="F1234" s="33" t="s">
        <v>269</v>
      </c>
      <c r="G1234" s="33" t="s">
        <v>181</v>
      </c>
      <c r="H1234" s="33" t="s">
        <v>181</v>
      </c>
      <c r="I1234" s="33" t="s">
        <v>181</v>
      </c>
      <c r="J1234" s="33" t="s">
        <v>181</v>
      </c>
      <c r="K1234" s="33" t="s">
        <v>157</v>
      </c>
    </row>
    <row r="1235" ht="15.75" customHeight="1">
      <c r="A1235" s="33" t="s">
        <v>3247</v>
      </c>
      <c r="B1235" s="33" t="s">
        <v>2826</v>
      </c>
      <c r="C1235" s="33" t="s">
        <v>227</v>
      </c>
      <c r="D1235" s="39">
        <v>46166.0</v>
      </c>
      <c r="E1235" s="40">
        <v>48400.0</v>
      </c>
      <c r="F1235" s="33" t="s">
        <v>248</v>
      </c>
      <c r="G1235" s="33" t="s">
        <v>181</v>
      </c>
      <c r="H1235" s="33" t="s">
        <v>181</v>
      </c>
      <c r="I1235" s="33" t="s">
        <v>181</v>
      </c>
      <c r="J1235" s="33" t="s">
        <v>181</v>
      </c>
      <c r="K1235" s="33" t="s">
        <v>157</v>
      </c>
    </row>
    <row r="1236" ht="15.75" customHeight="1">
      <c r="A1236" s="33" t="s">
        <v>5427</v>
      </c>
      <c r="B1236" s="33" t="s">
        <v>3310</v>
      </c>
      <c r="C1236" s="33" t="s">
        <v>235</v>
      </c>
      <c r="D1236" s="39">
        <v>45984.0</v>
      </c>
      <c r="E1236" s="40">
        <v>26700.0</v>
      </c>
      <c r="F1236" s="33" t="s">
        <v>241</v>
      </c>
      <c r="G1236" s="33" t="s">
        <v>189</v>
      </c>
      <c r="H1236" s="33" t="s">
        <v>189</v>
      </c>
      <c r="I1236" s="33" t="s">
        <v>189</v>
      </c>
      <c r="J1236" s="33" t="s">
        <v>189</v>
      </c>
      <c r="K1236" s="33" t="s">
        <v>252</v>
      </c>
    </row>
    <row r="1237" ht="15.75" customHeight="1">
      <c r="A1237" s="33" t="s">
        <v>3250</v>
      </c>
      <c r="B1237" s="33" t="s">
        <v>2453</v>
      </c>
      <c r="C1237" s="33" t="s">
        <v>247</v>
      </c>
      <c r="D1237" s="39">
        <v>45786.0</v>
      </c>
      <c r="E1237" s="40">
        <v>39300.0</v>
      </c>
      <c r="F1237" s="33" t="s">
        <v>241</v>
      </c>
      <c r="G1237" s="33" t="s">
        <v>181</v>
      </c>
      <c r="H1237" s="33" t="s">
        <v>181</v>
      </c>
      <c r="I1237" s="33" t="s">
        <v>181</v>
      </c>
      <c r="J1237" s="33" t="s">
        <v>181</v>
      </c>
      <c r="K1237" s="33" t="s">
        <v>157</v>
      </c>
    </row>
    <row r="1238" ht="15.75" customHeight="1">
      <c r="A1238" s="33" t="s">
        <v>3254</v>
      </c>
      <c r="B1238" s="33" t="s">
        <v>623</v>
      </c>
      <c r="C1238" s="33" t="s">
        <v>235</v>
      </c>
      <c r="D1238" s="39">
        <v>45725.0</v>
      </c>
      <c r="E1238" s="40">
        <v>24200.0</v>
      </c>
      <c r="F1238" s="33" t="s">
        <v>241</v>
      </c>
      <c r="G1238" s="33" t="s">
        <v>181</v>
      </c>
      <c r="H1238" s="33" t="s">
        <v>181</v>
      </c>
      <c r="I1238" s="33" t="s">
        <v>181</v>
      </c>
      <c r="J1238" s="33" t="s">
        <v>181</v>
      </c>
      <c r="K1238" s="33" t="s">
        <v>157</v>
      </c>
    </row>
    <row r="1239" ht="15.75" customHeight="1">
      <c r="A1239" s="33" t="s">
        <v>5431</v>
      </c>
      <c r="B1239" s="33" t="s">
        <v>1735</v>
      </c>
      <c r="C1239" s="33" t="s">
        <v>227</v>
      </c>
      <c r="D1239" s="39">
        <v>46241.0</v>
      </c>
      <c r="E1239" s="40">
        <v>41000.0</v>
      </c>
      <c r="F1239" s="33" t="s">
        <v>241</v>
      </c>
      <c r="G1239" s="33" t="s">
        <v>181</v>
      </c>
      <c r="H1239" s="33" t="s">
        <v>181</v>
      </c>
      <c r="I1239" s="33" t="s">
        <v>181</v>
      </c>
      <c r="J1239" s="33" t="s">
        <v>189</v>
      </c>
      <c r="K1239" s="33" t="s">
        <v>365</v>
      </c>
    </row>
    <row r="1240" ht="15.75" customHeight="1">
      <c r="A1240" s="33" t="s">
        <v>5433</v>
      </c>
      <c r="B1240" s="33" t="s">
        <v>1305</v>
      </c>
      <c r="C1240" s="33" t="s">
        <v>247</v>
      </c>
      <c r="D1240" s="39">
        <v>45844.0</v>
      </c>
      <c r="E1240" s="40">
        <v>44100.0</v>
      </c>
      <c r="F1240" s="33" t="s">
        <v>248</v>
      </c>
      <c r="G1240" s="33" t="s">
        <v>181</v>
      </c>
      <c r="H1240" s="33" t="s">
        <v>189</v>
      </c>
      <c r="I1240" s="33" t="s">
        <v>189</v>
      </c>
      <c r="J1240" s="33" t="s">
        <v>189</v>
      </c>
      <c r="K1240" s="33" t="s">
        <v>262</v>
      </c>
    </row>
    <row r="1241" ht="15.75" customHeight="1">
      <c r="A1241" s="33" t="s">
        <v>5435</v>
      </c>
      <c r="B1241" s="33" t="s">
        <v>953</v>
      </c>
      <c r="C1241" s="33" t="s">
        <v>247</v>
      </c>
      <c r="D1241" s="39">
        <v>45665.0</v>
      </c>
      <c r="E1241" s="40">
        <v>19700.0</v>
      </c>
      <c r="F1241" s="33" t="s">
        <v>230</v>
      </c>
      <c r="G1241" s="33" t="s">
        <v>181</v>
      </c>
      <c r="H1241" s="33" t="s">
        <v>189</v>
      </c>
      <c r="I1241" s="33" t="s">
        <v>189</v>
      </c>
      <c r="J1241" s="33" t="s">
        <v>189</v>
      </c>
      <c r="K1241" s="33" t="s">
        <v>262</v>
      </c>
    </row>
    <row r="1242" ht="15.75" customHeight="1">
      <c r="A1242" s="33" t="s">
        <v>5437</v>
      </c>
      <c r="B1242" s="33" t="s">
        <v>1705</v>
      </c>
      <c r="C1242" s="33" t="s">
        <v>235</v>
      </c>
      <c r="D1242" s="39">
        <v>45898.0</v>
      </c>
      <c r="E1242" s="40">
        <v>36400.0</v>
      </c>
      <c r="F1242" s="33" t="s">
        <v>230</v>
      </c>
      <c r="G1242" s="33" t="s">
        <v>181</v>
      </c>
      <c r="H1242" s="33" t="s">
        <v>189</v>
      </c>
      <c r="I1242" s="33" t="s">
        <v>189</v>
      </c>
      <c r="J1242" s="33" t="s">
        <v>189</v>
      </c>
      <c r="K1242" s="33" t="s">
        <v>262</v>
      </c>
    </row>
    <row r="1243" ht="15.75" customHeight="1">
      <c r="A1243" s="33" t="s">
        <v>5439</v>
      </c>
      <c r="B1243" s="33" t="s">
        <v>1995</v>
      </c>
      <c r="C1243" s="33" t="s">
        <v>227</v>
      </c>
      <c r="D1243" s="39">
        <v>46146.0</v>
      </c>
      <c r="E1243" s="40">
        <v>49900.0</v>
      </c>
      <c r="F1243" s="33" t="s">
        <v>269</v>
      </c>
      <c r="G1243" s="33" t="s">
        <v>181</v>
      </c>
      <c r="H1243" s="33" t="s">
        <v>181</v>
      </c>
      <c r="I1243" s="33" t="s">
        <v>181</v>
      </c>
      <c r="J1243" s="33" t="s">
        <v>189</v>
      </c>
      <c r="K1243" s="33" t="s">
        <v>365</v>
      </c>
    </row>
    <row r="1244" ht="15.75" customHeight="1">
      <c r="A1244" s="33" t="s">
        <v>3257</v>
      </c>
      <c r="B1244" s="33" t="s">
        <v>2259</v>
      </c>
      <c r="C1244" s="33" t="s">
        <v>227</v>
      </c>
      <c r="D1244" s="39">
        <v>45713.0</v>
      </c>
      <c r="E1244" s="40">
        <v>38100.0</v>
      </c>
      <c r="F1244" s="33" t="s">
        <v>230</v>
      </c>
      <c r="G1244" s="33" t="s">
        <v>181</v>
      </c>
      <c r="H1244" s="33" t="s">
        <v>181</v>
      </c>
      <c r="I1244" s="33" t="s">
        <v>181</v>
      </c>
      <c r="J1244" s="33" t="s">
        <v>181</v>
      </c>
      <c r="K1244" s="33" t="s">
        <v>157</v>
      </c>
    </row>
    <row r="1245" ht="15.75" customHeight="1">
      <c r="A1245" s="33" t="s">
        <v>3260</v>
      </c>
      <c r="B1245" s="33" t="s">
        <v>623</v>
      </c>
      <c r="C1245" s="33" t="s">
        <v>227</v>
      </c>
      <c r="D1245" s="39">
        <v>46077.0</v>
      </c>
      <c r="E1245" s="40">
        <v>47900.0</v>
      </c>
      <c r="F1245" s="33" t="s">
        <v>248</v>
      </c>
      <c r="G1245" s="33" t="s">
        <v>181</v>
      </c>
      <c r="H1245" s="33" t="s">
        <v>181</v>
      </c>
      <c r="I1245" s="33" t="s">
        <v>181</v>
      </c>
      <c r="J1245" s="33" t="s">
        <v>181</v>
      </c>
      <c r="K1245" s="33" t="s">
        <v>157</v>
      </c>
    </row>
    <row r="1246" ht="15.75" customHeight="1">
      <c r="A1246" s="33" t="s">
        <v>5443</v>
      </c>
      <c r="B1246" s="33" t="s">
        <v>415</v>
      </c>
      <c r="C1246" s="33" t="s">
        <v>247</v>
      </c>
      <c r="D1246" s="39">
        <v>45910.0</v>
      </c>
      <c r="E1246" s="40">
        <v>37100.0</v>
      </c>
      <c r="F1246" s="33" t="s">
        <v>230</v>
      </c>
      <c r="G1246" s="33" t="s">
        <v>189</v>
      </c>
      <c r="H1246" s="33" t="s">
        <v>189</v>
      </c>
      <c r="I1246" s="33" t="s">
        <v>189</v>
      </c>
      <c r="J1246" s="33" t="s">
        <v>189</v>
      </c>
      <c r="K1246" s="33" t="s">
        <v>252</v>
      </c>
    </row>
    <row r="1247" ht="15.75" customHeight="1">
      <c r="A1247" s="33" t="s">
        <v>5445</v>
      </c>
      <c r="B1247" s="33" t="s">
        <v>592</v>
      </c>
      <c r="C1247" s="33" t="s">
        <v>235</v>
      </c>
      <c r="D1247" s="39">
        <v>46207.0</v>
      </c>
      <c r="E1247" s="40">
        <v>17200.0</v>
      </c>
      <c r="F1247" s="33" t="s">
        <v>241</v>
      </c>
      <c r="G1247" s="33" t="s">
        <v>189</v>
      </c>
      <c r="H1247" s="33" t="s">
        <v>189</v>
      </c>
      <c r="I1247" s="33" t="s">
        <v>189</v>
      </c>
      <c r="J1247" s="33" t="s">
        <v>189</v>
      </c>
      <c r="K1247" s="33" t="s">
        <v>252</v>
      </c>
    </row>
    <row r="1248" ht="15.75" customHeight="1">
      <c r="A1248" s="33" t="s">
        <v>3263</v>
      </c>
      <c r="B1248" s="33" t="s">
        <v>1067</v>
      </c>
      <c r="C1248" s="33" t="s">
        <v>227</v>
      </c>
      <c r="D1248" s="39">
        <v>45930.0</v>
      </c>
      <c r="E1248" s="40">
        <v>41500.0</v>
      </c>
      <c r="F1248" s="33" t="s">
        <v>269</v>
      </c>
      <c r="G1248" s="33" t="s">
        <v>181</v>
      </c>
      <c r="H1248" s="33" t="s">
        <v>181</v>
      </c>
      <c r="I1248" s="33" t="s">
        <v>181</v>
      </c>
      <c r="J1248" s="33" t="s">
        <v>181</v>
      </c>
      <c r="K1248" s="33" t="s">
        <v>157</v>
      </c>
    </row>
    <row r="1249" ht="15.75" customHeight="1">
      <c r="A1249" s="33" t="s">
        <v>3266</v>
      </c>
      <c r="B1249" s="33" t="s">
        <v>614</v>
      </c>
      <c r="C1249" s="33" t="s">
        <v>247</v>
      </c>
      <c r="D1249" s="39">
        <v>45974.0</v>
      </c>
      <c r="E1249" s="40">
        <v>33700.0</v>
      </c>
      <c r="F1249" s="33" t="s">
        <v>269</v>
      </c>
      <c r="G1249" s="33" t="s">
        <v>181</v>
      </c>
      <c r="H1249" s="33" t="s">
        <v>181</v>
      </c>
      <c r="I1249" s="33" t="s">
        <v>181</v>
      </c>
      <c r="J1249" s="33" t="s">
        <v>181</v>
      </c>
      <c r="K1249" s="33" t="s">
        <v>157</v>
      </c>
    </row>
    <row r="1250" ht="15.75" customHeight="1">
      <c r="A1250" s="33" t="s">
        <v>5449</v>
      </c>
      <c r="B1250" s="33" t="s">
        <v>2990</v>
      </c>
      <c r="C1250" s="33" t="s">
        <v>227</v>
      </c>
      <c r="D1250" s="39">
        <v>45935.0</v>
      </c>
      <c r="E1250" s="40">
        <v>2600.0</v>
      </c>
      <c r="F1250" s="33" t="s">
        <v>248</v>
      </c>
      <c r="G1250" s="33" t="s">
        <v>181</v>
      </c>
      <c r="H1250" s="33" t="s">
        <v>189</v>
      </c>
      <c r="I1250" s="33" t="s">
        <v>189</v>
      </c>
      <c r="J1250" s="33" t="s">
        <v>189</v>
      </c>
      <c r="K1250" s="33" t="s">
        <v>262</v>
      </c>
    </row>
    <row r="1251" ht="15.75" customHeight="1">
      <c r="A1251" s="33" t="s">
        <v>5451</v>
      </c>
      <c r="B1251" s="33" t="s">
        <v>1372</v>
      </c>
      <c r="C1251" s="33" t="s">
        <v>227</v>
      </c>
      <c r="D1251" s="39">
        <v>46071.0</v>
      </c>
      <c r="E1251" s="40">
        <v>9400.0</v>
      </c>
      <c r="F1251" s="33" t="s">
        <v>241</v>
      </c>
      <c r="G1251" s="33" t="s">
        <v>181</v>
      </c>
      <c r="H1251" s="33" t="s">
        <v>189</v>
      </c>
      <c r="I1251" s="33" t="s">
        <v>189</v>
      </c>
      <c r="J1251" s="33" t="s">
        <v>189</v>
      </c>
      <c r="K1251" s="33" t="s">
        <v>262</v>
      </c>
    </row>
    <row r="1252" ht="15.75" customHeight="1">
      <c r="A1252" s="33" t="s">
        <v>3269</v>
      </c>
      <c r="B1252" s="33" t="s">
        <v>1700</v>
      </c>
      <c r="C1252" s="33" t="s">
        <v>235</v>
      </c>
      <c r="D1252" s="39">
        <v>45701.0</v>
      </c>
      <c r="E1252" s="40">
        <v>13800.0</v>
      </c>
      <c r="F1252" s="33" t="s">
        <v>230</v>
      </c>
      <c r="G1252" s="33" t="s">
        <v>181</v>
      </c>
      <c r="H1252" s="33" t="s">
        <v>181</v>
      </c>
      <c r="I1252" s="33" t="s">
        <v>181</v>
      </c>
      <c r="J1252" s="33" t="s">
        <v>181</v>
      </c>
      <c r="K1252" s="33" t="s">
        <v>157</v>
      </c>
    </row>
    <row r="1253" ht="15.75" customHeight="1">
      <c r="A1253" s="33" t="s">
        <v>5454</v>
      </c>
      <c r="B1253" s="33" t="s">
        <v>1705</v>
      </c>
      <c r="C1253" s="33" t="s">
        <v>247</v>
      </c>
      <c r="D1253" s="39">
        <v>45688.0</v>
      </c>
      <c r="E1253" s="40">
        <v>37400.0</v>
      </c>
      <c r="F1253" s="33" t="s">
        <v>241</v>
      </c>
      <c r="G1253" s="33" t="s">
        <v>189</v>
      </c>
      <c r="H1253" s="33" t="s">
        <v>189</v>
      </c>
      <c r="I1253" s="33" t="s">
        <v>189</v>
      </c>
      <c r="J1253" s="33" t="s">
        <v>189</v>
      </c>
      <c r="K1253" s="33" t="s">
        <v>252</v>
      </c>
    </row>
    <row r="1254" ht="15.75" customHeight="1">
      <c r="A1254" s="33" t="s">
        <v>3272</v>
      </c>
      <c r="B1254" s="33" t="s">
        <v>866</v>
      </c>
      <c r="C1254" s="33" t="s">
        <v>235</v>
      </c>
      <c r="D1254" s="39">
        <v>46011.0</v>
      </c>
      <c r="E1254" s="40">
        <v>40100.0</v>
      </c>
      <c r="F1254" s="33" t="s">
        <v>241</v>
      </c>
      <c r="G1254" s="33" t="s">
        <v>181</v>
      </c>
      <c r="H1254" s="33" t="s">
        <v>181</v>
      </c>
      <c r="I1254" s="33" t="s">
        <v>181</v>
      </c>
      <c r="J1254" s="33" t="s">
        <v>181</v>
      </c>
      <c r="K1254" s="33" t="s">
        <v>157</v>
      </c>
    </row>
    <row r="1255" ht="15.75" customHeight="1">
      <c r="A1255" s="33" t="s">
        <v>5457</v>
      </c>
      <c r="B1255" s="33" t="s">
        <v>759</v>
      </c>
      <c r="C1255" s="33" t="s">
        <v>247</v>
      </c>
      <c r="D1255" s="39">
        <v>45897.0</v>
      </c>
      <c r="E1255" s="40">
        <v>41500.0</v>
      </c>
      <c r="F1255" s="33" t="s">
        <v>230</v>
      </c>
      <c r="G1255" s="33" t="s">
        <v>181</v>
      </c>
      <c r="H1255" s="33" t="s">
        <v>189</v>
      </c>
      <c r="I1255" s="33" t="s">
        <v>189</v>
      </c>
      <c r="J1255" s="33" t="s">
        <v>189</v>
      </c>
      <c r="K1255" s="33" t="s">
        <v>262</v>
      </c>
    </row>
    <row r="1256" ht="15.75" customHeight="1">
      <c r="A1256" s="33" t="s">
        <v>3275</v>
      </c>
      <c r="B1256" s="33" t="s">
        <v>305</v>
      </c>
      <c r="C1256" s="33" t="s">
        <v>247</v>
      </c>
      <c r="D1256" s="39">
        <v>45759.0</v>
      </c>
      <c r="E1256" s="40">
        <v>4300.0</v>
      </c>
      <c r="F1256" s="33" t="s">
        <v>230</v>
      </c>
      <c r="G1256" s="33" t="s">
        <v>181</v>
      </c>
      <c r="H1256" s="33" t="s">
        <v>181</v>
      </c>
      <c r="I1256" s="33" t="s">
        <v>181</v>
      </c>
      <c r="J1256" s="33" t="s">
        <v>181</v>
      </c>
      <c r="K1256" s="33" t="s">
        <v>157</v>
      </c>
    </row>
    <row r="1257" ht="15.75" customHeight="1">
      <c r="A1257" s="33" t="s">
        <v>5460</v>
      </c>
      <c r="B1257" s="33" t="s">
        <v>493</v>
      </c>
      <c r="C1257" s="33" t="s">
        <v>247</v>
      </c>
      <c r="D1257" s="39">
        <v>46125.0</v>
      </c>
      <c r="E1257" s="40">
        <v>4500.0</v>
      </c>
      <c r="F1257" s="33" t="s">
        <v>230</v>
      </c>
      <c r="G1257" s="33" t="s">
        <v>181</v>
      </c>
      <c r="H1257" s="33" t="s">
        <v>189</v>
      </c>
      <c r="I1257" s="33" t="s">
        <v>189</v>
      </c>
      <c r="J1257" s="33" t="s">
        <v>189</v>
      </c>
      <c r="K1257" s="33" t="s">
        <v>262</v>
      </c>
    </row>
    <row r="1258" ht="15.75" customHeight="1">
      <c r="A1258" s="33" t="s">
        <v>3279</v>
      </c>
      <c r="B1258" s="33" t="s">
        <v>2579</v>
      </c>
      <c r="C1258" s="33" t="s">
        <v>247</v>
      </c>
      <c r="D1258" s="39">
        <v>46112.0</v>
      </c>
      <c r="E1258" s="40">
        <v>15700.0</v>
      </c>
      <c r="F1258" s="33" t="s">
        <v>230</v>
      </c>
      <c r="G1258" s="33" t="s">
        <v>181</v>
      </c>
      <c r="H1258" s="33" t="s">
        <v>181</v>
      </c>
      <c r="I1258" s="33" t="s">
        <v>181</v>
      </c>
      <c r="J1258" s="33" t="s">
        <v>181</v>
      </c>
      <c r="K1258" s="33" t="s">
        <v>157</v>
      </c>
    </row>
    <row r="1259" ht="15.75" customHeight="1">
      <c r="A1259" s="33" t="s">
        <v>3281</v>
      </c>
      <c r="B1259" s="33" t="s">
        <v>3039</v>
      </c>
      <c r="C1259" s="33" t="s">
        <v>227</v>
      </c>
      <c r="D1259" s="39">
        <v>45724.0</v>
      </c>
      <c r="E1259" s="40">
        <v>34400.0</v>
      </c>
      <c r="F1259" s="33" t="s">
        <v>230</v>
      </c>
      <c r="G1259" s="33" t="s">
        <v>181</v>
      </c>
      <c r="H1259" s="33" t="s">
        <v>181</v>
      </c>
      <c r="I1259" s="33" t="s">
        <v>181</v>
      </c>
      <c r="J1259" s="33" t="s">
        <v>181</v>
      </c>
      <c r="K1259" s="33" t="s">
        <v>157</v>
      </c>
    </row>
    <row r="1260" ht="15.75" customHeight="1">
      <c r="A1260" s="33" t="s">
        <v>3286</v>
      </c>
      <c r="B1260" s="33" t="s">
        <v>1325</v>
      </c>
      <c r="C1260" s="33" t="s">
        <v>227</v>
      </c>
      <c r="D1260" s="39">
        <v>45769.0</v>
      </c>
      <c r="E1260" s="40">
        <v>42300.0</v>
      </c>
      <c r="F1260" s="33" t="s">
        <v>230</v>
      </c>
      <c r="G1260" s="33" t="s">
        <v>181</v>
      </c>
      <c r="H1260" s="33" t="s">
        <v>181</v>
      </c>
      <c r="I1260" s="33" t="s">
        <v>181</v>
      </c>
      <c r="J1260" s="33" t="s">
        <v>181</v>
      </c>
      <c r="K1260" s="33" t="s">
        <v>157</v>
      </c>
    </row>
    <row r="1261" ht="15.75" customHeight="1">
      <c r="A1261" s="33" t="s">
        <v>3290</v>
      </c>
      <c r="B1261" s="33" t="s">
        <v>389</v>
      </c>
      <c r="C1261" s="33" t="s">
        <v>227</v>
      </c>
      <c r="D1261" s="39">
        <v>46132.0</v>
      </c>
      <c r="E1261" s="40">
        <v>43600.0</v>
      </c>
      <c r="F1261" s="33" t="s">
        <v>230</v>
      </c>
      <c r="G1261" s="33" t="s">
        <v>181</v>
      </c>
      <c r="H1261" s="33" t="s">
        <v>181</v>
      </c>
      <c r="I1261" s="33" t="s">
        <v>181</v>
      </c>
      <c r="J1261" s="33" t="s">
        <v>181</v>
      </c>
      <c r="K1261" s="33" t="s">
        <v>157</v>
      </c>
    </row>
    <row r="1262" ht="15.75" customHeight="1">
      <c r="A1262" s="33" t="s">
        <v>5465</v>
      </c>
      <c r="B1262" s="33" t="s">
        <v>305</v>
      </c>
      <c r="C1262" s="33" t="s">
        <v>247</v>
      </c>
      <c r="D1262" s="39">
        <v>45948.0</v>
      </c>
      <c r="E1262" s="40">
        <v>11200.0</v>
      </c>
      <c r="F1262" s="33" t="s">
        <v>230</v>
      </c>
      <c r="G1262" s="33" t="s">
        <v>189</v>
      </c>
      <c r="H1262" s="33" t="s">
        <v>189</v>
      </c>
      <c r="I1262" s="33" t="s">
        <v>189</v>
      </c>
      <c r="J1262" s="33" t="s">
        <v>189</v>
      </c>
      <c r="K1262" s="33" t="s">
        <v>252</v>
      </c>
    </row>
    <row r="1263" ht="15.75" customHeight="1">
      <c r="A1263" s="33" t="s">
        <v>5467</v>
      </c>
      <c r="B1263" s="33" t="s">
        <v>864</v>
      </c>
      <c r="C1263" s="33" t="s">
        <v>247</v>
      </c>
      <c r="D1263" s="39">
        <v>45845.0</v>
      </c>
      <c r="E1263" s="40">
        <v>38600.0</v>
      </c>
      <c r="F1263" s="33" t="s">
        <v>230</v>
      </c>
      <c r="G1263" s="33" t="s">
        <v>189</v>
      </c>
      <c r="H1263" s="33" t="s">
        <v>189</v>
      </c>
      <c r="I1263" s="33" t="s">
        <v>189</v>
      </c>
      <c r="J1263" s="33" t="s">
        <v>189</v>
      </c>
      <c r="K1263" s="33" t="s">
        <v>252</v>
      </c>
    </row>
    <row r="1264" ht="15.75" customHeight="1">
      <c r="A1264" s="33" t="s">
        <v>3293</v>
      </c>
      <c r="B1264" s="33" t="s">
        <v>815</v>
      </c>
      <c r="C1264" s="33" t="s">
        <v>247</v>
      </c>
      <c r="D1264" s="39">
        <v>45979.0</v>
      </c>
      <c r="E1264" s="40">
        <v>32400.0</v>
      </c>
      <c r="F1264" s="33" t="s">
        <v>241</v>
      </c>
      <c r="G1264" s="33" t="s">
        <v>181</v>
      </c>
      <c r="H1264" s="33" t="s">
        <v>181</v>
      </c>
      <c r="I1264" s="33" t="s">
        <v>181</v>
      </c>
      <c r="J1264" s="33" t="s">
        <v>181</v>
      </c>
      <c r="K1264" s="33" t="s">
        <v>157</v>
      </c>
    </row>
    <row r="1265" ht="15.75" customHeight="1">
      <c r="A1265" s="33" t="s">
        <v>3298</v>
      </c>
      <c r="B1265" s="33" t="s">
        <v>1660</v>
      </c>
      <c r="C1265" s="33" t="s">
        <v>227</v>
      </c>
      <c r="D1265" s="39">
        <v>45872.0</v>
      </c>
      <c r="E1265" s="40">
        <v>46400.0</v>
      </c>
      <c r="F1265" s="33" t="s">
        <v>269</v>
      </c>
      <c r="G1265" s="33" t="s">
        <v>181</v>
      </c>
      <c r="H1265" s="33" t="s">
        <v>181</v>
      </c>
      <c r="I1265" s="33" t="s">
        <v>181</v>
      </c>
      <c r="J1265" s="33" t="s">
        <v>181</v>
      </c>
      <c r="K1265" s="33" t="s">
        <v>157</v>
      </c>
    </row>
    <row r="1266" ht="15.75" customHeight="1">
      <c r="A1266" s="33" t="s">
        <v>5471</v>
      </c>
      <c r="B1266" s="33" t="s">
        <v>3572</v>
      </c>
      <c r="C1266" s="33" t="s">
        <v>247</v>
      </c>
      <c r="D1266" s="39">
        <v>45714.0</v>
      </c>
      <c r="E1266" s="40">
        <v>38900.0</v>
      </c>
      <c r="F1266" s="33" t="s">
        <v>230</v>
      </c>
      <c r="G1266" s="33" t="s">
        <v>181</v>
      </c>
      <c r="H1266" s="33" t="s">
        <v>189</v>
      </c>
      <c r="I1266" s="33" t="s">
        <v>189</v>
      </c>
      <c r="J1266" s="33" t="s">
        <v>189</v>
      </c>
      <c r="K1266" s="33" t="s">
        <v>262</v>
      </c>
    </row>
    <row r="1267" ht="15.75" customHeight="1">
      <c r="A1267" s="33" t="s">
        <v>3302</v>
      </c>
      <c r="B1267" s="33" t="s">
        <v>1237</v>
      </c>
      <c r="C1267" s="33" t="s">
        <v>227</v>
      </c>
      <c r="D1267" s="39">
        <v>46050.0</v>
      </c>
      <c r="E1267" s="40">
        <v>26900.0</v>
      </c>
      <c r="F1267" s="33" t="s">
        <v>241</v>
      </c>
      <c r="G1267" s="33" t="s">
        <v>181</v>
      </c>
      <c r="H1267" s="33" t="s">
        <v>181</v>
      </c>
      <c r="I1267" s="33" t="s">
        <v>181</v>
      </c>
      <c r="J1267" s="33" t="s">
        <v>181</v>
      </c>
      <c r="K1267" s="33" t="s">
        <v>157</v>
      </c>
    </row>
    <row r="1268" ht="15.75" customHeight="1">
      <c r="A1268" s="33" t="s">
        <v>3306</v>
      </c>
      <c r="B1268" s="33" t="s">
        <v>3305</v>
      </c>
      <c r="C1268" s="33" t="s">
        <v>235</v>
      </c>
      <c r="D1268" s="39">
        <v>46080.0</v>
      </c>
      <c r="E1268" s="40">
        <v>39400.0</v>
      </c>
      <c r="F1268" s="33" t="s">
        <v>269</v>
      </c>
      <c r="G1268" s="33" t="s">
        <v>181</v>
      </c>
      <c r="H1268" s="33" t="s">
        <v>181</v>
      </c>
      <c r="I1268" s="33" t="s">
        <v>181</v>
      </c>
      <c r="J1268" s="33" t="s">
        <v>181</v>
      </c>
      <c r="K1268" s="33" t="s">
        <v>157</v>
      </c>
    </row>
    <row r="1269" ht="15.75" customHeight="1">
      <c r="A1269" s="33" t="s">
        <v>5475</v>
      </c>
      <c r="B1269" s="33" t="s">
        <v>828</v>
      </c>
      <c r="C1269" s="33" t="s">
        <v>227</v>
      </c>
      <c r="D1269" s="39">
        <v>45705.0</v>
      </c>
      <c r="E1269" s="40">
        <v>16100.0</v>
      </c>
      <c r="F1269" s="33" t="s">
        <v>230</v>
      </c>
      <c r="G1269" s="33" t="s">
        <v>181</v>
      </c>
      <c r="H1269" s="33" t="s">
        <v>189</v>
      </c>
      <c r="I1269" s="33" t="s">
        <v>189</v>
      </c>
      <c r="J1269" s="33" t="s">
        <v>189</v>
      </c>
      <c r="K1269" s="33" t="s">
        <v>262</v>
      </c>
    </row>
    <row r="1270" ht="15.75" customHeight="1">
      <c r="A1270" s="33" t="s">
        <v>5477</v>
      </c>
      <c r="B1270" s="33" t="s">
        <v>467</v>
      </c>
      <c r="C1270" s="33" t="s">
        <v>247</v>
      </c>
      <c r="D1270" s="39">
        <v>45809.0</v>
      </c>
      <c r="E1270" s="40">
        <v>39500.0</v>
      </c>
      <c r="F1270" s="33" t="s">
        <v>241</v>
      </c>
      <c r="G1270" s="33" t="s">
        <v>189</v>
      </c>
      <c r="H1270" s="33" t="s">
        <v>189</v>
      </c>
      <c r="I1270" s="33" t="s">
        <v>189</v>
      </c>
      <c r="J1270" s="33" t="s">
        <v>189</v>
      </c>
      <c r="K1270" s="33" t="s">
        <v>252</v>
      </c>
    </row>
    <row r="1271" ht="15.75" customHeight="1">
      <c r="A1271" s="33" t="s">
        <v>3311</v>
      </c>
      <c r="B1271" s="33" t="s">
        <v>3310</v>
      </c>
      <c r="C1271" s="33" t="s">
        <v>227</v>
      </c>
      <c r="D1271" s="39">
        <v>46037.0</v>
      </c>
      <c r="E1271" s="40">
        <v>39300.0</v>
      </c>
      <c r="F1271" s="33" t="s">
        <v>269</v>
      </c>
      <c r="G1271" s="33" t="s">
        <v>181</v>
      </c>
      <c r="H1271" s="33" t="s">
        <v>181</v>
      </c>
      <c r="I1271" s="33" t="s">
        <v>181</v>
      </c>
      <c r="J1271" s="33" t="s">
        <v>181</v>
      </c>
      <c r="K1271" s="33" t="s">
        <v>157</v>
      </c>
    </row>
    <row r="1272" ht="15.75" customHeight="1">
      <c r="A1272" s="33" t="s">
        <v>3315</v>
      </c>
      <c r="B1272" s="33" t="s">
        <v>1796</v>
      </c>
      <c r="C1272" s="33" t="s">
        <v>227</v>
      </c>
      <c r="D1272" s="39">
        <v>46117.0</v>
      </c>
      <c r="E1272" s="40">
        <v>42900.0</v>
      </c>
      <c r="F1272" s="33" t="s">
        <v>241</v>
      </c>
      <c r="G1272" s="33" t="s">
        <v>181</v>
      </c>
      <c r="H1272" s="33" t="s">
        <v>181</v>
      </c>
      <c r="I1272" s="33" t="s">
        <v>181</v>
      </c>
      <c r="J1272" s="33" t="s">
        <v>181</v>
      </c>
      <c r="K1272" s="33" t="s">
        <v>157</v>
      </c>
    </row>
    <row r="1273" ht="15.75" customHeight="1">
      <c r="A1273" s="33" t="s">
        <v>5481</v>
      </c>
      <c r="B1273" s="33" t="s">
        <v>1842</v>
      </c>
      <c r="C1273" s="33" t="s">
        <v>247</v>
      </c>
      <c r="D1273" s="39">
        <v>46212.0</v>
      </c>
      <c r="E1273" s="40">
        <v>12900.0</v>
      </c>
      <c r="F1273" s="33" t="s">
        <v>248</v>
      </c>
      <c r="G1273" s="33" t="s">
        <v>189</v>
      </c>
      <c r="H1273" s="33" t="s">
        <v>189</v>
      </c>
      <c r="I1273" s="33" t="s">
        <v>189</v>
      </c>
      <c r="J1273" s="33" t="s">
        <v>189</v>
      </c>
      <c r="K1273" s="33" t="s">
        <v>252</v>
      </c>
    </row>
    <row r="1274" ht="15.75" customHeight="1">
      <c r="A1274" s="33" t="s">
        <v>3318</v>
      </c>
      <c r="B1274" s="33" t="s">
        <v>763</v>
      </c>
      <c r="C1274" s="33" t="s">
        <v>247</v>
      </c>
      <c r="D1274" s="39">
        <v>46024.0</v>
      </c>
      <c r="E1274" s="40">
        <v>42600.0</v>
      </c>
      <c r="F1274" s="33" t="s">
        <v>248</v>
      </c>
      <c r="G1274" s="33" t="s">
        <v>181</v>
      </c>
      <c r="H1274" s="33" t="s">
        <v>181</v>
      </c>
      <c r="I1274" s="33" t="s">
        <v>181</v>
      </c>
      <c r="J1274" s="33" t="s">
        <v>181</v>
      </c>
      <c r="K1274" s="33" t="s">
        <v>157</v>
      </c>
    </row>
    <row r="1275" ht="15.75" customHeight="1">
      <c r="A1275" s="33" t="s">
        <v>5484</v>
      </c>
      <c r="B1275" s="33" t="s">
        <v>1424</v>
      </c>
      <c r="C1275" s="33" t="s">
        <v>227</v>
      </c>
      <c r="D1275" s="39">
        <v>45714.0</v>
      </c>
      <c r="E1275" s="40">
        <v>9300.0</v>
      </c>
      <c r="F1275" s="33" t="s">
        <v>230</v>
      </c>
      <c r="G1275" s="33" t="s">
        <v>181</v>
      </c>
      <c r="H1275" s="33" t="s">
        <v>189</v>
      </c>
      <c r="I1275" s="33" t="s">
        <v>189</v>
      </c>
      <c r="J1275" s="33" t="s">
        <v>189</v>
      </c>
      <c r="K1275" s="33" t="s">
        <v>262</v>
      </c>
    </row>
    <row r="1276" ht="15.75" customHeight="1">
      <c r="A1276" s="33" t="s">
        <v>5486</v>
      </c>
      <c r="B1276" s="33" t="s">
        <v>291</v>
      </c>
      <c r="C1276" s="33" t="s">
        <v>247</v>
      </c>
      <c r="D1276" s="39">
        <v>45872.0</v>
      </c>
      <c r="E1276" s="40">
        <v>38800.0</v>
      </c>
      <c r="F1276" s="33" t="s">
        <v>241</v>
      </c>
      <c r="G1276" s="33" t="s">
        <v>189</v>
      </c>
      <c r="H1276" s="33" t="s">
        <v>189</v>
      </c>
      <c r="I1276" s="33" t="s">
        <v>189</v>
      </c>
      <c r="J1276" s="33" t="s">
        <v>189</v>
      </c>
      <c r="K1276" s="33" t="s">
        <v>252</v>
      </c>
    </row>
    <row r="1277" ht="15.75" customHeight="1">
      <c r="A1277" s="33" t="s">
        <v>5488</v>
      </c>
      <c r="B1277" s="33" t="s">
        <v>675</v>
      </c>
      <c r="C1277" s="33" t="s">
        <v>227</v>
      </c>
      <c r="D1277" s="39">
        <v>45811.0</v>
      </c>
      <c r="E1277" s="40">
        <v>46600.0</v>
      </c>
      <c r="F1277" s="33" t="s">
        <v>241</v>
      </c>
      <c r="G1277" s="33" t="s">
        <v>181</v>
      </c>
      <c r="H1277" s="33" t="s">
        <v>189</v>
      </c>
      <c r="I1277" s="33" t="s">
        <v>189</v>
      </c>
      <c r="J1277" s="33" t="s">
        <v>189</v>
      </c>
      <c r="K1277" s="33" t="s">
        <v>262</v>
      </c>
    </row>
    <row r="1278" ht="15.75" customHeight="1">
      <c r="A1278" s="33" t="s">
        <v>5490</v>
      </c>
      <c r="B1278" s="33" t="s">
        <v>1674</v>
      </c>
      <c r="C1278" s="33" t="s">
        <v>235</v>
      </c>
      <c r="D1278" s="39">
        <v>46257.0</v>
      </c>
      <c r="E1278" s="40">
        <v>2800.0</v>
      </c>
      <c r="F1278" s="33" t="s">
        <v>248</v>
      </c>
      <c r="G1278" s="33" t="s">
        <v>181</v>
      </c>
      <c r="H1278" s="33" t="s">
        <v>189</v>
      </c>
      <c r="I1278" s="33" t="s">
        <v>189</v>
      </c>
      <c r="J1278" s="33" t="s">
        <v>189</v>
      </c>
      <c r="K1278" s="33" t="s">
        <v>262</v>
      </c>
    </row>
    <row r="1279" ht="15.75" customHeight="1">
      <c r="A1279" s="33" t="s">
        <v>3322</v>
      </c>
      <c r="B1279" s="33" t="s">
        <v>1581</v>
      </c>
      <c r="C1279" s="33" t="s">
        <v>247</v>
      </c>
      <c r="D1279" s="39">
        <v>45666.0</v>
      </c>
      <c r="E1279" s="40">
        <v>31700.0</v>
      </c>
      <c r="F1279" s="33" t="s">
        <v>230</v>
      </c>
      <c r="G1279" s="33" t="s">
        <v>181</v>
      </c>
      <c r="H1279" s="33" t="s">
        <v>181</v>
      </c>
      <c r="I1279" s="33" t="s">
        <v>181</v>
      </c>
      <c r="J1279" s="33" t="s">
        <v>181</v>
      </c>
      <c r="K1279" s="33" t="s">
        <v>157</v>
      </c>
    </row>
    <row r="1280" ht="15.75" customHeight="1">
      <c r="A1280" s="33" t="s">
        <v>3327</v>
      </c>
      <c r="B1280" s="33" t="s">
        <v>3326</v>
      </c>
      <c r="C1280" s="33" t="s">
        <v>247</v>
      </c>
      <c r="D1280" s="39">
        <v>45885.0</v>
      </c>
      <c r="E1280" s="40">
        <v>33300.0</v>
      </c>
      <c r="F1280" s="33" t="s">
        <v>230</v>
      </c>
      <c r="G1280" s="33" t="s">
        <v>181</v>
      </c>
      <c r="H1280" s="33" t="s">
        <v>181</v>
      </c>
      <c r="I1280" s="33" t="s">
        <v>181</v>
      </c>
      <c r="J1280" s="33" t="s">
        <v>181</v>
      </c>
      <c r="K1280" s="33" t="s">
        <v>157</v>
      </c>
    </row>
    <row r="1281" ht="15.75" customHeight="1">
      <c r="A1281" s="33" t="s">
        <v>3330</v>
      </c>
      <c r="B1281" s="33" t="s">
        <v>499</v>
      </c>
      <c r="C1281" s="33" t="s">
        <v>247</v>
      </c>
      <c r="D1281" s="39">
        <v>45972.0</v>
      </c>
      <c r="E1281" s="40">
        <v>40900.0</v>
      </c>
      <c r="F1281" s="33" t="s">
        <v>241</v>
      </c>
      <c r="G1281" s="33" t="s">
        <v>181</v>
      </c>
      <c r="H1281" s="33" t="s">
        <v>181</v>
      </c>
      <c r="I1281" s="33" t="s">
        <v>181</v>
      </c>
      <c r="J1281" s="33" t="s">
        <v>181</v>
      </c>
      <c r="K1281" s="33" t="s">
        <v>157</v>
      </c>
    </row>
    <row r="1282" ht="15.75" customHeight="1">
      <c r="A1282" s="33" t="s">
        <v>3333</v>
      </c>
      <c r="B1282" s="33" t="s">
        <v>953</v>
      </c>
      <c r="C1282" s="33" t="s">
        <v>247</v>
      </c>
      <c r="D1282" s="39">
        <v>45839.0</v>
      </c>
      <c r="E1282" s="40">
        <v>6000.0</v>
      </c>
      <c r="F1282" s="33" t="s">
        <v>230</v>
      </c>
      <c r="G1282" s="33" t="s">
        <v>181</v>
      </c>
      <c r="H1282" s="33" t="s">
        <v>181</v>
      </c>
      <c r="I1282" s="33" t="s">
        <v>181</v>
      </c>
      <c r="J1282" s="33" t="s">
        <v>181</v>
      </c>
      <c r="K1282" s="33" t="s">
        <v>157</v>
      </c>
    </row>
    <row r="1283" ht="15.75" customHeight="1">
      <c r="A1283" s="33" t="s">
        <v>5496</v>
      </c>
      <c r="B1283" s="33" t="s">
        <v>3134</v>
      </c>
      <c r="C1283" s="33" t="s">
        <v>227</v>
      </c>
      <c r="D1283" s="39">
        <v>46101.0</v>
      </c>
      <c r="E1283" s="40">
        <v>45600.0</v>
      </c>
      <c r="F1283" s="33" t="s">
        <v>248</v>
      </c>
      <c r="G1283" s="33" t="s">
        <v>181</v>
      </c>
      <c r="H1283" s="33" t="s">
        <v>189</v>
      </c>
      <c r="I1283" s="33" t="s">
        <v>189</v>
      </c>
      <c r="J1283" s="33" t="s">
        <v>189</v>
      </c>
      <c r="K1283" s="33" t="s">
        <v>262</v>
      </c>
    </row>
    <row r="1284" ht="15.75" customHeight="1">
      <c r="A1284" s="33" t="s">
        <v>5498</v>
      </c>
      <c r="B1284" s="33" t="s">
        <v>3412</v>
      </c>
      <c r="C1284" s="33" t="s">
        <v>247</v>
      </c>
      <c r="D1284" s="39">
        <v>45737.0</v>
      </c>
      <c r="E1284" s="40">
        <v>49700.0</v>
      </c>
      <c r="F1284" s="33" t="s">
        <v>230</v>
      </c>
      <c r="G1284" s="33" t="s">
        <v>189</v>
      </c>
      <c r="H1284" s="33" t="s">
        <v>189</v>
      </c>
      <c r="I1284" s="33" t="s">
        <v>189</v>
      </c>
      <c r="J1284" s="33" t="s">
        <v>189</v>
      </c>
      <c r="K1284" s="33" t="s">
        <v>252</v>
      </c>
    </row>
    <row r="1285" ht="15.75" customHeight="1">
      <c r="A1285" s="33" t="s">
        <v>3337</v>
      </c>
      <c r="B1285" s="33" t="s">
        <v>1016</v>
      </c>
      <c r="C1285" s="33" t="s">
        <v>235</v>
      </c>
      <c r="D1285" s="39">
        <v>46220.0</v>
      </c>
      <c r="E1285" s="40">
        <v>33900.0</v>
      </c>
      <c r="F1285" s="33" t="s">
        <v>248</v>
      </c>
      <c r="G1285" s="33" t="s">
        <v>181</v>
      </c>
      <c r="H1285" s="33" t="s">
        <v>181</v>
      </c>
      <c r="I1285" s="33" t="s">
        <v>181</v>
      </c>
      <c r="J1285" s="33" t="s">
        <v>181</v>
      </c>
      <c r="K1285" s="33" t="s">
        <v>157</v>
      </c>
    </row>
    <row r="1286" ht="15.75" customHeight="1">
      <c r="A1286" s="33" t="s">
        <v>5501</v>
      </c>
      <c r="B1286" s="33" t="s">
        <v>2075</v>
      </c>
      <c r="C1286" s="33" t="s">
        <v>247</v>
      </c>
      <c r="D1286" s="39">
        <v>45900.0</v>
      </c>
      <c r="E1286" s="40">
        <v>22100.0</v>
      </c>
      <c r="F1286" s="33" t="s">
        <v>241</v>
      </c>
      <c r="G1286" s="33" t="s">
        <v>189</v>
      </c>
      <c r="H1286" s="33" t="s">
        <v>189</v>
      </c>
      <c r="I1286" s="33" t="s">
        <v>189</v>
      </c>
      <c r="J1286" s="33" t="s">
        <v>189</v>
      </c>
      <c r="K1286" s="33" t="s">
        <v>252</v>
      </c>
    </row>
    <row r="1287" ht="15.75" customHeight="1">
      <c r="A1287" s="33" t="s">
        <v>3341</v>
      </c>
      <c r="B1287" s="33" t="s">
        <v>1235</v>
      </c>
      <c r="C1287" s="33" t="s">
        <v>227</v>
      </c>
      <c r="D1287" s="39">
        <v>45881.0</v>
      </c>
      <c r="E1287" s="40">
        <v>32100.0</v>
      </c>
      <c r="F1287" s="33" t="s">
        <v>230</v>
      </c>
      <c r="G1287" s="33" t="s">
        <v>181</v>
      </c>
      <c r="H1287" s="33" t="s">
        <v>181</v>
      </c>
      <c r="I1287" s="33" t="s">
        <v>181</v>
      </c>
      <c r="J1287" s="33" t="s">
        <v>181</v>
      </c>
      <c r="K1287" s="33" t="s">
        <v>157</v>
      </c>
    </row>
    <row r="1288" ht="15.75" customHeight="1">
      <c r="A1288" s="33" t="s">
        <v>3346</v>
      </c>
      <c r="B1288" s="33" t="s">
        <v>3344</v>
      </c>
      <c r="C1288" s="33" t="s">
        <v>227</v>
      </c>
      <c r="D1288" s="39">
        <v>46218.0</v>
      </c>
      <c r="E1288" s="40">
        <v>3700.0</v>
      </c>
      <c r="F1288" s="33" t="s">
        <v>230</v>
      </c>
      <c r="G1288" s="33" t="s">
        <v>181</v>
      </c>
      <c r="H1288" s="33" t="s">
        <v>181</v>
      </c>
      <c r="I1288" s="33" t="s">
        <v>181</v>
      </c>
      <c r="J1288" s="33" t="s">
        <v>181</v>
      </c>
      <c r="K1288" s="33" t="s">
        <v>157</v>
      </c>
    </row>
    <row r="1289" ht="15.75" customHeight="1">
      <c r="A1289" s="33" t="s">
        <v>5505</v>
      </c>
      <c r="B1289" s="33" t="s">
        <v>1392</v>
      </c>
      <c r="C1289" s="33" t="s">
        <v>235</v>
      </c>
      <c r="D1289" s="39">
        <v>45748.0</v>
      </c>
      <c r="E1289" s="40">
        <v>37900.0</v>
      </c>
      <c r="F1289" s="33" t="s">
        <v>241</v>
      </c>
      <c r="G1289" s="33" t="s">
        <v>189</v>
      </c>
      <c r="H1289" s="33" t="s">
        <v>189</v>
      </c>
      <c r="I1289" s="33" t="s">
        <v>189</v>
      </c>
      <c r="J1289" s="33" t="s">
        <v>189</v>
      </c>
      <c r="K1289" s="33" t="s">
        <v>252</v>
      </c>
    </row>
    <row r="1290" ht="15.75" customHeight="1">
      <c r="A1290" s="33" t="s">
        <v>3349</v>
      </c>
      <c r="B1290" s="33" t="s">
        <v>279</v>
      </c>
      <c r="C1290" s="33" t="s">
        <v>227</v>
      </c>
      <c r="D1290" s="39">
        <v>45942.0</v>
      </c>
      <c r="E1290" s="40">
        <v>4400.0</v>
      </c>
      <c r="F1290" s="33" t="s">
        <v>248</v>
      </c>
      <c r="G1290" s="33" t="s">
        <v>181</v>
      </c>
      <c r="H1290" s="33" t="s">
        <v>181</v>
      </c>
      <c r="I1290" s="33" t="s">
        <v>181</v>
      </c>
      <c r="J1290" s="33" t="s">
        <v>181</v>
      </c>
      <c r="K1290" s="33" t="s">
        <v>157</v>
      </c>
    </row>
    <row r="1291" ht="15.75" customHeight="1">
      <c r="A1291" s="33" t="s">
        <v>5509</v>
      </c>
      <c r="B1291" s="33" t="s">
        <v>2741</v>
      </c>
      <c r="C1291" s="33" t="s">
        <v>227</v>
      </c>
      <c r="D1291" s="39">
        <v>45675.0</v>
      </c>
      <c r="E1291" s="40">
        <v>16800.0</v>
      </c>
      <c r="F1291" s="33" t="s">
        <v>248</v>
      </c>
      <c r="G1291" s="33" t="s">
        <v>181</v>
      </c>
      <c r="H1291" s="33" t="s">
        <v>189</v>
      </c>
      <c r="I1291" s="33" t="s">
        <v>189</v>
      </c>
      <c r="J1291" s="33" t="s">
        <v>189</v>
      </c>
      <c r="K1291" s="33" t="s">
        <v>262</v>
      </c>
    </row>
    <row r="1292" ht="15.75" customHeight="1">
      <c r="A1292" s="33" t="s">
        <v>3354</v>
      </c>
      <c r="B1292" s="33" t="s">
        <v>1661</v>
      </c>
      <c r="C1292" s="33" t="s">
        <v>235</v>
      </c>
      <c r="D1292" s="39">
        <v>45968.0</v>
      </c>
      <c r="E1292" s="40">
        <v>7800.0</v>
      </c>
      <c r="F1292" s="33" t="s">
        <v>269</v>
      </c>
      <c r="G1292" s="33" t="s">
        <v>181</v>
      </c>
      <c r="H1292" s="33" t="s">
        <v>181</v>
      </c>
      <c r="I1292" s="33" t="s">
        <v>181</v>
      </c>
      <c r="J1292" s="33" t="s">
        <v>181</v>
      </c>
      <c r="K1292" s="33" t="s">
        <v>157</v>
      </c>
    </row>
    <row r="1293" ht="15.75" customHeight="1">
      <c r="A1293" s="33" t="s">
        <v>3358</v>
      </c>
      <c r="B1293" s="33" t="s">
        <v>306</v>
      </c>
      <c r="C1293" s="33" t="s">
        <v>235</v>
      </c>
      <c r="D1293" s="39">
        <v>45855.0</v>
      </c>
      <c r="E1293" s="40">
        <v>36600.0</v>
      </c>
      <c r="F1293" s="33" t="s">
        <v>241</v>
      </c>
      <c r="G1293" s="33" t="s">
        <v>181</v>
      </c>
      <c r="H1293" s="33" t="s">
        <v>181</v>
      </c>
      <c r="I1293" s="33" t="s">
        <v>181</v>
      </c>
      <c r="J1293" s="33" t="s">
        <v>181</v>
      </c>
      <c r="K1293" s="33" t="s">
        <v>157</v>
      </c>
    </row>
    <row r="1294" ht="15.75" customHeight="1">
      <c r="A1294" s="33" t="s">
        <v>5512</v>
      </c>
      <c r="B1294" s="33" t="s">
        <v>2015</v>
      </c>
      <c r="C1294" s="33" t="s">
        <v>247</v>
      </c>
      <c r="D1294" s="39">
        <v>46107.0</v>
      </c>
      <c r="E1294" s="40">
        <v>30100.0</v>
      </c>
      <c r="F1294" s="33" t="s">
        <v>230</v>
      </c>
      <c r="G1294" s="33" t="s">
        <v>181</v>
      </c>
      <c r="H1294" s="33" t="s">
        <v>189</v>
      </c>
      <c r="I1294" s="33" t="s">
        <v>189</v>
      </c>
      <c r="J1294" s="33" t="s">
        <v>189</v>
      </c>
      <c r="K1294" s="33" t="s">
        <v>262</v>
      </c>
    </row>
    <row r="1295" ht="15.75" customHeight="1">
      <c r="A1295" s="33" t="s">
        <v>5514</v>
      </c>
      <c r="B1295" s="33" t="s">
        <v>705</v>
      </c>
      <c r="C1295" s="33" t="s">
        <v>227</v>
      </c>
      <c r="D1295" s="39">
        <v>45968.0</v>
      </c>
      <c r="E1295" s="40">
        <v>35300.0</v>
      </c>
      <c r="F1295" s="33" t="s">
        <v>241</v>
      </c>
      <c r="G1295" s="33" t="s">
        <v>181</v>
      </c>
      <c r="H1295" s="33" t="s">
        <v>189</v>
      </c>
      <c r="I1295" s="33" t="s">
        <v>189</v>
      </c>
      <c r="J1295" s="33" t="s">
        <v>189</v>
      </c>
      <c r="K1295" s="33" t="s">
        <v>262</v>
      </c>
    </row>
    <row r="1296" ht="15.75" customHeight="1">
      <c r="A1296" s="33" t="s">
        <v>3362</v>
      </c>
      <c r="B1296" s="33" t="s">
        <v>1510</v>
      </c>
      <c r="C1296" s="33" t="s">
        <v>247</v>
      </c>
      <c r="D1296" s="39">
        <v>46037.0</v>
      </c>
      <c r="E1296" s="40">
        <v>4200.0</v>
      </c>
      <c r="F1296" s="33" t="s">
        <v>230</v>
      </c>
      <c r="G1296" s="33" t="s">
        <v>181</v>
      </c>
      <c r="H1296" s="33" t="s">
        <v>181</v>
      </c>
      <c r="I1296" s="33" t="s">
        <v>181</v>
      </c>
      <c r="J1296" s="33" t="s">
        <v>181</v>
      </c>
      <c r="K1296" s="33" t="s">
        <v>157</v>
      </c>
    </row>
    <row r="1297" ht="15.75" customHeight="1">
      <c r="A1297" s="33" t="s">
        <v>5517</v>
      </c>
      <c r="B1297" s="33" t="s">
        <v>320</v>
      </c>
      <c r="C1297" s="33" t="s">
        <v>235</v>
      </c>
      <c r="D1297" s="39">
        <v>46204.0</v>
      </c>
      <c r="E1297" s="40">
        <v>19100.0</v>
      </c>
      <c r="F1297" s="33" t="s">
        <v>241</v>
      </c>
      <c r="G1297" s="33" t="s">
        <v>181</v>
      </c>
      <c r="H1297" s="33" t="s">
        <v>189</v>
      </c>
      <c r="I1297" s="33" t="s">
        <v>189</v>
      </c>
      <c r="J1297" s="33" t="s">
        <v>189</v>
      </c>
      <c r="K1297" s="33" t="s">
        <v>262</v>
      </c>
    </row>
    <row r="1298" ht="15.75" customHeight="1">
      <c r="A1298" s="33" t="s">
        <v>3366</v>
      </c>
      <c r="B1298" s="33" t="s">
        <v>2197</v>
      </c>
      <c r="C1298" s="33" t="s">
        <v>227</v>
      </c>
      <c r="D1298" s="39">
        <v>46234.0</v>
      </c>
      <c r="E1298" s="40">
        <v>20900.0</v>
      </c>
      <c r="F1298" s="33" t="s">
        <v>241</v>
      </c>
      <c r="G1298" s="33" t="s">
        <v>181</v>
      </c>
      <c r="H1298" s="33" t="s">
        <v>181</v>
      </c>
      <c r="I1298" s="33" t="s">
        <v>181</v>
      </c>
      <c r="J1298" s="33" t="s">
        <v>181</v>
      </c>
      <c r="K1298" s="33" t="s">
        <v>157</v>
      </c>
    </row>
    <row r="1299" ht="15.75" customHeight="1">
      <c r="A1299" s="33" t="s">
        <v>5520</v>
      </c>
      <c r="B1299" s="33" t="s">
        <v>484</v>
      </c>
      <c r="C1299" s="33" t="s">
        <v>227</v>
      </c>
      <c r="D1299" s="39">
        <v>45789.0</v>
      </c>
      <c r="E1299" s="40">
        <v>30500.0</v>
      </c>
      <c r="F1299" s="33" t="s">
        <v>248</v>
      </c>
      <c r="G1299" s="33" t="s">
        <v>181</v>
      </c>
      <c r="H1299" s="33" t="s">
        <v>189</v>
      </c>
      <c r="I1299" s="33" t="s">
        <v>189</v>
      </c>
      <c r="J1299" s="33" t="s">
        <v>189</v>
      </c>
      <c r="K1299" s="33" t="s">
        <v>262</v>
      </c>
    </row>
    <row r="1300" ht="15.75" customHeight="1">
      <c r="A1300" s="33" t="s">
        <v>5522</v>
      </c>
      <c r="B1300" s="33" t="s">
        <v>1239</v>
      </c>
      <c r="C1300" s="33" t="s">
        <v>235</v>
      </c>
      <c r="D1300" s="39">
        <v>45962.0</v>
      </c>
      <c r="E1300" s="40">
        <v>6000.0</v>
      </c>
      <c r="F1300" s="33" t="s">
        <v>241</v>
      </c>
      <c r="G1300" s="33" t="s">
        <v>181</v>
      </c>
      <c r="H1300" s="33" t="s">
        <v>189</v>
      </c>
      <c r="I1300" s="33" t="s">
        <v>189</v>
      </c>
      <c r="J1300" s="33" t="s">
        <v>189</v>
      </c>
      <c r="K1300" s="33" t="s">
        <v>262</v>
      </c>
    </row>
    <row r="1301" ht="15.75" customHeight="1">
      <c r="A1301" s="33" t="s">
        <v>3370</v>
      </c>
      <c r="B1301" s="33" t="s">
        <v>3044</v>
      </c>
      <c r="C1301" s="33" t="s">
        <v>247</v>
      </c>
      <c r="D1301" s="39">
        <v>46132.0</v>
      </c>
      <c r="E1301" s="40">
        <v>32700.0</v>
      </c>
      <c r="F1301" s="33" t="s">
        <v>230</v>
      </c>
      <c r="G1301" s="33" t="s">
        <v>181</v>
      </c>
      <c r="H1301" s="33" t="s">
        <v>181</v>
      </c>
      <c r="I1301" s="33" t="s">
        <v>181</v>
      </c>
      <c r="J1301" s="33" t="s">
        <v>181</v>
      </c>
      <c r="K1301" s="33" t="s">
        <v>157</v>
      </c>
    </row>
    <row r="1302" ht="15.75" customHeight="1">
      <c r="A1302" s="33" t="s">
        <v>5526</v>
      </c>
      <c r="B1302" s="33" t="s">
        <v>258</v>
      </c>
      <c r="C1302" s="33" t="s">
        <v>247</v>
      </c>
      <c r="D1302" s="39">
        <v>45735.0</v>
      </c>
      <c r="E1302" s="40">
        <v>20300.0</v>
      </c>
      <c r="F1302" s="33" t="s">
        <v>230</v>
      </c>
      <c r="G1302" s="33" t="s">
        <v>181</v>
      </c>
      <c r="H1302" s="33" t="s">
        <v>181</v>
      </c>
      <c r="I1302" s="33" t="s">
        <v>181</v>
      </c>
      <c r="J1302" s="33" t="s">
        <v>189</v>
      </c>
      <c r="K1302" s="33" t="s">
        <v>365</v>
      </c>
    </row>
    <row r="1303" ht="15.75" customHeight="1">
      <c r="A1303" s="33" t="s">
        <v>5527</v>
      </c>
      <c r="B1303" s="33" t="s">
        <v>1476</v>
      </c>
      <c r="C1303" s="33" t="s">
        <v>235</v>
      </c>
      <c r="D1303" s="39">
        <v>45949.0</v>
      </c>
      <c r="E1303" s="40">
        <v>45400.0</v>
      </c>
      <c r="F1303" s="33" t="s">
        <v>230</v>
      </c>
      <c r="G1303" s="33" t="s">
        <v>189</v>
      </c>
      <c r="H1303" s="33" t="s">
        <v>189</v>
      </c>
      <c r="I1303" s="33" t="s">
        <v>189</v>
      </c>
      <c r="J1303" s="33" t="s">
        <v>189</v>
      </c>
      <c r="K1303" s="33" t="s">
        <v>252</v>
      </c>
    </row>
    <row r="1304" ht="15.75" customHeight="1">
      <c r="A1304" s="33" t="s">
        <v>5529</v>
      </c>
      <c r="B1304" s="33" t="s">
        <v>2658</v>
      </c>
      <c r="C1304" s="33" t="s">
        <v>247</v>
      </c>
      <c r="D1304" s="39">
        <v>45996.0</v>
      </c>
      <c r="E1304" s="40">
        <v>23000.0</v>
      </c>
      <c r="F1304" s="33" t="s">
        <v>269</v>
      </c>
      <c r="G1304" s="33" t="s">
        <v>189</v>
      </c>
      <c r="H1304" s="33" t="s">
        <v>189</v>
      </c>
      <c r="I1304" s="33" t="s">
        <v>189</v>
      </c>
      <c r="J1304" s="33" t="s">
        <v>189</v>
      </c>
      <c r="K1304" s="33" t="s">
        <v>252</v>
      </c>
    </row>
    <row r="1305" ht="15.75" customHeight="1">
      <c r="A1305" s="33" t="s">
        <v>5531</v>
      </c>
      <c r="B1305" s="33" t="s">
        <v>240</v>
      </c>
      <c r="C1305" s="33" t="s">
        <v>235</v>
      </c>
      <c r="D1305" s="39">
        <v>46184.0</v>
      </c>
      <c r="E1305" s="40">
        <v>6000.0</v>
      </c>
      <c r="F1305" s="33" t="s">
        <v>230</v>
      </c>
      <c r="G1305" s="33" t="s">
        <v>189</v>
      </c>
      <c r="H1305" s="33" t="s">
        <v>189</v>
      </c>
      <c r="I1305" s="33" t="s">
        <v>189</v>
      </c>
      <c r="J1305" s="33" t="s">
        <v>189</v>
      </c>
      <c r="K1305" s="33" t="s">
        <v>252</v>
      </c>
    </row>
    <row r="1306" ht="15.75" customHeight="1">
      <c r="A1306" s="33" t="s">
        <v>5533</v>
      </c>
      <c r="B1306" s="33" t="s">
        <v>2063</v>
      </c>
      <c r="C1306" s="33" t="s">
        <v>227</v>
      </c>
      <c r="D1306" s="39">
        <v>45711.0</v>
      </c>
      <c r="E1306" s="40">
        <v>6100.0</v>
      </c>
      <c r="F1306" s="33" t="s">
        <v>241</v>
      </c>
      <c r="G1306" s="33" t="s">
        <v>189</v>
      </c>
      <c r="H1306" s="33" t="s">
        <v>189</v>
      </c>
      <c r="I1306" s="33" t="s">
        <v>189</v>
      </c>
      <c r="J1306" s="33" t="s">
        <v>189</v>
      </c>
      <c r="K1306" s="33" t="s">
        <v>252</v>
      </c>
    </row>
    <row r="1307" ht="15.75" customHeight="1">
      <c r="A1307" s="33" t="s">
        <v>3374</v>
      </c>
      <c r="B1307" s="33" t="s">
        <v>684</v>
      </c>
      <c r="C1307" s="33" t="s">
        <v>247</v>
      </c>
      <c r="D1307" s="39">
        <v>46181.0</v>
      </c>
      <c r="E1307" s="40">
        <v>13500.0</v>
      </c>
      <c r="F1307" s="33" t="s">
        <v>230</v>
      </c>
      <c r="G1307" s="33" t="s">
        <v>181</v>
      </c>
      <c r="H1307" s="33" t="s">
        <v>181</v>
      </c>
      <c r="I1307" s="33" t="s">
        <v>181</v>
      </c>
      <c r="J1307" s="33" t="s">
        <v>181</v>
      </c>
      <c r="K1307" s="33" t="s">
        <v>157</v>
      </c>
    </row>
    <row r="1308" ht="15.75" customHeight="1">
      <c r="A1308" s="33" t="s">
        <v>3378</v>
      </c>
      <c r="B1308" s="33" t="s">
        <v>1981</v>
      </c>
      <c r="C1308" s="33" t="s">
        <v>247</v>
      </c>
      <c r="D1308" s="39">
        <v>45802.0</v>
      </c>
      <c r="E1308" s="40">
        <v>12800.0</v>
      </c>
      <c r="F1308" s="33" t="s">
        <v>230</v>
      </c>
      <c r="G1308" s="33" t="s">
        <v>181</v>
      </c>
      <c r="H1308" s="33" t="s">
        <v>181</v>
      </c>
      <c r="I1308" s="33" t="s">
        <v>181</v>
      </c>
      <c r="J1308" s="33" t="s">
        <v>181</v>
      </c>
      <c r="K1308" s="33" t="s">
        <v>157</v>
      </c>
    </row>
    <row r="1309" ht="15.75" customHeight="1">
      <c r="A1309" s="33" t="s">
        <v>5537</v>
      </c>
      <c r="B1309" s="33" t="s">
        <v>276</v>
      </c>
      <c r="C1309" s="33" t="s">
        <v>247</v>
      </c>
      <c r="D1309" s="39">
        <v>46178.0</v>
      </c>
      <c r="E1309" s="40">
        <v>40000.0</v>
      </c>
      <c r="F1309" s="33" t="s">
        <v>241</v>
      </c>
      <c r="G1309" s="33" t="s">
        <v>189</v>
      </c>
      <c r="H1309" s="33" t="s">
        <v>189</v>
      </c>
      <c r="I1309" s="33" t="s">
        <v>189</v>
      </c>
      <c r="J1309" s="33" t="s">
        <v>189</v>
      </c>
      <c r="K1309" s="33" t="s">
        <v>252</v>
      </c>
    </row>
    <row r="1310" ht="15.75" customHeight="1">
      <c r="A1310" s="33" t="s">
        <v>3381</v>
      </c>
      <c r="B1310" s="33" t="s">
        <v>1660</v>
      </c>
      <c r="C1310" s="33" t="s">
        <v>227</v>
      </c>
      <c r="D1310" s="39">
        <v>46055.0</v>
      </c>
      <c r="E1310" s="40">
        <v>36400.0</v>
      </c>
      <c r="F1310" s="33" t="s">
        <v>248</v>
      </c>
      <c r="G1310" s="33" t="s">
        <v>181</v>
      </c>
      <c r="H1310" s="33" t="s">
        <v>181</v>
      </c>
      <c r="I1310" s="33" t="s">
        <v>181</v>
      </c>
      <c r="J1310" s="33" t="s">
        <v>181</v>
      </c>
      <c r="K1310" s="33" t="s">
        <v>157</v>
      </c>
    </row>
    <row r="1311" ht="15.75" customHeight="1">
      <c r="A1311" s="33" t="s">
        <v>3385</v>
      </c>
      <c r="B1311" s="33" t="s">
        <v>1103</v>
      </c>
      <c r="C1311" s="33" t="s">
        <v>247</v>
      </c>
      <c r="D1311" s="39">
        <v>45901.0</v>
      </c>
      <c r="E1311" s="40">
        <v>4800.0</v>
      </c>
      <c r="F1311" s="33" t="s">
        <v>269</v>
      </c>
      <c r="G1311" s="33" t="s">
        <v>181</v>
      </c>
      <c r="H1311" s="33" t="s">
        <v>181</v>
      </c>
      <c r="I1311" s="33" t="s">
        <v>181</v>
      </c>
      <c r="J1311" s="33" t="s">
        <v>181</v>
      </c>
      <c r="K1311" s="33" t="s">
        <v>157</v>
      </c>
    </row>
    <row r="1312" ht="15.75" customHeight="1">
      <c r="A1312" s="33" t="s">
        <v>5541</v>
      </c>
      <c r="B1312" s="33" t="s">
        <v>2116</v>
      </c>
      <c r="C1312" s="33" t="s">
        <v>247</v>
      </c>
      <c r="D1312" s="39">
        <v>45739.0</v>
      </c>
      <c r="E1312" s="40">
        <v>42700.0</v>
      </c>
      <c r="F1312" s="33" t="s">
        <v>241</v>
      </c>
      <c r="G1312" s="33" t="s">
        <v>181</v>
      </c>
      <c r="H1312" s="33" t="s">
        <v>189</v>
      </c>
      <c r="I1312" s="33" t="s">
        <v>189</v>
      </c>
      <c r="J1312" s="33" t="s">
        <v>189</v>
      </c>
      <c r="K1312" s="33" t="s">
        <v>262</v>
      </c>
    </row>
    <row r="1313" ht="15.75" customHeight="1">
      <c r="A1313" s="33" t="s">
        <v>3388</v>
      </c>
      <c r="B1313" s="33" t="s">
        <v>1610</v>
      </c>
      <c r="C1313" s="33" t="s">
        <v>227</v>
      </c>
      <c r="D1313" s="39">
        <v>45868.0</v>
      </c>
      <c r="E1313" s="40">
        <v>5700.0</v>
      </c>
      <c r="F1313" s="33" t="s">
        <v>269</v>
      </c>
      <c r="G1313" s="33" t="s">
        <v>181</v>
      </c>
      <c r="H1313" s="33" t="s">
        <v>181</v>
      </c>
      <c r="I1313" s="33" t="s">
        <v>181</v>
      </c>
      <c r="J1313" s="33" t="s">
        <v>181</v>
      </c>
      <c r="K1313" s="33" t="s">
        <v>157</v>
      </c>
    </row>
    <row r="1314" ht="15.75" customHeight="1">
      <c r="A1314" s="33" t="s">
        <v>3391</v>
      </c>
      <c r="B1314" s="33" t="s">
        <v>1118</v>
      </c>
      <c r="C1314" s="33" t="s">
        <v>247</v>
      </c>
      <c r="D1314" s="39">
        <v>46107.0</v>
      </c>
      <c r="E1314" s="40">
        <v>39500.0</v>
      </c>
      <c r="F1314" s="33" t="s">
        <v>248</v>
      </c>
      <c r="G1314" s="33" t="s">
        <v>181</v>
      </c>
      <c r="H1314" s="33" t="s">
        <v>181</v>
      </c>
      <c r="I1314" s="33" t="s">
        <v>181</v>
      </c>
      <c r="J1314" s="33" t="s">
        <v>181</v>
      </c>
      <c r="K1314" s="33" t="s">
        <v>157</v>
      </c>
    </row>
    <row r="1315" ht="15.75" customHeight="1">
      <c r="A1315" s="33" t="s">
        <v>5545</v>
      </c>
      <c r="B1315" s="33" t="s">
        <v>2303</v>
      </c>
      <c r="C1315" s="33" t="s">
        <v>247</v>
      </c>
      <c r="D1315" s="39">
        <v>45783.0</v>
      </c>
      <c r="E1315" s="40">
        <v>6500.0</v>
      </c>
      <c r="F1315" s="33" t="s">
        <v>230</v>
      </c>
      <c r="G1315" s="33" t="s">
        <v>189</v>
      </c>
      <c r="H1315" s="33" t="s">
        <v>189</v>
      </c>
      <c r="I1315" s="33" t="s">
        <v>189</v>
      </c>
      <c r="J1315" s="33" t="s">
        <v>189</v>
      </c>
      <c r="K1315" s="33" t="s">
        <v>252</v>
      </c>
    </row>
    <row r="1316" ht="15.75" customHeight="1">
      <c r="A1316" s="33" t="s">
        <v>3395</v>
      </c>
      <c r="B1316" s="33" t="s">
        <v>483</v>
      </c>
      <c r="C1316" s="33" t="s">
        <v>247</v>
      </c>
      <c r="D1316" s="39">
        <v>46064.0</v>
      </c>
      <c r="E1316" s="40">
        <v>19400.0</v>
      </c>
      <c r="F1316" s="33" t="s">
        <v>230</v>
      </c>
      <c r="G1316" s="33" t="s">
        <v>181</v>
      </c>
      <c r="H1316" s="33" t="s">
        <v>181</v>
      </c>
      <c r="I1316" s="33" t="s">
        <v>181</v>
      </c>
      <c r="J1316" s="33" t="s">
        <v>181</v>
      </c>
      <c r="K1316" s="33" t="s">
        <v>157</v>
      </c>
    </row>
    <row r="1317" ht="15.75" customHeight="1">
      <c r="A1317" s="33" t="s">
        <v>3399</v>
      </c>
      <c r="B1317" s="33" t="s">
        <v>3177</v>
      </c>
      <c r="C1317" s="33" t="s">
        <v>247</v>
      </c>
      <c r="D1317" s="39">
        <v>45796.0</v>
      </c>
      <c r="E1317" s="40">
        <v>37800.0</v>
      </c>
      <c r="F1317" s="33" t="s">
        <v>269</v>
      </c>
      <c r="G1317" s="33" t="s">
        <v>181</v>
      </c>
      <c r="H1317" s="33" t="s">
        <v>181</v>
      </c>
      <c r="I1317" s="33" t="s">
        <v>181</v>
      </c>
      <c r="J1317" s="33" t="s">
        <v>181</v>
      </c>
      <c r="K1317" s="33" t="s">
        <v>157</v>
      </c>
    </row>
    <row r="1318" ht="15.75" customHeight="1">
      <c r="A1318" s="33" t="s">
        <v>3404</v>
      </c>
      <c r="B1318" s="33" t="s">
        <v>2168</v>
      </c>
      <c r="C1318" s="33" t="s">
        <v>227</v>
      </c>
      <c r="D1318" s="39">
        <v>45707.0</v>
      </c>
      <c r="E1318" s="40">
        <v>13400.0</v>
      </c>
      <c r="F1318" s="33" t="s">
        <v>248</v>
      </c>
      <c r="G1318" s="33" t="s">
        <v>181</v>
      </c>
      <c r="H1318" s="33" t="s">
        <v>181</v>
      </c>
      <c r="I1318" s="33" t="s">
        <v>181</v>
      </c>
      <c r="J1318" s="33" t="s">
        <v>181</v>
      </c>
      <c r="K1318" s="33" t="s">
        <v>157</v>
      </c>
    </row>
    <row r="1319" ht="15.75" customHeight="1">
      <c r="A1319" s="33" t="s">
        <v>3408</v>
      </c>
      <c r="B1319" s="33" t="s">
        <v>1321</v>
      </c>
      <c r="C1319" s="33" t="s">
        <v>227</v>
      </c>
      <c r="D1319" s="39">
        <v>46032.0</v>
      </c>
      <c r="E1319" s="40">
        <v>6600.0</v>
      </c>
      <c r="F1319" s="33" t="s">
        <v>241</v>
      </c>
      <c r="G1319" s="33" t="s">
        <v>181</v>
      </c>
      <c r="H1319" s="33" t="s">
        <v>181</v>
      </c>
      <c r="I1319" s="33" t="s">
        <v>181</v>
      </c>
      <c r="J1319" s="33" t="s">
        <v>181</v>
      </c>
      <c r="K1319" s="33" t="s">
        <v>157</v>
      </c>
    </row>
    <row r="1320" ht="15.75" customHeight="1">
      <c r="A1320" s="33" t="s">
        <v>3411</v>
      </c>
      <c r="B1320" s="33" t="s">
        <v>1034</v>
      </c>
      <c r="C1320" s="33" t="s">
        <v>235</v>
      </c>
      <c r="D1320" s="39">
        <v>46151.0</v>
      </c>
      <c r="E1320" s="40">
        <v>39600.0</v>
      </c>
      <c r="F1320" s="33" t="s">
        <v>241</v>
      </c>
      <c r="G1320" s="33" t="s">
        <v>181</v>
      </c>
      <c r="H1320" s="33" t="s">
        <v>181</v>
      </c>
      <c r="I1320" s="33" t="s">
        <v>181</v>
      </c>
      <c r="J1320" s="33" t="s">
        <v>181</v>
      </c>
      <c r="K1320" s="33" t="s">
        <v>157</v>
      </c>
    </row>
    <row r="1321" ht="15.75" customHeight="1">
      <c r="A1321" s="33" t="s">
        <v>3416</v>
      </c>
      <c r="B1321" s="33" t="s">
        <v>2187</v>
      </c>
      <c r="C1321" s="33" t="s">
        <v>235</v>
      </c>
      <c r="D1321" s="39">
        <v>46241.0</v>
      </c>
      <c r="E1321" s="40">
        <v>34900.0</v>
      </c>
      <c r="F1321" s="33" t="s">
        <v>241</v>
      </c>
      <c r="G1321" s="33" t="s">
        <v>181</v>
      </c>
      <c r="H1321" s="33" t="s">
        <v>181</v>
      </c>
      <c r="I1321" s="33" t="s">
        <v>181</v>
      </c>
      <c r="J1321" s="33" t="s">
        <v>181</v>
      </c>
      <c r="K1321" s="33" t="s">
        <v>157</v>
      </c>
    </row>
    <row r="1322" ht="15.75" customHeight="1">
      <c r="A1322" s="33" t="s">
        <v>5553</v>
      </c>
      <c r="B1322" s="33" t="s">
        <v>1669</v>
      </c>
      <c r="C1322" s="33" t="s">
        <v>247</v>
      </c>
      <c r="D1322" s="39">
        <v>45962.0</v>
      </c>
      <c r="E1322" s="40">
        <v>44700.0</v>
      </c>
      <c r="F1322" s="33" t="s">
        <v>269</v>
      </c>
      <c r="G1322" s="33" t="s">
        <v>181</v>
      </c>
      <c r="H1322" s="33" t="s">
        <v>189</v>
      </c>
      <c r="I1322" s="33" t="s">
        <v>189</v>
      </c>
      <c r="J1322" s="33" t="s">
        <v>189</v>
      </c>
      <c r="K1322" s="33" t="s">
        <v>262</v>
      </c>
    </row>
    <row r="1323" ht="15.75" customHeight="1">
      <c r="A1323" s="33" t="s">
        <v>5555</v>
      </c>
      <c r="B1323" s="33" t="s">
        <v>460</v>
      </c>
      <c r="C1323" s="33" t="s">
        <v>247</v>
      </c>
      <c r="D1323" s="39">
        <v>46025.0</v>
      </c>
      <c r="E1323" s="40">
        <v>32400.0</v>
      </c>
      <c r="F1323" s="33" t="s">
        <v>241</v>
      </c>
      <c r="G1323" s="33" t="s">
        <v>189</v>
      </c>
      <c r="H1323" s="33" t="s">
        <v>189</v>
      </c>
      <c r="I1323" s="33" t="s">
        <v>189</v>
      </c>
      <c r="J1323" s="33" t="s">
        <v>189</v>
      </c>
      <c r="K1323" s="33" t="s">
        <v>252</v>
      </c>
    </row>
    <row r="1324" ht="15.75" customHeight="1">
      <c r="A1324" s="33" t="s">
        <v>3420</v>
      </c>
      <c r="B1324" s="33" t="s">
        <v>284</v>
      </c>
      <c r="C1324" s="33" t="s">
        <v>227</v>
      </c>
      <c r="D1324" s="39">
        <v>46071.0</v>
      </c>
      <c r="E1324" s="40">
        <v>4600.0</v>
      </c>
      <c r="F1324" s="33" t="s">
        <v>230</v>
      </c>
      <c r="G1324" s="33" t="s">
        <v>181</v>
      </c>
      <c r="H1324" s="33" t="s">
        <v>181</v>
      </c>
      <c r="I1324" s="33" t="s">
        <v>181</v>
      </c>
      <c r="J1324" s="33" t="s">
        <v>181</v>
      </c>
      <c r="K1324" s="33" t="s">
        <v>157</v>
      </c>
    </row>
    <row r="1325" ht="15.75" customHeight="1">
      <c r="A1325" s="33" t="s">
        <v>3424</v>
      </c>
      <c r="B1325" s="33" t="s">
        <v>819</v>
      </c>
      <c r="C1325" s="33" t="s">
        <v>247</v>
      </c>
      <c r="D1325" s="39">
        <v>45908.0</v>
      </c>
      <c r="E1325" s="40">
        <v>32300.0</v>
      </c>
      <c r="F1325" s="33" t="s">
        <v>241</v>
      </c>
      <c r="G1325" s="33" t="s">
        <v>181</v>
      </c>
      <c r="H1325" s="33" t="s">
        <v>181</v>
      </c>
      <c r="I1325" s="33" t="s">
        <v>181</v>
      </c>
      <c r="J1325" s="33" t="s">
        <v>181</v>
      </c>
      <c r="K1325" s="33" t="s">
        <v>157</v>
      </c>
    </row>
    <row r="1326" ht="15.75" customHeight="1">
      <c r="A1326" s="33" t="s">
        <v>3429</v>
      </c>
      <c r="B1326" s="33" t="s">
        <v>3428</v>
      </c>
      <c r="C1326" s="33" t="s">
        <v>247</v>
      </c>
      <c r="D1326" s="39">
        <v>45680.0</v>
      </c>
      <c r="E1326" s="40">
        <v>41300.0</v>
      </c>
      <c r="F1326" s="33" t="s">
        <v>230</v>
      </c>
      <c r="G1326" s="33" t="s">
        <v>181</v>
      </c>
      <c r="H1326" s="33" t="s">
        <v>181</v>
      </c>
      <c r="I1326" s="33" t="s">
        <v>181</v>
      </c>
      <c r="J1326" s="33" t="s">
        <v>181</v>
      </c>
      <c r="K1326" s="33" t="s">
        <v>157</v>
      </c>
    </row>
    <row r="1327" ht="15.75" customHeight="1">
      <c r="A1327" s="33" t="s">
        <v>3435</v>
      </c>
      <c r="B1327" s="33" t="s">
        <v>3434</v>
      </c>
      <c r="C1327" s="33" t="s">
        <v>247</v>
      </c>
      <c r="D1327" s="39">
        <v>45805.0</v>
      </c>
      <c r="E1327" s="40">
        <v>5100.0</v>
      </c>
      <c r="F1327" s="33" t="s">
        <v>241</v>
      </c>
      <c r="G1327" s="33" t="s">
        <v>181</v>
      </c>
      <c r="H1327" s="33" t="s">
        <v>181</v>
      </c>
      <c r="I1327" s="33" t="s">
        <v>181</v>
      </c>
      <c r="J1327" s="33" t="s">
        <v>181</v>
      </c>
      <c r="K1327" s="33" t="s">
        <v>157</v>
      </c>
    </row>
    <row r="1328" ht="15.75" customHeight="1">
      <c r="A1328" s="33" t="s">
        <v>3438</v>
      </c>
      <c r="B1328" s="33" t="s">
        <v>597</v>
      </c>
      <c r="C1328" s="33" t="s">
        <v>227</v>
      </c>
      <c r="D1328" s="39">
        <v>45888.0</v>
      </c>
      <c r="E1328" s="40">
        <v>7600.0</v>
      </c>
      <c r="F1328" s="33" t="s">
        <v>230</v>
      </c>
      <c r="G1328" s="33" t="s">
        <v>181</v>
      </c>
      <c r="H1328" s="33" t="s">
        <v>181</v>
      </c>
      <c r="I1328" s="33" t="s">
        <v>181</v>
      </c>
      <c r="J1328" s="33" t="s">
        <v>181</v>
      </c>
      <c r="K1328" s="33" t="s">
        <v>157</v>
      </c>
    </row>
    <row r="1329" ht="15.75" customHeight="1">
      <c r="A1329" s="33" t="s">
        <v>5562</v>
      </c>
      <c r="B1329" s="33" t="s">
        <v>2180</v>
      </c>
      <c r="C1329" s="33" t="s">
        <v>227</v>
      </c>
      <c r="D1329" s="39">
        <v>46053.0</v>
      </c>
      <c r="E1329" s="40">
        <v>34200.0</v>
      </c>
      <c r="F1329" s="33" t="s">
        <v>241</v>
      </c>
      <c r="G1329" s="33" t="s">
        <v>181</v>
      </c>
      <c r="H1329" s="33" t="s">
        <v>189</v>
      </c>
      <c r="I1329" s="33" t="s">
        <v>189</v>
      </c>
      <c r="J1329" s="33" t="s">
        <v>189</v>
      </c>
      <c r="K1329" s="33" t="s">
        <v>262</v>
      </c>
    </row>
    <row r="1330" ht="15.75" customHeight="1">
      <c r="A1330" s="33" t="s">
        <v>3443</v>
      </c>
      <c r="B1330" s="33" t="s">
        <v>3442</v>
      </c>
      <c r="C1330" s="33" t="s">
        <v>235</v>
      </c>
      <c r="D1330" s="39">
        <v>45843.0</v>
      </c>
      <c r="E1330" s="40">
        <v>39800.0</v>
      </c>
      <c r="F1330" s="33" t="s">
        <v>230</v>
      </c>
      <c r="G1330" s="33" t="s">
        <v>181</v>
      </c>
      <c r="H1330" s="33" t="s">
        <v>181</v>
      </c>
      <c r="I1330" s="33" t="s">
        <v>181</v>
      </c>
      <c r="J1330" s="33" t="s">
        <v>181</v>
      </c>
      <c r="K1330" s="33" t="s">
        <v>157</v>
      </c>
    </row>
    <row r="1331" ht="15.75" customHeight="1">
      <c r="A1331" s="33" t="s">
        <v>5565</v>
      </c>
      <c r="B1331" s="33" t="s">
        <v>337</v>
      </c>
      <c r="C1331" s="33" t="s">
        <v>247</v>
      </c>
      <c r="D1331" s="39">
        <v>45786.0</v>
      </c>
      <c r="E1331" s="40">
        <v>18300.0</v>
      </c>
      <c r="F1331" s="33" t="s">
        <v>241</v>
      </c>
      <c r="G1331" s="33" t="s">
        <v>189</v>
      </c>
      <c r="H1331" s="33" t="s">
        <v>189</v>
      </c>
      <c r="I1331" s="33" t="s">
        <v>189</v>
      </c>
      <c r="J1331" s="33" t="s">
        <v>189</v>
      </c>
      <c r="K1331" s="33" t="s">
        <v>252</v>
      </c>
    </row>
    <row r="1332" ht="15.75" customHeight="1">
      <c r="A1332" s="33" t="s">
        <v>3447</v>
      </c>
      <c r="B1332" s="33" t="s">
        <v>723</v>
      </c>
      <c r="C1332" s="33" t="s">
        <v>235</v>
      </c>
      <c r="D1332" s="39">
        <v>46207.0</v>
      </c>
      <c r="E1332" s="40">
        <v>37000.0</v>
      </c>
      <c r="F1332" s="33" t="s">
        <v>230</v>
      </c>
      <c r="G1332" s="33" t="s">
        <v>181</v>
      </c>
      <c r="H1332" s="33" t="s">
        <v>181</v>
      </c>
      <c r="I1332" s="33" t="s">
        <v>181</v>
      </c>
      <c r="J1332" s="33" t="s">
        <v>181</v>
      </c>
      <c r="K1332" s="33" t="s">
        <v>157</v>
      </c>
    </row>
    <row r="1333" ht="15.75" customHeight="1">
      <c r="A1333" s="33" t="s">
        <v>3450</v>
      </c>
      <c r="B1333" s="33" t="s">
        <v>1186</v>
      </c>
      <c r="C1333" s="33" t="s">
        <v>247</v>
      </c>
      <c r="D1333" s="39">
        <v>45714.0</v>
      </c>
      <c r="E1333" s="40">
        <v>9200.0</v>
      </c>
      <c r="F1333" s="33" t="s">
        <v>241</v>
      </c>
      <c r="G1333" s="33" t="s">
        <v>181</v>
      </c>
      <c r="H1333" s="33" t="s">
        <v>181</v>
      </c>
      <c r="I1333" s="33" t="s">
        <v>181</v>
      </c>
      <c r="J1333" s="33" t="s">
        <v>181</v>
      </c>
      <c r="K1333" s="33" t="s">
        <v>157</v>
      </c>
    </row>
    <row r="1334" ht="15.75" customHeight="1">
      <c r="A1334" s="33" t="s">
        <v>3454</v>
      </c>
      <c r="B1334" s="33" t="s">
        <v>1991</v>
      </c>
      <c r="C1334" s="33" t="s">
        <v>235</v>
      </c>
      <c r="D1334" s="39">
        <v>46136.0</v>
      </c>
      <c r="E1334" s="40">
        <v>22800.0</v>
      </c>
      <c r="F1334" s="33" t="s">
        <v>248</v>
      </c>
      <c r="G1334" s="33" t="s">
        <v>181</v>
      </c>
      <c r="H1334" s="33" t="s">
        <v>181</v>
      </c>
      <c r="I1334" s="33" t="s">
        <v>181</v>
      </c>
      <c r="J1334" s="33" t="s">
        <v>181</v>
      </c>
      <c r="K1334" s="33" t="s">
        <v>157</v>
      </c>
    </row>
    <row r="1335" ht="15.75" customHeight="1">
      <c r="A1335" s="33" t="s">
        <v>5570</v>
      </c>
      <c r="B1335" s="33" t="s">
        <v>697</v>
      </c>
      <c r="C1335" s="33" t="s">
        <v>227</v>
      </c>
      <c r="D1335" s="39">
        <v>45714.0</v>
      </c>
      <c r="E1335" s="40">
        <v>37700.0</v>
      </c>
      <c r="F1335" s="33" t="s">
        <v>248</v>
      </c>
      <c r="G1335" s="33" t="s">
        <v>181</v>
      </c>
      <c r="H1335" s="33" t="s">
        <v>189</v>
      </c>
      <c r="I1335" s="33" t="s">
        <v>189</v>
      </c>
      <c r="J1335" s="33" t="s">
        <v>189</v>
      </c>
      <c r="K1335" s="33" t="s">
        <v>262</v>
      </c>
    </row>
    <row r="1336" ht="15.75" customHeight="1">
      <c r="A1336" s="33" t="s">
        <v>5572</v>
      </c>
      <c r="B1336" s="33" t="s">
        <v>1926</v>
      </c>
      <c r="C1336" s="33" t="s">
        <v>227</v>
      </c>
      <c r="D1336" s="39">
        <v>45852.0</v>
      </c>
      <c r="E1336" s="40">
        <v>10800.0</v>
      </c>
      <c r="F1336" s="33" t="s">
        <v>269</v>
      </c>
      <c r="G1336" s="33" t="s">
        <v>189</v>
      </c>
      <c r="H1336" s="33" t="s">
        <v>189</v>
      </c>
      <c r="I1336" s="33" t="s">
        <v>189</v>
      </c>
      <c r="J1336" s="33" t="s">
        <v>189</v>
      </c>
      <c r="K1336" s="33" t="s">
        <v>252</v>
      </c>
    </row>
    <row r="1337" ht="15.75" customHeight="1">
      <c r="A1337" s="33" t="s">
        <v>5574</v>
      </c>
      <c r="B1337" s="33" t="s">
        <v>2965</v>
      </c>
      <c r="C1337" s="33" t="s">
        <v>247</v>
      </c>
      <c r="D1337" s="39">
        <v>46174.0</v>
      </c>
      <c r="E1337" s="40">
        <v>18100.0</v>
      </c>
      <c r="F1337" s="33" t="s">
        <v>241</v>
      </c>
      <c r="G1337" s="33" t="s">
        <v>181</v>
      </c>
      <c r="H1337" s="33" t="s">
        <v>189</v>
      </c>
      <c r="I1337" s="33" t="s">
        <v>189</v>
      </c>
      <c r="J1337" s="33" t="s">
        <v>189</v>
      </c>
      <c r="K1337" s="33" t="s">
        <v>262</v>
      </c>
    </row>
    <row r="1338" ht="15.75" customHeight="1">
      <c r="A1338" s="33" t="s">
        <v>5576</v>
      </c>
      <c r="B1338" s="33" t="s">
        <v>1495</v>
      </c>
      <c r="C1338" s="33" t="s">
        <v>247</v>
      </c>
      <c r="D1338" s="39">
        <v>46168.0</v>
      </c>
      <c r="E1338" s="40">
        <v>31800.0</v>
      </c>
      <c r="F1338" s="33" t="s">
        <v>248</v>
      </c>
      <c r="G1338" s="33" t="s">
        <v>181</v>
      </c>
      <c r="H1338" s="33" t="s">
        <v>189</v>
      </c>
      <c r="I1338" s="33" t="s">
        <v>189</v>
      </c>
      <c r="J1338" s="33" t="s">
        <v>189</v>
      </c>
      <c r="K1338" s="33" t="s">
        <v>262</v>
      </c>
    </row>
    <row r="1339" ht="15.75" customHeight="1">
      <c r="A1339" s="33" t="s">
        <v>5578</v>
      </c>
      <c r="B1339" s="33" t="s">
        <v>1229</v>
      </c>
      <c r="C1339" s="33" t="s">
        <v>227</v>
      </c>
      <c r="D1339" s="39">
        <v>45890.0</v>
      </c>
      <c r="E1339" s="40">
        <v>18000.0</v>
      </c>
      <c r="F1339" s="33" t="s">
        <v>230</v>
      </c>
      <c r="G1339" s="33" t="s">
        <v>189</v>
      </c>
      <c r="H1339" s="33" t="s">
        <v>189</v>
      </c>
      <c r="I1339" s="33" t="s">
        <v>189</v>
      </c>
      <c r="J1339" s="33" t="s">
        <v>189</v>
      </c>
      <c r="K1339" s="33" t="s">
        <v>252</v>
      </c>
    </row>
    <row r="1340" ht="15.75" customHeight="1">
      <c r="A1340" s="33" t="s">
        <v>3457</v>
      </c>
      <c r="B1340" s="33" t="s">
        <v>2334</v>
      </c>
      <c r="C1340" s="33" t="s">
        <v>247</v>
      </c>
      <c r="D1340" s="39">
        <v>45668.0</v>
      </c>
      <c r="E1340" s="40">
        <v>43800.0</v>
      </c>
      <c r="F1340" s="33" t="s">
        <v>241</v>
      </c>
      <c r="G1340" s="33" t="s">
        <v>181</v>
      </c>
      <c r="H1340" s="33" t="s">
        <v>181</v>
      </c>
      <c r="I1340" s="33" t="s">
        <v>181</v>
      </c>
      <c r="J1340" s="33" t="s">
        <v>181</v>
      </c>
      <c r="K1340" s="33" t="s">
        <v>157</v>
      </c>
    </row>
    <row r="1341" ht="15.75" customHeight="1">
      <c r="A1341" s="33" t="s">
        <v>5581</v>
      </c>
      <c r="B1341" s="33" t="s">
        <v>769</v>
      </c>
      <c r="C1341" s="33" t="s">
        <v>227</v>
      </c>
      <c r="D1341" s="39">
        <v>46228.0</v>
      </c>
      <c r="E1341" s="40">
        <v>47900.0</v>
      </c>
      <c r="F1341" s="33" t="s">
        <v>230</v>
      </c>
      <c r="G1341" s="33" t="s">
        <v>181</v>
      </c>
      <c r="H1341" s="33" t="s">
        <v>181</v>
      </c>
      <c r="I1341" s="33" t="s">
        <v>181</v>
      </c>
      <c r="J1341" s="33" t="s">
        <v>189</v>
      </c>
      <c r="K1341" s="33" t="s">
        <v>365</v>
      </c>
    </row>
    <row r="1342" ht="15.75" customHeight="1">
      <c r="A1342" s="33" t="s">
        <v>3460</v>
      </c>
      <c r="B1342" s="33" t="s">
        <v>533</v>
      </c>
      <c r="C1342" s="33" t="s">
        <v>227</v>
      </c>
      <c r="D1342" s="39">
        <v>46197.0</v>
      </c>
      <c r="E1342" s="40">
        <v>32500.0</v>
      </c>
      <c r="F1342" s="33" t="s">
        <v>230</v>
      </c>
      <c r="G1342" s="33" t="s">
        <v>181</v>
      </c>
      <c r="H1342" s="33" t="s">
        <v>181</v>
      </c>
      <c r="I1342" s="33" t="s">
        <v>181</v>
      </c>
      <c r="J1342" s="33" t="s">
        <v>181</v>
      </c>
      <c r="K1342" s="33" t="s">
        <v>157</v>
      </c>
    </row>
    <row r="1343" ht="15.75" customHeight="1">
      <c r="A1343" s="33" t="s">
        <v>5584</v>
      </c>
      <c r="B1343" s="33" t="s">
        <v>2752</v>
      </c>
      <c r="C1343" s="33" t="s">
        <v>235</v>
      </c>
      <c r="D1343" s="39">
        <v>45959.0</v>
      </c>
      <c r="E1343" s="40">
        <v>39300.0</v>
      </c>
      <c r="F1343" s="33" t="s">
        <v>241</v>
      </c>
      <c r="G1343" s="33" t="s">
        <v>181</v>
      </c>
      <c r="H1343" s="33" t="s">
        <v>189</v>
      </c>
      <c r="I1343" s="33" t="s">
        <v>189</v>
      </c>
      <c r="J1343" s="33" t="s">
        <v>189</v>
      </c>
      <c r="K1343" s="33" t="s">
        <v>262</v>
      </c>
    </row>
    <row r="1344" ht="15.75" customHeight="1">
      <c r="A1344" s="33" t="s">
        <v>5586</v>
      </c>
      <c r="B1344" s="33" t="s">
        <v>781</v>
      </c>
      <c r="C1344" s="33" t="s">
        <v>247</v>
      </c>
      <c r="D1344" s="39">
        <v>45675.0</v>
      </c>
      <c r="E1344" s="40">
        <v>45400.0</v>
      </c>
      <c r="F1344" s="33" t="s">
        <v>248</v>
      </c>
      <c r="G1344" s="33" t="s">
        <v>189</v>
      </c>
      <c r="H1344" s="33" t="s">
        <v>189</v>
      </c>
      <c r="I1344" s="33" t="s">
        <v>189</v>
      </c>
      <c r="J1344" s="33" t="s">
        <v>189</v>
      </c>
      <c r="K1344" s="33" t="s">
        <v>252</v>
      </c>
    </row>
    <row r="1345" ht="15.75" customHeight="1">
      <c r="A1345" s="33" t="s">
        <v>5588</v>
      </c>
      <c r="B1345" s="33" t="s">
        <v>3431</v>
      </c>
      <c r="C1345" s="33" t="s">
        <v>227</v>
      </c>
      <c r="D1345" s="39">
        <v>46077.0</v>
      </c>
      <c r="E1345" s="40">
        <v>35400.0</v>
      </c>
      <c r="F1345" s="33" t="s">
        <v>241</v>
      </c>
      <c r="G1345" s="33" t="s">
        <v>189</v>
      </c>
      <c r="H1345" s="33" t="s">
        <v>189</v>
      </c>
      <c r="I1345" s="33" t="s">
        <v>189</v>
      </c>
      <c r="J1345" s="33" t="s">
        <v>189</v>
      </c>
      <c r="K1345" s="33" t="s">
        <v>252</v>
      </c>
    </row>
    <row r="1346" ht="15.75" customHeight="1">
      <c r="A1346" s="33" t="s">
        <v>5590</v>
      </c>
      <c r="B1346" s="33" t="s">
        <v>1249</v>
      </c>
      <c r="C1346" s="33" t="s">
        <v>227</v>
      </c>
      <c r="D1346" s="39">
        <v>46133.0</v>
      </c>
      <c r="E1346" s="40">
        <v>38900.0</v>
      </c>
      <c r="F1346" s="33" t="s">
        <v>230</v>
      </c>
      <c r="G1346" s="33" t="s">
        <v>189</v>
      </c>
      <c r="H1346" s="33" t="s">
        <v>189</v>
      </c>
      <c r="I1346" s="33" t="s">
        <v>189</v>
      </c>
      <c r="J1346" s="33" t="s">
        <v>189</v>
      </c>
      <c r="K1346" s="33" t="s">
        <v>252</v>
      </c>
    </row>
    <row r="1347" ht="15.75" customHeight="1">
      <c r="A1347" s="33" t="s">
        <v>5592</v>
      </c>
      <c r="B1347" s="33" t="s">
        <v>996</v>
      </c>
      <c r="C1347" s="33" t="s">
        <v>235</v>
      </c>
      <c r="D1347" s="39">
        <v>46159.0</v>
      </c>
      <c r="E1347" s="40">
        <v>4900.0</v>
      </c>
      <c r="F1347" s="33" t="s">
        <v>241</v>
      </c>
      <c r="G1347" s="33" t="s">
        <v>189</v>
      </c>
      <c r="H1347" s="33" t="s">
        <v>189</v>
      </c>
      <c r="I1347" s="33" t="s">
        <v>189</v>
      </c>
      <c r="J1347" s="33" t="s">
        <v>189</v>
      </c>
      <c r="K1347" s="33" t="s">
        <v>252</v>
      </c>
    </row>
    <row r="1348" ht="15.75" customHeight="1">
      <c r="A1348" s="33" t="s">
        <v>5594</v>
      </c>
      <c r="B1348" s="33" t="s">
        <v>2110</v>
      </c>
      <c r="C1348" s="33" t="s">
        <v>235</v>
      </c>
      <c r="D1348" s="39">
        <v>46101.0</v>
      </c>
      <c r="E1348" s="40">
        <v>41400.0</v>
      </c>
      <c r="F1348" s="33" t="s">
        <v>230</v>
      </c>
      <c r="G1348" s="33" t="s">
        <v>181</v>
      </c>
      <c r="H1348" s="33" t="s">
        <v>189</v>
      </c>
      <c r="I1348" s="33" t="s">
        <v>189</v>
      </c>
      <c r="J1348" s="33" t="s">
        <v>189</v>
      </c>
      <c r="K1348" s="33" t="s">
        <v>262</v>
      </c>
    </row>
    <row r="1349" ht="15.75" customHeight="1">
      <c r="A1349" s="33" t="s">
        <v>5596</v>
      </c>
      <c r="B1349" s="33" t="s">
        <v>344</v>
      </c>
      <c r="C1349" s="33" t="s">
        <v>227</v>
      </c>
      <c r="D1349" s="39">
        <v>46188.0</v>
      </c>
      <c r="E1349" s="40">
        <v>14500.0</v>
      </c>
      <c r="F1349" s="33" t="s">
        <v>248</v>
      </c>
      <c r="G1349" s="33" t="s">
        <v>181</v>
      </c>
      <c r="H1349" s="33" t="s">
        <v>189</v>
      </c>
      <c r="I1349" s="33" t="s">
        <v>189</v>
      </c>
      <c r="J1349" s="33" t="s">
        <v>189</v>
      </c>
      <c r="K1349" s="33" t="s">
        <v>262</v>
      </c>
    </row>
    <row r="1350" ht="15.75" customHeight="1">
      <c r="A1350" s="33" t="s">
        <v>5598</v>
      </c>
      <c r="B1350" s="33" t="s">
        <v>863</v>
      </c>
      <c r="C1350" s="33" t="s">
        <v>247</v>
      </c>
      <c r="D1350" s="39">
        <v>45967.0</v>
      </c>
      <c r="E1350" s="40">
        <v>4500.0</v>
      </c>
      <c r="F1350" s="33" t="s">
        <v>269</v>
      </c>
      <c r="G1350" s="33" t="s">
        <v>181</v>
      </c>
      <c r="H1350" s="33" t="s">
        <v>189</v>
      </c>
      <c r="I1350" s="33" t="s">
        <v>189</v>
      </c>
      <c r="J1350" s="33" t="s">
        <v>189</v>
      </c>
      <c r="K1350" s="33" t="s">
        <v>262</v>
      </c>
    </row>
    <row r="1351" ht="15.75" customHeight="1">
      <c r="A1351" s="33" t="s">
        <v>5600</v>
      </c>
      <c r="B1351" s="33" t="s">
        <v>1174</v>
      </c>
      <c r="C1351" s="33" t="s">
        <v>247</v>
      </c>
      <c r="D1351" s="39">
        <v>45756.0</v>
      </c>
      <c r="E1351" s="40">
        <v>29900.0</v>
      </c>
      <c r="F1351" s="33" t="s">
        <v>241</v>
      </c>
      <c r="G1351" s="33" t="s">
        <v>189</v>
      </c>
      <c r="H1351" s="33" t="s">
        <v>189</v>
      </c>
      <c r="I1351" s="33" t="s">
        <v>189</v>
      </c>
      <c r="J1351" s="33" t="s">
        <v>189</v>
      </c>
      <c r="K1351" s="33" t="s">
        <v>252</v>
      </c>
    </row>
    <row r="1352" ht="15.75" customHeight="1">
      <c r="A1352" s="33" t="s">
        <v>3464</v>
      </c>
      <c r="B1352" s="33" t="s">
        <v>672</v>
      </c>
      <c r="C1352" s="33" t="s">
        <v>227</v>
      </c>
      <c r="D1352" s="39">
        <v>46076.0</v>
      </c>
      <c r="E1352" s="40">
        <v>12100.0</v>
      </c>
      <c r="F1352" s="33" t="s">
        <v>269</v>
      </c>
      <c r="G1352" s="33" t="s">
        <v>181</v>
      </c>
      <c r="H1352" s="33" t="s">
        <v>181</v>
      </c>
      <c r="I1352" s="33" t="s">
        <v>181</v>
      </c>
      <c r="J1352" s="33" t="s">
        <v>181</v>
      </c>
      <c r="K1352" s="33" t="s">
        <v>157</v>
      </c>
    </row>
    <row r="1353" ht="15.75" customHeight="1">
      <c r="A1353" s="33" t="s">
        <v>5603</v>
      </c>
      <c r="B1353" s="33" t="s">
        <v>762</v>
      </c>
      <c r="C1353" s="33" t="s">
        <v>247</v>
      </c>
      <c r="D1353" s="39">
        <v>45789.0</v>
      </c>
      <c r="E1353" s="40">
        <v>4900.0</v>
      </c>
      <c r="F1353" s="33" t="s">
        <v>241</v>
      </c>
      <c r="G1353" s="33" t="s">
        <v>181</v>
      </c>
      <c r="H1353" s="33" t="s">
        <v>189</v>
      </c>
      <c r="I1353" s="33" t="s">
        <v>189</v>
      </c>
      <c r="J1353" s="33" t="s">
        <v>189</v>
      </c>
      <c r="K1353" s="33" t="s">
        <v>262</v>
      </c>
    </row>
    <row r="1354" ht="15.75" customHeight="1">
      <c r="A1354" s="33" t="s">
        <v>3468</v>
      </c>
      <c r="B1354" s="33" t="s">
        <v>394</v>
      </c>
      <c r="C1354" s="33" t="s">
        <v>227</v>
      </c>
      <c r="D1354" s="39">
        <v>46040.0</v>
      </c>
      <c r="E1354" s="40">
        <v>30900.0</v>
      </c>
      <c r="F1354" s="33" t="s">
        <v>248</v>
      </c>
      <c r="G1354" s="33" t="s">
        <v>181</v>
      </c>
      <c r="H1354" s="33" t="s">
        <v>181</v>
      </c>
      <c r="I1354" s="33" t="s">
        <v>181</v>
      </c>
      <c r="J1354" s="33" t="s">
        <v>181</v>
      </c>
      <c r="K1354" s="33" t="s">
        <v>157</v>
      </c>
    </row>
    <row r="1355" ht="15.75" customHeight="1">
      <c r="A1355" s="33" t="s">
        <v>3472</v>
      </c>
      <c r="B1355" s="33" t="s">
        <v>566</v>
      </c>
      <c r="C1355" s="33" t="s">
        <v>227</v>
      </c>
      <c r="D1355" s="39">
        <v>45749.0</v>
      </c>
      <c r="E1355" s="40">
        <v>5800.0</v>
      </c>
      <c r="F1355" s="33" t="s">
        <v>241</v>
      </c>
      <c r="G1355" s="33" t="s">
        <v>181</v>
      </c>
      <c r="H1355" s="33" t="s">
        <v>181</v>
      </c>
      <c r="I1355" s="33" t="s">
        <v>181</v>
      </c>
      <c r="J1355" s="33" t="s">
        <v>181</v>
      </c>
      <c r="K1355" s="33" t="s">
        <v>157</v>
      </c>
    </row>
    <row r="1356" ht="15.75" customHeight="1">
      <c r="A1356" s="33" t="s">
        <v>5607</v>
      </c>
      <c r="B1356" s="33" t="s">
        <v>2303</v>
      </c>
      <c r="C1356" s="33" t="s">
        <v>247</v>
      </c>
      <c r="D1356" s="39">
        <v>45681.0</v>
      </c>
      <c r="E1356" s="40">
        <v>44500.0</v>
      </c>
      <c r="F1356" s="33" t="s">
        <v>230</v>
      </c>
      <c r="G1356" s="33" t="s">
        <v>189</v>
      </c>
      <c r="H1356" s="33" t="s">
        <v>189</v>
      </c>
      <c r="I1356" s="33" t="s">
        <v>189</v>
      </c>
      <c r="J1356" s="33" t="s">
        <v>189</v>
      </c>
      <c r="K1356" s="33" t="s">
        <v>252</v>
      </c>
    </row>
    <row r="1357" ht="15.75" customHeight="1">
      <c r="A1357" s="33" t="s">
        <v>5609</v>
      </c>
      <c r="B1357" s="33" t="s">
        <v>1076</v>
      </c>
      <c r="C1357" s="33" t="s">
        <v>227</v>
      </c>
      <c r="D1357" s="39">
        <v>45928.0</v>
      </c>
      <c r="E1357" s="40">
        <v>48500.0</v>
      </c>
      <c r="F1357" s="33" t="s">
        <v>230</v>
      </c>
      <c r="G1357" s="33" t="s">
        <v>189</v>
      </c>
      <c r="H1357" s="33" t="s">
        <v>189</v>
      </c>
      <c r="I1357" s="33" t="s">
        <v>189</v>
      </c>
      <c r="J1357" s="33" t="s">
        <v>189</v>
      </c>
      <c r="K1357" s="33" t="s">
        <v>252</v>
      </c>
    </row>
    <row r="1358" ht="15.75" customHeight="1">
      <c r="A1358" s="33" t="s">
        <v>5611</v>
      </c>
      <c r="B1358" s="33" t="s">
        <v>723</v>
      </c>
      <c r="C1358" s="33" t="s">
        <v>247</v>
      </c>
      <c r="D1358" s="39">
        <v>46017.0</v>
      </c>
      <c r="E1358" s="40">
        <v>37200.0</v>
      </c>
      <c r="F1358" s="33" t="s">
        <v>248</v>
      </c>
      <c r="G1358" s="33" t="s">
        <v>181</v>
      </c>
      <c r="H1358" s="33" t="s">
        <v>189</v>
      </c>
      <c r="I1358" s="33" t="s">
        <v>189</v>
      </c>
      <c r="J1358" s="33" t="s">
        <v>189</v>
      </c>
      <c r="K1358" s="33" t="s">
        <v>262</v>
      </c>
    </row>
    <row r="1359" ht="15.75" customHeight="1">
      <c r="A1359" s="33" t="s">
        <v>3475</v>
      </c>
      <c r="B1359" s="33" t="s">
        <v>1145</v>
      </c>
      <c r="C1359" s="33" t="s">
        <v>227</v>
      </c>
      <c r="D1359" s="39">
        <v>45752.0</v>
      </c>
      <c r="E1359" s="40">
        <v>15100.0</v>
      </c>
      <c r="F1359" s="33" t="s">
        <v>248</v>
      </c>
      <c r="G1359" s="33" t="s">
        <v>181</v>
      </c>
      <c r="H1359" s="33" t="s">
        <v>181</v>
      </c>
      <c r="I1359" s="33" t="s">
        <v>181</v>
      </c>
      <c r="J1359" s="33" t="s">
        <v>181</v>
      </c>
      <c r="K1359" s="33" t="s">
        <v>157</v>
      </c>
    </row>
    <row r="1360" ht="15.75" customHeight="1">
      <c r="A1360" s="33" t="s">
        <v>5614</v>
      </c>
      <c r="B1360" s="33" t="s">
        <v>1647</v>
      </c>
      <c r="C1360" s="33" t="s">
        <v>247</v>
      </c>
      <c r="D1360" s="39">
        <v>46134.0</v>
      </c>
      <c r="E1360" s="40">
        <v>28600.0</v>
      </c>
      <c r="F1360" s="33" t="s">
        <v>248</v>
      </c>
      <c r="G1360" s="33" t="s">
        <v>189</v>
      </c>
      <c r="H1360" s="33" t="s">
        <v>189</v>
      </c>
      <c r="I1360" s="33" t="s">
        <v>189</v>
      </c>
      <c r="J1360" s="33" t="s">
        <v>189</v>
      </c>
      <c r="K1360" s="33" t="s">
        <v>252</v>
      </c>
    </row>
    <row r="1361" ht="15.75" customHeight="1">
      <c r="A1361" s="33" t="s">
        <v>5616</v>
      </c>
      <c r="B1361" s="33" t="s">
        <v>2212</v>
      </c>
      <c r="C1361" s="33" t="s">
        <v>235</v>
      </c>
      <c r="D1361" s="39">
        <v>46053.0</v>
      </c>
      <c r="E1361" s="40">
        <v>2500.0</v>
      </c>
      <c r="F1361" s="33" t="s">
        <v>248</v>
      </c>
      <c r="G1361" s="33" t="s">
        <v>181</v>
      </c>
      <c r="H1361" s="33" t="s">
        <v>189</v>
      </c>
      <c r="I1361" s="33" t="s">
        <v>189</v>
      </c>
      <c r="J1361" s="33" t="s">
        <v>189</v>
      </c>
      <c r="K1361" s="33" t="s">
        <v>262</v>
      </c>
    </row>
    <row r="1362" ht="15.75" customHeight="1">
      <c r="A1362" s="33" t="s">
        <v>3479</v>
      </c>
      <c r="B1362" s="33" t="s">
        <v>1721</v>
      </c>
      <c r="C1362" s="33" t="s">
        <v>247</v>
      </c>
      <c r="D1362" s="39">
        <v>46143.0</v>
      </c>
      <c r="E1362" s="40">
        <v>31400.0</v>
      </c>
      <c r="F1362" s="33" t="s">
        <v>241</v>
      </c>
      <c r="G1362" s="33" t="s">
        <v>181</v>
      </c>
      <c r="H1362" s="33" t="s">
        <v>181</v>
      </c>
      <c r="I1362" s="33" t="s">
        <v>181</v>
      </c>
      <c r="J1362" s="33" t="s">
        <v>181</v>
      </c>
      <c r="K1362" s="33" t="s">
        <v>157</v>
      </c>
    </row>
    <row r="1363" ht="15.75" customHeight="1">
      <c r="A1363" s="33" t="s">
        <v>5619</v>
      </c>
      <c r="B1363" s="33" t="s">
        <v>731</v>
      </c>
      <c r="C1363" s="33" t="s">
        <v>247</v>
      </c>
      <c r="D1363" s="39">
        <v>45878.0</v>
      </c>
      <c r="E1363" s="40">
        <v>13900.0</v>
      </c>
      <c r="F1363" s="33" t="s">
        <v>269</v>
      </c>
      <c r="G1363" s="33" t="s">
        <v>189</v>
      </c>
      <c r="H1363" s="33" t="s">
        <v>189</v>
      </c>
      <c r="I1363" s="33" t="s">
        <v>189</v>
      </c>
      <c r="J1363" s="33" t="s">
        <v>189</v>
      </c>
      <c r="K1363" s="33" t="s">
        <v>252</v>
      </c>
    </row>
    <row r="1364" ht="15.75" customHeight="1">
      <c r="A1364" s="33" t="s">
        <v>3483</v>
      </c>
      <c r="B1364" s="33" t="s">
        <v>2627</v>
      </c>
      <c r="C1364" s="33" t="s">
        <v>247</v>
      </c>
      <c r="D1364" s="39">
        <v>46058.0</v>
      </c>
      <c r="E1364" s="40">
        <v>23300.0</v>
      </c>
      <c r="F1364" s="33" t="s">
        <v>230</v>
      </c>
      <c r="G1364" s="33" t="s">
        <v>181</v>
      </c>
      <c r="H1364" s="33" t="s">
        <v>181</v>
      </c>
      <c r="I1364" s="33" t="s">
        <v>181</v>
      </c>
      <c r="J1364" s="33" t="s">
        <v>181</v>
      </c>
      <c r="K1364" s="33" t="s">
        <v>157</v>
      </c>
    </row>
    <row r="1365" ht="15.75" customHeight="1">
      <c r="A1365" s="33" t="s">
        <v>3486</v>
      </c>
      <c r="B1365" s="33" t="s">
        <v>2497</v>
      </c>
      <c r="C1365" s="33" t="s">
        <v>235</v>
      </c>
      <c r="D1365" s="39">
        <v>46243.0</v>
      </c>
      <c r="E1365" s="40">
        <v>9800.0</v>
      </c>
      <c r="F1365" s="33" t="s">
        <v>248</v>
      </c>
      <c r="G1365" s="33" t="s">
        <v>181</v>
      </c>
      <c r="H1365" s="33" t="s">
        <v>181</v>
      </c>
      <c r="I1365" s="33" t="s">
        <v>181</v>
      </c>
      <c r="J1365" s="33" t="s">
        <v>181</v>
      </c>
      <c r="K1365" s="33" t="s">
        <v>157</v>
      </c>
    </row>
    <row r="1366" ht="15.75" customHeight="1">
      <c r="A1366" s="33" t="s">
        <v>3489</v>
      </c>
      <c r="B1366" s="33" t="s">
        <v>1118</v>
      </c>
      <c r="C1366" s="33" t="s">
        <v>247</v>
      </c>
      <c r="D1366" s="39">
        <v>45768.0</v>
      </c>
      <c r="E1366" s="40">
        <v>49300.0</v>
      </c>
      <c r="F1366" s="33" t="s">
        <v>248</v>
      </c>
      <c r="G1366" s="33" t="s">
        <v>181</v>
      </c>
      <c r="H1366" s="33" t="s">
        <v>181</v>
      </c>
      <c r="I1366" s="33" t="s">
        <v>181</v>
      </c>
      <c r="J1366" s="33" t="s">
        <v>181</v>
      </c>
      <c r="K1366" s="33" t="s">
        <v>157</v>
      </c>
    </row>
    <row r="1367" ht="15.75" customHeight="1">
      <c r="A1367" s="33" t="s">
        <v>3493</v>
      </c>
      <c r="B1367" s="33" t="s">
        <v>501</v>
      </c>
      <c r="C1367" s="33" t="s">
        <v>227</v>
      </c>
      <c r="D1367" s="39">
        <v>46153.0</v>
      </c>
      <c r="E1367" s="40">
        <v>11200.0</v>
      </c>
      <c r="F1367" s="33" t="s">
        <v>241</v>
      </c>
      <c r="G1367" s="33" t="s">
        <v>181</v>
      </c>
      <c r="H1367" s="33" t="s">
        <v>181</v>
      </c>
      <c r="I1367" s="33" t="s">
        <v>181</v>
      </c>
      <c r="J1367" s="33" t="s">
        <v>181</v>
      </c>
      <c r="K1367" s="33" t="s">
        <v>157</v>
      </c>
    </row>
    <row r="1368" ht="15.75" customHeight="1">
      <c r="A1368" s="33" t="s">
        <v>5625</v>
      </c>
      <c r="B1368" s="33" t="s">
        <v>2019</v>
      </c>
      <c r="C1368" s="33" t="s">
        <v>227</v>
      </c>
      <c r="D1368" s="39">
        <v>46039.0</v>
      </c>
      <c r="E1368" s="40">
        <v>21400.0</v>
      </c>
      <c r="F1368" s="33" t="s">
        <v>230</v>
      </c>
      <c r="G1368" s="33" t="s">
        <v>181</v>
      </c>
      <c r="H1368" s="33" t="s">
        <v>189</v>
      </c>
      <c r="I1368" s="33" t="s">
        <v>189</v>
      </c>
      <c r="J1368" s="33" t="s">
        <v>189</v>
      </c>
      <c r="K1368" s="33" t="s">
        <v>262</v>
      </c>
    </row>
    <row r="1369" ht="15.75" customHeight="1">
      <c r="A1369" s="33" t="s">
        <v>3497</v>
      </c>
      <c r="B1369" s="33" t="s">
        <v>1422</v>
      </c>
      <c r="C1369" s="33" t="s">
        <v>247</v>
      </c>
      <c r="D1369" s="39">
        <v>46097.0</v>
      </c>
      <c r="E1369" s="40">
        <v>13500.0</v>
      </c>
      <c r="F1369" s="33" t="s">
        <v>241</v>
      </c>
      <c r="G1369" s="33" t="s">
        <v>181</v>
      </c>
      <c r="H1369" s="33" t="s">
        <v>181</v>
      </c>
      <c r="I1369" s="33" t="s">
        <v>181</v>
      </c>
      <c r="J1369" s="33" t="s">
        <v>181</v>
      </c>
      <c r="K1369" s="33" t="s">
        <v>157</v>
      </c>
    </row>
    <row r="1370" ht="15.75" customHeight="1">
      <c r="A1370" s="33" t="s">
        <v>3501</v>
      </c>
      <c r="B1370" s="33" t="s">
        <v>460</v>
      </c>
      <c r="C1370" s="33" t="s">
        <v>247</v>
      </c>
      <c r="D1370" s="39">
        <v>46037.0</v>
      </c>
      <c r="E1370" s="40">
        <v>27500.0</v>
      </c>
      <c r="F1370" s="33" t="s">
        <v>248</v>
      </c>
      <c r="G1370" s="33" t="s">
        <v>181</v>
      </c>
      <c r="H1370" s="33" t="s">
        <v>181</v>
      </c>
      <c r="I1370" s="33" t="s">
        <v>181</v>
      </c>
      <c r="J1370" s="33" t="s">
        <v>181</v>
      </c>
      <c r="K1370" s="33" t="s">
        <v>157</v>
      </c>
    </row>
    <row r="1371" ht="15.75" customHeight="1">
      <c r="A1371" s="33" t="s">
        <v>3504</v>
      </c>
      <c r="B1371" s="33" t="s">
        <v>2375</v>
      </c>
      <c r="C1371" s="33" t="s">
        <v>227</v>
      </c>
      <c r="D1371" s="39">
        <v>46076.0</v>
      </c>
      <c r="E1371" s="40">
        <v>45400.0</v>
      </c>
      <c r="F1371" s="33" t="s">
        <v>241</v>
      </c>
      <c r="G1371" s="33" t="s">
        <v>181</v>
      </c>
      <c r="H1371" s="33" t="s">
        <v>181</v>
      </c>
      <c r="I1371" s="33" t="s">
        <v>181</v>
      </c>
      <c r="J1371" s="33" t="s">
        <v>181</v>
      </c>
      <c r="K1371" s="33" t="s">
        <v>157</v>
      </c>
    </row>
    <row r="1372" ht="15.75" customHeight="1">
      <c r="A1372" s="33" t="s">
        <v>5630</v>
      </c>
      <c r="B1372" s="33" t="s">
        <v>204</v>
      </c>
      <c r="C1372" s="33" t="s">
        <v>247</v>
      </c>
      <c r="D1372" s="39">
        <v>46131.0</v>
      </c>
      <c r="E1372" s="40">
        <v>9000.0</v>
      </c>
      <c r="F1372" s="33" t="s">
        <v>241</v>
      </c>
      <c r="G1372" s="33" t="s">
        <v>189</v>
      </c>
      <c r="H1372" s="33" t="s">
        <v>189</v>
      </c>
      <c r="I1372" s="33" t="s">
        <v>189</v>
      </c>
      <c r="J1372" s="33" t="s">
        <v>189</v>
      </c>
      <c r="K1372" s="33" t="s">
        <v>252</v>
      </c>
    </row>
    <row r="1373" ht="15.75" customHeight="1">
      <c r="A1373" s="33" t="s">
        <v>5632</v>
      </c>
      <c r="B1373" s="33" t="s">
        <v>381</v>
      </c>
      <c r="C1373" s="33" t="s">
        <v>247</v>
      </c>
      <c r="D1373" s="39">
        <v>45682.0</v>
      </c>
      <c r="E1373" s="40">
        <v>7900.0</v>
      </c>
      <c r="F1373" s="33" t="s">
        <v>248</v>
      </c>
      <c r="G1373" s="33" t="s">
        <v>181</v>
      </c>
      <c r="H1373" s="33" t="s">
        <v>181</v>
      </c>
      <c r="I1373" s="33" t="s">
        <v>181</v>
      </c>
      <c r="J1373" s="33" t="s">
        <v>189</v>
      </c>
      <c r="K1373" s="33" t="s">
        <v>365</v>
      </c>
    </row>
    <row r="1374" ht="15.75" customHeight="1">
      <c r="A1374" s="33" t="s">
        <v>3507</v>
      </c>
      <c r="B1374" s="33" t="s">
        <v>308</v>
      </c>
      <c r="C1374" s="33" t="s">
        <v>247</v>
      </c>
      <c r="D1374" s="39">
        <v>45677.0</v>
      </c>
      <c r="E1374" s="40">
        <v>4600.0</v>
      </c>
      <c r="F1374" s="33" t="s">
        <v>269</v>
      </c>
      <c r="G1374" s="33" t="s">
        <v>181</v>
      </c>
      <c r="H1374" s="33" t="s">
        <v>181</v>
      </c>
      <c r="I1374" s="33" t="s">
        <v>181</v>
      </c>
      <c r="J1374" s="33" t="s">
        <v>181</v>
      </c>
      <c r="K1374" s="33" t="s">
        <v>157</v>
      </c>
    </row>
    <row r="1375" ht="15.75" customHeight="1">
      <c r="A1375" s="33" t="s">
        <v>3511</v>
      </c>
      <c r="B1375" s="33" t="s">
        <v>195</v>
      </c>
      <c r="C1375" s="33" t="s">
        <v>247</v>
      </c>
      <c r="D1375" s="39">
        <v>45708.0</v>
      </c>
      <c r="E1375" s="40">
        <v>29900.0</v>
      </c>
      <c r="F1375" s="33" t="s">
        <v>230</v>
      </c>
      <c r="G1375" s="33" t="s">
        <v>181</v>
      </c>
      <c r="H1375" s="33" t="s">
        <v>181</v>
      </c>
      <c r="I1375" s="33" t="s">
        <v>181</v>
      </c>
      <c r="J1375" s="33" t="s">
        <v>181</v>
      </c>
      <c r="K1375" s="33" t="s">
        <v>157</v>
      </c>
    </row>
    <row r="1376" ht="15.75" customHeight="1">
      <c r="A1376" s="33" t="s">
        <v>3514</v>
      </c>
      <c r="B1376" s="33" t="s">
        <v>2842</v>
      </c>
      <c r="C1376" s="33" t="s">
        <v>227</v>
      </c>
      <c r="D1376" s="39">
        <v>46222.0</v>
      </c>
      <c r="E1376" s="40">
        <v>30500.0</v>
      </c>
      <c r="F1376" s="33" t="s">
        <v>248</v>
      </c>
      <c r="G1376" s="33" t="s">
        <v>181</v>
      </c>
      <c r="H1376" s="33" t="s">
        <v>181</v>
      </c>
      <c r="I1376" s="33" t="s">
        <v>181</v>
      </c>
      <c r="J1376" s="33" t="s">
        <v>181</v>
      </c>
      <c r="K1376" s="33" t="s">
        <v>157</v>
      </c>
    </row>
    <row r="1377" ht="15.75" customHeight="1">
      <c r="A1377" s="33" t="s">
        <v>5637</v>
      </c>
      <c r="B1377" s="33" t="s">
        <v>2317</v>
      </c>
      <c r="C1377" s="33" t="s">
        <v>247</v>
      </c>
      <c r="D1377" s="39">
        <v>45920.0</v>
      </c>
      <c r="E1377" s="40">
        <v>41200.0</v>
      </c>
      <c r="F1377" s="33" t="s">
        <v>230</v>
      </c>
      <c r="G1377" s="33" t="s">
        <v>181</v>
      </c>
      <c r="H1377" s="33" t="s">
        <v>181</v>
      </c>
      <c r="I1377" s="33" t="s">
        <v>181</v>
      </c>
      <c r="J1377" s="33" t="s">
        <v>189</v>
      </c>
      <c r="K1377" s="33" t="s">
        <v>365</v>
      </c>
    </row>
    <row r="1378" ht="15.75" customHeight="1">
      <c r="A1378" s="33" t="s">
        <v>3517</v>
      </c>
      <c r="B1378" s="33" t="s">
        <v>460</v>
      </c>
      <c r="C1378" s="33" t="s">
        <v>247</v>
      </c>
      <c r="D1378" s="39">
        <v>46259.0</v>
      </c>
      <c r="E1378" s="40">
        <v>42000.0</v>
      </c>
      <c r="F1378" s="33" t="s">
        <v>230</v>
      </c>
      <c r="G1378" s="33" t="s">
        <v>181</v>
      </c>
      <c r="H1378" s="33" t="s">
        <v>181</v>
      </c>
      <c r="I1378" s="33" t="s">
        <v>181</v>
      </c>
      <c r="J1378" s="33" t="s">
        <v>181</v>
      </c>
      <c r="K1378" s="33" t="s">
        <v>157</v>
      </c>
    </row>
    <row r="1379" ht="15.75" customHeight="1">
      <c r="A1379" s="33" t="s">
        <v>3520</v>
      </c>
      <c r="B1379" s="33" t="s">
        <v>360</v>
      </c>
      <c r="C1379" s="33" t="s">
        <v>235</v>
      </c>
      <c r="D1379" s="39">
        <v>46213.0</v>
      </c>
      <c r="E1379" s="40">
        <v>6000.0</v>
      </c>
      <c r="F1379" s="33" t="s">
        <v>269</v>
      </c>
      <c r="G1379" s="33" t="s">
        <v>181</v>
      </c>
      <c r="H1379" s="33" t="s">
        <v>181</v>
      </c>
      <c r="I1379" s="33" t="s">
        <v>181</v>
      </c>
      <c r="J1379" s="33" t="s">
        <v>181</v>
      </c>
      <c r="K1379" s="33" t="s">
        <v>157</v>
      </c>
    </row>
    <row r="1380" ht="15.75" customHeight="1">
      <c r="A1380" s="33" t="s">
        <v>5641</v>
      </c>
      <c r="B1380" s="33" t="s">
        <v>1416</v>
      </c>
      <c r="C1380" s="33" t="s">
        <v>247</v>
      </c>
      <c r="D1380" s="39">
        <v>45867.0</v>
      </c>
      <c r="E1380" s="40">
        <v>45600.0</v>
      </c>
      <c r="F1380" s="33" t="s">
        <v>230</v>
      </c>
      <c r="G1380" s="33" t="s">
        <v>181</v>
      </c>
      <c r="H1380" s="33" t="s">
        <v>181</v>
      </c>
      <c r="I1380" s="33" t="s">
        <v>181</v>
      </c>
      <c r="J1380" s="33" t="s">
        <v>189</v>
      </c>
      <c r="K1380" s="33" t="s">
        <v>365</v>
      </c>
    </row>
    <row r="1381" ht="15.75" customHeight="1">
      <c r="A1381" s="33" t="s">
        <v>5643</v>
      </c>
      <c r="B1381" s="33" t="s">
        <v>318</v>
      </c>
      <c r="C1381" s="33" t="s">
        <v>227</v>
      </c>
      <c r="D1381" s="39">
        <v>45715.0</v>
      </c>
      <c r="E1381" s="40">
        <v>41600.0</v>
      </c>
      <c r="F1381" s="33" t="s">
        <v>269</v>
      </c>
      <c r="G1381" s="33" t="s">
        <v>189</v>
      </c>
      <c r="H1381" s="33" t="s">
        <v>189</v>
      </c>
      <c r="I1381" s="33" t="s">
        <v>189</v>
      </c>
      <c r="J1381" s="33" t="s">
        <v>189</v>
      </c>
      <c r="K1381" s="33" t="s">
        <v>252</v>
      </c>
    </row>
    <row r="1382" ht="15.75" customHeight="1">
      <c r="A1382" s="33" t="s">
        <v>3524</v>
      </c>
      <c r="B1382" s="33" t="s">
        <v>1909</v>
      </c>
      <c r="C1382" s="33" t="s">
        <v>247</v>
      </c>
      <c r="D1382" s="39">
        <v>46169.0</v>
      </c>
      <c r="E1382" s="40">
        <v>32700.0</v>
      </c>
      <c r="F1382" s="33" t="s">
        <v>241</v>
      </c>
      <c r="G1382" s="33" t="s">
        <v>181</v>
      </c>
      <c r="H1382" s="33" t="s">
        <v>181</v>
      </c>
      <c r="I1382" s="33" t="s">
        <v>181</v>
      </c>
      <c r="J1382" s="33" t="s">
        <v>181</v>
      </c>
      <c r="K1382" s="33" t="s">
        <v>157</v>
      </c>
    </row>
    <row r="1383" ht="15.75" customHeight="1">
      <c r="A1383" s="33" t="s">
        <v>3528</v>
      </c>
      <c r="B1383" s="33" t="s">
        <v>1247</v>
      </c>
      <c r="C1383" s="33" t="s">
        <v>235</v>
      </c>
      <c r="D1383" s="39">
        <v>45913.0</v>
      </c>
      <c r="E1383" s="40">
        <v>18000.0</v>
      </c>
      <c r="F1383" s="33" t="s">
        <v>241</v>
      </c>
      <c r="G1383" s="33" t="s">
        <v>181</v>
      </c>
      <c r="H1383" s="33" t="s">
        <v>181</v>
      </c>
      <c r="I1383" s="33" t="s">
        <v>181</v>
      </c>
      <c r="J1383" s="33" t="s">
        <v>181</v>
      </c>
      <c r="K1383" s="33" t="s">
        <v>157</v>
      </c>
    </row>
    <row r="1384" ht="15.75" customHeight="1">
      <c r="A1384" s="33" t="s">
        <v>3531</v>
      </c>
      <c r="B1384" s="33" t="s">
        <v>2259</v>
      </c>
      <c r="C1384" s="33" t="s">
        <v>247</v>
      </c>
      <c r="D1384" s="39">
        <v>45838.0</v>
      </c>
      <c r="E1384" s="40">
        <v>37500.0</v>
      </c>
      <c r="F1384" s="33" t="s">
        <v>248</v>
      </c>
      <c r="G1384" s="33" t="s">
        <v>181</v>
      </c>
      <c r="H1384" s="33" t="s">
        <v>181</v>
      </c>
      <c r="I1384" s="33" t="s">
        <v>181</v>
      </c>
      <c r="J1384" s="33" t="s">
        <v>181</v>
      </c>
      <c r="K1384" s="33" t="s">
        <v>157</v>
      </c>
    </row>
    <row r="1385" ht="15.75" customHeight="1">
      <c r="A1385" s="33" t="s">
        <v>3536</v>
      </c>
      <c r="B1385" s="33" t="s">
        <v>3535</v>
      </c>
      <c r="C1385" s="33" t="s">
        <v>227</v>
      </c>
      <c r="D1385" s="39">
        <v>46139.0</v>
      </c>
      <c r="E1385" s="40">
        <v>31400.0</v>
      </c>
      <c r="F1385" s="33" t="s">
        <v>248</v>
      </c>
      <c r="G1385" s="33" t="s">
        <v>181</v>
      </c>
      <c r="H1385" s="33" t="s">
        <v>181</v>
      </c>
      <c r="I1385" s="33" t="s">
        <v>181</v>
      </c>
      <c r="J1385" s="33" t="s">
        <v>181</v>
      </c>
      <c r="K1385" s="33" t="s">
        <v>157</v>
      </c>
    </row>
    <row r="1386" ht="15.75" customHeight="1">
      <c r="A1386" s="33" t="s">
        <v>5650</v>
      </c>
      <c r="B1386" s="33" t="s">
        <v>902</v>
      </c>
      <c r="C1386" s="33" t="s">
        <v>227</v>
      </c>
      <c r="D1386" s="39">
        <v>45950.0</v>
      </c>
      <c r="E1386" s="40">
        <v>18300.0</v>
      </c>
      <c r="F1386" s="33" t="s">
        <v>241</v>
      </c>
      <c r="G1386" s="33" t="s">
        <v>181</v>
      </c>
      <c r="H1386" s="33" t="s">
        <v>189</v>
      </c>
      <c r="I1386" s="33" t="s">
        <v>189</v>
      </c>
      <c r="J1386" s="33" t="s">
        <v>189</v>
      </c>
      <c r="K1386" s="33" t="s">
        <v>262</v>
      </c>
    </row>
    <row r="1387" ht="15.75" customHeight="1">
      <c r="A1387" s="33" t="s">
        <v>3539</v>
      </c>
      <c r="B1387" s="33" t="s">
        <v>984</v>
      </c>
      <c r="C1387" s="33" t="s">
        <v>247</v>
      </c>
      <c r="D1387" s="39">
        <v>45852.0</v>
      </c>
      <c r="E1387" s="40">
        <v>1600.0</v>
      </c>
      <c r="F1387" s="33" t="s">
        <v>230</v>
      </c>
      <c r="G1387" s="33" t="s">
        <v>181</v>
      </c>
      <c r="H1387" s="33" t="s">
        <v>181</v>
      </c>
      <c r="I1387" s="33" t="s">
        <v>181</v>
      </c>
      <c r="J1387" s="33" t="s">
        <v>181</v>
      </c>
      <c r="K1387" s="33" t="s">
        <v>157</v>
      </c>
    </row>
    <row r="1388" ht="15.75" customHeight="1">
      <c r="A1388" s="33" t="s">
        <v>5653</v>
      </c>
      <c r="B1388" s="33" t="s">
        <v>2715</v>
      </c>
      <c r="C1388" s="33" t="s">
        <v>247</v>
      </c>
      <c r="D1388" s="39">
        <v>45898.0</v>
      </c>
      <c r="E1388" s="40">
        <v>30000.0</v>
      </c>
      <c r="F1388" s="33" t="s">
        <v>269</v>
      </c>
      <c r="G1388" s="33" t="s">
        <v>181</v>
      </c>
      <c r="H1388" s="33" t="s">
        <v>189</v>
      </c>
      <c r="I1388" s="33" t="s">
        <v>189</v>
      </c>
      <c r="J1388" s="33" t="s">
        <v>189</v>
      </c>
      <c r="K1388" s="33" t="s">
        <v>262</v>
      </c>
    </row>
    <row r="1389" ht="15.75" customHeight="1">
      <c r="A1389" s="33" t="s">
        <v>3543</v>
      </c>
      <c r="B1389" s="33" t="s">
        <v>953</v>
      </c>
      <c r="C1389" s="33" t="s">
        <v>227</v>
      </c>
      <c r="D1389" s="39">
        <v>46222.0</v>
      </c>
      <c r="E1389" s="40">
        <v>29200.0</v>
      </c>
      <c r="F1389" s="33" t="s">
        <v>230</v>
      </c>
      <c r="G1389" s="33" t="s">
        <v>181</v>
      </c>
      <c r="H1389" s="33" t="s">
        <v>181</v>
      </c>
      <c r="I1389" s="33" t="s">
        <v>181</v>
      </c>
      <c r="J1389" s="33" t="s">
        <v>181</v>
      </c>
      <c r="K1389" s="33" t="s">
        <v>157</v>
      </c>
    </row>
    <row r="1390" ht="15.75" customHeight="1">
      <c r="A1390" s="33" t="s">
        <v>5655</v>
      </c>
      <c r="B1390" s="33" t="s">
        <v>2021</v>
      </c>
      <c r="C1390" s="33" t="s">
        <v>247</v>
      </c>
      <c r="D1390" s="39">
        <v>45841.0</v>
      </c>
      <c r="E1390" s="40">
        <v>8600.0</v>
      </c>
      <c r="F1390" s="33" t="s">
        <v>230</v>
      </c>
      <c r="G1390" s="33" t="s">
        <v>181</v>
      </c>
      <c r="H1390" s="33" t="s">
        <v>181</v>
      </c>
      <c r="I1390" s="33" t="s">
        <v>181</v>
      </c>
      <c r="J1390" s="33" t="s">
        <v>189</v>
      </c>
      <c r="K1390" s="33" t="s">
        <v>365</v>
      </c>
    </row>
    <row r="1391" ht="15.75" customHeight="1">
      <c r="A1391" s="33" t="s">
        <v>5657</v>
      </c>
      <c r="B1391" s="33" t="s">
        <v>1585</v>
      </c>
      <c r="C1391" s="33" t="s">
        <v>235</v>
      </c>
      <c r="D1391" s="39">
        <v>46225.0</v>
      </c>
      <c r="E1391" s="40">
        <v>45400.0</v>
      </c>
      <c r="F1391" s="33" t="s">
        <v>269</v>
      </c>
      <c r="G1391" s="33" t="s">
        <v>189</v>
      </c>
      <c r="H1391" s="33" t="s">
        <v>189</v>
      </c>
      <c r="I1391" s="33" t="s">
        <v>189</v>
      </c>
      <c r="J1391" s="33" t="s">
        <v>189</v>
      </c>
      <c r="K1391" s="33" t="s">
        <v>252</v>
      </c>
    </row>
    <row r="1392" ht="15.75" customHeight="1">
      <c r="A1392" s="33" t="s">
        <v>3548</v>
      </c>
      <c r="B1392" s="33" t="s">
        <v>3547</v>
      </c>
      <c r="C1392" s="33" t="s">
        <v>227</v>
      </c>
      <c r="D1392" s="39">
        <v>46015.0</v>
      </c>
      <c r="E1392" s="40">
        <v>8800.0</v>
      </c>
      <c r="F1392" s="33" t="s">
        <v>241</v>
      </c>
      <c r="G1392" s="33" t="s">
        <v>181</v>
      </c>
      <c r="H1392" s="33" t="s">
        <v>181</v>
      </c>
      <c r="I1392" s="33" t="s">
        <v>181</v>
      </c>
      <c r="J1392" s="33" t="s">
        <v>181</v>
      </c>
      <c r="K1392" s="33" t="s">
        <v>157</v>
      </c>
    </row>
    <row r="1393" ht="15.75" customHeight="1">
      <c r="A1393" s="33" t="s">
        <v>3551</v>
      </c>
      <c r="B1393" s="33" t="s">
        <v>3228</v>
      </c>
      <c r="C1393" s="33" t="s">
        <v>247</v>
      </c>
      <c r="D1393" s="39">
        <v>45692.0</v>
      </c>
      <c r="E1393" s="40">
        <v>15100.0</v>
      </c>
      <c r="F1393" s="33" t="s">
        <v>230</v>
      </c>
      <c r="G1393" s="33" t="s">
        <v>181</v>
      </c>
      <c r="H1393" s="33" t="s">
        <v>181</v>
      </c>
      <c r="I1393" s="33" t="s">
        <v>181</v>
      </c>
      <c r="J1393" s="33" t="s">
        <v>181</v>
      </c>
      <c r="K1393" s="33" t="s">
        <v>157</v>
      </c>
    </row>
    <row r="1394" ht="15.75" customHeight="1">
      <c r="A1394" s="33" t="s">
        <v>5661</v>
      </c>
      <c r="B1394" s="33" t="s">
        <v>510</v>
      </c>
      <c r="C1394" s="33" t="s">
        <v>235</v>
      </c>
      <c r="D1394" s="39">
        <v>45726.0</v>
      </c>
      <c r="E1394" s="40">
        <v>19200.0</v>
      </c>
      <c r="F1394" s="33" t="s">
        <v>241</v>
      </c>
      <c r="G1394" s="33" t="s">
        <v>189</v>
      </c>
      <c r="H1394" s="33" t="s">
        <v>189</v>
      </c>
      <c r="I1394" s="33" t="s">
        <v>189</v>
      </c>
      <c r="J1394" s="33" t="s">
        <v>189</v>
      </c>
      <c r="K1394" s="33" t="s">
        <v>252</v>
      </c>
    </row>
    <row r="1395" ht="15.75" customHeight="1">
      <c r="A1395" s="33" t="s">
        <v>5663</v>
      </c>
      <c r="B1395" s="33" t="s">
        <v>2842</v>
      </c>
      <c r="C1395" s="33" t="s">
        <v>235</v>
      </c>
      <c r="D1395" s="39">
        <v>46032.0</v>
      </c>
      <c r="E1395" s="40">
        <v>34500.0</v>
      </c>
      <c r="F1395" s="33" t="s">
        <v>230</v>
      </c>
      <c r="G1395" s="33" t="s">
        <v>181</v>
      </c>
      <c r="H1395" s="33" t="s">
        <v>189</v>
      </c>
      <c r="I1395" s="33" t="s">
        <v>189</v>
      </c>
      <c r="J1395" s="33" t="s">
        <v>189</v>
      </c>
      <c r="K1395" s="33" t="s">
        <v>262</v>
      </c>
    </row>
    <row r="1396" ht="15.75" customHeight="1">
      <c r="A1396" s="33" t="s">
        <v>3555</v>
      </c>
      <c r="B1396" s="33" t="s">
        <v>1001</v>
      </c>
      <c r="C1396" s="33" t="s">
        <v>227</v>
      </c>
      <c r="D1396" s="39">
        <v>45741.0</v>
      </c>
      <c r="E1396" s="40">
        <v>5000.0</v>
      </c>
      <c r="F1396" s="33" t="s">
        <v>230</v>
      </c>
      <c r="G1396" s="33" t="s">
        <v>181</v>
      </c>
      <c r="H1396" s="33" t="s">
        <v>181</v>
      </c>
      <c r="I1396" s="33" t="s">
        <v>181</v>
      </c>
      <c r="J1396" s="33" t="s">
        <v>181</v>
      </c>
      <c r="K1396" s="33" t="s">
        <v>157</v>
      </c>
    </row>
    <row r="1397" ht="15.75" customHeight="1">
      <c r="A1397" s="33" t="s">
        <v>5666</v>
      </c>
      <c r="B1397" s="33" t="s">
        <v>697</v>
      </c>
      <c r="C1397" s="33" t="s">
        <v>227</v>
      </c>
      <c r="D1397" s="39">
        <v>45746.0</v>
      </c>
      <c r="E1397" s="40">
        <v>35400.0</v>
      </c>
      <c r="F1397" s="33" t="s">
        <v>248</v>
      </c>
      <c r="G1397" s="33" t="s">
        <v>181</v>
      </c>
      <c r="H1397" s="33" t="s">
        <v>189</v>
      </c>
      <c r="I1397" s="33" t="s">
        <v>189</v>
      </c>
      <c r="J1397" s="33" t="s">
        <v>189</v>
      </c>
      <c r="K1397" s="33" t="s">
        <v>262</v>
      </c>
    </row>
    <row r="1398" ht="15.75" customHeight="1">
      <c r="A1398" s="33" t="s">
        <v>5668</v>
      </c>
      <c r="B1398" s="33" t="s">
        <v>706</v>
      </c>
      <c r="C1398" s="33" t="s">
        <v>247</v>
      </c>
      <c r="D1398" s="39">
        <v>45938.0</v>
      </c>
      <c r="E1398" s="40">
        <v>21300.0</v>
      </c>
      <c r="F1398" s="33" t="s">
        <v>269</v>
      </c>
      <c r="G1398" s="33" t="s">
        <v>189</v>
      </c>
      <c r="H1398" s="33" t="s">
        <v>189</v>
      </c>
      <c r="I1398" s="33" t="s">
        <v>189</v>
      </c>
      <c r="J1398" s="33" t="s">
        <v>189</v>
      </c>
      <c r="K1398" s="33" t="s">
        <v>252</v>
      </c>
    </row>
    <row r="1399" ht="15.75" customHeight="1">
      <c r="A1399" s="33" t="s">
        <v>3559</v>
      </c>
      <c r="B1399" s="33" t="s">
        <v>2002</v>
      </c>
      <c r="C1399" s="33" t="s">
        <v>227</v>
      </c>
      <c r="D1399" s="39">
        <v>45925.0</v>
      </c>
      <c r="E1399" s="40">
        <v>10000.0</v>
      </c>
      <c r="F1399" s="33" t="s">
        <v>269</v>
      </c>
      <c r="G1399" s="33" t="s">
        <v>181</v>
      </c>
      <c r="H1399" s="33" t="s">
        <v>181</v>
      </c>
      <c r="I1399" s="33" t="s">
        <v>181</v>
      </c>
      <c r="J1399" s="33" t="s">
        <v>181</v>
      </c>
      <c r="K1399" s="33" t="s">
        <v>157</v>
      </c>
    </row>
    <row r="1400" ht="15.75" customHeight="1">
      <c r="A1400" s="33" t="s">
        <v>5671</v>
      </c>
      <c r="B1400" s="33" t="s">
        <v>1249</v>
      </c>
      <c r="C1400" s="33" t="s">
        <v>247</v>
      </c>
      <c r="D1400" s="39">
        <v>46229.0</v>
      </c>
      <c r="E1400" s="40">
        <v>6500.0</v>
      </c>
      <c r="F1400" s="33" t="s">
        <v>241</v>
      </c>
      <c r="G1400" s="33" t="s">
        <v>181</v>
      </c>
      <c r="H1400" s="33" t="s">
        <v>189</v>
      </c>
      <c r="I1400" s="33" t="s">
        <v>189</v>
      </c>
      <c r="J1400" s="33" t="s">
        <v>189</v>
      </c>
      <c r="K1400" s="33" t="s">
        <v>262</v>
      </c>
    </row>
    <row r="1401" ht="15.75" customHeight="1">
      <c r="A1401" s="33" t="s">
        <v>3562</v>
      </c>
      <c r="B1401" s="33" t="s">
        <v>1944</v>
      </c>
      <c r="C1401" s="33" t="s">
        <v>247</v>
      </c>
      <c r="D1401" s="39">
        <v>46202.0</v>
      </c>
      <c r="E1401" s="40">
        <v>21200.0</v>
      </c>
      <c r="F1401" s="33" t="s">
        <v>230</v>
      </c>
      <c r="G1401" s="33" t="s">
        <v>181</v>
      </c>
      <c r="H1401" s="33" t="s">
        <v>181</v>
      </c>
      <c r="I1401" s="33" t="s">
        <v>181</v>
      </c>
      <c r="J1401" s="33" t="s">
        <v>181</v>
      </c>
      <c r="K1401" s="33" t="s">
        <v>157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3.0"/>
    <col customWidth="1" min="3" max="3" width="16.0"/>
    <col customWidth="1" min="4" max="4" width="15.0"/>
    <col customWidth="1" min="5" max="5" width="18.0"/>
    <col customWidth="1" min="6" max="6" width="12.0"/>
    <col customWidth="1" min="7" max="8" width="15.0"/>
    <col customWidth="1" min="9" max="9" width="25.0"/>
    <col customWidth="1" min="10" max="10" width="15.0"/>
    <col customWidth="1" min="11" max="11" width="17.0"/>
    <col customWidth="1" min="12" max="26" width="8.71"/>
  </cols>
  <sheetData>
    <row r="1">
      <c r="A1" s="38" t="s">
        <v>332</v>
      </c>
      <c r="B1" s="38" t="s">
        <v>160</v>
      </c>
      <c r="C1" s="38" t="s">
        <v>205</v>
      </c>
      <c r="D1" s="38" t="s">
        <v>209</v>
      </c>
      <c r="E1" s="38" t="s">
        <v>338</v>
      </c>
      <c r="F1" s="38" t="s">
        <v>214</v>
      </c>
      <c r="G1" s="38" t="s">
        <v>339</v>
      </c>
      <c r="H1" s="38" t="s">
        <v>340</v>
      </c>
      <c r="I1" s="38" t="s">
        <v>343</v>
      </c>
      <c r="J1" s="38" t="s">
        <v>345</v>
      </c>
      <c r="K1" s="38" t="s">
        <v>346</v>
      </c>
    </row>
    <row r="2">
      <c r="A2" s="33" t="s">
        <v>348</v>
      </c>
      <c r="B2" s="33" t="s">
        <v>226</v>
      </c>
      <c r="C2" s="33" t="s">
        <v>224</v>
      </c>
      <c r="D2" s="33" t="s">
        <v>227</v>
      </c>
      <c r="E2" s="39">
        <v>46164.0</v>
      </c>
      <c r="F2" s="33" t="s">
        <v>230</v>
      </c>
      <c r="G2" s="40">
        <v>37030.0</v>
      </c>
      <c r="H2" s="46">
        <v>0.2243</v>
      </c>
      <c r="I2" s="40">
        <v>31825.41</v>
      </c>
      <c r="J2" s="33">
        <v>0.0</v>
      </c>
      <c r="K2" s="33" t="s">
        <v>182</v>
      </c>
    </row>
    <row r="3">
      <c r="A3" s="33" t="s">
        <v>355</v>
      </c>
      <c r="B3" s="33" t="s">
        <v>234</v>
      </c>
      <c r="C3" s="33" t="s">
        <v>233</v>
      </c>
      <c r="D3" s="33" t="s">
        <v>235</v>
      </c>
      <c r="E3" s="39">
        <v>46055.0</v>
      </c>
      <c r="F3" s="33" t="s">
        <v>230</v>
      </c>
      <c r="G3" s="40">
        <v>28540.0</v>
      </c>
      <c r="H3" s="46">
        <v>0.1256</v>
      </c>
      <c r="I3" s="40">
        <v>21707.44</v>
      </c>
      <c r="J3" s="33">
        <v>0.0</v>
      </c>
      <c r="K3" s="33" t="s">
        <v>182</v>
      </c>
    </row>
    <row r="4">
      <c r="A4" s="33" t="s">
        <v>359</v>
      </c>
      <c r="B4" s="33" t="s">
        <v>239</v>
      </c>
      <c r="C4" s="33" t="s">
        <v>238</v>
      </c>
      <c r="D4" s="33" t="s">
        <v>235</v>
      </c>
      <c r="E4" s="39">
        <v>45693.0</v>
      </c>
      <c r="F4" s="33" t="s">
        <v>241</v>
      </c>
      <c r="G4" s="40">
        <v>40610.0</v>
      </c>
      <c r="H4" s="46">
        <v>0.1412</v>
      </c>
      <c r="I4" s="40">
        <v>0.0</v>
      </c>
      <c r="J4" s="33">
        <v>0.0</v>
      </c>
      <c r="K4" s="33" t="s">
        <v>198</v>
      </c>
    </row>
    <row r="5">
      <c r="A5" s="33" t="s">
        <v>363</v>
      </c>
      <c r="B5" s="33" t="s">
        <v>245</v>
      </c>
      <c r="C5" s="33" t="s">
        <v>244</v>
      </c>
      <c r="D5" s="33" t="s">
        <v>247</v>
      </c>
      <c r="E5" s="39">
        <v>45866.0</v>
      </c>
      <c r="F5" s="33" t="s">
        <v>248</v>
      </c>
      <c r="G5" s="40">
        <v>35920.0</v>
      </c>
      <c r="H5" s="46">
        <v>0.189</v>
      </c>
      <c r="I5" s="40">
        <v>18631.52</v>
      </c>
      <c r="J5" s="33">
        <v>0.0</v>
      </c>
      <c r="K5" s="33" t="s">
        <v>182</v>
      </c>
    </row>
    <row r="6">
      <c r="A6" s="33" t="s">
        <v>368</v>
      </c>
      <c r="B6" s="33" t="s">
        <v>254</v>
      </c>
      <c r="C6" s="33" t="s">
        <v>253</v>
      </c>
      <c r="D6" s="33" t="s">
        <v>227</v>
      </c>
      <c r="E6" s="39">
        <v>45966.0</v>
      </c>
      <c r="F6" s="33" t="s">
        <v>248</v>
      </c>
      <c r="G6" s="40">
        <v>5840.0</v>
      </c>
      <c r="H6" s="46">
        <v>0.2088</v>
      </c>
      <c r="I6" s="40">
        <v>4311.92</v>
      </c>
      <c r="J6" s="33">
        <v>0.0</v>
      </c>
      <c r="K6" s="33" t="s">
        <v>182</v>
      </c>
    </row>
    <row r="7">
      <c r="A7" s="33" t="s">
        <v>372</v>
      </c>
      <c r="B7" s="33" t="s">
        <v>257</v>
      </c>
      <c r="C7" s="33" t="s">
        <v>256</v>
      </c>
      <c r="D7" s="33" t="s">
        <v>247</v>
      </c>
      <c r="E7" s="39">
        <v>46129.0</v>
      </c>
      <c r="F7" s="33" t="s">
        <v>230</v>
      </c>
      <c r="G7" s="40">
        <v>34640.0</v>
      </c>
      <c r="H7" s="46">
        <v>0.1216</v>
      </c>
      <c r="I7" s="40">
        <v>29615.91</v>
      </c>
      <c r="J7" s="33">
        <v>29.0</v>
      </c>
      <c r="K7" s="33" t="s">
        <v>182</v>
      </c>
    </row>
    <row r="8">
      <c r="A8" s="33" t="s">
        <v>376</v>
      </c>
      <c r="B8" s="33" t="s">
        <v>264</v>
      </c>
      <c r="C8" s="33" t="s">
        <v>263</v>
      </c>
      <c r="D8" s="33" t="s">
        <v>227</v>
      </c>
      <c r="E8" s="39">
        <v>45680.0</v>
      </c>
      <c r="F8" s="33" t="s">
        <v>241</v>
      </c>
      <c r="G8" s="40">
        <v>16610.0</v>
      </c>
      <c r="H8" s="46">
        <v>0.2122</v>
      </c>
      <c r="I8" s="40">
        <v>0.0</v>
      </c>
      <c r="J8" s="33">
        <v>0.0</v>
      </c>
      <c r="K8" s="33" t="s">
        <v>198</v>
      </c>
    </row>
    <row r="9">
      <c r="A9" s="33" t="s">
        <v>379</v>
      </c>
      <c r="B9" s="33" t="s">
        <v>267</v>
      </c>
      <c r="C9" s="33" t="s">
        <v>266</v>
      </c>
      <c r="D9" s="33" t="s">
        <v>227</v>
      </c>
      <c r="E9" s="39">
        <v>46183.0</v>
      </c>
      <c r="F9" s="33" t="s">
        <v>269</v>
      </c>
      <c r="G9" s="40">
        <v>11980.0</v>
      </c>
      <c r="H9" s="46">
        <v>0.2356</v>
      </c>
      <c r="I9" s="40">
        <v>10428.37</v>
      </c>
      <c r="J9" s="33">
        <v>0.0</v>
      </c>
      <c r="K9" s="33" t="s">
        <v>182</v>
      </c>
    </row>
    <row r="10">
      <c r="A10" s="33" t="s">
        <v>383</v>
      </c>
      <c r="B10" s="33" t="s">
        <v>271</v>
      </c>
      <c r="C10" s="33" t="s">
        <v>270</v>
      </c>
      <c r="D10" s="33" t="s">
        <v>247</v>
      </c>
      <c r="E10" s="39">
        <v>46004.0</v>
      </c>
      <c r="F10" s="33" t="s">
        <v>241</v>
      </c>
      <c r="G10" s="40">
        <v>30130.0</v>
      </c>
      <c r="H10" s="46">
        <v>0.0941</v>
      </c>
      <c r="I10" s="40">
        <v>21494.65</v>
      </c>
      <c r="J10" s="33">
        <v>55.0</v>
      </c>
      <c r="K10" s="33" t="s">
        <v>385</v>
      </c>
    </row>
    <row r="11">
      <c r="A11" s="33" t="s">
        <v>387</v>
      </c>
      <c r="B11" s="33" t="s">
        <v>278</v>
      </c>
      <c r="C11" s="33" t="s">
        <v>277</v>
      </c>
      <c r="D11" s="33" t="s">
        <v>227</v>
      </c>
      <c r="E11" s="39">
        <v>45791.0</v>
      </c>
      <c r="F11" s="33" t="s">
        <v>230</v>
      </c>
      <c r="G11" s="40">
        <v>37670.0</v>
      </c>
      <c r="H11" s="46">
        <v>0.1159</v>
      </c>
      <c r="I11" s="40">
        <v>13305.98</v>
      </c>
      <c r="J11" s="33">
        <v>0.0</v>
      </c>
      <c r="K11" s="33" t="s">
        <v>182</v>
      </c>
    </row>
    <row r="12">
      <c r="A12" s="33" t="s">
        <v>390</v>
      </c>
      <c r="B12" s="33" t="s">
        <v>284</v>
      </c>
      <c r="C12" s="33" t="s">
        <v>283</v>
      </c>
      <c r="D12" s="33" t="s">
        <v>227</v>
      </c>
      <c r="E12" s="39">
        <v>45675.0</v>
      </c>
      <c r="F12" s="33" t="s">
        <v>248</v>
      </c>
      <c r="G12" s="40">
        <v>29660.0</v>
      </c>
      <c r="H12" s="46">
        <v>0.1962</v>
      </c>
      <c r="I12" s="40">
        <v>12429.57</v>
      </c>
      <c r="J12" s="33">
        <v>0.0</v>
      </c>
      <c r="K12" s="33" t="s">
        <v>182</v>
      </c>
    </row>
    <row r="13">
      <c r="A13" s="33" t="s">
        <v>395</v>
      </c>
      <c r="B13" s="33" t="s">
        <v>287</v>
      </c>
      <c r="C13" s="33" t="s">
        <v>286</v>
      </c>
      <c r="D13" s="33" t="s">
        <v>227</v>
      </c>
      <c r="E13" s="39">
        <v>45752.0</v>
      </c>
      <c r="F13" s="33" t="s">
        <v>230</v>
      </c>
      <c r="G13" s="40">
        <v>13750.0</v>
      </c>
      <c r="H13" s="46">
        <v>0.0859</v>
      </c>
      <c r="I13" s="40">
        <v>0.0</v>
      </c>
      <c r="J13" s="33">
        <v>34.0</v>
      </c>
      <c r="K13" s="33" t="s">
        <v>198</v>
      </c>
    </row>
    <row r="14">
      <c r="A14" s="33" t="s">
        <v>399</v>
      </c>
      <c r="B14" s="33" t="s">
        <v>290</v>
      </c>
      <c r="C14" s="33" t="s">
        <v>289</v>
      </c>
      <c r="D14" s="33" t="s">
        <v>227</v>
      </c>
      <c r="E14" s="39">
        <v>46193.0</v>
      </c>
      <c r="F14" s="33" t="s">
        <v>230</v>
      </c>
      <c r="G14" s="40">
        <v>23780.0</v>
      </c>
      <c r="H14" s="46">
        <v>0.1254</v>
      </c>
      <c r="I14" s="40">
        <v>18798.7</v>
      </c>
      <c r="J14" s="33">
        <v>0.0</v>
      </c>
      <c r="K14" s="33" t="s">
        <v>182</v>
      </c>
    </row>
    <row r="15">
      <c r="A15" s="33" t="s">
        <v>405</v>
      </c>
      <c r="B15" s="33" t="s">
        <v>302</v>
      </c>
      <c r="C15" s="33" t="s">
        <v>301</v>
      </c>
      <c r="D15" s="33" t="s">
        <v>247</v>
      </c>
      <c r="E15" s="39">
        <v>46199.0</v>
      </c>
      <c r="F15" s="33" t="s">
        <v>241</v>
      </c>
      <c r="G15" s="40">
        <v>4500.0</v>
      </c>
      <c r="H15" s="46">
        <v>0.2151</v>
      </c>
      <c r="I15" s="40">
        <v>4006.29</v>
      </c>
      <c r="J15" s="33">
        <v>0.0</v>
      </c>
      <c r="K15" s="33" t="s">
        <v>182</v>
      </c>
    </row>
    <row r="16">
      <c r="A16" s="33" t="s">
        <v>409</v>
      </c>
      <c r="B16" s="33" t="s">
        <v>305</v>
      </c>
      <c r="C16" s="33" t="s">
        <v>304</v>
      </c>
      <c r="D16" s="33" t="s">
        <v>227</v>
      </c>
      <c r="E16" s="39">
        <v>45690.0</v>
      </c>
      <c r="F16" s="33" t="s">
        <v>241</v>
      </c>
      <c r="G16" s="40">
        <v>4200.0</v>
      </c>
      <c r="H16" s="46">
        <v>0.1891</v>
      </c>
      <c r="I16" s="40">
        <v>737.75</v>
      </c>
      <c r="J16" s="33">
        <v>3.0</v>
      </c>
      <c r="K16" s="33" t="s">
        <v>182</v>
      </c>
    </row>
    <row r="17">
      <c r="A17" s="33" t="s">
        <v>412</v>
      </c>
      <c r="B17" s="33" t="s">
        <v>308</v>
      </c>
      <c r="C17" s="33" t="s">
        <v>307</v>
      </c>
      <c r="D17" s="33" t="s">
        <v>227</v>
      </c>
      <c r="E17" s="39">
        <v>45901.0</v>
      </c>
      <c r="F17" s="33" t="s">
        <v>230</v>
      </c>
      <c r="G17" s="40">
        <v>20160.0</v>
      </c>
      <c r="H17" s="46">
        <v>0.1825</v>
      </c>
      <c r="I17" s="40">
        <v>11092.21</v>
      </c>
      <c r="J17" s="33">
        <v>0.0</v>
      </c>
      <c r="K17" s="33" t="s">
        <v>182</v>
      </c>
    </row>
    <row r="18">
      <c r="A18" s="33" t="s">
        <v>417</v>
      </c>
      <c r="B18" s="33" t="s">
        <v>311</v>
      </c>
      <c r="C18" s="33" t="s">
        <v>310</v>
      </c>
      <c r="D18" s="33" t="s">
        <v>247</v>
      </c>
      <c r="E18" s="39">
        <v>45923.0</v>
      </c>
      <c r="F18" s="33" t="s">
        <v>230</v>
      </c>
      <c r="G18" s="40">
        <v>4630.0</v>
      </c>
      <c r="H18" s="46">
        <v>0.1779</v>
      </c>
      <c r="I18" s="40">
        <v>1198.41</v>
      </c>
      <c r="J18" s="33">
        <v>0.0</v>
      </c>
      <c r="K18" s="33" t="s">
        <v>182</v>
      </c>
    </row>
    <row r="19">
      <c r="A19" s="33" t="s">
        <v>425</v>
      </c>
      <c r="B19" s="33" t="s">
        <v>320</v>
      </c>
      <c r="C19" s="33" t="s">
        <v>319</v>
      </c>
      <c r="D19" s="33" t="s">
        <v>235</v>
      </c>
      <c r="E19" s="39">
        <v>45875.0</v>
      </c>
      <c r="F19" s="33" t="s">
        <v>230</v>
      </c>
      <c r="G19" s="40">
        <v>42740.0</v>
      </c>
      <c r="H19" s="46">
        <v>0.1603</v>
      </c>
      <c r="I19" s="40">
        <v>21643.71</v>
      </c>
      <c r="J19" s="33">
        <v>21.0</v>
      </c>
      <c r="K19" s="33" t="s">
        <v>182</v>
      </c>
    </row>
    <row r="20">
      <c r="A20" s="33" t="s">
        <v>432</v>
      </c>
      <c r="B20" s="33" t="s">
        <v>323</v>
      </c>
      <c r="C20" s="33" t="s">
        <v>321</v>
      </c>
      <c r="D20" s="33" t="s">
        <v>247</v>
      </c>
      <c r="E20" s="39">
        <v>45748.0</v>
      </c>
      <c r="F20" s="33" t="s">
        <v>248</v>
      </c>
      <c r="G20" s="40">
        <v>11080.0</v>
      </c>
      <c r="H20" s="46">
        <v>0.2027</v>
      </c>
      <c r="I20" s="40">
        <v>4799.41</v>
      </c>
      <c r="J20" s="33">
        <v>0.0</v>
      </c>
      <c r="K20" s="33" t="s">
        <v>182</v>
      </c>
    </row>
    <row r="21" ht="15.75" customHeight="1">
      <c r="A21" s="33" t="s">
        <v>439</v>
      </c>
      <c r="B21" s="33" t="s">
        <v>326</v>
      </c>
      <c r="C21" s="33" t="s">
        <v>325</v>
      </c>
      <c r="D21" s="33" t="s">
        <v>247</v>
      </c>
      <c r="E21" s="39">
        <v>45879.0</v>
      </c>
      <c r="F21" s="33" t="s">
        <v>241</v>
      </c>
      <c r="G21" s="40">
        <v>38560.0</v>
      </c>
      <c r="H21" s="46">
        <v>0.2184</v>
      </c>
      <c r="I21" s="40">
        <v>25115.61</v>
      </c>
      <c r="J21" s="33">
        <v>5.0</v>
      </c>
      <c r="K21" s="33" t="s">
        <v>182</v>
      </c>
    </row>
    <row r="22" ht="15.75" customHeight="1">
      <c r="A22" s="33" t="s">
        <v>446</v>
      </c>
      <c r="B22" s="33" t="s">
        <v>334</v>
      </c>
      <c r="C22" s="33" t="s">
        <v>331</v>
      </c>
      <c r="D22" s="33" t="s">
        <v>227</v>
      </c>
      <c r="E22" s="39">
        <v>46064.0</v>
      </c>
      <c r="F22" s="33" t="s">
        <v>241</v>
      </c>
      <c r="G22" s="40">
        <v>28050.0</v>
      </c>
      <c r="H22" s="46">
        <v>0.2073</v>
      </c>
      <c r="I22" s="40">
        <v>21164.01</v>
      </c>
      <c r="J22" s="33">
        <v>0.0</v>
      </c>
      <c r="K22" s="33" t="s">
        <v>182</v>
      </c>
    </row>
    <row r="23" ht="15.75" customHeight="1">
      <c r="A23" s="33" t="s">
        <v>452</v>
      </c>
      <c r="B23" s="33" t="s">
        <v>336</v>
      </c>
      <c r="C23" s="33" t="s">
        <v>335</v>
      </c>
      <c r="D23" s="33" t="s">
        <v>247</v>
      </c>
      <c r="E23" s="39">
        <v>45706.0</v>
      </c>
      <c r="F23" s="33" t="s">
        <v>230</v>
      </c>
      <c r="G23" s="40">
        <v>36250.0</v>
      </c>
      <c r="H23" s="46">
        <v>0.1572</v>
      </c>
      <c r="I23" s="40">
        <v>9525.0</v>
      </c>
      <c r="J23" s="33">
        <v>18.0</v>
      </c>
      <c r="K23" s="33" t="s">
        <v>182</v>
      </c>
    </row>
    <row r="24" ht="15.75" customHeight="1">
      <c r="A24" s="33" t="s">
        <v>457</v>
      </c>
      <c r="B24" s="33" t="s">
        <v>337</v>
      </c>
      <c r="C24" s="33" t="s">
        <v>351</v>
      </c>
      <c r="D24" s="33" t="s">
        <v>235</v>
      </c>
      <c r="E24" s="39">
        <v>46050.0</v>
      </c>
      <c r="F24" s="33" t="s">
        <v>230</v>
      </c>
      <c r="G24" s="40">
        <v>43920.0</v>
      </c>
      <c r="H24" s="46">
        <v>0.2046</v>
      </c>
      <c r="I24" s="40">
        <v>32930.55</v>
      </c>
      <c r="J24" s="33">
        <v>0.0</v>
      </c>
      <c r="K24" s="33" t="s">
        <v>182</v>
      </c>
    </row>
    <row r="25" ht="15.75" customHeight="1">
      <c r="A25" s="33" t="s">
        <v>465</v>
      </c>
      <c r="B25" s="33" t="s">
        <v>358</v>
      </c>
      <c r="C25" s="33" t="s">
        <v>357</v>
      </c>
      <c r="D25" s="33" t="s">
        <v>235</v>
      </c>
      <c r="E25" s="39">
        <v>45831.0</v>
      </c>
      <c r="F25" s="33" t="s">
        <v>269</v>
      </c>
      <c r="G25" s="40">
        <v>14520.0</v>
      </c>
      <c r="H25" s="46">
        <v>0.2009</v>
      </c>
      <c r="I25" s="40">
        <v>6309.79</v>
      </c>
      <c r="J25" s="33">
        <v>0.0</v>
      </c>
      <c r="K25" s="33" t="s">
        <v>182</v>
      </c>
    </row>
    <row r="26" ht="15.75" customHeight="1">
      <c r="A26" s="33" t="s">
        <v>471</v>
      </c>
      <c r="B26" s="33" t="s">
        <v>367</v>
      </c>
      <c r="C26" s="33" t="s">
        <v>366</v>
      </c>
      <c r="D26" s="33" t="s">
        <v>247</v>
      </c>
      <c r="E26" s="39">
        <v>45717.0</v>
      </c>
      <c r="F26" s="33" t="s">
        <v>241</v>
      </c>
      <c r="G26" s="40">
        <v>4180.0</v>
      </c>
      <c r="H26" s="46">
        <v>0.1529</v>
      </c>
      <c r="I26" s="40">
        <v>0.0</v>
      </c>
      <c r="J26" s="33">
        <v>0.0</v>
      </c>
      <c r="K26" s="33" t="s">
        <v>198</v>
      </c>
    </row>
    <row r="27" ht="15.75" customHeight="1">
      <c r="A27" s="33" t="s">
        <v>477</v>
      </c>
      <c r="B27" s="33" t="s">
        <v>371</v>
      </c>
      <c r="C27" s="33" t="s">
        <v>370</v>
      </c>
      <c r="D27" s="33" t="s">
        <v>235</v>
      </c>
      <c r="E27" s="39">
        <v>45927.0</v>
      </c>
      <c r="F27" s="33" t="s">
        <v>230</v>
      </c>
      <c r="G27" s="40">
        <v>22560.0</v>
      </c>
      <c r="H27" s="46">
        <v>0.1335</v>
      </c>
      <c r="I27" s="40">
        <v>14301.04</v>
      </c>
      <c r="J27" s="33">
        <v>0.0</v>
      </c>
      <c r="K27" s="33" t="s">
        <v>182</v>
      </c>
    </row>
    <row r="28" ht="15.75" customHeight="1">
      <c r="A28" s="33" t="s">
        <v>485</v>
      </c>
      <c r="B28" s="33" t="s">
        <v>389</v>
      </c>
      <c r="C28" s="33" t="s">
        <v>388</v>
      </c>
      <c r="D28" s="33" t="s">
        <v>247</v>
      </c>
      <c r="E28" s="39">
        <v>46204.0</v>
      </c>
      <c r="F28" s="33" t="s">
        <v>241</v>
      </c>
      <c r="G28" s="40">
        <v>19000.0</v>
      </c>
      <c r="H28" s="46">
        <v>0.1456</v>
      </c>
      <c r="I28" s="40">
        <v>15920.62</v>
      </c>
      <c r="J28" s="33">
        <v>0.0</v>
      </c>
      <c r="K28" s="33" t="s">
        <v>182</v>
      </c>
    </row>
    <row r="29" ht="15.75" customHeight="1">
      <c r="A29" s="33" t="s">
        <v>490</v>
      </c>
      <c r="B29" s="33" t="s">
        <v>393</v>
      </c>
      <c r="C29" s="33" t="s">
        <v>392</v>
      </c>
      <c r="D29" s="33" t="s">
        <v>235</v>
      </c>
      <c r="E29" s="39">
        <v>45926.0</v>
      </c>
      <c r="F29" s="33" t="s">
        <v>230</v>
      </c>
      <c r="G29" s="40">
        <v>26410.0</v>
      </c>
      <c r="H29" s="46">
        <v>0.1589</v>
      </c>
      <c r="I29" s="40">
        <v>11033.21</v>
      </c>
      <c r="J29" s="33">
        <v>0.0</v>
      </c>
      <c r="K29" s="33" t="s">
        <v>182</v>
      </c>
    </row>
    <row r="30" ht="15.75" customHeight="1">
      <c r="A30" s="33" t="s">
        <v>498</v>
      </c>
      <c r="B30" s="33" t="s">
        <v>401</v>
      </c>
      <c r="C30" s="33" t="s">
        <v>400</v>
      </c>
      <c r="D30" s="33" t="s">
        <v>227</v>
      </c>
      <c r="E30" s="39">
        <v>46008.0</v>
      </c>
      <c r="F30" s="33" t="s">
        <v>230</v>
      </c>
      <c r="G30" s="40">
        <v>3730.0</v>
      </c>
      <c r="H30" s="46">
        <v>0.1035</v>
      </c>
      <c r="I30" s="40">
        <v>1474.11</v>
      </c>
      <c r="J30" s="33">
        <v>19.0</v>
      </c>
      <c r="K30" s="33" t="s">
        <v>182</v>
      </c>
    </row>
    <row r="31" ht="15.75" customHeight="1">
      <c r="A31" s="33" t="s">
        <v>503</v>
      </c>
      <c r="B31" s="33" t="s">
        <v>404</v>
      </c>
      <c r="C31" s="33" t="s">
        <v>403</v>
      </c>
      <c r="D31" s="33" t="s">
        <v>247</v>
      </c>
      <c r="E31" s="39">
        <v>45670.0</v>
      </c>
      <c r="F31" s="33" t="s">
        <v>230</v>
      </c>
      <c r="G31" s="40">
        <v>23140.0</v>
      </c>
      <c r="H31" s="46">
        <v>0.115</v>
      </c>
      <c r="I31" s="40">
        <v>5840.96</v>
      </c>
      <c r="J31" s="33">
        <v>0.0</v>
      </c>
      <c r="K31" s="33" t="s">
        <v>182</v>
      </c>
    </row>
    <row r="32" ht="15.75" customHeight="1">
      <c r="A32" s="33" t="s">
        <v>507</v>
      </c>
      <c r="B32" s="33" t="s">
        <v>438</v>
      </c>
      <c r="C32" s="33" t="s">
        <v>436</v>
      </c>
      <c r="D32" s="33" t="s">
        <v>247</v>
      </c>
      <c r="E32" s="39">
        <v>45672.0</v>
      </c>
      <c r="F32" s="33" t="s">
        <v>230</v>
      </c>
      <c r="G32" s="40">
        <v>45810.0</v>
      </c>
      <c r="H32" s="46">
        <v>0.0963</v>
      </c>
      <c r="I32" s="40">
        <v>11508.65</v>
      </c>
      <c r="J32" s="33">
        <v>0.0</v>
      </c>
      <c r="K32" s="33" t="s">
        <v>182</v>
      </c>
    </row>
    <row r="33" ht="15.75" customHeight="1">
      <c r="A33" s="33" t="s">
        <v>516</v>
      </c>
      <c r="B33" s="33" t="s">
        <v>453</v>
      </c>
      <c r="C33" s="33" t="s">
        <v>451</v>
      </c>
      <c r="D33" s="33" t="s">
        <v>247</v>
      </c>
      <c r="E33" s="39">
        <v>45946.0</v>
      </c>
      <c r="F33" s="33" t="s">
        <v>241</v>
      </c>
      <c r="G33" s="40">
        <v>35120.0</v>
      </c>
      <c r="H33" s="46">
        <v>0.0916</v>
      </c>
      <c r="I33" s="40">
        <v>20489.5</v>
      </c>
      <c r="J33" s="33">
        <v>0.0</v>
      </c>
      <c r="K33" s="33" t="s">
        <v>182</v>
      </c>
    </row>
    <row r="34" ht="15.75" customHeight="1">
      <c r="A34" s="33" t="s">
        <v>522</v>
      </c>
      <c r="B34" s="33" t="s">
        <v>460</v>
      </c>
      <c r="C34" s="33" t="s">
        <v>459</v>
      </c>
      <c r="D34" s="33" t="s">
        <v>247</v>
      </c>
      <c r="E34" s="39">
        <v>45931.0</v>
      </c>
      <c r="F34" s="33" t="s">
        <v>269</v>
      </c>
      <c r="G34" s="40">
        <v>14250.0</v>
      </c>
      <c r="H34" s="46">
        <v>0.1706</v>
      </c>
      <c r="I34" s="40">
        <v>4068.45</v>
      </c>
      <c r="J34" s="33">
        <v>0.0</v>
      </c>
      <c r="K34" s="33" t="s">
        <v>182</v>
      </c>
    </row>
    <row r="35" ht="15.75" customHeight="1">
      <c r="A35" s="33" t="s">
        <v>529</v>
      </c>
      <c r="B35" s="33" t="s">
        <v>467</v>
      </c>
      <c r="C35" s="33" t="s">
        <v>466</v>
      </c>
      <c r="D35" s="33" t="s">
        <v>247</v>
      </c>
      <c r="E35" s="39">
        <v>46047.0</v>
      </c>
      <c r="F35" s="33" t="s">
        <v>230</v>
      </c>
      <c r="G35" s="40">
        <v>21980.0</v>
      </c>
      <c r="H35" s="46">
        <v>0.1917</v>
      </c>
      <c r="I35" s="40">
        <v>9415.5</v>
      </c>
      <c r="J35" s="33">
        <v>0.0</v>
      </c>
      <c r="K35" s="33" t="s">
        <v>182</v>
      </c>
    </row>
    <row r="36" ht="15.75" customHeight="1">
      <c r="A36" s="33" t="s">
        <v>535</v>
      </c>
      <c r="B36" s="33" t="s">
        <v>481</v>
      </c>
      <c r="C36" s="33" t="s">
        <v>480</v>
      </c>
      <c r="D36" s="33" t="s">
        <v>227</v>
      </c>
      <c r="E36" s="39">
        <v>45923.0</v>
      </c>
      <c r="F36" s="33" t="s">
        <v>248</v>
      </c>
      <c r="G36" s="40">
        <v>35360.0</v>
      </c>
      <c r="H36" s="46">
        <v>0.1782</v>
      </c>
      <c r="I36" s="40">
        <v>14502.9</v>
      </c>
      <c r="J36" s="33">
        <v>0.0</v>
      </c>
      <c r="K36" s="33" t="s">
        <v>182</v>
      </c>
    </row>
    <row r="37" ht="15.75" customHeight="1">
      <c r="A37" s="33" t="s">
        <v>541</v>
      </c>
      <c r="B37" s="33" t="s">
        <v>489</v>
      </c>
      <c r="C37" s="33" t="s">
        <v>488</v>
      </c>
      <c r="D37" s="33" t="s">
        <v>227</v>
      </c>
      <c r="E37" s="39">
        <v>45983.0</v>
      </c>
      <c r="F37" s="33" t="s">
        <v>230</v>
      </c>
      <c r="G37" s="40">
        <v>32350.0</v>
      </c>
      <c r="H37" s="46">
        <v>0.1963</v>
      </c>
      <c r="I37" s="40">
        <v>10549.18</v>
      </c>
      <c r="J37" s="33">
        <v>0.0</v>
      </c>
      <c r="K37" s="33" t="s">
        <v>182</v>
      </c>
    </row>
    <row r="38" ht="15.75" customHeight="1">
      <c r="A38" s="33" t="s">
        <v>545</v>
      </c>
      <c r="B38" s="33" t="s">
        <v>496</v>
      </c>
      <c r="C38" s="33" t="s">
        <v>494</v>
      </c>
      <c r="D38" s="33" t="s">
        <v>247</v>
      </c>
      <c r="E38" s="39">
        <v>45997.0</v>
      </c>
      <c r="F38" s="33" t="s">
        <v>230</v>
      </c>
      <c r="G38" s="40">
        <v>1300.0</v>
      </c>
      <c r="H38" s="46">
        <v>0.145</v>
      </c>
      <c r="I38" s="40">
        <v>495.35</v>
      </c>
      <c r="J38" s="33">
        <v>0.0</v>
      </c>
      <c r="K38" s="33" t="s">
        <v>182</v>
      </c>
    </row>
    <row r="39" ht="15.75" customHeight="1">
      <c r="A39" s="33" t="s">
        <v>550</v>
      </c>
      <c r="B39" s="33" t="s">
        <v>504</v>
      </c>
      <c r="C39" s="33" t="s">
        <v>502</v>
      </c>
      <c r="D39" s="33" t="s">
        <v>227</v>
      </c>
      <c r="E39" s="39">
        <v>45946.0</v>
      </c>
      <c r="F39" s="33" t="s">
        <v>269</v>
      </c>
      <c r="G39" s="40">
        <v>1670.0</v>
      </c>
      <c r="H39" s="46">
        <v>0.2079</v>
      </c>
      <c r="I39" s="40">
        <v>728.46</v>
      </c>
      <c r="J39" s="33">
        <v>0.0</v>
      </c>
      <c r="K39" s="33" t="s">
        <v>182</v>
      </c>
    </row>
    <row r="40" ht="15.75" customHeight="1">
      <c r="A40" s="33" t="s">
        <v>554</v>
      </c>
      <c r="B40" s="33" t="s">
        <v>352</v>
      </c>
      <c r="C40" s="33" t="s">
        <v>515</v>
      </c>
      <c r="D40" s="33" t="s">
        <v>247</v>
      </c>
      <c r="E40" s="39">
        <v>45776.0</v>
      </c>
      <c r="F40" s="33" t="s">
        <v>269</v>
      </c>
      <c r="G40" s="40">
        <v>2190.0</v>
      </c>
      <c r="H40" s="46">
        <v>0.1996</v>
      </c>
      <c r="I40" s="40">
        <v>1181.08</v>
      </c>
      <c r="J40" s="33">
        <v>0.0</v>
      </c>
      <c r="K40" s="33" t="s">
        <v>182</v>
      </c>
    </row>
    <row r="41" ht="15.75" customHeight="1">
      <c r="A41" s="33" t="s">
        <v>559</v>
      </c>
      <c r="B41" s="33" t="s">
        <v>530</v>
      </c>
      <c r="C41" s="33" t="s">
        <v>528</v>
      </c>
      <c r="D41" s="33" t="s">
        <v>247</v>
      </c>
      <c r="E41" s="39">
        <v>45943.0</v>
      </c>
      <c r="F41" s="33" t="s">
        <v>230</v>
      </c>
      <c r="G41" s="40">
        <v>27020.0</v>
      </c>
      <c r="H41" s="46">
        <v>0.1938</v>
      </c>
      <c r="I41" s="40">
        <v>19069.9</v>
      </c>
      <c r="J41" s="33">
        <v>0.0</v>
      </c>
      <c r="K41" s="33" t="s">
        <v>182</v>
      </c>
    </row>
    <row r="42" ht="15.75" customHeight="1">
      <c r="A42" s="33" t="s">
        <v>567</v>
      </c>
      <c r="B42" s="33" t="s">
        <v>534</v>
      </c>
      <c r="C42" s="33" t="s">
        <v>532</v>
      </c>
      <c r="D42" s="33" t="s">
        <v>227</v>
      </c>
      <c r="E42" s="39">
        <v>45973.0</v>
      </c>
      <c r="F42" s="33" t="s">
        <v>230</v>
      </c>
      <c r="G42" s="40">
        <v>24600.0</v>
      </c>
      <c r="H42" s="46">
        <v>0.2026</v>
      </c>
      <c r="I42" s="40">
        <v>13414.22</v>
      </c>
      <c r="J42" s="33">
        <v>0.0</v>
      </c>
      <c r="K42" s="33" t="s">
        <v>182</v>
      </c>
    </row>
    <row r="43" ht="15.75" customHeight="1">
      <c r="A43" s="33" t="s">
        <v>573</v>
      </c>
      <c r="B43" s="33" t="s">
        <v>539</v>
      </c>
      <c r="C43" s="33" t="s">
        <v>538</v>
      </c>
      <c r="D43" s="33" t="s">
        <v>247</v>
      </c>
      <c r="E43" s="39">
        <v>45957.0</v>
      </c>
      <c r="F43" s="33" t="s">
        <v>248</v>
      </c>
      <c r="G43" s="40">
        <v>5080.0</v>
      </c>
      <c r="H43" s="46">
        <v>0.117</v>
      </c>
      <c r="I43" s="40">
        <v>2631.98</v>
      </c>
      <c r="J43" s="33">
        <v>0.0</v>
      </c>
      <c r="K43" s="33" t="s">
        <v>182</v>
      </c>
    </row>
    <row r="44" ht="15.75" customHeight="1">
      <c r="A44" s="33" t="s">
        <v>577</v>
      </c>
      <c r="B44" s="33" t="s">
        <v>470</v>
      </c>
      <c r="C44" s="33" t="s">
        <v>544</v>
      </c>
      <c r="D44" s="33" t="s">
        <v>227</v>
      </c>
      <c r="E44" s="39">
        <v>45912.0</v>
      </c>
      <c r="F44" s="33" t="s">
        <v>248</v>
      </c>
      <c r="G44" s="40">
        <v>37920.0</v>
      </c>
      <c r="H44" s="46">
        <v>0.1711</v>
      </c>
      <c r="I44" s="40">
        <v>25829.97</v>
      </c>
      <c r="J44" s="33">
        <v>0.0</v>
      </c>
      <c r="K44" s="33" t="s">
        <v>182</v>
      </c>
    </row>
    <row r="45" ht="15.75" customHeight="1">
      <c r="A45" s="33" t="s">
        <v>582</v>
      </c>
      <c r="B45" s="33" t="s">
        <v>561</v>
      </c>
      <c r="C45" s="33" t="s">
        <v>560</v>
      </c>
      <c r="D45" s="33" t="s">
        <v>247</v>
      </c>
      <c r="E45" s="39">
        <v>46196.0</v>
      </c>
      <c r="F45" s="33" t="s">
        <v>241</v>
      </c>
      <c r="G45" s="40">
        <v>39780.0</v>
      </c>
      <c r="H45" s="46">
        <v>0.204</v>
      </c>
      <c r="I45" s="40">
        <v>33875.47</v>
      </c>
      <c r="J45" s="33">
        <v>0.0</v>
      </c>
      <c r="K45" s="33" t="s">
        <v>182</v>
      </c>
    </row>
    <row r="46" ht="15.75" customHeight="1">
      <c r="A46" s="33" t="s">
        <v>588</v>
      </c>
      <c r="B46" s="33" t="s">
        <v>585</v>
      </c>
      <c r="C46" s="33" t="s">
        <v>584</v>
      </c>
      <c r="D46" s="33" t="s">
        <v>247</v>
      </c>
      <c r="E46" s="39">
        <v>46018.0</v>
      </c>
      <c r="F46" s="33" t="s">
        <v>269</v>
      </c>
      <c r="G46" s="40">
        <v>33750.0</v>
      </c>
      <c r="H46" s="46">
        <v>0.0958</v>
      </c>
      <c r="I46" s="40">
        <v>25725.91</v>
      </c>
      <c r="J46" s="33">
        <v>0.0</v>
      </c>
      <c r="K46" s="33" t="s">
        <v>182</v>
      </c>
    </row>
    <row r="47" ht="15.75" customHeight="1">
      <c r="A47" s="33" t="s">
        <v>595</v>
      </c>
      <c r="B47" s="33" t="s">
        <v>596</v>
      </c>
      <c r="C47" s="33" t="s">
        <v>598</v>
      </c>
      <c r="D47" s="33" t="s">
        <v>227</v>
      </c>
      <c r="E47" s="39">
        <v>45919.0</v>
      </c>
      <c r="F47" s="33" t="s">
        <v>241</v>
      </c>
      <c r="G47" s="40">
        <v>4560.0</v>
      </c>
      <c r="H47" s="46">
        <v>0.1195</v>
      </c>
      <c r="I47" s="40">
        <v>2732.22</v>
      </c>
      <c r="J47" s="33">
        <v>89.0</v>
      </c>
      <c r="K47" s="33" t="s">
        <v>385</v>
      </c>
    </row>
    <row r="48" ht="15.75" customHeight="1">
      <c r="A48" s="33" t="s">
        <v>601</v>
      </c>
      <c r="B48" s="33" t="s">
        <v>602</v>
      </c>
      <c r="C48" s="33" t="s">
        <v>603</v>
      </c>
      <c r="D48" s="33" t="s">
        <v>247</v>
      </c>
      <c r="E48" s="39">
        <v>46176.0</v>
      </c>
      <c r="F48" s="33" t="s">
        <v>248</v>
      </c>
      <c r="G48" s="40">
        <v>12320.0</v>
      </c>
      <c r="H48" s="46">
        <v>0.1585</v>
      </c>
      <c r="I48" s="40">
        <v>11296.34</v>
      </c>
      <c r="J48" s="33">
        <v>0.0</v>
      </c>
      <c r="K48" s="33" t="s">
        <v>182</v>
      </c>
    </row>
    <row r="49" ht="15.75" customHeight="1">
      <c r="A49" s="33" t="s">
        <v>609</v>
      </c>
      <c r="B49" s="33" t="s">
        <v>391</v>
      </c>
      <c r="C49" s="33" t="s">
        <v>611</v>
      </c>
      <c r="D49" s="33" t="s">
        <v>227</v>
      </c>
      <c r="E49" s="39">
        <v>46173.0</v>
      </c>
      <c r="F49" s="33" t="s">
        <v>269</v>
      </c>
      <c r="G49" s="40">
        <v>28930.0</v>
      </c>
      <c r="H49" s="46">
        <v>0.1463</v>
      </c>
      <c r="I49" s="40">
        <v>21600.08</v>
      </c>
      <c r="J49" s="33">
        <v>0.0</v>
      </c>
      <c r="K49" s="33" t="s">
        <v>182</v>
      </c>
    </row>
    <row r="50" ht="15.75" customHeight="1">
      <c r="A50" s="33" t="s">
        <v>616</v>
      </c>
      <c r="B50" s="33" t="s">
        <v>619</v>
      </c>
      <c r="C50" s="33" t="s">
        <v>621</v>
      </c>
      <c r="D50" s="33" t="s">
        <v>247</v>
      </c>
      <c r="E50" s="39">
        <v>46233.0</v>
      </c>
      <c r="F50" s="33" t="s">
        <v>230</v>
      </c>
      <c r="G50" s="40">
        <v>18050.0</v>
      </c>
      <c r="H50" s="46">
        <v>0.2263</v>
      </c>
      <c r="I50" s="40">
        <v>15794.29</v>
      </c>
      <c r="J50" s="33">
        <v>0.0</v>
      </c>
      <c r="K50" s="33" t="s">
        <v>182</v>
      </c>
    </row>
    <row r="51" ht="15.75" customHeight="1">
      <c r="A51" s="33" t="s">
        <v>626</v>
      </c>
      <c r="B51" s="33" t="s">
        <v>375</v>
      </c>
      <c r="C51" s="33" t="s">
        <v>628</v>
      </c>
      <c r="D51" s="33" t="s">
        <v>247</v>
      </c>
      <c r="E51" s="39">
        <v>45988.0</v>
      </c>
      <c r="F51" s="33" t="s">
        <v>230</v>
      </c>
      <c r="G51" s="40">
        <v>26540.0</v>
      </c>
      <c r="H51" s="46">
        <v>0.2001</v>
      </c>
      <c r="I51" s="40">
        <v>17753.61</v>
      </c>
      <c r="J51" s="33">
        <v>0.0</v>
      </c>
      <c r="K51" s="33" t="s">
        <v>182</v>
      </c>
    </row>
    <row r="52" ht="15.75" customHeight="1">
      <c r="A52" s="33" t="s">
        <v>631</v>
      </c>
      <c r="B52" s="33" t="s">
        <v>633</v>
      </c>
      <c r="C52" s="33" t="s">
        <v>635</v>
      </c>
      <c r="D52" s="33" t="s">
        <v>247</v>
      </c>
      <c r="E52" s="39">
        <v>45877.0</v>
      </c>
      <c r="F52" s="33" t="s">
        <v>230</v>
      </c>
      <c r="G52" s="40">
        <v>34220.0</v>
      </c>
      <c r="H52" s="46">
        <v>0.0865</v>
      </c>
      <c r="I52" s="40">
        <v>22661.56</v>
      </c>
      <c r="J52" s="33">
        <v>0.0</v>
      </c>
      <c r="K52" s="33" t="s">
        <v>182</v>
      </c>
    </row>
    <row r="53" ht="15.75" customHeight="1">
      <c r="A53" s="33" t="s">
        <v>639</v>
      </c>
      <c r="B53" s="33" t="s">
        <v>394</v>
      </c>
      <c r="C53" s="33" t="s">
        <v>640</v>
      </c>
      <c r="D53" s="33" t="s">
        <v>247</v>
      </c>
      <c r="E53" s="39">
        <v>46209.0</v>
      </c>
      <c r="F53" s="33" t="s">
        <v>230</v>
      </c>
      <c r="G53" s="40">
        <v>40580.0</v>
      </c>
      <c r="H53" s="46">
        <v>0.1544</v>
      </c>
      <c r="I53" s="40">
        <v>35822.28</v>
      </c>
      <c r="J53" s="33">
        <v>0.0</v>
      </c>
      <c r="K53" s="33" t="s">
        <v>182</v>
      </c>
    </row>
    <row r="54" ht="15.75" customHeight="1">
      <c r="A54" s="33" t="s">
        <v>645</v>
      </c>
      <c r="B54" s="33" t="s">
        <v>646</v>
      </c>
      <c r="C54" s="33" t="s">
        <v>647</v>
      </c>
      <c r="D54" s="33" t="s">
        <v>247</v>
      </c>
      <c r="E54" s="39">
        <v>46091.0</v>
      </c>
      <c r="F54" s="33" t="s">
        <v>248</v>
      </c>
      <c r="G54" s="40">
        <v>7880.0</v>
      </c>
      <c r="H54" s="46">
        <v>0.202</v>
      </c>
      <c r="I54" s="40">
        <v>6038.9</v>
      </c>
      <c r="J54" s="33">
        <v>0.0</v>
      </c>
      <c r="K54" s="33" t="s">
        <v>182</v>
      </c>
    </row>
    <row r="55" ht="15.75" customHeight="1">
      <c r="A55" s="33" t="s">
        <v>650</v>
      </c>
      <c r="B55" s="33" t="s">
        <v>651</v>
      </c>
      <c r="C55" s="33" t="s">
        <v>653</v>
      </c>
      <c r="D55" s="33" t="s">
        <v>227</v>
      </c>
      <c r="E55" s="39">
        <v>46202.0</v>
      </c>
      <c r="F55" s="33" t="s">
        <v>248</v>
      </c>
      <c r="G55" s="40">
        <v>39600.0</v>
      </c>
      <c r="H55" s="46">
        <v>0.187</v>
      </c>
      <c r="I55" s="40">
        <v>35976.58</v>
      </c>
      <c r="J55" s="33">
        <v>59.0</v>
      </c>
      <c r="K55" s="33" t="s">
        <v>385</v>
      </c>
    </row>
    <row r="56" ht="15.75" customHeight="1">
      <c r="A56" s="33" t="s">
        <v>656</v>
      </c>
      <c r="B56" s="33" t="s">
        <v>534</v>
      </c>
      <c r="C56" s="33" t="s">
        <v>660</v>
      </c>
      <c r="D56" s="33" t="s">
        <v>227</v>
      </c>
      <c r="E56" s="39">
        <v>45949.0</v>
      </c>
      <c r="F56" s="33" t="s">
        <v>248</v>
      </c>
      <c r="G56" s="40">
        <v>15730.0</v>
      </c>
      <c r="H56" s="46">
        <v>0.166</v>
      </c>
      <c r="I56" s="40">
        <v>10013.65</v>
      </c>
      <c r="J56" s="33">
        <v>0.0</v>
      </c>
      <c r="K56" s="33" t="s">
        <v>182</v>
      </c>
    </row>
    <row r="57" ht="15.75" customHeight="1">
      <c r="A57" s="33" t="s">
        <v>663</v>
      </c>
      <c r="B57" s="33" t="s">
        <v>665</v>
      </c>
      <c r="C57" s="33" t="s">
        <v>666</v>
      </c>
      <c r="D57" s="33" t="s">
        <v>235</v>
      </c>
      <c r="E57" s="39">
        <v>45709.0</v>
      </c>
      <c r="F57" s="33" t="s">
        <v>230</v>
      </c>
      <c r="G57" s="40">
        <v>31540.0</v>
      </c>
      <c r="H57" s="46">
        <v>0.0936</v>
      </c>
      <c r="I57" s="40">
        <v>11187.48</v>
      </c>
      <c r="J57" s="33">
        <v>0.0</v>
      </c>
      <c r="K57" s="33" t="s">
        <v>182</v>
      </c>
    </row>
    <row r="58" ht="15.75" customHeight="1">
      <c r="A58" s="33" t="s">
        <v>669</v>
      </c>
      <c r="B58" s="33" t="s">
        <v>671</v>
      </c>
      <c r="C58" s="33" t="s">
        <v>673</v>
      </c>
      <c r="D58" s="33" t="s">
        <v>227</v>
      </c>
      <c r="E58" s="39">
        <v>45727.0</v>
      </c>
      <c r="F58" s="33" t="s">
        <v>241</v>
      </c>
      <c r="G58" s="40">
        <v>26950.0</v>
      </c>
      <c r="H58" s="46">
        <v>0.2264</v>
      </c>
      <c r="I58" s="40">
        <v>7950.77</v>
      </c>
      <c r="J58" s="33">
        <v>0.0</v>
      </c>
      <c r="K58" s="33" t="s">
        <v>182</v>
      </c>
    </row>
    <row r="59" ht="15.75" customHeight="1">
      <c r="A59" s="33" t="s">
        <v>677</v>
      </c>
      <c r="B59" s="33" t="s">
        <v>572</v>
      </c>
      <c r="C59" s="33" t="s">
        <v>678</v>
      </c>
      <c r="D59" s="33" t="s">
        <v>247</v>
      </c>
      <c r="E59" s="39">
        <v>45781.0</v>
      </c>
      <c r="F59" s="33" t="s">
        <v>241</v>
      </c>
      <c r="G59" s="40">
        <v>30020.0</v>
      </c>
      <c r="H59" s="46">
        <v>0.1464</v>
      </c>
      <c r="I59" s="40">
        <v>12694.15</v>
      </c>
      <c r="J59" s="33">
        <v>11.0</v>
      </c>
      <c r="K59" s="33" t="s">
        <v>182</v>
      </c>
    </row>
    <row r="60" ht="15.75" customHeight="1">
      <c r="A60" s="33" t="s">
        <v>681</v>
      </c>
      <c r="B60" s="33" t="s">
        <v>685</v>
      </c>
      <c r="C60" s="33" t="s">
        <v>687</v>
      </c>
      <c r="D60" s="33" t="s">
        <v>227</v>
      </c>
      <c r="E60" s="39">
        <v>45839.0</v>
      </c>
      <c r="F60" s="33" t="s">
        <v>230</v>
      </c>
      <c r="G60" s="40">
        <v>5120.0</v>
      </c>
      <c r="H60" s="46">
        <v>0.1032</v>
      </c>
      <c r="I60" s="40">
        <v>2893.65</v>
      </c>
      <c r="J60" s="33">
        <v>0.0</v>
      </c>
      <c r="K60" s="33" t="s">
        <v>182</v>
      </c>
    </row>
    <row r="61" ht="15.75" customHeight="1">
      <c r="A61" s="33" t="s">
        <v>691</v>
      </c>
      <c r="B61" s="33" t="s">
        <v>692</v>
      </c>
      <c r="C61" s="33" t="s">
        <v>695</v>
      </c>
      <c r="D61" s="33" t="s">
        <v>235</v>
      </c>
      <c r="E61" s="39">
        <v>45834.0</v>
      </c>
      <c r="F61" s="33" t="s">
        <v>230</v>
      </c>
      <c r="G61" s="40">
        <v>41510.0</v>
      </c>
      <c r="H61" s="46">
        <v>0.0935</v>
      </c>
      <c r="I61" s="40">
        <v>19714.07</v>
      </c>
      <c r="J61" s="33">
        <v>0.0</v>
      </c>
      <c r="K61" s="33" t="s">
        <v>182</v>
      </c>
    </row>
    <row r="62" ht="15.75" customHeight="1">
      <c r="A62" s="33" t="s">
        <v>699</v>
      </c>
      <c r="B62" s="33" t="s">
        <v>701</v>
      </c>
      <c r="C62" s="33" t="s">
        <v>702</v>
      </c>
      <c r="D62" s="33" t="s">
        <v>235</v>
      </c>
      <c r="E62" s="39">
        <v>46062.0</v>
      </c>
      <c r="F62" s="33" t="s">
        <v>241</v>
      </c>
      <c r="G62" s="40">
        <v>16110.0</v>
      </c>
      <c r="H62" s="46">
        <v>0.2056</v>
      </c>
      <c r="I62" s="40">
        <v>7947.83</v>
      </c>
      <c r="J62" s="33">
        <v>0.0</v>
      </c>
      <c r="K62" s="33" t="s">
        <v>182</v>
      </c>
    </row>
    <row r="63" ht="15.75" customHeight="1">
      <c r="A63" s="33" t="s">
        <v>707</v>
      </c>
      <c r="B63" s="33" t="s">
        <v>684</v>
      </c>
      <c r="C63" s="33" t="s">
        <v>709</v>
      </c>
      <c r="D63" s="33" t="s">
        <v>247</v>
      </c>
      <c r="E63" s="39">
        <v>45660.0</v>
      </c>
      <c r="F63" s="33" t="s">
        <v>269</v>
      </c>
      <c r="G63" s="40">
        <v>17140.0</v>
      </c>
      <c r="H63" s="46">
        <v>0.178</v>
      </c>
      <c r="I63" s="40">
        <v>3024.62</v>
      </c>
      <c r="J63" s="33">
        <v>0.0</v>
      </c>
      <c r="K63" s="33" t="s">
        <v>182</v>
      </c>
    </row>
    <row r="64" ht="15.75" customHeight="1">
      <c r="A64" s="33" t="s">
        <v>712</v>
      </c>
      <c r="B64" s="33" t="s">
        <v>713</v>
      </c>
      <c r="C64" s="33" t="s">
        <v>714</v>
      </c>
      <c r="D64" s="33" t="s">
        <v>235</v>
      </c>
      <c r="E64" s="39">
        <v>45971.0</v>
      </c>
      <c r="F64" s="33" t="s">
        <v>241</v>
      </c>
      <c r="G64" s="40">
        <v>11640.0</v>
      </c>
      <c r="H64" s="46">
        <v>0.1203</v>
      </c>
      <c r="I64" s="40">
        <v>7472.65</v>
      </c>
      <c r="J64" s="33">
        <v>17.0</v>
      </c>
      <c r="K64" s="33" t="s">
        <v>182</v>
      </c>
    </row>
    <row r="65" ht="15.75" customHeight="1">
      <c r="A65" s="33" t="s">
        <v>717</v>
      </c>
      <c r="B65" s="33" t="s">
        <v>719</v>
      </c>
      <c r="C65" s="33" t="s">
        <v>722</v>
      </c>
      <c r="D65" s="33" t="s">
        <v>247</v>
      </c>
      <c r="E65" s="39">
        <v>45707.0</v>
      </c>
      <c r="F65" s="33" t="s">
        <v>230</v>
      </c>
      <c r="G65" s="40">
        <v>46110.0</v>
      </c>
      <c r="H65" s="46">
        <v>0.1653</v>
      </c>
      <c r="I65" s="40">
        <v>20335.34</v>
      </c>
      <c r="J65" s="33">
        <v>0.0</v>
      </c>
      <c r="K65" s="33" t="s">
        <v>182</v>
      </c>
    </row>
    <row r="66" ht="15.75" customHeight="1">
      <c r="A66" s="33" t="s">
        <v>725</v>
      </c>
      <c r="B66" s="33" t="s">
        <v>732</v>
      </c>
      <c r="C66" s="33" t="s">
        <v>734</v>
      </c>
      <c r="D66" s="33" t="s">
        <v>227</v>
      </c>
      <c r="E66" s="39">
        <v>45704.0</v>
      </c>
      <c r="F66" s="33" t="s">
        <v>230</v>
      </c>
      <c r="G66" s="40">
        <v>45900.0</v>
      </c>
      <c r="H66" s="46">
        <v>0.2314</v>
      </c>
      <c r="I66" s="40">
        <v>0.0</v>
      </c>
      <c r="J66" s="33">
        <v>0.0</v>
      </c>
      <c r="K66" s="33" t="s">
        <v>198</v>
      </c>
    </row>
    <row r="67" ht="15.75" customHeight="1">
      <c r="A67" s="33" t="s">
        <v>739</v>
      </c>
      <c r="B67" s="33" t="s">
        <v>741</v>
      </c>
      <c r="C67" s="33" t="s">
        <v>743</v>
      </c>
      <c r="D67" s="33" t="s">
        <v>235</v>
      </c>
      <c r="E67" s="39">
        <v>45663.0</v>
      </c>
      <c r="F67" s="33" t="s">
        <v>241</v>
      </c>
      <c r="G67" s="40">
        <v>37810.0</v>
      </c>
      <c r="H67" s="46">
        <v>0.1589</v>
      </c>
      <c r="I67" s="40">
        <v>0.0</v>
      </c>
      <c r="J67" s="33">
        <v>0.0</v>
      </c>
      <c r="K67" s="33" t="s">
        <v>198</v>
      </c>
    </row>
    <row r="68" ht="15.75" customHeight="1">
      <c r="A68" s="33" t="s">
        <v>745</v>
      </c>
      <c r="B68" s="33" t="s">
        <v>746</v>
      </c>
      <c r="C68" s="33" t="s">
        <v>748</v>
      </c>
      <c r="D68" s="33" t="s">
        <v>235</v>
      </c>
      <c r="E68" s="39">
        <v>46248.0</v>
      </c>
      <c r="F68" s="33" t="s">
        <v>269</v>
      </c>
      <c r="G68" s="40">
        <v>38970.0</v>
      </c>
      <c r="H68" s="46">
        <v>0.1425</v>
      </c>
      <c r="I68" s="40">
        <v>40149.03</v>
      </c>
      <c r="J68" s="33">
        <v>0.0</v>
      </c>
      <c r="K68" s="33" t="s">
        <v>182</v>
      </c>
    </row>
    <row r="69" ht="15.75" customHeight="1">
      <c r="A69" s="33" t="s">
        <v>752</v>
      </c>
      <c r="B69" s="33" t="s">
        <v>754</v>
      </c>
      <c r="C69" s="33" t="s">
        <v>756</v>
      </c>
      <c r="D69" s="33" t="s">
        <v>235</v>
      </c>
      <c r="E69" s="39">
        <v>45941.0</v>
      </c>
      <c r="F69" s="33" t="s">
        <v>241</v>
      </c>
      <c r="G69" s="40">
        <v>28980.0</v>
      </c>
      <c r="H69" s="46">
        <v>0.1293</v>
      </c>
      <c r="I69" s="40">
        <v>18349.09</v>
      </c>
      <c r="J69" s="33">
        <v>0.0</v>
      </c>
      <c r="K69" s="33" t="s">
        <v>182</v>
      </c>
    </row>
    <row r="70" ht="15.75" customHeight="1">
      <c r="A70" s="33" t="s">
        <v>760</v>
      </c>
      <c r="B70" s="33" t="s">
        <v>762</v>
      </c>
      <c r="C70" s="33" t="s">
        <v>764</v>
      </c>
      <c r="D70" s="33" t="s">
        <v>235</v>
      </c>
      <c r="E70" s="39">
        <v>45704.0</v>
      </c>
      <c r="F70" s="33" t="s">
        <v>269</v>
      </c>
      <c r="G70" s="40">
        <v>17790.0</v>
      </c>
      <c r="H70" s="46">
        <v>0.1092</v>
      </c>
      <c r="I70" s="40">
        <v>3830.18</v>
      </c>
      <c r="J70" s="33">
        <v>0.0</v>
      </c>
      <c r="K70" s="33" t="s">
        <v>182</v>
      </c>
    </row>
    <row r="71" ht="15.75" customHeight="1">
      <c r="A71" s="33" t="s">
        <v>768</v>
      </c>
      <c r="B71" s="33" t="s">
        <v>769</v>
      </c>
      <c r="C71" s="33" t="s">
        <v>770</v>
      </c>
      <c r="D71" s="33" t="s">
        <v>227</v>
      </c>
      <c r="E71" s="39">
        <v>45919.0</v>
      </c>
      <c r="F71" s="33" t="s">
        <v>269</v>
      </c>
      <c r="G71" s="40">
        <v>41690.0</v>
      </c>
      <c r="H71" s="46">
        <v>0.2257</v>
      </c>
      <c r="I71" s="40">
        <v>17806.0</v>
      </c>
      <c r="J71" s="33">
        <v>0.0</v>
      </c>
      <c r="K71" s="33" t="s">
        <v>182</v>
      </c>
    </row>
    <row r="72" ht="15.75" customHeight="1">
      <c r="A72" s="33" t="s">
        <v>771</v>
      </c>
      <c r="B72" s="33" t="s">
        <v>291</v>
      </c>
      <c r="C72" s="33" t="s">
        <v>773</v>
      </c>
      <c r="D72" s="33" t="s">
        <v>227</v>
      </c>
      <c r="E72" s="39">
        <v>45732.0</v>
      </c>
      <c r="F72" s="33" t="s">
        <v>230</v>
      </c>
      <c r="G72" s="40">
        <v>31820.0</v>
      </c>
      <c r="H72" s="46">
        <v>0.1075</v>
      </c>
      <c r="I72" s="40">
        <v>13541.45</v>
      </c>
      <c r="J72" s="33">
        <v>0.0</v>
      </c>
      <c r="K72" s="33" t="s">
        <v>182</v>
      </c>
    </row>
    <row r="73" ht="15.75" customHeight="1">
      <c r="A73" s="33" t="s">
        <v>776</v>
      </c>
      <c r="B73" s="33" t="s">
        <v>777</v>
      </c>
      <c r="C73" s="33" t="s">
        <v>778</v>
      </c>
      <c r="D73" s="33" t="s">
        <v>227</v>
      </c>
      <c r="E73" s="39">
        <v>45988.0</v>
      </c>
      <c r="F73" s="33" t="s">
        <v>241</v>
      </c>
      <c r="G73" s="40">
        <v>38110.0</v>
      </c>
      <c r="H73" s="46">
        <v>0.0887</v>
      </c>
      <c r="I73" s="40">
        <v>23924.34</v>
      </c>
      <c r="J73" s="33">
        <v>0.0</v>
      </c>
      <c r="K73" s="33" t="s">
        <v>182</v>
      </c>
    </row>
    <row r="74" ht="15.75" customHeight="1">
      <c r="A74" s="33" t="s">
        <v>782</v>
      </c>
      <c r="B74" s="33" t="s">
        <v>783</v>
      </c>
      <c r="C74" s="33" t="s">
        <v>784</v>
      </c>
      <c r="D74" s="33" t="s">
        <v>227</v>
      </c>
      <c r="E74" s="39">
        <v>45860.0</v>
      </c>
      <c r="F74" s="33" t="s">
        <v>230</v>
      </c>
      <c r="G74" s="40">
        <v>14930.0</v>
      </c>
      <c r="H74" s="46">
        <v>0.1028</v>
      </c>
      <c r="I74" s="40">
        <v>6938.76</v>
      </c>
      <c r="J74" s="33">
        <v>4.0</v>
      </c>
      <c r="K74" s="33" t="s">
        <v>182</v>
      </c>
    </row>
    <row r="75" ht="15.75" customHeight="1">
      <c r="A75" s="33" t="s">
        <v>789</v>
      </c>
      <c r="B75" s="33" t="s">
        <v>790</v>
      </c>
      <c r="C75" s="33" t="s">
        <v>791</v>
      </c>
      <c r="D75" s="33" t="s">
        <v>247</v>
      </c>
      <c r="E75" s="39">
        <v>46039.0</v>
      </c>
      <c r="F75" s="33" t="s">
        <v>248</v>
      </c>
      <c r="G75" s="40">
        <v>18370.0</v>
      </c>
      <c r="H75" s="46">
        <v>0.1092</v>
      </c>
      <c r="I75" s="40">
        <v>12987.87</v>
      </c>
      <c r="J75" s="33">
        <v>173.0</v>
      </c>
      <c r="K75" s="33" t="s">
        <v>794</v>
      </c>
    </row>
    <row r="76" ht="15.75" customHeight="1">
      <c r="A76" s="33" t="s">
        <v>796</v>
      </c>
      <c r="B76" s="33" t="s">
        <v>797</v>
      </c>
      <c r="C76" s="33" t="s">
        <v>798</v>
      </c>
      <c r="D76" s="33" t="s">
        <v>247</v>
      </c>
      <c r="E76" s="39">
        <v>45766.0</v>
      </c>
      <c r="F76" s="33" t="s">
        <v>230</v>
      </c>
      <c r="G76" s="40">
        <v>9880.0</v>
      </c>
      <c r="H76" s="46">
        <v>0.148</v>
      </c>
      <c r="I76" s="40">
        <v>4416.49</v>
      </c>
      <c r="J76" s="33">
        <v>14.0</v>
      </c>
      <c r="K76" s="33" t="s">
        <v>182</v>
      </c>
    </row>
    <row r="77" ht="15.75" customHeight="1">
      <c r="A77" s="33" t="s">
        <v>800</v>
      </c>
      <c r="B77" s="33" t="s">
        <v>801</v>
      </c>
      <c r="C77" s="33" t="s">
        <v>803</v>
      </c>
      <c r="D77" s="33" t="s">
        <v>227</v>
      </c>
      <c r="E77" s="39">
        <v>45741.0</v>
      </c>
      <c r="F77" s="33" t="s">
        <v>230</v>
      </c>
      <c r="G77" s="40">
        <v>12460.0</v>
      </c>
      <c r="H77" s="46">
        <v>0.2255</v>
      </c>
      <c r="I77" s="40">
        <v>0.0</v>
      </c>
      <c r="J77" s="33">
        <v>0.0</v>
      </c>
      <c r="K77" s="33" t="s">
        <v>198</v>
      </c>
    </row>
    <row r="78" ht="15.75" customHeight="1">
      <c r="A78" s="33" t="s">
        <v>807</v>
      </c>
      <c r="B78" s="33" t="s">
        <v>808</v>
      </c>
      <c r="C78" s="33" t="s">
        <v>809</v>
      </c>
      <c r="D78" s="33" t="s">
        <v>247</v>
      </c>
      <c r="E78" s="39">
        <v>45892.0</v>
      </c>
      <c r="F78" s="33" t="s">
        <v>269</v>
      </c>
      <c r="G78" s="40">
        <v>27970.0</v>
      </c>
      <c r="H78" s="46">
        <v>0.1016</v>
      </c>
      <c r="I78" s="40">
        <v>85.11</v>
      </c>
      <c r="J78" s="33">
        <v>0.0</v>
      </c>
      <c r="K78" s="33" t="s">
        <v>182</v>
      </c>
    </row>
    <row r="79" ht="15.75" customHeight="1">
      <c r="A79" s="33" t="s">
        <v>811</v>
      </c>
      <c r="B79" s="33" t="s">
        <v>812</v>
      </c>
      <c r="C79" s="33" t="s">
        <v>814</v>
      </c>
      <c r="D79" s="33" t="s">
        <v>247</v>
      </c>
      <c r="E79" s="39">
        <v>46003.0</v>
      </c>
      <c r="F79" s="33" t="s">
        <v>230</v>
      </c>
      <c r="G79" s="40">
        <v>4250.0</v>
      </c>
      <c r="H79" s="46">
        <v>0.1034</v>
      </c>
      <c r="I79" s="40">
        <v>2774.85</v>
      </c>
      <c r="J79" s="33">
        <v>0.0</v>
      </c>
      <c r="K79" s="33" t="s">
        <v>182</v>
      </c>
    </row>
    <row r="80" ht="15.75" customHeight="1">
      <c r="A80" s="33" t="s">
        <v>818</v>
      </c>
      <c r="B80" s="33" t="s">
        <v>819</v>
      </c>
      <c r="C80" s="33" t="s">
        <v>820</v>
      </c>
      <c r="D80" s="33" t="s">
        <v>247</v>
      </c>
      <c r="E80" s="39">
        <v>46076.0</v>
      </c>
      <c r="F80" s="33" t="s">
        <v>230</v>
      </c>
      <c r="G80" s="40">
        <v>3070.0</v>
      </c>
      <c r="H80" s="46">
        <v>0.15</v>
      </c>
      <c r="I80" s="40">
        <v>1591.56</v>
      </c>
      <c r="J80" s="33">
        <v>0.0</v>
      </c>
      <c r="K80" s="33" t="s">
        <v>182</v>
      </c>
    </row>
    <row r="81" ht="15.75" customHeight="1">
      <c r="A81" s="33" t="s">
        <v>824</v>
      </c>
      <c r="B81" s="33" t="s">
        <v>825</v>
      </c>
      <c r="C81" s="33" t="s">
        <v>826</v>
      </c>
      <c r="D81" s="33" t="s">
        <v>247</v>
      </c>
      <c r="E81" s="39">
        <v>46153.0</v>
      </c>
      <c r="F81" s="33" t="s">
        <v>241</v>
      </c>
      <c r="G81" s="40">
        <v>44610.0</v>
      </c>
      <c r="H81" s="46">
        <v>0.2246</v>
      </c>
      <c r="I81" s="40">
        <v>38746.41</v>
      </c>
      <c r="J81" s="33">
        <v>73.0</v>
      </c>
      <c r="K81" s="33" t="s">
        <v>385</v>
      </c>
    </row>
    <row r="82" ht="15.75" customHeight="1">
      <c r="A82" s="33" t="s">
        <v>829</v>
      </c>
      <c r="B82" s="33" t="s">
        <v>581</v>
      </c>
      <c r="C82" s="33" t="s">
        <v>831</v>
      </c>
      <c r="D82" s="33" t="s">
        <v>235</v>
      </c>
      <c r="E82" s="39">
        <v>45977.0</v>
      </c>
      <c r="F82" s="33" t="s">
        <v>269</v>
      </c>
      <c r="G82" s="40">
        <v>35080.0</v>
      </c>
      <c r="H82" s="46">
        <v>0.2283</v>
      </c>
      <c r="I82" s="40">
        <v>20153.4</v>
      </c>
      <c r="J82" s="33">
        <v>0.0</v>
      </c>
      <c r="K82" s="33" t="s">
        <v>182</v>
      </c>
    </row>
    <row r="83" ht="15.75" customHeight="1">
      <c r="A83" s="33" t="s">
        <v>834</v>
      </c>
      <c r="B83" s="33" t="s">
        <v>835</v>
      </c>
      <c r="C83" s="33" t="s">
        <v>836</v>
      </c>
      <c r="D83" s="33" t="s">
        <v>235</v>
      </c>
      <c r="E83" s="39">
        <v>45831.0</v>
      </c>
      <c r="F83" s="33" t="s">
        <v>248</v>
      </c>
      <c r="G83" s="40">
        <v>11800.0</v>
      </c>
      <c r="H83" s="46">
        <v>0.2321</v>
      </c>
      <c r="I83" s="40">
        <v>5851.08</v>
      </c>
      <c r="J83" s="33">
        <v>117.0</v>
      </c>
      <c r="K83" s="33" t="s">
        <v>794</v>
      </c>
    </row>
    <row r="84" ht="15.75" customHeight="1">
      <c r="A84" s="33" t="s">
        <v>840</v>
      </c>
      <c r="B84" s="33" t="s">
        <v>668</v>
      </c>
      <c r="C84" s="33" t="s">
        <v>841</v>
      </c>
      <c r="D84" s="33" t="s">
        <v>247</v>
      </c>
      <c r="E84" s="39">
        <v>45752.0</v>
      </c>
      <c r="F84" s="33" t="s">
        <v>269</v>
      </c>
      <c r="G84" s="40">
        <v>13580.0</v>
      </c>
      <c r="H84" s="46">
        <v>0.1003</v>
      </c>
      <c r="I84" s="40">
        <v>5872.3</v>
      </c>
      <c r="J84" s="33">
        <v>4.0</v>
      </c>
      <c r="K84" s="33" t="s">
        <v>182</v>
      </c>
    </row>
    <row r="85" ht="15.75" customHeight="1">
      <c r="A85" s="33" t="s">
        <v>844</v>
      </c>
      <c r="B85" s="33" t="s">
        <v>845</v>
      </c>
      <c r="C85" s="33" t="s">
        <v>847</v>
      </c>
      <c r="D85" s="33" t="s">
        <v>247</v>
      </c>
      <c r="E85" s="39">
        <v>45927.0</v>
      </c>
      <c r="F85" s="33" t="s">
        <v>241</v>
      </c>
      <c r="G85" s="40">
        <v>16310.0</v>
      </c>
      <c r="H85" s="46">
        <v>0.1929</v>
      </c>
      <c r="I85" s="40">
        <v>10581.19</v>
      </c>
      <c r="J85" s="33">
        <v>0.0</v>
      </c>
      <c r="K85" s="33" t="s">
        <v>182</v>
      </c>
    </row>
    <row r="86" ht="15.75" customHeight="1">
      <c r="A86" s="33" t="s">
        <v>851</v>
      </c>
      <c r="B86" s="33" t="s">
        <v>852</v>
      </c>
      <c r="C86" s="33" t="s">
        <v>854</v>
      </c>
      <c r="D86" s="33" t="s">
        <v>235</v>
      </c>
      <c r="E86" s="39">
        <v>45973.0</v>
      </c>
      <c r="F86" s="33" t="s">
        <v>248</v>
      </c>
      <c r="G86" s="40">
        <v>2730.0</v>
      </c>
      <c r="H86" s="46">
        <v>0.1836</v>
      </c>
      <c r="I86" s="40">
        <v>1409.36</v>
      </c>
      <c r="J86" s="33">
        <v>0.0</v>
      </c>
      <c r="K86" s="33" t="s">
        <v>182</v>
      </c>
    </row>
    <row r="87" ht="15.75" customHeight="1">
      <c r="A87" s="33" t="s">
        <v>857</v>
      </c>
      <c r="B87" s="33" t="s">
        <v>858</v>
      </c>
      <c r="C87" s="33" t="s">
        <v>860</v>
      </c>
      <c r="D87" s="33" t="s">
        <v>235</v>
      </c>
      <c r="E87" s="39">
        <v>45910.0</v>
      </c>
      <c r="F87" s="33" t="s">
        <v>230</v>
      </c>
      <c r="G87" s="40">
        <v>31590.0</v>
      </c>
      <c r="H87" s="46">
        <v>0.0849</v>
      </c>
      <c r="I87" s="40">
        <v>9310.82</v>
      </c>
      <c r="J87" s="33">
        <v>15.0</v>
      </c>
      <c r="K87" s="33" t="s">
        <v>182</v>
      </c>
    </row>
    <row r="88" ht="15.75" customHeight="1">
      <c r="A88" s="33" t="s">
        <v>865</v>
      </c>
      <c r="B88" s="33" t="s">
        <v>866</v>
      </c>
      <c r="C88" s="33" t="s">
        <v>867</v>
      </c>
      <c r="D88" s="33" t="s">
        <v>235</v>
      </c>
      <c r="E88" s="39">
        <v>45841.0</v>
      </c>
      <c r="F88" s="33" t="s">
        <v>248</v>
      </c>
      <c r="G88" s="40">
        <v>11470.0</v>
      </c>
      <c r="H88" s="46">
        <v>0.1876</v>
      </c>
      <c r="I88" s="40">
        <v>6259.41</v>
      </c>
      <c r="J88" s="33">
        <v>0.0</v>
      </c>
      <c r="K88" s="33" t="s">
        <v>182</v>
      </c>
    </row>
    <row r="89" ht="15.75" customHeight="1">
      <c r="A89" s="33" t="s">
        <v>871</v>
      </c>
      <c r="B89" s="33" t="s">
        <v>872</v>
      </c>
      <c r="C89" s="33" t="s">
        <v>873</v>
      </c>
      <c r="D89" s="33" t="s">
        <v>235</v>
      </c>
      <c r="E89" s="39">
        <v>46083.0</v>
      </c>
      <c r="F89" s="33" t="s">
        <v>230</v>
      </c>
      <c r="G89" s="40">
        <v>12270.0</v>
      </c>
      <c r="H89" s="46">
        <v>0.1915</v>
      </c>
      <c r="I89" s="40">
        <v>6799.83</v>
      </c>
      <c r="J89" s="33">
        <v>6.0</v>
      </c>
      <c r="K89" s="33" t="s">
        <v>182</v>
      </c>
    </row>
    <row r="90" ht="15.75" customHeight="1">
      <c r="A90" s="33" t="s">
        <v>878</v>
      </c>
      <c r="B90" s="33" t="s">
        <v>880</v>
      </c>
      <c r="C90" s="33" t="s">
        <v>881</v>
      </c>
      <c r="D90" s="33" t="s">
        <v>235</v>
      </c>
      <c r="E90" s="39">
        <v>46184.0</v>
      </c>
      <c r="F90" s="33" t="s">
        <v>248</v>
      </c>
      <c r="G90" s="40">
        <v>44640.0</v>
      </c>
      <c r="H90" s="46">
        <v>0.1851</v>
      </c>
      <c r="I90" s="40">
        <v>38048.45</v>
      </c>
      <c r="J90" s="33">
        <v>0.0</v>
      </c>
      <c r="K90" s="33" t="s">
        <v>182</v>
      </c>
    </row>
    <row r="91" ht="15.75" customHeight="1">
      <c r="A91" s="33" t="s">
        <v>883</v>
      </c>
      <c r="B91" s="33" t="s">
        <v>884</v>
      </c>
      <c r="C91" s="33" t="s">
        <v>885</v>
      </c>
      <c r="D91" s="33" t="s">
        <v>227</v>
      </c>
      <c r="E91" s="39">
        <v>46153.0</v>
      </c>
      <c r="F91" s="33" t="s">
        <v>230</v>
      </c>
      <c r="G91" s="40">
        <v>27750.0</v>
      </c>
      <c r="H91" s="46">
        <v>0.1145</v>
      </c>
      <c r="I91" s="40">
        <v>22006.18</v>
      </c>
      <c r="J91" s="33">
        <v>0.0</v>
      </c>
      <c r="K91" s="33" t="s">
        <v>182</v>
      </c>
    </row>
    <row r="92" ht="15.75" customHeight="1">
      <c r="A92" s="33" t="s">
        <v>889</v>
      </c>
      <c r="B92" s="33" t="s">
        <v>891</v>
      </c>
      <c r="C92" s="33" t="s">
        <v>892</v>
      </c>
      <c r="D92" s="33" t="s">
        <v>247</v>
      </c>
      <c r="E92" s="39">
        <v>45788.0</v>
      </c>
      <c r="F92" s="33" t="s">
        <v>248</v>
      </c>
      <c r="G92" s="40">
        <v>29410.0</v>
      </c>
      <c r="H92" s="46">
        <v>0.1332</v>
      </c>
      <c r="I92" s="40">
        <v>11036.79</v>
      </c>
      <c r="J92" s="33">
        <v>0.0</v>
      </c>
      <c r="K92" s="33" t="s">
        <v>182</v>
      </c>
    </row>
    <row r="93" ht="15.75" customHeight="1">
      <c r="A93" s="33" t="s">
        <v>894</v>
      </c>
      <c r="B93" s="33" t="s">
        <v>258</v>
      </c>
      <c r="C93" s="33" t="s">
        <v>896</v>
      </c>
      <c r="D93" s="33" t="s">
        <v>227</v>
      </c>
      <c r="E93" s="39">
        <v>45966.0</v>
      </c>
      <c r="F93" s="33" t="s">
        <v>241</v>
      </c>
      <c r="G93" s="40">
        <v>46320.0</v>
      </c>
      <c r="H93" s="46">
        <v>0.1686</v>
      </c>
      <c r="I93" s="40">
        <v>28476.98</v>
      </c>
      <c r="J93" s="33">
        <v>0.0</v>
      </c>
      <c r="K93" s="33" t="s">
        <v>182</v>
      </c>
    </row>
    <row r="94" ht="15.75" customHeight="1">
      <c r="A94" s="33" t="s">
        <v>900</v>
      </c>
      <c r="B94" s="33" t="s">
        <v>902</v>
      </c>
      <c r="C94" s="33" t="s">
        <v>903</v>
      </c>
      <c r="D94" s="33" t="s">
        <v>235</v>
      </c>
      <c r="E94" s="39">
        <v>45782.0</v>
      </c>
      <c r="F94" s="33" t="s">
        <v>230</v>
      </c>
      <c r="G94" s="40">
        <v>45760.0</v>
      </c>
      <c r="H94" s="46">
        <v>0.1021</v>
      </c>
      <c r="I94" s="40">
        <v>13368.7</v>
      </c>
      <c r="J94" s="33">
        <v>0.0</v>
      </c>
      <c r="K94" s="33" t="s">
        <v>182</v>
      </c>
    </row>
    <row r="95" ht="15.75" customHeight="1">
      <c r="A95" s="33" t="s">
        <v>907</v>
      </c>
      <c r="B95" s="33" t="s">
        <v>908</v>
      </c>
      <c r="C95" s="33" t="s">
        <v>909</v>
      </c>
      <c r="D95" s="33" t="s">
        <v>247</v>
      </c>
      <c r="E95" s="39">
        <v>45828.0</v>
      </c>
      <c r="F95" s="33" t="s">
        <v>241</v>
      </c>
      <c r="G95" s="40">
        <v>31470.0</v>
      </c>
      <c r="H95" s="46">
        <v>0.1054</v>
      </c>
      <c r="I95" s="40">
        <v>14378.51</v>
      </c>
      <c r="J95" s="33">
        <v>0.0</v>
      </c>
      <c r="K95" s="33" t="s">
        <v>182</v>
      </c>
    </row>
    <row r="96" ht="15.75" customHeight="1">
      <c r="A96" s="33" t="s">
        <v>911</v>
      </c>
      <c r="B96" s="33" t="s">
        <v>665</v>
      </c>
      <c r="C96" s="33" t="s">
        <v>914</v>
      </c>
      <c r="D96" s="33" t="s">
        <v>247</v>
      </c>
      <c r="E96" s="39">
        <v>46064.0</v>
      </c>
      <c r="F96" s="33" t="s">
        <v>241</v>
      </c>
      <c r="G96" s="40">
        <v>18430.0</v>
      </c>
      <c r="H96" s="46">
        <v>0.1918</v>
      </c>
      <c r="I96" s="40">
        <v>9481.69</v>
      </c>
      <c r="J96" s="33">
        <v>0.0</v>
      </c>
      <c r="K96" s="33" t="s">
        <v>182</v>
      </c>
    </row>
    <row r="97" ht="15.75" customHeight="1">
      <c r="A97" s="33" t="s">
        <v>918</v>
      </c>
      <c r="B97" s="33" t="s">
        <v>920</v>
      </c>
      <c r="C97" s="33" t="s">
        <v>921</v>
      </c>
      <c r="D97" s="33" t="s">
        <v>235</v>
      </c>
      <c r="E97" s="39">
        <v>46262.0</v>
      </c>
      <c r="F97" s="33" t="s">
        <v>230</v>
      </c>
      <c r="G97" s="40">
        <v>45380.0</v>
      </c>
      <c r="H97" s="46">
        <v>0.1065</v>
      </c>
      <c r="I97" s="40">
        <v>45259.14</v>
      </c>
      <c r="J97" s="33">
        <v>0.0</v>
      </c>
      <c r="K97" s="33" t="s">
        <v>182</v>
      </c>
    </row>
    <row r="98" ht="15.75" customHeight="1">
      <c r="A98" s="33" t="s">
        <v>925</v>
      </c>
      <c r="B98" s="33" t="s">
        <v>926</v>
      </c>
      <c r="C98" s="33" t="s">
        <v>927</v>
      </c>
      <c r="D98" s="33" t="s">
        <v>235</v>
      </c>
      <c r="E98" s="39">
        <v>46068.0</v>
      </c>
      <c r="F98" s="33" t="s">
        <v>241</v>
      </c>
      <c r="G98" s="40">
        <v>17230.0</v>
      </c>
      <c r="H98" s="46">
        <v>0.0827</v>
      </c>
      <c r="I98" s="40">
        <v>12397.93</v>
      </c>
      <c r="J98" s="33">
        <v>0.0</v>
      </c>
      <c r="K98" s="33" t="s">
        <v>182</v>
      </c>
    </row>
    <row r="99" ht="15.75" customHeight="1">
      <c r="A99" s="33" t="s">
        <v>930</v>
      </c>
      <c r="B99" s="33" t="s">
        <v>931</v>
      </c>
      <c r="C99" s="33" t="s">
        <v>933</v>
      </c>
      <c r="D99" s="33" t="s">
        <v>235</v>
      </c>
      <c r="E99" s="39">
        <v>45953.0</v>
      </c>
      <c r="F99" s="33" t="s">
        <v>230</v>
      </c>
      <c r="G99" s="40">
        <v>33490.0</v>
      </c>
      <c r="H99" s="46">
        <v>0.1096</v>
      </c>
      <c r="I99" s="40">
        <v>23728.13</v>
      </c>
      <c r="J99" s="33">
        <v>0.0</v>
      </c>
      <c r="K99" s="33" t="s">
        <v>182</v>
      </c>
    </row>
    <row r="100" ht="15.75" customHeight="1">
      <c r="A100" s="33" t="s">
        <v>935</v>
      </c>
      <c r="B100" s="33" t="s">
        <v>936</v>
      </c>
      <c r="C100" s="33" t="s">
        <v>937</v>
      </c>
      <c r="D100" s="33" t="s">
        <v>247</v>
      </c>
      <c r="E100" s="39">
        <v>45864.0</v>
      </c>
      <c r="F100" s="33" t="s">
        <v>230</v>
      </c>
      <c r="G100" s="40">
        <v>25720.0</v>
      </c>
      <c r="H100" s="46">
        <v>0.0921</v>
      </c>
      <c r="I100" s="40">
        <v>12201.14</v>
      </c>
      <c r="J100" s="33">
        <v>0.0</v>
      </c>
      <c r="K100" s="33" t="s">
        <v>182</v>
      </c>
    </row>
    <row r="101" ht="15.75" customHeight="1">
      <c r="A101" s="33" t="s">
        <v>940</v>
      </c>
      <c r="B101" s="33" t="s">
        <v>941</v>
      </c>
      <c r="C101" s="33" t="s">
        <v>942</v>
      </c>
      <c r="D101" s="33" t="s">
        <v>227</v>
      </c>
      <c r="E101" s="39">
        <v>46175.0</v>
      </c>
      <c r="F101" s="33" t="s">
        <v>230</v>
      </c>
      <c r="G101" s="40">
        <v>17890.0</v>
      </c>
      <c r="H101" s="46">
        <v>0.1251</v>
      </c>
      <c r="I101" s="40">
        <v>15414.99</v>
      </c>
      <c r="J101" s="33">
        <v>0.0</v>
      </c>
      <c r="K101" s="33" t="s">
        <v>182</v>
      </c>
    </row>
    <row r="102" ht="15.75" customHeight="1">
      <c r="A102" s="33" t="s">
        <v>947</v>
      </c>
      <c r="B102" s="33" t="s">
        <v>948</v>
      </c>
      <c r="C102" s="33" t="s">
        <v>950</v>
      </c>
      <c r="D102" s="33" t="s">
        <v>247</v>
      </c>
      <c r="E102" s="39">
        <v>45927.0</v>
      </c>
      <c r="F102" s="33" t="s">
        <v>269</v>
      </c>
      <c r="G102" s="40">
        <v>13830.0</v>
      </c>
      <c r="H102" s="46">
        <v>0.2017</v>
      </c>
      <c r="I102" s="40">
        <v>10035.62</v>
      </c>
      <c r="J102" s="33">
        <v>0.0</v>
      </c>
      <c r="K102" s="33" t="s">
        <v>182</v>
      </c>
    </row>
    <row r="103" ht="15.75" customHeight="1">
      <c r="A103" s="33" t="s">
        <v>956</v>
      </c>
      <c r="B103" s="33" t="s">
        <v>337</v>
      </c>
      <c r="C103" s="33" t="s">
        <v>957</v>
      </c>
      <c r="D103" s="33" t="s">
        <v>247</v>
      </c>
      <c r="E103" s="39">
        <v>46063.0</v>
      </c>
      <c r="F103" s="33" t="s">
        <v>248</v>
      </c>
      <c r="G103" s="40">
        <v>15270.0</v>
      </c>
      <c r="H103" s="46">
        <v>0.2058</v>
      </c>
      <c r="I103" s="40">
        <v>11152.56</v>
      </c>
      <c r="J103" s="33">
        <v>0.0</v>
      </c>
      <c r="K103" s="33" t="s">
        <v>182</v>
      </c>
    </row>
    <row r="104" ht="15.75" customHeight="1">
      <c r="A104" s="33" t="s">
        <v>963</v>
      </c>
      <c r="B104" s="33" t="s">
        <v>964</v>
      </c>
      <c r="C104" s="33" t="s">
        <v>965</v>
      </c>
      <c r="D104" s="33" t="s">
        <v>235</v>
      </c>
      <c r="E104" s="39">
        <v>46075.0</v>
      </c>
      <c r="F104" s="33" t="s">
        <v>230</v>
      </c>
      <c r="G104" s="40">
        <v>22560.0</v>
      </c>
      <c r="H104" s="46">
        <v>0.0914</v>
      </c>
      <c r="I104" s="40">
        <v>16244.34</v>
      </c>
      <c r="J104" s="33">
        <v>0.0</v>
      </c>
      <c r="K104" s="33" t="s">
        <v>182</v>
      </c>
    </row>
    <row r="105" ht="15.75" customHeight="1">
      <c r="A105" s="33" t="s">
        <v>968</v>
      </c>
      <c r="B105" s="33" t="s">
        <v>969</v>
      </c>
      <c r="C105" s="33" t="s">
        <v>970</v>
      </c>
      <c r="D105" s="33" t="s">
        <v>227</v>
      </c>
      <c r="E105" s="39">
        <v>45894.0</v>
      </c>
      <c r="F105" s="33" t="s">
        <v>248</v>
      </c>
      <c r="G105" s="40">
        <v>41610.0</v>
      </c>
      <c r="H105" s="46">
        <v>0.1712</v>
      </c>
      <c r="I105" s="40">
        <v>5526.59</v>
      </c>
      <c r="J105" s="33">
        <v>0.0</v>
      </c>
      <c r="K105" s="33" t="s">
        <v>182</v>
      </c>
    </row>
    <row r="106" ht="15.75" customHeight="1">
      <c r="A106" s="33" t="s">
        <v>973</v>
      </c>
      <c r="B106" s="33" t="s">
        <v>975</v>
      </c>
      <c r="C106" s="33" t="s">
        <v>976</v>
      </c>
      <c r="D106" s="33" t="s">
        <v>247</v>
      </c>
      <c r="E106" s="39">
        <v>46017.0</v>
      </c>
      <c r="F106" s="33" t="s">
        <v>230</v>
      </c>
      <c r="G106" s="40">
        <v>17180.0</v>
      </c>
      <c r="H106" s="46">
        <v>0.0941</v>
      </c>
      <c r="I106" s="40">
        <v>13335.72</v>
      </c>
      <c r="J106" s="33">
        <v>0.0</v>
      </c>
      <c r="K106" s="33" t="s">
        <v>182</v>
      </c>
    </row>
    <row r="107" ht="15.75" customHeight="1">
      <c r="A107" s="33" t="s">
        <v>978</v>
      </c>
      <c r="B107" s="33" t="s">
        <v>460</v>
      </c>
      <c r="C107" s="33" t="s">
        <v>980</v>
      </c>
      <c r="D107" s="33" t="s">
        <v>235</v>
      </c>
      <c r="E107" s="39">
        <v>46097.0</v>
      </c>
      <c r="F107" s="33" t="s">
        <v>248</v>
      </c>
      <c r="G107" s="40">
        <v>5770.0</v>
      </c>
      <c r="H107" s="46">
        <v>0.1099</v>
      </c>
      <c r="I107" s="40">
        <v>3732.53</v>
      </c>
      <c r="J107" s="33">
        <v>0.0</v>
      </c>
      <c r="K107" s="33" t="s">
        <v>182</v>
      </c>
    </row>
    <row r="108" ht="15.75" customHeight="1">
      <c r="A108" s="33" t="s">
        <v>985</v>
      </c>
      <c r="B108" s="33" t="s">
        <v>737</v>
      </c>
      <c r="C108" s="33" t="s">
        <v>986</v>
      </c>
      <c r="D108" s="33" t="s">
        <v>227</v>
      </c>
      <c r="E108" s="39">
        <v>45991.0</v>
      </c>
      <c r="F108" s="33" t="s">
        <v>230</v>
      </c>
      <c r="G108" s="40">
        <v>27440.0</v>
      </c>
      <c r="H108" s="46">
        <v>0.2055</v>
      </c>
      <c r="I108" s="40">
        <v>11500.8</v>
      </c>
      <c r="J108" s="33">
        <v>0.0</v>
      </c>
      <c r="K108" s="33" t="s">
        <v>182</v>
      </c>
    </row>
    <row r="109" ht="15.75" customHeight="1">
      <c r="A109" s="33" t="s">
        <v>989</v>
      </c>
      <c r="B109" s="33" t="s">
        <v>543</v>
      </c>
      <c r="C109" s="33" t="s">
        <v>991</v>
      </c>
      <c r="D109" s="33" t="s">
        <v>247</v>
      </c>
      <c r="E109" s="39">
        <v>45926.0</v>
      </c>
      <c r="F109" s="33" t="s">
        <v>248</v>
      </c>
      <c r="G109" s="40">
        <v>18830.0</v>
      </c>
      <c r="H109" s="46">
        <v>0.2355</v>
      </c>
      <c r="I109" s="40">
        <v>3091.45</v>
      </c>
      <c r="J109" s="33">
        <v>0.0</v>
      </c>
      <c r="K109" s="33" t="s">
        <v>182</v>
      </c>
    </row>
    <row r="110" ht="15.75" customHeight="1">
      <c r="A110" s="33" t="s">
        <v>995</v>
      </c>
      <c r="B110" s="33" t="s">
        <v>996</v>
      </c>
      <c r="C110" s="33" t="s">
        <v>997</v>
      </c>
      <c r="D110" s="33" t="s">
        <v>247</v>
      </c>
      <c r="E110" s="39">
        <v>45701.0</v>
      </c>
      <c r="F110" s="33" t="s">
        <v>230</v>
      </c>
      <c r="G110" s="40">
        <v>9140.0</v>
      </c>
      <c r="H110" s="46">
        <v>0.1235</v>
      </c>
      <c r="I110" s="40">
        <v>0.0</v>
      </c>
      <c r="J110" s="33">
        <v>0.0</v>
      </c>
      <c r="K110" s="33" t="s">
        <v>198</v>
      </c>
    </row>
    <row r="111" ht="15.75" customHeight="1">
      <c r="A111" s="33" t="s">
        <v>1000</v>
      </c>
      <c r="B111" s="33" t="s">
        <v>1001</v>
      </c>
      <c r="C111" s="33" t="s">
        <v>1002</v>
      </c>
      <c r="D111" s="33" t="s">
        <v>247</v>
      </c>
      <c r="E111" s="39">
        <v>45777.0</v>
      </c>
      <c r="F111" s="33" t="s">
        <v>241</v>
      </c>
      <c r="G111" s="40">
        <v>10870.0</v>
      </c>
      <c r="H111" s="46">
        <v>0.2043</v>
      </c>
      <c r="I111" s="40">
        <v>3253.11</v>
      </c>
      <c r="J111" s="33">
        <v>0.0</v>
      </c>
      <c r="K111" s="33" t="s">
        <v>182</v>
      </c>
    </row>
    <row r="112" ht="15.75" customHeight="1">
      <c r="A112" s="33" t="s">
        <v>1005</v>
      </c>
      <c r="B112" s="33" t="s">
        <v>1006</v>
      </c>
      <c r="C112" s="33" t="s">
        <v>1007</v>
      </c>
      <c r="D112" s="33" t="s">
        <v>227</v>
      </c>
      <c r="E112" s="39">
        <v>46171.0</v>
      </c>
      <c r="F112" s="33" t="s">
        <v>230</v>
      </c>
      <c r="G112" s="40">
        <v>42840.0</v>
      </c>
      <c r="H112" s="46">
        <v>0.1347</v>
      </c>
      <c r="I112" s="40">
        <v>32615.72</v>
      </c>
      <c r="J112" s="33">
        <v>0.0</v>
      </c>
      <c r="K112" s="33" t="s">
        <v>182</v>
      </c>
    </row>
    <row r="113" ht="15.75" customHeight="1">
      <c r="A113" s="33" t="s">
        <v>1009</v>
      </c>
      <c r="B113" s="33" t="s">
        <v>1010</v>
      </c>
      <c r="C113" s="33" t="s">
        <v>1011</v>
      </c>
      <c r="D113" s="33" t="s">
        <v>247</v>
      </c>
      <c r="E113" s="39">
        <v>45857.0</v>
      </c>
      <c r="F113" s="33" t="s">
        <v>241</v>
      </c>
      <c r="G113" s="40">
        <v>37110.0</v>
      </c>
      <c r="H113" s="46">
        <v>0.2055</v>
      </c>
      <c r="I113" s="40">
        <v>15019.44</v>
      </c>
      <c r="J113" s="33">
        <v>0.0</v>
      </c>
      <c r="K113" s="33" t="s">
        <v>182</v>
      </c>
    </row>
    <row r="114" ht="15.75" customHeight="1">
      <c r="A114" s="33" t="s">
        <v>1015</v>
      </c>
      <c r="B114" s="33" t="s">
        <v>499</v>
      </c>
      <c r="C114" s="33" t="s">
        <v>1017</v>
      </c>
      <c r="D114" s="33" t="s">
        <v>227</v>
      </c>
      <c r="E114" s="39">
        <v>45731.0</v>
      </c>
      <c r="F114" s="33" t="s">
        <v>241</v>
      </c>
      <c r="G114" s="40">
        <v>35190.0</v>
      </c>
      <c r="H114" s="46">
        <v>0.1712</v>
      </c>
      <c r="I114" s="40">
        <v>9719.44</v>
      </c>
      <c r="J114" s="33">
        <v>43.0</v>
      </c>
      <c r="K114" s="33" t="s">
        <v>385</v>
      </c>
    </row>
    <row r="115" ht="15.75" customHeight="1">
      <c r="A115" s="33" t="s">
        <v>1020</v>
      </c>
      <c r="B115" s="33" t="s">
        <v>278</v>
      </c>
      <c r="C115" s="33" t="s">
        <v>1022</v>
      </c>
      <c r="D115" s="33" t="s">
        <v>227</v>
      </c>
      <c r="E115" s="39">
        <v>46065.0</v>
      </c>
      <c r="F115" s="33" t="s">
        <v>269</v>
      </c>
      <c r="G115" s="40">
        <v>4460.0</v>
      </c>
      <c r="H115" s="46">
        <v>0.1674</v>
      </c>
      <c r="I115" s="40">
        <v>2586.42</v>
      </c>
      <c r="J115" s="33">
        <v>0.0</v>
      </c>
      <c r="K115" s="33" t="s">
        <v>182</v>
      </c>
    </row>
    <row r="116" ht="15.75" customHeight="1">
      <c r="A116" s="33" t="s">
        <v>1027</v>
      </c>
      <c r="B116" s="33" t="s">
        <v>1028</v>
      </c>
      <c r="C116" s="33" t="s">
        <v>1029</v>
      </c>
      <c r="D116" s="33" t="s">
        <v>247</v>
      </c>
      <c r="E116" s="39">
        <v>45981.0</v>
      </c>
      <c r="F116" s="33" t="s">
        <v>230</v>
      </c>
      <c r="G116" s="40">
        <v>42740.0</v>
      </c>
      <c r="H116" s="46">
        <v>0.2094</v>
      </c>
      <c r="I116" s="40">
        <v>12863.32</v>
      </c>
      <c r="J116" s="33">
        <v>0.0</v>
      </c>
      <c r="K116" s="33" t="s">
        <v>182</v>
      </c>
    </row>
    <row r="117" ht="15.75" customHeight="1">
      <c r="A117" s="33" t="s">
        <v>1033</v>
      </c>
      <c r="B117" s="33" t="s">
        <v>1034</v>
      </c>
      <c r="C117" s="33" t="s">
        <v>1035</v>
      </c>
      <c r="D117" s="33" t="s">
        <v>247</v>
      </c>
      <c r="E117" s="39">
        <v>45988.0</v>
      </c>
      <c r="F117" s="33" t="s">
        <v>248</v>
      </c>
      <c r="G117" s="40">
        <v>21820.0</v>
      </c>
      <c r="H117" s="46">
        <v>0.1914</v>
      </c>
      <c r="I117" s="40">
        <v>11756.82</v>
      </c>
      <c r="J117" s="33">
        <v>0.0</v>
      </c>
      <c r="K117" s="33" t="s">
        <v>182</v>
      </c>
    </row>
    <row r="118" ht="15.75" customHeight="1">
      <c r="A118" s="33" t="s">
        <v>1039</v>
      </c>
      <c r="B118" s="33" t="s">
        <v>723</v>
      </c>
      <c r="C118" s="33" t="s">
        <v>1041</v>
      </c>
      <c r="D118" s="33" t="s">
        <v>247</v>
      </c>
      <c r="E118" s="39">
        <v>45917.0</v>
      </c>
      <c r="F118" s="33" t="s">
        <v>230</v>
      </c>
      <c r="G118" s="40">
        <v>14860.0</v>
      </c>
      <c r="H118" s="46">
        <v>0.2353</v>
      </c>
      <c r="I118" s="40">
        <v>8555.06</v>
      </c>
      <c r="J118" s="33">
        <v>0.0</v>
      </c>
      <c r="K118" s="33" t="s">
        <v>182</v>
      </c>
    </row>
    <row r="119" ht="15.75" customHeight="1">
      <c r="A119" s="33" t="s">
        <v>1044</v>
      </c>
      <c r="B119" s="33" t="s">
        <v>1045</v>
      </c>
      <c r="C119" s="33" t="s">
        <v>1046</v>
      </c>
      <c r="D119" s="33" t="s">
        <v>247</v>
      </c>
      <c r="E119" s="39">
        <v>46018.0</v>
      </c>
      <c r="F119" s="33" t="s">
        <v>230</v>
      </c>
      <c r="G119" s="40">
        <v>32920.0</v>
      </c>
      <c r="H119" s="46">
        <v>0.138</v>
      </c>
      <c r="I119" s="40">
        <v>22559.37</v>
      </c>
      <c r="J119" s="33">
        <v>0.0</v>
      </c>
      <c r="K119" s="33" t="s">
        <v>182</v>
      </c>
    </row>
    <row r="120" ht="15.75" customHeight="1">
      <c r="A120" s="33" t="s">
        <v>1048</v>
      </c>
      <c r="B120" s="33" t="s">
        <v>423</v>
      </c>
      <c r="C120" s="33" t="s">
        <v>1050</v>
      </c>
      <c r="D120" s="33" t="s">
        <v>247</v>
      </c>
      <c r="E120" s="39">
        <v>45910.0</v>
      </c>
      <c r="F120" s="33" t="s">
        <v>248</v>
      </c>
      <c r="G120" s="40">
        <v>20970.0</v>
      </c>
      <c r="H120" s="46">
        <v>0.2328</v>
      </c>
      <c r="I120" s="40">
        <v>5829.59</v>
      </c>
      <c r="J120" s="33">
        <v>0.0</v>
      </c>
      <c r="K120" s="33" t="s">
        <v>182</v>
      </c>
    </row>
    <row r="121" ht="15.75" customHeight="1">
      <c r="A121" s="33" t="s">
        <v>1055</v>
      </c>
      <c r="B121" s="33" t="s">
        <v>1056</v>
      </c>
      <c r="C121" s="33" t="s">
        <v>1057</v>
      </c>
      <c r="D121" s="33" t="s">
        <v>227</v>
      </c>
      <c r="E121" s="39">
        <v>45716.0</v>
      </c>
      <c r="F121" s="33" t="s">
        <v>241</v>
      </c>
      <c r="G121" s="40">
        <v>17320.0</v>
      </c>
      <c r="H121" s="46">
        <v>0.2124</v>
      </c>
      <c r="I121" s="40">
        <v>0.0</v>
      </c>
      <c r="J121" s="33">
        <v>113.0</v>
      </c>
      <c r="K121" s="33" t="s">
        <v>198</v>
      </c>
    </row>
    <row r="122" ht="15.75" customHeight="1">
      <c r="A122" s="33" t="s">
        <v>1060</v>
      </c>
      <c r="B122" s="33" t="s">
        <v>988</v>
      </c>
      <c r="C122" s="33" t="s">
        <v>1063</v>
      </c>
      <c r="D122" s="33" t="s">
        <v>247</v>
      </c>
      <c r="E122" s="39">
        <v>46089.0</v>
      </c>
      <c r="F122" s="33" t="s">
        <v>230</v>
      </c>
      <c r="G122" s="40">
        <v>19740.0</v>
      </c>
      <c r="H122" s="46">
        <v>0.159</v>
      </c>
      <c r="I122" s="40">
        <v>14348.6</v>
      </c>
      <c r="J122" s="33">
        <v>0.0</v>
      </c>
      <c r="K122" s="33" t="s">
        <v>182</v>
      </c>
    </row>
    <row r="123" ht="15.75" customHeight="1">
      <c r="A123" s="33" t="s">
        <v>1066</v>
      </c>
      <c r="B123" s="33" t="s">
        <v>1067</v>
      </c>
      <c r="C123" s="33" t="s">
        <v>1068</v>
      </c>
      <c r="D123" s="33" t="s">
        <v>235</v>
      </c>
      <c r="E123" s="39">
        <v>45859.0</v>
      </c>
      <c r="F123" s="33" t="s">
        <v>230</v>
      </c>
      <c r="G123" s="40">
        <v>42980.0</v>
      </c>
      <c r="H123" s="46">
        <v>0.1601</v>
      </c>
      <c r="I123" s="40">
        <v>25655.94</v>
      </c>
      <c r="J123" s="33">
        <v>0.0</v>
      </c>
      <c r="K123" s="33" t="s">
        <v>182</v>
      </c>
    </row>
    <row r="124" ht="15.75" customHeight="1">
      <c r="A124" s="33" t="s">
        <v>1071</v>
      </c>
      <c r="B124" s="33" t="s">
        <v>1025</v>
      </c>
      <c r="C124" s="33" t="s">
        <v>1072</v>
      </c>
      <c r="D124" s="33" t="s">
        <v>235</v>
      </c>
      <c r="E124" s="39">
        <v>46020.0</v>
      </c>
      <c r="F124" s="33" t="s">
        <v>230</v>
      </c>
      <c r="G124" s="40">
        <v>1370.0</v>
      </c>
      <c r="H124" s="46">
        <v>0.2243</v>
      </c>
      <c r="I124" s="40">
        <v>1095.66</v>
      </c>
      <c r="J124" s="33">
        <v>0.0</v>
      </c>
      <c r="K124" s="33" t="s">
        <v>182</v>
      </c>
    </row>
    <row r="125" ht="15.75" customHeight="1">
      <c r="A125" s="33" t="s">
        <v>1074</v>
      </c>
      <c r="B125" s="33" t="s">
        <v>1076</v>
      </c>
      <c r="C125" s="33" t="s">
        <v>1078</v>
      </c>
      <c r="D125" s="33" t="s">
        <v>247</v>
      </c>
      <c r="E125" s="39">
        <v>45946.0</v>
      </c>
      <c r="F125" s="33" t="s">
        <v>269</v>
      </c>
      <c r="G125" s="40">
        <v>6930.0</v>
      </c>
      <c r="H125" s="46">
        <v>0.174</v>
      </c>
      <c r="I125" s="40">
        <v>3816.72</v>
      </c>
      <c r="J125" s="33">
        <v>0.0</v>
      </c>
      <c r="K125" s="33" t="s">
        <v>182</v>
      </c>
    </row>
    <row r="126" ht="15.75" customHeight="1">
      <c r="A126" s="33" t="s">
        <v>1081</v>
      </c>
      <c r="B126" s="33" t="s">
        <v>1082</v>
      </c>
      <c r="C126" s="33" t="s">
        <v>1083</v>
      </c>
      <c r="D126" s="33" t="s">
        <v>227</v>
      </c>
      <c r="E126" s="39">
        <v>46227.0</v>
      </c>
      <c r="F126" s="33" t="s">
        <v>241</v>
      </c>
      <c r="G126" s="40">
        <v>9620.0</v>
      </c>
      <c r="H126" s="46">
        <v>0.134</v>
      </c>
      <c r="I126" s="40">
        <v>8476.75</v>
      </c>
      <c r="J126" s="33">
        <v>0.0</v>
      </c>
      <c r="K126" s="33" t="s">
        <v>182</v>
      </c>
    </row>
    <row r="127" ht="15.75" customHeight="1">
      <c r="A127" s="33" t="s">
        <v>1088</v>
      </c>
      <c r="B127" s="33" t="s">
        <v>1089</v>
      </c>
      <c r="C127" s="33" t="s">
        <v>1090</v>
      </c>
      <c r="D127" s="33" t="s">
        <v>247</v>
      </c>
      <c r="E127" s="39">
        <v>45834.0</v>
      </c>
      <c r="F127" s="33" t="s">
        <v>241</v>
      </c>
      <c r="G127" s="40">
        <v>34510.0</v>
      </c>
      <c r="H127" s="46">
        <v>0.0866</v>
      </c>
      <c r="I127" s="40">
        <v>2609.17</v>
      </c>
      <c r="J127" s="33">
        <v>0.0</v>
      </c>
      <c r="K127" s="33" t="s">
        <v>182</v>
      </c>
    </row>
    <row r="128" ht="15.75" customHeight="1">
      <c r="A128" s="33" t="s">
        <v>1094</v>
      </c>
      <c r="B128" s="33" t="s">
        <v>1095</v>
      </c>
      <c r="C128" s="33" t="s">
        <v>1097</v>
      </c>
      <c r="D128" s="33" t="s">
        <v>227</v>
      </c>
      <c r="E128" s="39">
        <v>45866.0</v>
      </c>
      <c r="F128" s="33" t="s">
        <v>269</v>
      </c>
      <c r="G128" s="40">
        <v>21560.0</v>
      </c>
      <c r="H128" s="46">
        <v>0.1279</v>
      </c>
      <c r="I128" s="40">
        <v>11227.89</v>
      </c>
      <c r="J128" s="33">
        <v>0.0</v>
      </c>
      <c r="K128" s="33" t="s">
        <v>182</v>
      </c>
    </row>
    <row r="129" ht="15.75" customHeight="1">
      <c r="A129" s="33" t="s">
        <v>1101</v>
      </c>
      <c r="B129" s="33" t="s">
        <v>1103</v>
      </c>
      <c r="C129" s="33" t="s">
        <v>1104</v>
      </c>
      <c r="D129" s="33" t="s">
        <v>235</v>
      </c>
      <c r="E129" s="39">
        <v>45774.0</v>
      </c>
      <c r="F129" s="33" t="s">
        <v>248</v>
      </c>
      <c r="G129" s="40">
        <v>7620.0</v>
      </c>
      <c r="H129" s="46">
        <v>0.1148</v>
      </c>
      <c r="I129" s="40">
        <v>3230.56</v>
      </c>
      <c r="J129" s="33">
        <v>0.0</v>
      </c>
      <c r="K129" s="33" t="s">
        <v>182</v>
      </c>
    </row>
    <row r="130" ht="15.75" customHeight="1">
      <c r="A130" s="33" t="s">
        <v>1107</v>
      </c>
      <c r="B130" s="33" t="s">
        <v>1108</v>
      </c>
      <c r="C130" s="33" t="s">
        <v>1109</v>
      </c>
      <c r="D130" s="33" t="s">
        <v>247</v>
      </c>
      <c r="E130" s="39">
        <v>45678.0</v>
      </c>
      <c r="F130" s="33" t="s">
        <v>241</v>
      </c>
      <c r="G130" s="40">
        <v>22410.0</v>
      </c>
      <c r="H130" s="46">
        <v>0.1006</v>
      </c>
      <c r="I130" s="40">
        <v>3685.39</v>
      </c>
      <c r="J130" s="33">
        <v>0.0</v>
      </c>
      <c r="K130" s="33" t="s">
        <v>182</v>
      </c>
    </row>
    <row r="131" ht="15.75" customHeight="1">
      <c r="A131" s="33" t="s">
        <v>1111</v>
      </c>
      <c r="B131" s="33" t="s">
        <v>1113</v>
      </c>
      <c r="C131" s="33" t="s">
        <v>1114</v>
      </c>
      <c r="D131" s="33" t="s">
        <v>235</v>
      </c>
      <c r="E131" s="39">
        <v>45771.0</v>
      </c>
      <c r="F131" s="33" t="s">
        <v>241</v>
      </c>
      <c r="G131" s="40">
        <v>47870.0</v>
      </c>
      <c r="H131" s="46">
        <v>0.1876</v>
      </c>
      <c r="I131" s="40">
        <v>21582.69</v>
      </c>
      <c r="J131" s="33">
        <v>0.0</v>
      </c>
      <c r="K131" s="33" t="s">
        <v>182</v>
      </c>
    </row>
    <row r="132" ht="15.75" customHeight="1">
      <c r="A132" s="33" t="s">
        <v>1119</v>
      </c>
      <c r="B132" s="33" t="s">
        <v>334</v>
      </c>
      <c r="C132" s="33" t="s">
        <v>1120</v>
      </c>
      <c r="D132" s="33" t="s">
        <v>247</v>
      </c>
      <c r="E132" s="39">
        <v>45837.0</v>
      </c>
      <c r="F132" s="33" t="s">
        <v>248</v>
      </c>
      <c r="G132" s="40">
        <v>32160.0</v>
      </c>
      <c r="H132" s="46">
        <v>0.1433</v>
      </c>
      <c r="I132" s="40">
        <v>13375.91</v>
      </c>
      <c r="J132" s="33">
        <v>60.0</v>
      </c>
      <c r="K132" s="33" t="s">
        <v>385</v>
      </c>
    </row>
    <row r="133" ht="15.75" customHeight="1">
      <c r="A133" s="33" t="s">
        <v>1122</v>
      </c>
      <c r="B133" s="33" t="s">
        <v>281</v>
      </c>
      <c r="C133" s="33" t="s">
        <v>1124</v>
      </c>
      <c r="D133" s="33" t="s">
        <v>227</v>
      </c>
      <c r="E133" s="39">
        <v>46156.0</v>
      </c>
      <c r="F133" s="33" t="s">
        <v>241</v>
      </c>
      <c r="G133" s="40">
        <v>6100.0</v>
      </c>
      <c r="H133" s="46">
        <v>0.0951</v>
      </c>
      <c r="I133" s="40">
        <v>5252.74</v>
      </c>
      <c r="J133" s="33">
        <v>0.0</v>
      </c>
      <c r="K133" s="33" t="s">
        <v>182</v>
      </c>
    </row>
    <row r="134" ht="15.75" customHeight="1">
      <c r="A134" s="33" t="s">
        <v>1126</v>
      </c>
      <c r="B134" s="33" t="s">
        <v>605</v>
      </c>
      <c r="C134" s="33" t="s">
        <v>1128</v>
      </c>
      <c r="D134" s="33" t="s">
        <v>235</v>
      </c>
      <c r="E134" s="39">
        <v>46005.0</v>
      </c>
      <c r="F134" s="33" t="s">
        <v>241</v>
      </c>
      <c r="G134" s="40">
        <v>6890.0</v>
      </c>
      <c r="H134" s="46">
        <v>0.1323</v>
      </c>
      <c r="I134" s="40">
        <v>3083.76</v>
      </c>
      <c r="J134" s="33">
        <v>0.0</v>
      </c>
      <c r="K134" s="33" t="s">
        <v>182</v>
      </c>
    </row>
    <row r="135" ht="15.75" customHeight="1">
      <c r="A135" s="33" t="s">
        <v>1131</v>
      </c>
      <c r="B135" s="33" t="s">
        <v>1132</v>
      </c>
      <c r="C135" s="33" t="s">
        <v>1133</v>
      </c>
      <c r="D135" s="33" t="s">
        <v>235</v>
      </c>
      <c r="E135" s="39">
        <v>45668.0</v>
      </c>
      <c r="F135" s="33" t="s">
        <v>248</v>
      </c>
      <c r="G135" s="40">
        <v>28550.0</v>
      </c>
      <c r="H135" s="46">
        <v>0.1025</v>
      </c>
      <c r="I135" s="40">
        <v>0.0</v>
      </c>
      <c r="J135" s="33">
        <v>0.0</v>
      </c>
      <c r="K135" s="33" t="s">
        <v>198</v>
      </c>
    </row>
    <row r="136" ht="15.75" customHeight="1">
      <c r="A136" s="33" t="s">
        <v>1136</v>
      </c>
      <c r="B136" s="33" t="s">
        <v>1137</v>
      </c>
      <c r="C136" s="33" t="s">
        <v>1138</v>
      </c>
      <c r="D136" s="33" t="s">
        <v>227</v>
      </c>
      <c r="E136" s="39">
        <v>46110.0</v>
      </c>
      <c r="F136" s="33" t="s">
        <v>230</v>
      </c>
      <c r="G136" s="40">
        <v>44170.0</v>
      </c>
      <c r="H136" s="46">
        <v>0.1758</v>
      </c>
      <c r="I136" s="40">
        <v>32098.66</v>
      </c>
      <c r="J136" s="33">
        <v>0.0</v>
      </c>
      <c r="K136" s="33" t="s">
        <v>182</v>
      </c>
    </row>
    <row r="137" ht="15.75" customHeight="1">
      <c r="A137" s="33" t="s">
        <v>1142</v>
      </c>
      <c r="B137" s="33" t="s">
        <v>186</v>
      </c>
      <c r="C137" s="33" t="s">
        <v>1143</v>
      </c>
      <c r="D137" s="33" t="s">
        <v>235</v>
      </c>
      <c r="E137" s="39">
        <v>46161.0</v>
      </c>
      <c r="F137" s="33" t="s">
        <v>269</v>
      </c>
      <c r="G137" s="40">
        <v>4640.0</v>
      </c>
      <c r="H137" s="46">
        <v>0.1483</v>
      </c>
      <c r="I137" s="40">
        <v>3659.57</v>
      </c>
      <c r="J137" s="33">
        <v>0.0</v>
      </c>
      <c r="K137" s="33" t="s">
        <v>182</v>
      </c>
    </row>
    <row r="138" ht="15.75" customHeight="1">
      <c r="A138" s="33" t="s">
        <v>1146</v>
      </c>
      <c r="B138" s="33" t="s">
        <v>1147</v>
      </c>
      <c r="C138" s="33" t="s">
        <v>1148</v>
      </c>
      <c r="D138" s="33" t="s">
        <v>227</v>
      </c>
      <c r="E138" s="39">
        <v>46101.0</v>
      </c>
      <c r="F138" s="33" t="s">
        <v>241</v>
      </c>
      <c r="G138" s="40">
        <v>41340.0</v>
      </c>
      <c r="H138" s="46">
        <v>0.2295</v>
      </c>
      <c r="I138" s="40">
        <v>28432.14</v>
      </c>
      <c r="J138" s="33">
        <v>0.0</v>
      </c>
      <c r="K138" s="33" t="s">
        <v>182</v>
      </c>
    </row>
    <row r="139" ht="15.75" customHeight="1">
      <c r="A139" s="33" t="s">
        <v>1151</v>
      </c>
      <c r="B139" s="33" t="s">
        <v>1152</v>
      </c>
      <c r="C139" s="33" t="s">
        <v>1153</v>
      </c>
      <c r="D139" s="33" t="s">
        <v>247</v>
      </c>
      <c r="E139" s="39">
        <v>45669.0</v>
      </c>
      <c r="F139" s="33" t="s">
        <v>248</v>
      </c>
      <c r="G139" s="40">
        <v>28040.0</v>
      </c>
      <c r="H139" s="46">
        <v>0.1774</v>
      </c>
      <c r="I139" s="40">
        <v>0.0</v>
      </c>
      <c r="J139" s="33">
        <v>10.0</v>
      </c>
      <c r="K139" s="33" t="s">
        <v>198</v>
      </c>
    </row>
    <row r="140" ht="15.75" customHeight="1">
      <c r="A140" s="33" t="s">
        <v>1156</v>
      </c>
      <c r="B140" s="33" t="s">
        <v>1158</v>
      </c>
      <c r="C140" s="33" t="s">
        <v>1159</v>
      </c>
      <c r="D140" s="33" t="s">
        <v>227</v>
      </c>
      <c r="E140" s="39">
        <v>45773.0</v>
      </c>
      <c r="F140" s="33" t="s">
        <v>248</v>
      </c>
      <c r="G140" s="40">
        <v>20250.0</v>
      </c>
      <c r="H140" s="46">
        <v>0.2024</v>
      </c>
      <c r="I140" s="40">
        <v>5475.43</v>
      </c>
      <c r="J140" s="33">
        <v>0.0</v>
      </c>
      <c r="K140" s="33" t="s">
        <v>182</v>
      </c>
    </row>
    <row r="141" ht="15.75" customHeight="1">
      <c r="A141" s="33" t="s">
        <v>1161</v>
      </c>
      <c r="B141" s="33" t="s">
        <v>1162</v>
      </c>
      <c r="C141" s="33" t="s">
        <v>1163</v>
      </c>
      <c r="D141" s="33" t="s">
        <v>235</v>
      </c>
      <c r="E141" s="39">
        <v>46165.0</v>
      </c>
      <c r="F141" s="33" t="s">
        <v>269</v>
      </c>
      <c r="G141" s="40">
        <v>28970.0</v>
      </c>
      <c r="H141" s="46">
        <v>0.1336</v>
      </c>
      <c r="I141" s="40">
        <v>23597.79</v>
      </c>
      <c r="J141" s="33">
        <v>0.0</v>
      </c>
      <c r="K141" s="33" t="s">
        <v>182</v>
      </c>
    </row>
    <row r="142" ht="15.75" customHeight="1">
      <c r="A142" s="33" t="s">
        <v>1166</v>
      </c>
      <c r="B142" s="33" t="s">
        <v>1167</v>
      </c>
      <c r="C142" s="33" t="s">
        <v>1168</v>
      </c>
      <c r="D142" s="33" t="s">
        <v>247</v>
      </c>
      <c r="E142" s="39">
        <v>45906.0</v>
      </c>
      <c r="F142" s="33" t="s">
        <v>269</v>
      </c>
      <c r="G142" s="40">
        <v>3570.0</v>
      </c>
      <c r="H142" s="46">
        <v>0.2007</v>
      </c>
      <c r="I142" s="40">
        <v>1904.12</v>
      </c>
      <c r="J142" s="33">
        <v>0.0</v>
      </c>
      <c r="K142" s="33" t="s">
        <v>182</v>
      </c>
    </row>
    <row r="143" ht="15.75" customHeight="1">
      <c r="A143" s="33" t="s">
        <v>1171</v>
      </c>
      <c r="B143" s="33" t="s">
        <v>279</v>
      </c>
      <c r="C143" s="33" t="s">
        <v>1172</v>
      </c>
      <c r="D143" s="33" t="s">
        <v>227</v>
      </c>
      <c r="E143" s="39">
        <v>45948.0</v>
      </c>
      <c r="F143" s="33" t="s">
        <v>230</v>
      </c>
      <c r="G143" s="40">
        <v>4640.0</v>
      </c>
      <c r="H143" s="46">
        <v>0.1976</v>
      </c>
      <c r="I143" s="40">
        <v>2261.49</v>
      </c>
      <c r="J143" s="33">
        <v>0.0</v>
      </c>
      <c r="K143" s="33" t="s">
        <v>182</v>
      </c>
    </row>
    <row r="144" ht="15.75" customHeight="1">
      <c r="A144" s="33" t="s">
        <v>1175</v>
      </c>
      <c r="B144" s="33" t="s">
        <v>1176</v>
      </c>
      <c r="C144" s="33" t="s">
        <v>1178</v>
      </c>
      <c r="D144" s="33" t="s">
        <v>235</v>
      </c>
      <c r="E144" s="39">
        <v>46184.0</v>
      </c>
      <c r="F144" s="33" t="s">
        <v>241</v>
      </c>
      <c r="G144" s="40">
        <v>27120.0</v>
      </c>
      <c r="H144" s="46">
        <v>0.2385</v>
      </c>
      <c r="I144" s="40">
        <v>20490.32</v>
      </c>
      <c r="J144" s="33">
        <v>0.0</v>
      </c>
      <c r="K144" s="33" t="s">
        <v>182</v>
      </c>
    </row>
    <row r="145" ht="15.75" customHeight="1">
      <c r="A145" s="33" t="s">
        <v>1182</v>
      </c>
      <c r="B145" s="33" t="s">
        <v>1183</v>
      </c>
      <c r="C145" s="33" t="s">
        <v>1185</v>
      </c>
      <c r="D145" s="33" t="s">
        <v>227</v>
      </c>
      <c r="E145" s="39">
        <v>46058.0</v>
      </c>
      <c r="F145" s="33" t="s">
        <v>230</v>
      </c>
      <c r="G145" s="40">
        <v>24820.0</v>
      </c>
      <c r="H145" s="46">
        <v>0.1858</v>
      </c>
      <c r="I145" s="40">
        <v>19109.03</v>
      </c>
      <c r="J145" s="33">
        <v>0.0</v>
      </c>
      <c r="K145" s="33" t="s">
        <v>182</v>
      </c>
    </row>
    <row r="146" ht="15.75" customHeight="1">
      <c r="A146" s="33" t="s">
        <v>1189</v>
      </c>
      <c r="B146" s="33" t="s">
        <v>177</v>
      </c>
      <c r="C146" s="33" t="s">
        <v>1191</v>
      </c>
      <c r="D146" s="33" t="s">
        <v>247</v>
      </c>
      <c r="E146" s="39">
        <v>46246.0</v>
      </c>
      <c r="F146" s="33" t="s">
        <v>248</v>
      </c>
      <c r="G146" s="40">
        <v>2580.0</v>
      </c>
      <c r="H146" s="46">
        <v>0.2266</v>
      </c>
      <c r="I146" s="40">
        <v>2664.63</v>
      </c>
      <c r="J146" s="33">
        <v>0.0</v>
      </c>
      <c r="K146" s="33" t="s">
        <v>182</v>
      </c>
    </row>
    <row r="147" ht="15.75" customHeight="1">
      <c r="A147" s="33" t="s">
        <v>1194</v>
      </c>
      <c r="B147" s="33" t="s">
        <v>290</v>
      </c>
      <c r="C147" s="33" t="s">
        <v>1195</v>
      </c>
      <c r="D147" s="33" t="s">
        <v>247</v>
      </c>
      <c r="E147" s="39">
        <v>45928.0</v>
      </c>
      <c r="F147" s="33" t="s">
        <v>241</v>
      </c>
      <c r="G147" s="40">
        <v>29980.0</v>
      </c>
      <c r="H147" s="46">
        <v>0.2187</v>
      </c>
      <c r="I147" s="40">
        <v>10547.4</v>
      </c>
      <c r="J147" s="33">
        <v>37.0</v>
      </c>
      <c r="K147" s="33" t="s">
        <v>385</v>
      </c>
    </row>
    <row r="148" ht="15.75" customHeight="1">
      <c r="A148" s="33" t="s">
        <v>1199</v>
      </c>
      <c r="B148" s="33" t="s">
        <v>1200</v>
      </c>
      <c r="C148" s="33" t="s">
        <v>1201</v>
      </c>
      <c r="D148" s="33" t="s">
        <v>227</v>
      </c>
      <c r="E148" s="39">
        <v>46125.0</v>
      </c>
      <c r="F148" s="33" t="s">
        <v>241</v>
      </c>
      <c r="G148" s="40">
        <v>32090.0</v>
      </c>
      <c r="H148" s="46">
        <v>0.227</v>
      </c>
      <c r="I148" s="40">
        <v>26226.22</v>
      </c>
      <c r="J148" s="33">
        <v>18.0</v>
      </c>
      <c r="K148" s="33" t="s">
        <v>182</v>
      </c>
    </row>
    <row r="149" ht="15.75" customHeight="1">
      <c r="A149" s="33" t="s">
        <v>1204</v>
      </c>
      <c r="B149" s="33" t="s">
        <v>1205</v>
      </c>
      <c r="C149" s="33" t="s">
        <v>1206</v>
      </c>
      <c r="D149" s="33" t="s">
        <v>247</v>
      </c>
      <c r="E149" s="39">
        <v>46038.0</v>
      </c>
      <c r="F149" s="33" t="s">
        <v>241</v>
      </c>
      <c r="G149" s="40">
        <v>22910.0</v>
      </c>
      <c r="H149" s="46">
        <v>0.1717</v>
      </c>
      <c r="I149" s="40">
        <v>12501.67</v>
      </c>
      <c r="J149" s="33">
        <v>0.0</v>
      </c>
      <c r="K149" s="33" t="s">
        <v>182</v>
      </c>
    </row>
    <row r="150" ht="15.75" customHeight="1">
      <c r="A150" s="33" t="s">
        <v>1209</v>
      </c>
      <c r="B150" s="33" t="s">
        <v>1183</v>
      </c>
      <c r="C150" s="33" t="s">
        <v>1210</v>
      </c>
      <c r="D150" s="33" t="s">
        <v>227</v>
      </c>
      <c r="E150" s="39">
        <v>46078.0</v>
      </c>
      <c r="F150" s="33" t="s">
        <v>248</v>
      </c>
      <c r="G150" s="40">
        <v>5000.0</v>
      </c>
      <c r="H150" s="46">
        <v>0.1158</v>
      </c>
      <c r="I150" s="40">
        <v>3197.44</v>
      </c>
      <c r="J150" s="33">
        <v>0.0</v>
      </c>
      <c r="K150" s="33" t="s">
        <v>182</v>
      </c>
    </row>
    <row r="151" ht="15.75" customHeight="1">
      <c r="A151" s="33" t="s">
        <v>1212</v>
      </c>
      <c r="B151" s="33" t="s">
        <v>558</v>
      </c>
      <c r="C151" s="33" t="s">
        <v>1213</v>
      </c>
      <c r="D151" s="33" t="s">
        <v>227</v>
      </c>
      <c r="E151" s="39">
        <v>45973.0</v>
      </c>
      <c r="F151" s="33" t="s">
        <v>241</v>
      </c>
      <c r="G151" s="40">
        <v>42030.0</v>
      </c>
      <c r="H151" s="46">
        <v>0.1736</v>
      </c>
      <c r="I151" s="40">
        <v>27996.73</v>
      </c>
      <c r="J151" s="33">
        <v>0.0</v>
      </c>
      <c r="K151" s="33" t="s">
        <v>182</v>
      </c>
    </row>
    <row r="152" ht="15.75" customHeight="1">
      <c r="A152" s="33" t="s">
        <v>1215</v>
      </c>
      <c r="B152" s="33" t="s">
        <v>1218</v>
      </c>
      <c r="C152" s="33" t="s">
        <v>1220</v>
      </c>
      <c r="D152" s="33" t="s">
        <v>227</v>
      </c>
      <c r="E152" s="39">
        <v>45896.0</v>
      </c>
      <c r="F152" s="33" t="s">
        <v>241</v>
      </c>
      <c r="G152" s="40">
        <v>23980.0</v>
      </c>
      <c r="H152" s="46">
        <v>0.2275</v>
      </c>
      <c r="I152" s="40">
        <v>13180.33</v>
      </c>
      <c r="J152" s="33">
        <v>0.0</v>
      </c>
      <c r="K152" s="33" t="s">
        <v>182</v>
      </c>
    </row>
    <row r="153" ht="15.75" customHeight="1">
      <c r="A153" s="33" t="s">
        <v>1223</v>
      </c>
      <c r="B153" s="33" t="s">
        <v>1224</v>
      </c>
      <c r="C153" s="33" t="s">
        <v>1225</v>
      </c>
      <c r="D153" s="33" t="s">
        <v>247</v>
      </c>
      <c r="E153" s="39">
        <v>45820.0</v>
      </c>
      <c r="F153" s="33" t="s">
        <v>248</v>
      </c>
      <c r="G153" s="40">
        <v>27650.0</v>
      </c>
      <c r="H153" s="46">
        <v>0.2357</v>
      </c>
      <c r="I153" s="40">
        <v>15342.03</v>
      </c>
      <c r="J153" s="33">
        <v>0.0</v>
      </c>
      <c r="K153" s="33" t="s">
        <v>182</v>
      </c>
    </row>
    <row r="154" ht="15.75" customHeight="1">
      <c r="A154" s="33" t="s">
        <v>1228</v>
      </c>
      <c r="B154" s="33" t="s">
        <v>1229</v>
      </c>
      <c r="C154" s="33" t="s">
        <v>1230</v>
      </c>
      <c r="D154" s="33" t="s">
        <v>227</v>
      </c>
      <c r="E154" s="39">
        <v>45838.0</v>
      </c>
      <c r="F154" s="33" t="s">
        <v>269</v>
      </c>
      <c r="G154" s="40">
        <v>34640.0</v>
      </c>
      <c r="H154" s="46">
        <v>0.2314</v>
      </c>
      <c r="I154" s="40">
        <v>17287.23</v>
      </c>
      <c r="J154" s="33">
        <v>160.0</v>
      </c>
      <c r="K154" s="33" t="s">
        <v>794</v>
      </c>
    </row>
    <row r="155" ht="15.75" customHeight="1">
      <c r="A155" s="33" t="s">
        <v>1233</v>
      </c>
      <c r="B155" s="33" t="s">
        <v>1235</v>
      </c>
      <c r="C155" s="33" t="s">
        <v>1236</v>
      </c>
      <c r="D155" s="33" t="s">
        <v>227</v>
      </c>
      <c r="E155" s="39">
        <v>45890.0</v>
      </c>
      <c r="F155" s="33" t="s">
        <v>230</v>
      </c>
      <c r="G155" s="40">
        <v>48780.0</v>
      </c>
      <c r="H155" s="46">
        <v>0.1506</v>
      </c>
      <c r="I155" s="40">
        <v>8070.32</v>
      </c>
      <c r="J155" s="33">
        <v>0.0</v>
      </c>
      <c r="K155" s="33" t="s">
        <v>182</v>
      </c>
    </row>
    <row r="156" ht="15.75" customHeight="1">
      <c r="A156" s="33" t="s">
        <v>1240</v>
      </c>
      <c r="B156" s="33" t="s">
        <v>255</v>
      </c>
      <c r="C156" s="33" t="s">
        <v>1241</v>
      </c>
      <c r="D156" s="33" t="s">
        <v>227</v>
      </c>
      <c r="E156" s="39">
        <v>46083.0</v>
      </c>
      <c r="F156" s="33" t="s">
        <v>269</v>
      </c>
      <c r="G156" s="40">
        <v>12770.0</v>
      </c>
      <c r="H156" s="46">
        <v>0.2087</v>
      </c>
      <c r="I156" s="40">
        <v>10118.29</v>
      </c>
      <c r="J156" s="33">
        <v>0.0</v>
      </c>
      <c r="K156" s="33" t="s">
        <v>182</v>
      </c>
    </row>
    <row r="157" ht="15.75" customHeight="1">
      <c r="A157" s="33" t="s">
        <v>1246</v>
      </c>
      <c r="B157" s="33" t="s">
        <v>1247</v>
      </c>
      <c r="C157" s="33" t="s">
        <v>1248</v>
      </c>
      <c r="D157" s="33" t="s">
        <v>247</v>
      </c>
      <c r="E157" s="39">
        <v>45695.0</v>
      </c>
      <c r="F157" s="33" t="s">
        <v>241</v>
      </c>
      <c r="G157" s="40">
        <v>13370.0</v>
      </c>
      <c r="H157" s="46">
        <v>0.1582</v>
      </c>
      <c r="I157" s="40">
        <v>5769.14</v>
      </c>
      <c r="J157" s="33">
        <v>17.0</v>
      </c>
      <c r="K157" s="33" t="s">
        <v>182</v>
      </c>
    </row>
    <row r="158" ht="15.75" customHeight="1">
      <c r="A158" s="33" t="s">
        <v>1252</v>
      </c>
      <c r="B158" s="33" t="s">
        <v>1253</v>
      </c>
      <c r="C158" s="33" t="s">
        <v>1254</v>
      </c>
      <c r="D158" s="33" t="s">
        <v>227</v>
      </c>
      <c r="E158" s="39">
        <v>45931.0</v>
      </c>
      <c r="F158" s="33" t="s">
        <v>241</v>
      </c>
      <c r="G158" s="40">
        <v>9190.0</v>
      </c>
      <c r="H158" s="46">
        <v>0.1907</v>
      </c>
      <c r="I158" s="40">
        <v>5686.88</v>
      </c>
      <c r="J158" s="33">
        <v>0.0</v>
      </c>
      <c r="K158" s="33" t="s">
        <v>182</v>
      </c>
    </row>
    <row r="159" ht="15.75" customHeight="1">
      <c r="A159" s="33" t="s">
        <v>1261</v>
      </c>
      <c r="B159" s="33" t="s">
        <v>1262</v>
      </c>
      <c r="C159" s="33" t="s">
        <v>1263</v>
      </c>
      <c r="D159" s="33" t="s">
        <v>227</v>
      </c>
      <c r="E159" s="39">
        <v>45809.0</v>
      </c>
      <c r="F159" s="33" t="s">
        <v>269</v>
      </c>
      <c r="G159" s="40">
        <v>25390.0</v>
      </c>
      <c r="H159" s="46">
        <v>0.149</v>
      </c>
      <c r="I159" s="40">
        <v>10280.07</v>
      </c>
      <c r="J159" s="33">
        <v>0.0</v>
      </c>
      <c r="K159" s="33" t="s">
        <v>182</v>
      </c>
    </row>
    <row r="160" ht="15.75" customHeight="1">
      <c r="A160" s="33" t="s">
        <v>1265</v>
      </c>
      <c r="B160" s="33" t="s">
        <v>1266</v>
      </c>
      <c r="C160" s="33" t="s">
        <v>1268</v>
      </c>
      <c r="D160" s="33" t="s">
        <v>235</v>
      </c>
      <c r="E160" s="39">
        <v>46022.0</v>
      </c>
      <c r="F160" s="33" t="s">
        <v>248</v>
      </c>
      <c r="G160" s="40">
        <v>30760.0</v>
      </c>
      <c r="H160" s="46">
        <v>0.1284</v>
      </c>
      <c r="I160" s="40">
        <v>13243.62</v>
      </c>
      <c r="J160" s="33">
        <v>0.0</v>
      </c>
      <c r="K160" s="33" t="s">
        <v>182</v>
      </c>
    </row>
    <row r="161" ht="15.75" customHeight="1">
      <c r="A161" s="33" t="s">
        <v>1270</v>
      </c>
      <c r="B161" s="33" t="s">
        <v>1271</v>
      </c>
      <c r="C161" s="33" t="s">
        <v>1273</v>
      </c>
      <c r="D161" s="33" t="s">
        <v>227</v>
      </c>
      <c r="E161" s="39">
        <v>46136.0</v>
      </c>
      <c r="F161" s="33" t="s">
        <v>241</v>
      </c>
      <c r="G161" s="40">
        <v>41740.0</v>
      </c>
      <c r="H161" s="46">
        <v>0.1507</v>
      </c>
      <c r="I161" s="40">
        <v>34868.37</v>
      </c>
      <c r="J161" s="33">
        <v>0.0</v>
      </c>
      <c r="K161" s="33" t="s">
        <v>182</v>
      </c>
    </row>
    <row r="162" ht="15.75" customHeight="1">
      <c r="A162" s="33" t="s">
        <v>1275</v>
      </c>
      <c r="B162" s="33" t="s">
        <v>1276</v>
      </c>
      <c r="C162" s="33" t="s">
        <v>1277</v>
      </c>
      <c r="D162" s="33" t="s">
        <v>247</v>
      </c>
      <c r="E162" s="39">
        <v>46192.0</v>
      </c>
      <c r="F162" s="33" t="s">
        <v>241</v>
      </c>
      <c r="G162" s="40">
        <v>5700.0</v>
      </c>
      <c r="H162" s="46">
        <v>0.1291</v>
      </c>
      <c r="I162" s="40">
        <v>4731.95</v>
      </c>
      <c r="J162" s="33">
        <v>0.0</v>
      </c>
      <c r="K162" s="33" t="s">
        <v>182</v>
      </c>
    </row>
    <row r="163" ht="15.75" customHeight="1">
      <c r="A163" s="33" t="s">
        <v>1279</v>
      </c>
      <c r="B163" s="33" t="s">
        <v>268</v>
      </c>
      <c r="C163" s="33" t="s">
        <v>1281</v>
      </c>
      <c r="D163" s="33" t="s">
        <v>247</v>
      </c>
      <c r="E163" s="39">
        <v>45836.0</v>
      </c>
      <c r="F163" s="33" t="s">
        <v>248</v>
      </c>
      <c r="G163" s="40">
        <v>24990.0</v>
      </c>
      <c r="H163" s="46">
        <v>0.1477</v>
      </c>
      <c r="I163" s="40">
        <v>0.0</v>
      </c>
      <c r="J163" s="33">
        <v>0.0</v>
      </c>
      <c r="K163" s="33" t="s">
        <v>198</v>
      </c>
    </row>
    <row r="164" ht="15.75" customHeight="1">
      <c r="A164" s="33" t="s">
        <v>1283</v>
      </c>
      <c r="B164" s="33" t="s">
        <v>652</v>
      </c>
      <c r="C164" s="33" t="s">
        <v>1286</v>
      </c>
      <c r="D164" s="33" t="s">
        <v>235</v>
      </c>
      <c r="E164" s="39">
        <v>46100.0</v>
      </c>
      <c r="F164" s="33" t="s">
        <v>248</v>
      </c>
      <c r="G164" s="40">
        <v>30900.0</v>
      </c>
      <c r="H164" s="46">
        <v>0.1884</v>
      </c>
      <c r="I164" s="40">
        <v>22077.55</v>
      </c>
      <c r="J164" s="33">
        <v>0.0</v>
      </c>
      <c r="K164" s="33" t="s">
        <v>182</v>
      </c>
    </row>
    <row r="165" ht="15.75" customHeight="1">
      <c r="A165" s="33" t="s">
        <v>1288</v>
      </c>
      <c r="B165" s="33" t="s">
        <v>1289</v>
      </c>
      <c r="C165" s="33" t="s">
        <v>1290</v>
      </c>
      <c r="D165" s="33" t="s">
        <v>247</v>
      </c>
      <c r="E165" s="39">
        <v>46253.0</v>
      </c>
      <c r="F165" s="33" t="s">
        <v>230</v>
      </c>
      <c r="G165" s="40">
        <v>21470.0</v>
      </c>
      <c r="H165" s="46">
        <v>0.1121</v>
      </c>
      <c r="I165" s="40">
        <v>20295.18</v>
      </c>
      <c r="J165" s="33">
        <v>0.0</v>
      </c>
      <c r="K165" s="33" t="s">
        <v>182</v>
      </c>
    </row>
    <row r="166" ht="15.75" customHeight="1">
      <c r="A166" s="33" t="s">
        <v>1293</v>
      </c>
      <c r="B166" s="33" t="s">
        <v>1294</v>
      </c>
      <c r="C166" s="33" t="s">
        <v>1295</v>
      </c>
      <c r="D166" s="33" t="s">
        <v>227</v>
      </c>
      <c r="E166" s="39">
        <v>45660.0</v>
      </c>
      <c r="F166" s="33" t="s">
        <v>230</v>
      </c>
      <c r="G166" s="40">
        <v>24960.0</v>
      </c>
      <c r="H166" s="46">
        <v>0.1883</v>
      </c>
      <c r="I166" s="40">
        <v>2717.44</v>
      </c>
      <c r="J166" s="33">
        <v>0.0</v>
      </c>
      <c r="K166" s="33" t="s">
        <v>182</v>
      </c>
    </row>
    <row r="167" ht="15.75" customHeight="1">
      <c r="A167" s="33" t="s">
        <v>1298</v>
      </c>
      <c r="B167" s="33" t="s">
        <v>1300</v>
      </c>
      <c r="C167" s="33" t="s">
        <v>1301</v>
      </c>
      <c r="D167" s="33" t="s">
        <v>227</v>
      </c>
      <c r="E167" s="39">
        <v>45928.0</v>
      </c>
      <c r="F167" s="33" t="s">
        <v>230</v>
      </c>
      <c r="G167" s="40">
        <v>39250.0</v>
      </c>
      <c r="H167" s="46">
        <v>0.0918</v>
      </c>
      <c r="I167" s="40">
        <v>27646.06</v>
      </c>
      <c r="J167" s="33">
        <v>0.0</v>
      </c>
      <c r="K167" s="33" t="s">
        <v>182</v>
      </c>
    </row>
    <row r="168" ht="15.75" customHeight="1">
      <c r="A168" s="33" t="s">
        <v>1304</v>
      </c>
      <c r="B168" s="33" t="s">
        <v>1305</v>
      </c>
      <c r="C168" s="33" t="s">
        <v>1306</v>
      </c>
      <c r="D168" s="33" t="s">
        <v>227</v>
      </c>
      <c r="E168" s="39">
        <v>46133.0</v>
      </c>
      <c r="F168" s="33" t="s">
        <v>230</v>
      </c>
      <c r="G168" s="40">
        <v>21890.0</v>
      </c>
      <c r="H168" s="46">
        <v>0.0803</v>
      </c>
      <c r="I168" s="40">
        <v>17249.94</v>
      </c>
      <c r="J168" s="33">
        <v>0.0</v>
      </c>
      <c r="K168" s="33" t="s">
        <v>182</v>
      </c>
    </row>
    <row r="169" ht="15.75" customHeight="1">
      <c r="A169" s="33" t="s">
        <v>1310</v>
      </c>
      <c r="B169" s="33" t="s">
        <v>1311</v>
      </c>
      <c r="C169" s="33" t="s">
        <v>1312</v>
      </c>
      <c r="D169" s="33" t="s">
        <v>235</v>
      </c>
      <c r="E169" s="39">
        <v>46262.0</v>
      </c>
      <c r="F169" s="33" t="s">
        <v>230</v>
      </c>
      <c r="G169" s="40">
        <v>46000.0</v>
      </c>
      <c r="H169" s="46">
        <v>0.1173</v>
      </c>
      <c r="I169" s="40">
        <v>42817.37</v>
      </c>
      <c r="J169" s="33">
        <v>151.0</v>
      </c>
      <c r="K169" s="33" t="s">
        <v>794</v>
      </c>
    </row>
    <row r="170" ht="15.75" customHeight="1">
      <c r="A170" s="33" t="s">
        <v>1315</v>
      </c>
      <c r="B170" s="33" t="s">
        <v>470</v>
      </c>
      <c r="C170" s="33" t="s">
        <v>1317</v>
      </c>
      <c r="D170" s="33" t="s">
        <v>247</v>
      </c>
      <c r="E170" s="39">
        <v>45729.0</v>
      </c>
      <c r="F170" s="33" t="s">
        <v>230</v>
      </c>
      <c r="G170" s="40">
        <v>21900.0</v>
      </c>
      <c r="H170" s="46">
        <v>0.1124</v>
      </c>
      <c r="I170" s="40">
        <v>9035.85</v>
      </c>
      <c r="J170" s="33">
        <v>67.0</v>
      </c>
      <c r="K170" s="33" t="s">
        <v>385</v>
      </c>
    </row>
    <row r="171" ht="15.75" customHeight="1">
      <c r="A171" s="33" t="s">
        <v>1322</v>
      </c>
      <c r="B171" s="33" t="s">
        <v>470</v>
      </c>
      <c r="C171" s="33" t="s">
        <v>1324</v>
      </c>
      <c r="D171" s="33" t="s">
        <v>247</v>
      </c>
      <c r="E171" s="39">
        <v>46170.0</v>
      </c>
      <c r="F171" s="33" t="s">
        <v>241</v>
      </c>
      <c r="G171" s="40">
        <v>12540.0</v>
      </c>
      <c r="H171" s="46">
        <v>0.2133</v>
      </c>
      <c r="I171" s="40">
        <v>10188.1</v>
      </c>
      <c r="J171" s="33">
        <v>0.0</v>
      </c>
      <c r="K171" s="33" t="s">
        <v>182</v>
      </c>
    </row>
    <row r="172" ht="15.75" customHeight="1">
      <c r="A172" s="33" t="s">
        <v>1327</v>
      </c>
      <c r="B172" s="33" t="s">
        <v>665</v>
      </c>
      <c r="C172" s="33" t="s">
        <v>1332</v>
      </c>
      <c r="D172" s="33" t="s">
        <v>247</v>
      </c>
      <c r="E172" s="39">
        <v>46042.0</v>
      </c>
      <c r="F172" s="33" t="s">
        <v>269</v>
      </c>
      <c r="G172" s="40">
        <v>42330.0</v>
      </c>
      <c r="H172" s="46">
        <v>0.201</v>
      </c>
      <c r="I172" s="40">
        <v>31550.8</v>
      </c>
      <c r="J172" s="33">
        <v>66.0</v>
      </c>
      <c r="K172" s="33" t="s">
        <v>385</v>
      </c>
    </row>
    <row r="173" ht="15.75" customHeight="1">
      <c r="A173" s="33" t="s">
        <v>1335</v>
      </c>
      <c r="B173" s="33" t="s">
        <v>296</v>
      </c>
      <c r="C173" s="33" t="s">
        <v>1336</v>
      </c>
      <c r="D173" s="33" t="s">
        <v>227</v>
      </c>
      <c r="E173" s="39">
        <v>46183.0</v>
      </c>
      <c r="F173" s="33" t="s">
        <v>241</v>
      </c>
      <c r="G173" s="40">
        <v>8550.0</v>
      </c>
      <c r="H173" s="46">
        <v>0.1866</v>
      </c>
      <c r="I173" s="40">
        <v>8183.02</v>
      </c>
      <c r="J173" s="33">
        <v>0.0</v>
      </c>
      <c r="K173" s="33" t="s">
        <v>182</v>
      </c>
    </row>
    <row r="174" ht="15.75" customHeight="1">
      <c r="A174" s="33" t="s">
        <v>1341</v>
      </c>
      <c r="B174" s="33" t="s">
        <v>1342</v>
      </c>
      <c r="C174" s="33" t="s">
        <v>1343</v>
      </c>
      <c r="D174" s="33" t="s">
        <v>227</v>
      </c>
      <c r="E174" s="39">
        <v>46208.0</v>
      </c>
      <c r="F174" s="33" t="s">
        <v>248</v>
      </c>
      <c r="G174" s="40">
        <v>9380.0</v>
      </c>
      <c r="H174" s="46">
        <v>0.193</v>
      </c>
      <c r="I174" s="40">
        <v>8996.8</v>
      </c>
      <c r="J174" s="33">
        <v>0.0</v>
      </c>
      <c r="K174" s="33" t="s">
        <v>182</v>
      </c>
    </row>
    <row r="175" ht="15.75" customHeight="1">
      <c r="A175" s="33" t="s">
        <v>1348</v>
      </c>
      <c r="B175" s="33" t="s">
        <v>318</v>
      </c>
      <c r="C175" s="33" t="s">
        <v>1350</v>
      </c>
      <c r="D175" s="33" t="s">
        <v>227</v>
      </c>
      <c r="E175" s="39">
        <v>45717.0</v>
      </c>
      <c r="F175" s="33" t="s">
        <v>230</v>
      </c>
      <c r="G175" s="40">
        <v>29300.0</v>
      </c>
      <c r="H175" s="46">
        <v>0.1861</v>
      </c>
      <c r="I175" s="40">
        <v>4408.28</v>
      </c>
      <c r="J175" s="33">
        <v>0.0</v>
      </c>
      <c r="K175" s="33" t="s">
        <v>182</v>
      </c>
    </row>
    <row r="176" ht="15.75" customHeight="1">
      <c r="A176" s="33" t="s">
        <v>1353</v>
      </c>
      <c r="B176" s="33" t="s">
        <v>672</v>
      </c>
      <c r="C176" s="33" t="s">
        <v>1356</v>
      </c>
      <c r="D176" s="33" t="s">
        <v>227</v>
      </c>
      <c r="E176" s="39">
        <v>46078.0</v>
      </c>
      <c r="F176" s="33" t="s">
        <v>230</v>
      </c>
      <c r="G176" s="40">
        <v>26690.0</v>
      </c>
      <c r="H176" s="46">
        <v>0.2122</v>
      </c>
      <c r="I176" s="40">
        <v>21842.1</v>
      </c>
      <c r="J176" s="33">
        <v>25.0</v>
      </c>
      <c r="K176" s="33" t="s">
        <v>182</v>
      </c>
    </row>
    <row r="177" ht="15.75" customHeight="1">
      <c r="A177" s="33" t="s">
        <v>1358</v>
      </c>
      <c r="B177" s="33" t="s">
        <v>1360</v>
      </c>
      <c r="C177" s="33" t="s">
        <v>1361</v>
      </c>
      <c r="D177" s="33" t="s">
        <v>235</v>
      </c>
      <c r="E177" s="39">
        <v>45886.0</v>
      </c>
      <c r="F177" s="33" t="s">
        <v>248</v>
      </c>
      <c r="G177" s="40">
        <v>17840.0</v>
      </c>
      <c r="H177" s="46">
        <v>0.1654</v>
      </c>
      <c r="I177" s="40">
        <v>11188.95</v>
      </c>
      <c r="J177" s="33">
        <v>0.0</v>
      </c>
      <c r="K177" s="33" t="s">
        <v>182</v>
      </c>
    </row>
    <row r="178" ht="15.75" customHeight="1">
      <c r="A178" s="33" t="s">
        <v>1364</v>
      </c>
      <c r="B178" s="33" t="s">
        <v>1132</v>
      </c>
      <c r="C178" s="33" t="s">
        <v>1366</v>
      </c>
      <c r="D178" s="33" t="s">
        <v>247</v>
      </c>
      <c r="E178" s="39">
        <v>45863.0</v>
      </c>
      <c r="F178" s="33" t="s">
        <v>230</v>
      </c>
      <c r="G178" s="40">
        <v>7500.0</v>
      </c>
      <c r="H178" s="46">
        <v>0.0828</v>
      </c>
      <c r="I178" s="40">
        <v>2878.1</v>
      </c>
      <c r="J178" s="33">
        <v>0.0</v>
      </c>
      <c r="K178" s="33" t="s">
        <v>182</v>
      </c>
    </row>
    <row r="179" ht="15.75" customHeight="1">
      <c r="A179" s="33" t="s">
        <v>1369</v>
      </c>
      <c r="B179" s="33" t="s">
        <v>804</v>
      </c>
      <c r="C179" s="33" t="s">
        <v>1370</v>
      </c>
      <c r="D179" s="33" t="s">
        <v>227</v>
      </c>
      <c r="E179" s="39">
        <v>45809.0</v>
      </c>
      <c r="F179" s="33" t="s">
        <v>230</v>
      </c>
      <c r="G179" s="40">
        <v>23470.0</v>
      </c>
      <c r="H179" s="46">
        <v>0.2181</v>
      </c>
      <c r="I179" s="40">
        <v>9770.15</v>
      </c>
      <c r="J179" s="33">
        <v>0.0</v>
      </c>
      <c r="K179" s="33" t="s">
        <v>182</v>
      </c>
    </row>
    <row r="180" ht="15.75" customHeight="1">
      <c r="A180" s="33" t="s">
        <v>1377</v>
      </c>
      <c r="B180" s="33" t="s">
        <v>1378</v>
      </c>
      <c r="C180" s="33" t="s">
        <v>1380</v>
      </c>
      <c r="D180" s="33" t="s">
        <v>235</v>
      </c>
      <c r="E180" s="39">
        <v>45755.0</v>
      </c>
      <c r="F180" s="33" t="s">
        <v>230</v>
      </c>
      <c r="G180" s="40">
        <v>40740.0</v>
      </c>
      <c r="H180" s="46">
        <v>0.1553</v>
      </c>
      <c r="I180" s="40">
        <v>15798.43</v>
      </c>
      <c r="J180" s="33">
        <v>0.0</v>
      </c>
      <c r="K180" s="33" t="s">
        <v>182</v>
      </c>
    </row>
    <row r="181" ht="15.75" customHeight="1">
      <c r="A181" s="33" t="s">
        <v>1384</v>
      </c>
      <c r="B181" s="33" t="s">
        <v>484</v>
      </c>
      <c r="C181" s="33" t="s">
        <v>1386</v>
      </c>
      <c r="D181" s="33" t="s">
        <v>235</v>
      </c>
      <c r="E181" s="39">
        <v>46049.0</v>
      </c>
      <c r="F181" s="33" t="s">
        <v>230</v>
      </c>
      <c r="G181" s="40">
        <v>17930.0</v>
      </c>
      <c r="H181" s="46">
        <v>0.2285</v>
      </c>
      <c r="I181" s="40">
        <v>12889.25</v>
      </c>
      <c r="J181" s="33">
        <v>0.0</v>
      </c>
      <c r="K181" s="33" t="s">
        <v>182</v>
      </c>
    </row>
    <row r="182" ht="15.75" customHeight="1">
      <c r="A182" s="33" t="s">
        <v>1388</v>
      </c>
      <c r="B182" s="33" t="s">
        <v>1389</v>
      </c>
      <c r="C182" s="33" t="s">
        <v>1390</v>
      </c>
      <c r="D182" s="33" t="s">
        <v>235</v>
      </c>
      <c r="E182" s="39">
        <v>46253.0</v>
      </c>
      <c r="F182" s="33" t="s">
        <v>241</v>
      </c>
      <c r="G182" s="40">
        <v>44010.0</v>
      </c>
      <c r="H182" s="46">
        <v>0.2229</v>
      </c>
      <c r="I182" s="40">
        <v>43051.59</v>
      </c>
      <c r="J182" s="33">
        <v>0.0</v>
      </c>
      <c r="K182" s="33" t="s">
        <v>182</v>
      </c>
    </row>
    <row r="183" ht="15.75" customHeight="1">
      <c r="A183" s="33" t="s">
        <v>1395</v>
      </c>
      <c r="B183" s="33" t="s">
        <v>1396</v>
      </c>
      <c r="C183" s="33" t="s">
        <v>1397</v>
      </c>
      <c r="D183" s="33" t="s">
        <v>227</v>
      </c>
      <c r="E183" s="39">
        <v>46214.0</v>
      </c>
      <c r="F183" s="33" t="s">
        <v>241</v>
      </c>
      <c r="G183" s="40">
        <v>42770.0</v>
      </c>
      <c r="H183" s="46">
        <v>0.1439</v>
      </c>
      <c r="I183" s="40">
        <v>41471.85</v>
      </c>
      <c r="J183" s="33">
        <v>0.0</v>
      </c>
      <c r="K183" s="33" t="s">
        <v>182</v>
      </c>
    </row>
    <row r="184" ht="15.75" customHeight="1">
      <c r="A184" s="33" t="s">
        <v>1401</v>
      </c>
      <c r="B184" s="33" t="s">
        <v>1402</v>
      </c>
      <c r="C184" s="33" t="s">
        <v>1403</v>
      </c>
      <c r="D184" s="33" t="s">
        <v>227</v>
      </c>
      <c r="E184" s="39">
        <v>46154.0</v>
      </c>
      <c r="F184" s="33" t="s">
        <v>248</v>
      </c>
      <c r="G184" s="40">
        <v>40120.0</v>
      </c>
      <c r="H184" s="46">
        <v>0.2293</v>
      </c>
      <c r="I184" s="40">
        <v>36048.91</v>
      </c>
      <c r="J184" s="33">
        <v>0.0</v>
      </c>
      <c r="K184" s="33" t="s">
        <v>182</v>
      </c>
    </row>
    <row r="185" ht="15.75" customHeight="1">
      <c r="A185" s="33" t="s">
        <v>1407</v>
      </c>
      <c r="B185" s="33" t="s">
        <v>1409</v>
      </c>
      <c r="C185" s="33" t="s">
        <v>1410</v>
      </c>
      <c r="D185" s="33" t="s">
        <v>227</v>
      </c>
      <c r="E185" s="39">
        <v>46169.0</v>
      </c>
      <c r="F185" s="33" t="s">
        <v>269</v>
      </c>
      <c r="G185" s="40">
        <v>23070.0</v>
      </c>
      <c r="H185" s="46">
        <v>0.0894</v>
      </c>
      <c r="I185" s="40">
        <v>21438.2</v>
      </c>
      <c r="J185" s="33">
        <v>0.0</v>
      </c>
      <c r="K185" s="33" t="s">
        <v>182</v>
      </c>
    </row>
    <row r="186" ht="15.75" customHeight="1">
      <c r="A186" s="33" t="s">
        <v>1413</v>
      </c>
      <c r="B186" s="33" t="s">
        <v>1006</v>
      </c>
      <c r="C186" s="33" t="s">
        <v>1414</v>
      </c>
      <c r="D186" s="33" t="s">
        <v>247</v>
      </c>
      <c r="E186" s="39">
        <v>45727.0</v>
      </c>
      <c r="F186" s="33" t="s">
        <v>248</v>
      </c>
      <c r="G186" s="40">
        <v>39740.0</v>
      </c>
      <c r="H186" s="46">
        <v>0.186</v>
      </c>
      <c r="I186" s="40">
        <v>7285.99</v>
      </c>
      <c r="J186" s="33">
        <v>0.0</v>
      </c>
      <c r="K186" s="33" t="s">
        <v>182</v>
      </c>
    </row>
    <row r="187" ht="15.75" customHeight="1">
      <c r="A187" s="33" t="s">
        <v>1418</v>
      </c>
      <c r="B187" s="33" t="s">
        <v>575</v>
      </c>
      <c r="C187" s="33" t="s">
        <v>1419</v>
      </c>
      <c r="D187" s="33" t="s">
        <v>227</v>
      </c>
      <c r="E187" s="39">
        <v>46015.0</v>
      </c>
      <c r="F187" s="33" t="s">
        <v>241</v>
      </c>
      <c r="G187" s="40">
        <v>6620.0</v>
      </c>
      <c r="H187" s="46">
        <v>0.189</v>
      </c>
      <c r="I187" s="40">
        <v>4679.61</v>
      </c>
      <c r="J187" s="33">
        <v>0.0</v>
      </c>
      <c r="K187" s="33" t="s">
        <v>182</v>
      </c>
    </row>
    <row r="188" ht="15.75" customHeight="1">
      <c r="A188" s="33" t="s">
        <v>1425</v>
      </c>
      <c r="B188" s="33" t="s">
        <v>369</v>
      </c>
      <c r="C188" s="33" t="s">
        <v>1427</v>
      </c>
      <c r="D188" s="33" t="s">
        <v>227</v>
      </c>
      <c r="E188" s="39">
        <v>46222.0</v>
      </c>
      <c r="F188" s="33" t="s">
        <v>248</v>
      </c>
      <c r="G188" s="40">
        <v>26560.0</v>
      </c>
      <c r="H188" s="46">
        <v>0.2144</v>
      </c>
      <c r="I188" s="40">
        <v>26717.29</v>
      </c>
      <c r="J188" s="33">
        <v>0.0</v>
      </c>
      <c r="K188" s="33" t="s">
        <v>182</v>
      </c>
    </row>
    <row r="189" ht="15.75" customHeight="1">
      <c r="A189" s="33" t="s">
        <v>1431</v>
      </c>
      <c r="B189" s="33" t="s">
        <v>1045</v>
      </c>
      <c r="C189" s="33" t="s">
        <v>1432</v>
      </c>
      <c r="D189" s="33" t="s">
        <v>247</v>
      </c>
      <c r="E189" s="39">
        <v>46240.0</v>
      </c>
      <c r="F189" s="33" t="s">
        <v>248</v>
      </c>
      <c r="G189" s="40">
        <v>9860.0</v>
      </c>
      <c r="H189" s="46">
        <v>0.1554</v>
      </c>
      <c r="I189" s="40">
        <v>9269.3</v>
      </c>
      <c r="J189" s="33">
        <v>0.0</v>
      </c>
      <c r="K189" s="33" t="s">
        <v>182</v>
      </c>
    </row>
    <row r="190" ht="15.75" customHeight="1">
      <c r="A190" s="33" t="s">
        <v>1436</v>
      </c>
      <c r="B190" s="33" t="s">
        <v>1437</v>
      </c>
      <c r="C190" s="33" t="s">
        <v>1438</v>
      </c>
      <c r="D190" s="33" t="s">
        <v>227</v>
      </c>
      <c r="E190" s="39">
        <v>46175.0</v>
      </c>
      <c r="F190" s="33" t="s">
        <v>230</v>
      </c>
      <c r="G190" s="40">
        <v>10370.0</v>
      </c>
      <c r="H190" s="46">
        <v>0.1185</v>
      </c>
      <c r="I190" s="40">
        <v>8361.44</v>
      </c>
      <c r="J190" s="33">
        <v>0.0</v>
      </c>
      <c r="K190" s="33" t="s">
        <v>182</v>
      </c>
    </row>
    <row r="191" ht="15.75" customHeight="1">
      <c r="A191" s="33" t="s">
        <v>1442</v>
      </c>
      <c r="B191" s="33" t="s">
        <v>1444</v>
      </c>
      <c r="C191" s="33" t="s">
        <v>1445</v>
      </c>
      <c r="D191" s="33" t="s">
        <v>227</v>
      </c>
      <c r="E191" s="39">
        <v>46024.0</v>
      </c>
      <c r="F191" s="33" t="s">
        <v>230</v>
      </c>
      <c r="G191" s="40">
        <v>23040.0</v>
      </c>
      <c r="H191" s="46">
        <v>0.0871</v>
      </c>
      <c r="I191" s="40">
        <v>14124.63</v>
      </c>
      <c r="J191" s="33">
        <v>0.0</v>
      </c>
      <c r="K191" s="33" t="s">
        <v>182</v>
      </c>
    </row>
    <row r="192" ht="15.75" customHeight="1">
      <c r="A192" s="33" t="s">
        <v>1447</v>
      </c>
      <c r="B192" s="33" t="s">
        <v>1448</v>
      </c>
      <c r="C192" s="33" t="s">
        <v>1449</v>
      </c>
      <c r="D192" s="33" t="s">
        <v>235</v>
      </c>
      <c r="E192" s="39">
        <v>46040.0</v>
      </c>
      <c r="F192" s="33" t="s">
        <v>241</v>
      </c>
      <c r="G192" s="40">
        <v>20770.0</v>
      </c>
      <c r="H192" s="46">
        <v>0.1548</v>
      </c>
      <c r="I192" s="40">
        <v>13566.1</v>
      </c>
      <c r="J192" s="33">
        <v>0.0</v>
      </c>
      <c r="K192" s="33" t="s">
        <v>182</v>
      </c>
    </row>
    <row r="193" ht="15.75" customHeight="1">
      <c r="A193" s="33" t="s">
        <v>1454</v>
      </c>
      <c r="B193" s="33" t="s">
        <v>1014</v>
      </c>
      <c r="C193" s="33" t="s">
        <v>1456</v>
      </c>
      <c r="D193" s="33" t="s">
        <v>247</v>
      </c>
      <c r="E193" s="39">
        <v>46000.0</v>
      </c>
      <c r="F193" s="33" t="s">
        <v>248</v>
      </c>
      <c r="G193" s="40">
        <v>2450.0</v>
      </c>
      <c r="H193" s="46">
        <v>0.1525</v>
      </c>
      <c r="I193" s="40">
        <v>1763.75</v>
      </c>
      <c r="J193" s="33">
        <v>0.0</v>
      </c>
      <c r="K193" s="33" t="s">
        <v>182</v>
      </c>
    </row>
    <row r="194" ht="15.75" customHeight="1">
      <c r="A194" s="33" t="s">
        <v>1458</v>
      </c>
      <c r="B194" s="33" t="s">
        <v>801</v>
      </c>
      <c r="C194" s="33" t="s">
        <v>1459</v>
      </c>
      <c r="D194" s="33" t="s">
        <v>227</v>
      </c>
      <c r="E194" s="39">
        <v>46097.0</v>
      </c>
      <c r="F194" s="33" t="s">
        <v>248</v>
      </c>
      <c r="G194" s="40">
        <v>7880.0</v>
      </c>
      <c r="H194" s="46">
        <v>0.137</v>
      </c>
      <c r="I194" s="40">
        <v>5702.5</v>
      </c>
      <c r="J194" s="33">
        <v>0.0</v>
      </c>
      <c r="K194" s="33" t="s">
        <v>182</v>
      </c>
    </row>
    <row r="195" ht="15.75" customHeight="1">
      <c r="A195" s="33" t="s">
        <v>1464</v>
      </c>
      <c r="B195" s="33" t="s">
        <v>524</v>
      </c>
      <c r="C195" s="33" t="s">
        <v>1466</v>
      </c>
      <c r="D195" s="33" t="s">
        <v>247</v>
      </c>
      <c r="E195" s="39">
        <v>45807.0</v>
      </c>
      <c r="F195" s="33" t="s">
        <v>230</v>
      </c>
      <c r="G195" s="40">
        <v>21810.0</v>
      </c>
      <c r="H195" s="46">
        <v>0.1818</v>
      </c>
      <c r="I195" s="40">
        <v>12306.42</v>
      </c>
      <c r="J195" s="33">
        <v>0.0</v>
      </c>
      <c r="K195" s="33" t="s">
        <v>182</v>
      </c>
    </row>
    <row r="196" ht="15.75" customHeight="1">
      <c r="A196" s="33" t="s">
        <v>1469</v>
      </c>
      <c r="B196" s="33" t="s">
        <v>344</v>
      </c>
      <c r="C196" s="33" t="s">
        <v>1471</v>
      </c>
      <c r="D196" s="33" t="s">
        <v>247</v>
      </c>
      <c r="E196" s="39">
        <v>45885.0</v>
      </c>
      <c r="F196" s="33" t="s">
        <v>230</v>
      </c>
      <c r="G196" s="40">
        <v>23150.0</v>
      </c>
      <c r="H196" s="46">
        <v>0.165</v>
      </c>
      <c r="I196" s="40">
        <v>401.87</v>
      </c>
      <c r="J196" s="33">
        <v>0.0</v>
      </c>
      <c r="K196" s="33" t="s">
        <v>182</v>
      </c>
    </row>
    <row r="197" ht="15.75" customHeight="1">
      <c r="A197" s="33" t="s">
        <v>1477</v>
      </c>
      <c r="B197" s="33" t="s">
        <v>287</v>
      </c>
      <c r="C197" s="33" t="s">
        <v>1479</v>
      </c>
      <c r="D197" s="33" t="s">
        <v>227</v>
      </c>
      <c r="E197" s="39">
        <v>45895.0</v>
      </c>
      <c r="F197" s="33" t="s">
        <v>241</v>
      </c>
      <c r="G197" s="40">
        <v>17380.0</v>
      </c>
      <c r="H197" s="46">
        <v>0.0985</v>
      </c>
      <c r="I197" s="40">
        <v>10433.03</v>
      </c>
      <c r="J197" s="33">
        <v>0.0</v>
      </c>
      <c r="K197" s="33" t="s">
        <v>182</v>
      </c>
    </row>
    <row r="198" ht="15.75" customHeight="1">
      <c r="A198" s="33" t="s">
        <v>1481</v>
      </c>
      <c r="B198" s="33" t="s">
        <v>825</v>
      </c>
      <c r="C198" s="33" t="s">
        <v>1483</v>
      </c>
      <c r="D198" s="33" t="s">
        <v>247</v>
      </c>
      <c r="E198" s="39">
        <v>46165.0</v>
      </c>
      <c r="F198" s="33" t="s">
        <v>230</v>
      </c>
      <c r="G198" s="40">
        <v>42340.0</v>
      </c>
      <c r="H198" s="46">
        <v>0.0877</v>
      </c>
      <c r="I198" s="40">
        <v>31740.97</v>
      </c>
      <c r="J198" s="33">
        <v>0.0</v>
      </c>
      <c r="K198" s="33" t="s">
        <v>182</v>
      </c>
    </row>
    <row r="199" ht="15.75" customHeight="1">
      <c r="A199" s="33" t="s">
        <v>1486</v>
      </c>
      <c r="B199" s="33" t="s">
        <v>460</v>
      </c>
      <c r="C199" s="33" t="s">
        <v>1489</v>
      </c>
      <c r="D199" s="33" t="s">
        <v>247</v>
      </c>
      <c r="E199" s="39">
        <v>45858.0</v>
      </c>
      <c r="F199" s="33" t="s">
        <v>230</v>
      </c>
      <c r="G199" s="40">
        <v>11080.0</v>
      </c>
      <c r="H199" s="46">
        <v>0.2225</v>
      </c>
      <c r="I199" s="40">
        <v>5870.38</v>
      </c>
      <c r="J199" s="33">
        <v>11.0</v>
      </c>
      <c r="K199" s="33" t="s">
        <v>182</v>
      </c>
    </row>
    <row r="200" ht="15.75" customHeight="1">
      <c r="A200" s="33" t="s">
        <v>1492</v>
      </c>
      <c r="B200" s="33" t="s">
        <v>690</v>
      </c>
      <c r="C200" s="33" t="s">
        <v>1494</v>
      </c>
      <c r="D200" s="33" t="s">
        <v>235</v>
      </c>
      <c r="E200" s="39">
        <v>46223.0</v>
      </c>
      <c r="F200" s="33" t="s">
        <v>241</v>
      </c>
      <c r="G200" s="40">
        <v>25760.0</v>
      </c>
      <c r="H200" s="46">
        <v>0.1987</v>
      </c>
      <c r="I200" s="40">
        <v>24005.1</v>
      </c>
      <c r="J200" s="33">
        <v>0.0</v>
      </c>
      <c r="K200" s="33" t="s">
        <v>182</v>
      </c>
    </row>
    <row r="201" ht="15.75" customHeight="1">
      <c r="A201" s="33" t="s">
        <v>1497</v>
      </c>
      <c r="B201" s="33" t="s">
        <v>285</v>
      </c>
      <c r="C201" s="33" t="s">
        <v>1499</v>
      </c>
      <c r="D201" s="33" t="s">
        <v>247</v>
      </c>
      <c r="E201" s="39">
        <v>45755.0</v>
      </c>
      <c r="F201" s="33" t="s">
        <v>248</v>
      </c>
      <c r="G201" s="40">
        <v>43460.0</v>
      </c>
      <c r="H201" s="46">
        <v>0.1541</v>
      </c>
      <c r="I201" s="40">
        <v>18584.31</v>
      </c>
      <c r="J201" s="33">
        <v>0.0</v>
      </c>
      <c r="K201" s="33" t="s">
        <v>182</v>
      </c>
    </row>
    <row r="202" ht="15.75" customHeight="1">
      <c r="A202" s="33" t="s">
        <v>1504</v>
      </c>
      <c r="B202" s="33" t="s">
        <v>1222</v>
      </c>
      <c r="C202" s="33" t="s">
        <v>1506</v>
      </c>
      <c r="D202" s="33" t="s">
        <v>247</v>
      </c>
      <c r="E202" s="39">
        <v>45719.0</v>
      </c>
      <c r="F202" s="33" t="s">
        <v>241</v>
      </c>
      <c r="G202" s="40">
        <v>40170.0</v>
      </c>
      <c r="H202" s="46">
        <v>0.1594</v>
      </c>
      <c r="I202" s="40">
        <v>11557.43</v>
      </c>
      <c r="J202" s="33">
        <v>0.0</v>
      </c>
      <c r="K202" s="33" t="s">
        <v>182</v>
      </c>
    </row>
    <row r="203" ht="15.75" customHeight="1">
      <c r="A203" s="33" t="s">
        <v>1509</v>
      </c>
      <c r="B203" s="33" t="s">
        <v>1132</v>
      </c>
      <c r="C203" s="33" t="s">
        <v>1511</v>
      </c>
      <c r="D203" s="33" t="s">
        <v>247</v>
      </c>
      <c r="E203" s="39">
        <v>46258.0</v>
      </c>
      <c r="F203" s="33" t="s">
        <v>248</v>
      </c>
      <c r="G203" s="40">
        <v>40330.0</v>
      </c>
      <c r="H203" s="46">
        <v>0.0983</v>
      </c>
      <c r="I203" s="40">
        <v>41495.58</v>
      </c>
      <c r="J203" s="33">
        <v>0.0</v>
      </c>
      <c r="K203" s="33" t="s">
        <v>182</v>
      </c>
    </row>
    <row r="204" ht="15.75" customHeight="1">
      <c r="A204" s="33" t="s">
        <v>1514</v>
      </c>
      <c r="B204" s="33" t="s">
        <v>350</v>
      </c>
      <c r="C204" s="33" t="s">
        <v>1516</v>
      </c>
      <c r="D204" s="33" t="s">
        <v>247</v>
      </c>
      <c r="E204" s="39">
        <v>45881.0</v>
      </c>
      <c r="F204" s="33" t="s">
        <v>241</v>
      </c>
      <c r="G204" s="40">
        <v>41450.0</v>
      </c>
      <c r="H204" s="46">
        <v>0.1222</v>
      </c>
      <c r="I204" s="40">
        <v>28313.32</v>
      </c>
      <c r="J204" s="33">
        <v>0.0</v>
      </c>
      <c r="K204" s="33" t="s">
        <v>182</v>
      </c>
    </row>
    <row r="205" ht="15.75" customHeight="1">
      <c r="A205" s="33" t="s">
        <v>1519</v>
      </c>
      <c r="B205" s="33" t="s">
        <v>364</v>
      </c>
      <c r="C205" s="33" t="s">
        <v>1521</v>
      </c>
      <c r="D205" s="33" t="s">
        <v>235</v>
      </c>
      <c r="E205" s="39">
        <v>46043.0</v>
      </c>
      <c r="F205" s="33" t="s">
        <v>241</v>
      </c>
      <c r="G205" s="40">
        <v>46070.0</v>
      </c>
      <c r="H205" s="46">
        <v>0.212</v>
      </c>
      <c r="I205" s="40">
        <v>27471.37</v>
      </c>
      <c r="J205" s="33">
        <v>0.0</v>
      </c>
      <c r="K205" s="33" t="s">
        <v>182</v>
      </c>
    </row>
    <row r="206" ht="15.75" customHeight="1">
      <c r="A206" s="33" t="s">
        <v>1523</v>
      </c>
      <c r="B206" s="33" t="s">
        <v>389</v>
      </c>
      <c r="C206" s="33" t="s">
        <v>1525</v>
      </c>
      <c r="D206" s="33" t="s">
        <v>247</v>
      </c>
      <c r="E206" s="39">
        <v>45860.0</v>
      </c>
      <c r="F206" s="33" t="s">
        <v>241</v>
      </c>
      <c r="G206" s="40">
        <v>13510.0</v>
      </c>
      <c r="H206" s="46">
        <v>0.1002</v>
      </c>
      <c r="I206" s="40">
        <v>0.0</v>
      </c>
      <c r="J206" s="33">
        <v>118.0</v>
      </c>
      <c r="K206" s="33" t="s">
        <v>198</v>
      </c>
    </row>
    <row r="207" ht="15.75" customHeight="1">
      <c r="A207" s="33" t="s">
        <v>1529</v>
      </c>
      <c r="B207" s="33" t="s">
        <v>1530</v>
      </c>
      <c r="C207" s="33" t="s">
        <v>1532</v>
      </c>
      <c r="D207" s="33" t="s">
        <v>235</v>
      </c>
      <c r="E207" s="39">
        <v>45683.0</v>
      </c>
      <c r="F207" s="33" t="s">
        <v>241</v>
      </c>
      <c r="G207" s="40">
        <v>1250.0</v>
      </c>
      <c r="H207" s="46">
        <v>0.0967</v>
      </c>
      <c r="I207" s="40">
        <v>0.0</v>
      </c>
      <c r="J207" s="33">
        <v>118.0</v>
      </c>
      <c r="K207" s="33" t="s">
        <v>198</v>
      </c>
    </row>
    <row r="208" ht="15.75" customHeight="1">
      <c r="A208" s="33" t="s">
        <v>1536</v>
      </c>
      <c r="B208" s="33" t="s">
        <v>327</v>
      </c>
      <c r="C208" s="33" t="s">
        <v>1537</v>
      </c>
      <c r="D208" s="33" t="s">
        <v>227</v>
      </c>
      <c r="E208" s="39">
        <v>46072.0</v>
      </c>
      <c r="F208" s="33" t="s">
        <v>269</v>
      </c>
      <c r="G208" s="40">
        <v>11580.0</v>
      </c>
      <c r="H208" s="46">
        <v>0.1693</v>
      </c>
      <c r="I208" s="40">
        <v>8885.51</v>
      </c>
      <c r="J208" s="33">
        <v>0.0</v>
      </c>
      <c r="K208" s="33" t="s">
        <v>182</v>
      </c>
    </row>
    <row r="209" ht="15.75" customHeight="1">
      <c r="A209" s="33" t="s">
        <v>1538</v>
      </c>
      <c r="B209" s="33" t="s">
        <v>1490</v>
      </c>
      <c r="C209" s="33" t="s">
        <v>1539</v>
      </c>
      <c r="D209" s="33" t="s">
        <v>235</v>
      </c>
      <c r="E209" s="39">
        <v>46171.0</v>
      </c>
      <c r="F209" s="33" t="s">
        <v>241</v>
      </c>
      <c r="G209" s="40">
        <v>39340.0</v>
      </c>
      <c r="H209" s="46">
        <v>0.2145</v>
      </c>
      <c r="I209" s="40">
        <v>35189.3</v>
      </c>
      <c r="J209" s="33">
        <v>0.0</v>
      </c>
      <c r="K209" s="33" t="s">
        <v>182</v>
      </c>
    </row>
    <row r="210" ht="15.75" customHeight="1">
      <c r="A210" s="33" t="s">
        <v>1543</v>
      </c>
      <c r="B210" s="33" t="s">
        <v>1544</v>
      </c>
      <c r="C210" s="33" t="s">
        <v>1545</v>
      </c>
      <c r="D210" s="33" t="s">
        <v>235</v>
      </c>
      <c r="E210" s="39">
        <v>46080.0</v>
      </c>
      <c r="F210" s="33" t="s">
        <v>269</v>
      </c>
      <c r="G210" s="40">
        <v>2410.0</v>
      </c>
      <c r="H210" s="46">
        <v>0.1407</v>
      </c>
      <c r="I210" s="40">
        <v>1885.76</v>
      </c>
      <c r="J210" s="33">
        <v>26.0</v>
      </c>
      <c r="K210" s="33" t="s">
        <v>182</v>
      </c>
    </row>
    <row r="211" ht="15.75" customHeight="1">
      <c r="A211" s="33" t="s">
        <v>1548</v>
      </c>
      <c r="B211" s="33" t="s">
        <v>1549</v>
      </c>
      <c r="C211" s="33" t="s">
        <v>1551</v>
      </c>
      <c r="D211" s="33" t="s">
        <v>227</v>
      </c>
      <c r="E211" s="39">
        <v>45872.0</v>
      </c>
      <c r="F211" s="33" t="s">
        <v>230</v>
      </c>
      <c r="G211" s="40">
        <v>40560.0</v>
      </c>
      <c r="H211" s="46">
        <v>0.1833</v>
      </c>
      <c r="I211" s="40">
        <v>19175.26</v>
      </c>
      <c r="J211" s="33">
        <v>106.0</v>
      </c>
      <c r="K211" s="33" t="s">
        <v>794</v>
      </c>
    </row>
    <row r="212" ht="15.75" customHeight="1">
      <c r="A212" s="33" t="s">
        <v>1556</v>
      </c>
      <c r="B212" s="33" t="s">
        <v>1557</v>
      </c>
      <c r="C212" s="33" t="s">
        <v>1558</v>
      </c>
      <c r="D212" s="33" t="s">
        <v>247</v>
      </c>
      <c r="E212" s="39">
        <v>46196.0</v>
      </c>
      <c r="F212" s="33" t="s">
        <v>230</v>
      </c>
      <c r="G212" s="40">
        <v>34460.0</v>
      </c>
      <c r="H212" s="46">
        <v>0.2243</v>
      </c>
      <c r="I212" s="40">
        <v>29418.41</v>
      </c>
      <c r="J212" s="33">
        <v>0.0</v>
      </c>
      <c r="K212" s="33" t="s">
        <v>182</v>
      </c>
    </row>
    <row r="213" ht="15.75" customHeight="1">
      <c r="A213" s="33" t="s">
        <v>1560</v>
      </c>
      <c r="B213" s="33" t="s">
        <v>1561</v>
      </c>
      <c r="C213" s="33" t="s">
        <v>1564</v>
      </c>
      <c r="D213" s="33" t="s">
        <v>227</v>
      </c>
      <c r="E213" s="39">
        <v>45679.0</v>
      </c>
      <c r="F213" s="33" t="s">
        <v>269</v>
      </c>
      <c r="G213" s="40">
        <v>20930.0</v>
      </c>
      <c r="H213" s="46">
        <v>0.2226</v>
      </c>
      <c r="I213" s="40">
        <v>9212.24</v>
      </c>
      <c r="J213" s="33">
        <v>0.0</v>
      </c>
      <c r="K213" s="33" t="s">
        <v>182</v>
      </c>
    </row>
    <row r="214" ht="15.75" customHeight="1">
      <c r="A214" s="33" t="s">
        <v>1566</v>
      </c>
      <c r="B214" s="33" t="s">
        <v>563</v>
      </c>
      <c r="C214" s="33" t="s">
        <v>1567</v>
      </c>
      <c r="D214" s="33" t="s">
        <v>227</v>
      </c>
      <c r="E214" s="39">
        <v>45838.0</v>
      </c>
      <c r="F214" s="33" t="s">
        <v>269</v>
      </c>
      <c r="G214" s="40">
        <v>11900.0</v>
      </c>
      <c r="H214" s="46">
        <v>0.1549</v>
      </c>
      <c r="I214" s="40">
        <v>5857.24</v>
      </c>
      <c r="J214" s="33">
        <v>0.0</v>
      </c>
      <c r="K214" s="33" t="s">
        <v>182</v>
      </c>
    </row>
    <row r="215" ht="15.75" customHeight="1">
      <c r="A215" s="33" t="s">
        <v>1570</v>
      </c>
      <c r="B215" s="33" t="s">
        <v>391</v>
      </c>
      <c r="C215" s="33" t="s">
        <v>1572</v>
      </c>
      <c r="D215" s="33" t="s">
        <v>247</v>
      </c>
      <c r="E215" s="39">
        <v>45664.0</v>
      </c>
      <c r="F215" s="33" t="s">
        <v>248</v>
      </c>
      <c r="G215" s="40">
        <v>39770.0</v>
      </c>
      <c r="H215" s="46">
        <v>0.1273</v>
      </c>
      <c r="I215" s="40">
        <v>757.87</v>
      </c>
      <c r="J215" s="33">
        <v>0.0</v>
      </c>
      <c r="K215" s="33" t="s">
        <v>182</v>
      </c>
    </row>
    <row r="216" ht="15.75" customHeight="1">
      <c r="A216" s="33" t="s">
        <v>1575</v>
      </c>
      <c r="B216" s="33" t="s">
        <v>1576</v>
      </c>
      <c r="C216" s="33" t="s">
        <v>1577</v>
      </c>
      <c r="D216" s="33" t="s">
        <v>227</v>
      </c>
      <c r="E216" s="39">
        <v>46107.0</v>
      </c>
      <c r="F216" s="33" t="s">
        <v>230</v>
      </c>
      <c r="G216" s="40">
        <v>37760.0</v>
      </c>
      <c r="H216" s="46">
        <v>0.1717</v>
      </c>
      <c r="I216" s="40">
        <v>30923.61</v>
      </c>
      <c r="J216" s="33">
        <v>0.0</v>
      </c>
      <c r="K216" s="33" t="s">
        <v>182</v>
      </c>
    </row>
    <row r="217" ht="15.75" customHeight="1">
      <c r="A217" s="33" t="s">
        <v>1579</v>
      </c>
      <c r="B217" s="33" t="s">
        <v>1581</v>
      </c>
      <c r="C217" s="33" t="s">
        <v>1582</v>
      </c>
      <c r="D217" s="33" t="s">
        <v>247</v>
      </c>
      <c r="E217" s="39">
        <v>46198.0</v>
      </c>
      <c r="F217" s="33" t="s">
        <v>269</v>
      </c>
      <c r="G217" s="40">
        <v>13950.0</v>
      </c>
      <c r="H217" s="46">
        <v>0.2279</v>
      </c>
      <c r="I217" s="40">
        <v>12270.91</v>
      </c>
      <c r="J217" s="33">
        <v>0.0</v>
      </c>
      <c r="K217" s="33" t="s">
        <v>182</v>
      </c>
    </row>
    <row r="218" ht="15.75" customHeight="1">
      <c r="A218" s="33" t="s">
        <v>1584</v>
      </c>
      <c r="B218" s="33" t="s">
        <v>1585</v>
      </c>
      <c r="C218" s="33" t="s">
        <v>1586</v>
      </c>
      <c r="D218" s="33" t="s">
        <v>227</v>
      </c>
      <c r="E218" s="39">
        <v>45920.0</v>
      </c>
      <c r="F218" s="33" t="s">
        <v>230</v>
      </c>
      <c r="G218" s="40">
        <v>27450.0</v>
      </c>
      <c r="H218" s="46">
        <v>0.1889</v>
      </c>
      <c r="I218" s="40">
        <v>15619.0</v>
      </c>
      <c r="J218" s="33">
        <v>32.0</v>
      </c>
      <c r="K218" s="33" t="s">
        <v>385</v>
      </c>
    </row>
    <row r="219" ht="15.75" customHeight="1">
      <c r="A219" s="33" t="s">
        <v>1590</v>
      </c>
      <c r="B219" s="33" t="s">
        <v>323</v>
      </c>
      <c r="C219" s="33" t="s">
        <v>1591</v>
      </c>
      <c r="D219" s="33" t="s">
        <v>235</v>
      </c>
      <c r="E219" s="39">
        <v>46030.0</v>
      </c>
      <c r="F219" s="33" t="s">
        <v>230</v>
      </c>
      <c r="G219" s="40">
        <v>26290.0</v>
      </c>
      <c r="H219" s="46">
        <v>0.2328</v>
      </c>
      <c r="I219" s="40">
        <v>17528.24</v>
      </c>
      <c r="J219" s="33">
        <v>0.0</v>
      </c>
      <c r="K219" s="33" t="s">
        <v>182</v>
      </c>
    </row>
    <row r="220" ht="15.75" customHeight="1">
      <c r="A220" s="33" t="s">
        <v>1593</v>
      </c>
      <c r="B220" s="33" t="s">
        <v>483</v>
      </c>
      <c r="C220" s="33" t="s">
        <v>1595</v>
      </c>
      <c r="D220" s="33" t="s">
        <v>247</v>
      </c>
      <c r="E220" s="39">
        <v>46219.0</v>
      </c>
      <c r="F220" s="33" t="s">
        <v>230</v>
      </c>
      <c r="G220" s="40">
        <v>26410.0</v>
      </c>
      <c r="H220" s="46">
        <v>0.1727</v>
      </c>
      <c r="I220" s="40">
        <v>25428.27</v>
      </c>
      <c r="J220" s="33">
        <v>0.0</v>
      </c>
      <c r="K220" s="33" t="s">
        <v>182</v>
      </c>
    </row>
    <row r="221" ht="15.75" customHeight="1">
      <c r="A221" s="33" t="s">
        <v>1599</v>
      </c>
      <c r="B221" s="33" t="s">
        <v>786</v>
      </c>
      <c r="C221" s="33" t="s">
        <v>1601</v>
      </c>
      <c r="D221" s="33" t="s">
        <v>247</v>
      </c>
      <c r="E221" s="39">
        <v>45827.0</v>
      </c>
      <c r="F221" s="33" t="s">
        <v>241</v>
      </c>
      <c r="G221" s="40">
        <v>1010.0</v>
      </c>
      <c r="H221" s="46">
        <v>0.0834</v>
      </c>
      <c r="I221" s="40">
        <v>542.01</v>
      </c>
      <c r="J221" s="33">
        <v>0.0</v>
      </c>
      <c r="K221" s="33" t="s">
        <v>182</v>
      </c>
    </row>
    <row r="222" ht="15.75" customHeight="1">
      <c r="A222" s="33" t="s">
        <v>1603</v>
      </c>
      <c r="B222" s="33" t="s">
        <v>1605</v>
      </c>
      <c r="C222" s="33" t="s">
        <v>1607</v>
      </c>
      <c r="D222" s="33" t="s">
        <v>247</v>
      </c>
      <c r="E222" s="39">
        <v>45751.0</v>
      </c>
      <c r="F222" s="33" t="s">
        <v>248</v>
      </c>
      <c r="G222" s="40">
        <v>24850.0</v>
      </c>
      <c r="H222" s="46">
        <v>0.1517</v>
      </c>
      <c r="I222" s="40">
        <v>0.0</v>
      </c>
      <c r="J222" s="33">
        <v>0.0</v>
      </c>
      <c r="K222" s="33" t="s">
        <v>198</v>
      </c>
    </row>
    <row r="223" ht="15.75" customHeight="1">
      <c r="A223" s="33" t="s">
        <v>1609</v>
      </c>
      <c r="B223" s="33" t="s">
        <v>848</v>
      </c>
      <c r="C223" s="33" t="s">
        <v>1611</v>
      </c>
      <c r="D223" s="33" t="s">
        <v>235</v>
      </c>
      <c r="E223" s="39">
        <v>45749.0</v>
      </c>
      <c r="F223" s="33" t="s">
        <v>241</v>
      </c>
      <c r="G223" s="40">
        <v>16860.0</v>
      </c>
      <c r="H223" s="46">
        <v>0.2245</v>
      </c>
      <c r="I223" s="40">
        <v>8279.06</v>
      </c>
      <c r="J223" s="33">
        <v>0.0</v>
      </c>
      <c r="K223" s="33" t="s">
        <v>182</v>
      </c>
    </row>
    <row r="224" ht="15.75" customHeight="1">
      <c r="A224" s="33" t="s">
        <v>1614</v>
      </c>
      <c r="B224" s="33" t="s">
        <v>1616</v>
      </c>
      <c r="C224" s="33" t="s">
        <v>1617</v>
      </c>
      <c r="D224" s="33" t="s">
        <v>247</v>
      </c>
      <c r="E224" s="39">
        <v>46034.0</v>
      </c>
      <c r="F224" s="33" t="s">
        <v>248</v>
      </c>
      <c r="G224" s="40">
        <v>890.0</v>
      </c>
      <c r="H224" s="46">
        <v>0.0854</v>
      </c>
      <c r="I224" s="40">
        <v>683.62</v>
      </c>
      <c r="J224" s="33">
        <v>0.0</v>
      </c>
      <c r="K224" s="33" t="s">
        <v>182</v>
      </c>
    </row>
    <row r="225" ht="15.75" customHeight="1">
      <c r="A225" s="33" t="s">
        <v>1621</v>
      </c>
      <c r="B225" s="33" t="s">
        <v>322</v>
      </c>
      <c r="C225" s="33" t="s">
        <v>1622</v>
      </c>
      <c r="D225" s="33" t="s">
        <v>227</v>
      </c>
      <c r="E225" s="39">
        <v>45830.0</v>
      </c>
      <c r="F225" s="33" t="s">
        <v>248</v>
      </c>
      <c r="G225" s="40">
        <v>25090.0</v>
      </c>
      <c r="H225" s="46">
        <v>0.1789</v>
      </c>
      <c r="I225" s="40">
        <v>13627.99</v>
      </c>
      <c r="J225" s="33">
        <v>0.0</v>
      </c>
      <c r="K225" s="33" t="s">
        <v>182</v>
      </c>
    </row>
    <row r="226" ht="15.75" customHeight="1">
      <c r="A226" s="33" t="s">
        <v>1625</v>
      </c>
      <c r="B226" s="33" t="s">
        <v>514</v>
      </c>
      <c r="C226" s="33" t="s">
        <v>1630</v>
      </c>
      <c r="D226" s="33" t="s">
        <v>235</v>
      </c>
      <c r="E226" s="39">
        <v>45705.0</v>
      </c>
      <c r="F226" s="33" t="s">
        <v>241</v>
      </c>
      <c r="G226" s="40">
        <v>31080.0</v>
      </c>
      <c r="H226" s="46">
        <v>0.1405</v>
      </c>
      <c r="I226" s="40">
        <v>5011.31</v>
      </c>
      <c r="J226" s="33">
        <v>0.0</v>
      </c>
      <c r="K226" s="33" t="s">
        <v>182</v>
      </c>
    </row>
    <row r="227" ht="15.75" customHeight="1">
      <c r="A227" s="33" t="s">
        <v>1634</v>
      </c>
      <c r="B227" s="33" t="s">
        <v>801</v>
      </c>
      <c r="C227" s="33" t="s">
        <v>1635</v>
      </c>
      <c r="D227" s="33" t="s">
        <v>227</v>
      </c>
      <c r="E227" s="39">
        <v>45901.0</v>
      </c>
      <c r="F227" s="33" t="s">
        <v>248</v>
      </c>
      <c r="G227" s="40">
        <v>14660.0</v>
      </c>
      <c r="H227" s="46">
        <v>0.1446</v>
      </c>
      <c r="I227" s="40">
        <v>235.0</v>
      </c>
      <c r="J227" s="33">
        <v>0.0</v>
      </c>
      <c r="K227" s="33" t="s">
        <v>182</v>
      </c>
    </row>
    <row r="228" ht="15.75" customHeight="1">
      <c r="A228" s="33" t="s">
        <v>1641</v>
      </c>
      <c r="B228" s="33" t="s">
        <v>1642</v>
      </c>
      <c r="C228" s="33" t="s">
        <v>1643</v>
      </c>
      <c r="D228" s="33" t="s">
        <v>247</v>
      </c>
      <c r="E228" s="39">
        <v>45730.0</v>
      </c>
      <c r="F228" s="33" t="s">
        <v>269</v>
      </c>
      <c r="G228" s="40">
        <v>16580.0</v>
      </c>
      <c r="H228" s="46">
        <v>0.1708</v>
      </c>
      <c r="I228" s="40">
        <v>1409.42</v>
      </c>
      <c r="J228" s="33">
        <v>0.0</v>
      </c>
      <c r="K228" s="33" t="s">
        <v>182</v>
      </c>
    </row>
    <row r="229" ht="15.75" customHeight="1">
      <c r="A229" s="33" t="s">
        <v>1646</v>
      </c>
      <c r="B229" s="33" t="s">
        <v>1647</v>
      </c>
      <c r="C229" s="33" t="s">
        <v>1648</v>
      </c>
      <c r="D229" s="33" t="s">
        <v>227</v>
      </c>
      <c r="E229" s="39">
        <v>46026.0</v>
      </c>
      <c r="F229" s="33" t="s">
        <v>230</v>
      </c>
      <c r="G229" s="40">
        <v>34180.0</v>
      </c>
      <c r="H229" s="46">
        <v>0.1459</v>
      </c>
      <c r="I229" s="40">
        <v>21980.38</v>
      </c>
      <c r="J229" s="33">
        <v>23.0</v>
      </c>
      <c r="K229" s="33" t="s">
        <v>182</v>
      </c>
    </row>
    <row r="230" ht="15.75" customHeight="1">
      <c r="A230" s="33" t="s">
        <v>1652</v>
      </c>
      <c r="B230" s="33" t="s">
        <v>1654</v>
      </c>
      <c r="C230" s="33" t="s">
        <v>1655</v>
      </c>
      <c r="D230" s="33" t="s">
        <v>247</v>
      </c>
      <c r="E230" s="39">
        <v>46170.0</v>
      </c>
      <c r="F230" s="33" t="s">
        <v>230</v>
      </c>
      <c r="G230" s="40">
        <v>40630.0</v>
      </c>
      <c r="H230" s="46">
        <v>0.2272</v>
      </c>
      <c r="I230" s="40">
        <v>34485.24</v>
      </c>
      <c r="J230" s="33">
        <v>0.0</v>
      </c>
      <c r="K230" s="33" t="s">
        <v>182</v>
      </c>
    </row>
    <row r="231" ht="15.75" customHeight="1">
      <c r="A231" s="33" t="s">
        <v>1659</v>
      </c>
      <c r="B231" s="33" t="s">
        <v>1662</v>
      </c>
      <c r="C231" s="33" t="s">
        <v>1663</v>
      </c>
      <c r="D231" s="33" t="s">
        <v>247</v>
      </c>
      <c r="E231" s="39">
        <v>45775.0</v>
      </c>
      <c r="F231" s="33" t="s">
        <v>241</v>
      </c>
      <c r="G231" s="40">
        <v>22900.0</v>
      </c>
      <c r="H231" s="46">
        <v>0.1286</v>
      </c>
      <c r="I231" s="40">
        <v>10299.64</v>
      </c>
      <c r="J231" s="33">
        <v>0.0</v>
      </c>
      <c r="K231" s="33" t="s">
        <v>182</v>
      </c>
    </row>
    <row r="232" ht="15.75" customHeight="1">
      <c r="A232" s="33" t="s">
        <v>1665</v>
      </c>
      <c r="B232" s="33" t="s">
        <v>696</v>
      </c>
      <c r="C232" s="33" t="s">
        <v>1667</v>
      </c>
      <c r="D232" s="33" t="s">
        <v>227</v>
      </c>
      <c r="E232" s="39">
        <v>46211.0</v>
      </c>
      <c r="F232" s="33" t="s">
        <v>230</v>
      </c>
      <c r="G232" s="40">
        <v>4130.0</v>
      </c>
      <c r="H232" s="46">
        <v>0.2015</v>
      </c>
      <c r="I232" s="40">
        <v>3737.79</v>
      </c>
      <c r="J232" s="33">
        <v>0.0</v>
      </c>
      <c r="K232" s="33" t="s">
        <v>182</v>
      </c>
    </row>
    <row r="233" ht="15.75" customHeight="1">
      <c r="A233" s="33" t="s">
        <v>1671</v>
      </c>
      <c r="B233" s="33" t="s">
        <v>264</v>
      </c>
      <c r="C233" s="33" t="s">
        <v>1672</v>
      </c>
      <c r="D233" s="33" t="s">
        <v>247</v>
      </c>
      <c r="E233" s="39">
        <v>46071.0</v>
      </c>
      <c r="F233" s="33" t="s">
        <v>241</v>
      </c>
      <c r="G233" s="40">
        <v>3370.0</v>
      </c>
      <c r="H233" s="46">
        <v>0.0947</v>
      </c>
      <c r="I233" s="40">
        <v>2175.39</v>
      </c>
      <c r="J233" s="33">
        <v>0.0</v>
      </c>
      <c r="K233" s="33" t="s">
        <v>182</v>
      </c>
    </row>
    <row r="234" ht="15.75" customHeight="1">
      <c r="A234" s="33" t="s">
        <v>1675</v>
      </c>
      <c r="B234" s="33" t="s">
        <v>1400</v>
      </c>
      <c r="C234" s="33" t="s">
        <v>1676</v>
      </c>
      <c r="D234" s="33" t="s">
        <v>247</v>
      </c>
      <c r="E234" s="39">
        <v>46210.0</v>
      </c>
      <c r="F234" s="33" t="s">
        <v>230</v>
      </c>
      <c r="G234" s="40">
        <v>5150.0</v>
      </c>
      <c r="H234" s="46">
        <v>0.1333</v>
      </c>
      <c r="I234" s="40">
        <v>4888.89</v>
      </c>
      <c r="J234" s="33">
        <v>0.0</v>
      </c>
      <c r="K234" s="33" t="s">
        <v>182</v>
      </c>
    </row>
    <row r="235" ht="15.75" customHeight="1">
      <c r="A235" s="33" t="s">
        <v>1681</v>
      </c>
      <c r="B235" s="33" t="s">
        <v>1660</v>
      </c>
      <c r="C235" s="33" t="s">
        <v>1683</v>
      </c>
      <c r="D235" s="33" t="s">
        <v>235</v>
      </c>
      <c r="E235" s="39">
        <v>45818.0</v>
      </c>
      <c r="F235" s="33" t="s">
        <v>230</v>
      </c>
      <c r="G235" s="40">
        <v>9740.0</v>
      </c>
      <c r="H235" s="46">
        <v>0.1053</v>
      </c>
      <c r="I235" s="40">
        <v>5244.7</v>
      </c>
      <c r="J235" s="33">
        <v>0.0</v>
      </c>
      <c r="K235" s="33" t="s">
        <v>182</v>
      </c>
    </row>
    <row r="236" ht="15.75" customHeight="1">
      <c r="A236" s="33" t="s">
        <v>1685</v>
      </c>
      <c r="B236" s="33" t="s">
        <v>1505</v>
      </c>
      <c r="C236" s="33" t="s">
        <v>1686</v>
      </c>
      <c r="D236" s="33" t="s">
        <v>247</v>
      </c>
      <c r="E236" s="39">
        <v>45810.0</v>
      </c>
      <c r="F236" s="33" t="s">
        <v>248</v>
      </c>
      <c r="G236" s="40">
        <v>24950.0</v>
      </c>
      <c r="H236" s="46">
        <v>0.1152</v>
      </c>
      <c r="I236" s="40">
        <v>12379.81</v>
      </c>
      <c r="J236" s="33">
        <v>0.0</v>
      </c>
      <c r="K236" s="33" t="s">
        <v>182</v>
      </c>
    </row>
    <row r="237" ht="15.75" customHeight="1">
      <c r="A237" s="33" t="s">
        <v>1688</v>
      </c>
      <c r="B237" s="33" t="s">
        <v>1690</v>
      </c>
      <c r="C237" s="33" t="s">
        <v>1691</v>
      </c>
      <c r="D237" s="33" t="s">
        <v>227</v>
      </c>
      <c r="E237" s="39">
        <v>45688.0</v>
      </c>
      <c r="F237" s="33" t="s">
        <v>241</v>
      </c>
      <c r="G237" s="40">
        <v>25350.0</v>
      </c>
      <c r="H237" s="46">
        <v>0.1703</v>
      </c>
      <c r="I237" s="40">
        <v>1905.37</v>
      </c>
      <c r="J237" s="33">
        <v>0.0</v>
      </c>
      <c r="K237" s="33" t="s">
        <v>182</v>
      </c>
    </row>
    <row r="238" ht="15.75" customHeight="1">
      <c r="A238" s="33" t="s">
        <v>1694</v>
      </c>
      <c r="B238" s="33" t="s">
        <v>258</v>
      </c>
      <c r="C238" s="33" t="s">
        <v>1695</v>
      </c>
      <c r="D238" s="33" t="s">
        <v>227</v>
      </c>
      <c r="E238" s="39">
        <v>45716.0</v>
      </c>
      <c r="F238" s="33" t="s">
        <v>248</v>
      </c>
      <c r="G238" s="40">
        <v>46220.0</v>
      </c>
      <c r="H238" s="46">
        <v>0.1347</v>
      </c>
      <c r="I238" s="40">
        <v>0.0</v>
      </c>
      <c r="J238" s="33">
        <v>0.0</v>
      </c>
      <c r="K238" s="33" t="s">
        <v>198</v>
      </c>
    </row>
    <row r="239" ht="15.75" customHeight="1">
      <c r="A239" s="33" t="s">
        <v>1698</v>
      </c>
      <c r="B239" s="33" t="s">
        <v>845</v>
      </c>
      <c r="C239" s="33" t="s">
        <v>1701</v>
      </c>
      <c r="D239" s="33" t="s">
        <v>235</v>
      </c>
      <c r="E239" s="39">
        <v>45892.0</v>
      </c>
      <c r="F239" s="33" t="s">
        <v>269</v>
      </c>
      <c r="G239" s="40">
        <v>19870.0</v>
      </c>
      <c r="H239" s="46">
        <v>0.0878</v>
      </c>
      <c r="I239" s="40">
        <v>6130.68</v>
      </c>
      <c r="J239" s="33">
        <v>0.0</v>
      </c>
      <c r="K239" s="33" t="s">
        <v>182</v>
      </c>
    </row>
    <row r="240" ht="15.75" customHeight="1">
      <c r="A240" s="33" t="s">
        <v>1704</v>
      </c>
      <c r="B240" s="33" t="s">
        <v>1705</v>
      </c>
      <c r="C240" s="33" t="s">
        <v>1707</v>
      </c>
      <c r="D240" s="33" t="s">
        <v>247</v>
      </c>
      <c r="E240" s="39">
        <v>46058.0</v>
      </c>
      <c r="F240" s="33" t="s">
        <v>230</v>
      </c>
      <c r="G240" s="40">
        <v>14640.0</v>
      </c>
      <c r="H240" s="46">
        <v>0.2181</v>
      </c>
      <c r="I240" s="40">
        <v>11007.85</v>
      </c>
      <c r="J240" s="33">
        <v>108.0</v>
      </c>
      <c r="K240" s="33" t="s">
        <v>794</v>
      </c>
    </row>
    <row r="241" ht="15.75" customHeight="1">
      <c r="A241" s="33" t="s">
        <v>1709</v>
      </c>
      <c r="B241" s="33" t="s">
        <v>1711</v>
      </c>
      <c r="C241" s="33" t="s">
        <v>1712</v>
      </c>
      <c r="D241" s="33" t="s">
        <v>247</v>
      </c>
      <c r="E241" s="39">
        <v>46106.0</v>
      </c>
      <c r="F241" s="33" t="s">
        <v>230</v>
      </c>
      <c r="G241" s="40">
        <v>47960.0</v>
      </c>
      <c r="H241" s="46">
        <v>0.1881</v>
      </c>
      <c r="I241" s="40">
        <v>37307.22</v>
      </c>
      <c r="J241" s="33">
        <v>0.0</v>
      </c>
      <c r="K241" s="33" t="s">
        <v>182</v>
      </c>
    </row>
    <row r="242" ht="15.75" customHeight="1">
      <c r="A242" s="33" t="s">
        <v>1715</v>
      </c>
      <c r="B242" s="33" t="s">
        <v>804</v>
      </c>
      <c r="C242" s="33" t="s">
        <v>1717</v>
      </c>
      <c r="D242" s="33" t="s">
        <v>227</v>
      </c>
      <c r="E242" s="39">
        <v>46235.0</v>
      </c>
      <c r="F242" s="33" t="s">
        <v>241</v>
      </c>
      <c r="G242" s="40">
        <v>49040.0</v>
      </c>
      <c r="H242" s="46">
        <v>0.2328</v>
      </c>
      <c r="I242" s="40">
        <v>46657.5</v>
      </c>
      <c r="J242" s="33">
        <v>0.0</v>
      </c>
      <c r="K242" s="33" t="s">
        <v>182</v>
      </c>
    </row>
    <row r="243" ht="15.75" customHeight="1">
      <c r="A243" s="33" t="s">
        <v>1720</v>
      </c>
      <c r="B243" s="33" t="s">
        <v>1721</v>
      </c>
      <c r="C243" s="33" t="s">
        <v>1723</v>
      </c>
      <c r="D243" s="33" t="s">
        <v>235</v>
      </c>
      <c r="E243" s="39">
        <v>46187.0</v>
      </c>
      <c r="F243" s="33" t="s">
        <v>230</v>
      </c>
      <c r="G243" s="40">
        <v>34880.0</v>
      </c>
      <c r="H243" s="46">
        <v>0.2081</v>
      </c>
      <c r="I243" s="40">
        <v>29587.91</v>
      </c>
      <c r="J243" s="33">
        <v>0.0</v>
      </c>
      <c r="K243" s="33" t="s">
        <v>182</v>
      </c>
    </row>
    <row r="244" ht="15.75" customHeight="1">
      <c r="A244" s="33" t="s">
        <v>1726</v>
      </c>
      <c r="B244" s="33" t="s">
        <v>1727</v>
      </c>
      <c r="C244" s="33" t="s">
        <v>1729</v>
      </c>
      <c r="D244" s="33" t="s">
        <v>247</v>
      </c>
      <c r="E244" s="39">
        <v>45953.0</v>
      </c>
      <c r="F244" s="33" t="s">
        <v>269</v>
      </c>
      <c r="G244" s="40">
        <v>19810.0</v>
      </c>
      <c r="H244" s="46">
        <v>0.1695</v>
      </c>
      <c r="I244" s="40">
        <v>12814.51</v>
      </c>
      <c r="J244" s="33">
        <v>0.0</v>
      </c>
      <c r="K244" s="33" t="s">
        <v>182</v>
      </c>
    </row>
    <row r="245" ht="15.75" customHeight="1">
      <c r="A245" s="33" t="s">
        <v>1732</v>
      </c>
      <c r="B245" s="33" t="s">
        <v>812</v>
      </c>
      <c r="C245" s="33" t="s">
        <v>1733</v>
      </c>
      <c r="D245" s="33" t="s">
        <v>247</v>
      </c>
      <c r="E245" s="39">
        <v>45659.0</v>
      </c>
      <c r="F245" s="33" t="s">
        <v>230</v>
      </c>
      <c r="G245" s="40">
        <v>16890.0</v>
      </c>
      <c r="H245" s="46">
        <v>0.1537</v>
      </c>
      <c r="I245" s="40">
        <v>2740.35</v>
      </c>
      <c r="J245" s="33">
        <v>0.0</v>
      </c>
      <c r="K245" s="33" t="s">
        <v>182</v>
      </c>
    </row>
    <row r="246" ht="15.75" customHeight="1">
      <c r="A246" s="33" t="s">
        <v>1739</v>
      </c>
      <c r="B246" s="33" t="s">
        <v>426</v>
      </c>
      <c r="C246" s="33" t="s">
        <v>1740</v>
      </c>
      <c r="D246" s="33" t="s">
        <v>247</v>
      </c>
      <c r="E246" s="39">
        <v>46221.0</v>
      </c>
      <c r="F246" s="33" t="s">
        <v>269</v>
      </c>
      <c r="G246" s="40">
        <v>34500.0</v>
      </c>
      <c r="H246" s="46">
        <v>0.2315</v>
      </c>
      <c r="I246" s="40">
        <v>32981.67</v>
      </c>
      <c r="J246" s="33">
        <v>0.0</v>
      </c>
      <c r="K246" s="33" t="s">
        <v>182</v>
      </c>
    </row>
    <row r="247" ht="15.75" customHeight="1">
      <c r="A247" s="33" t="s">
        <v>1745</v>
      </c>
      <c r="B247" s="33" t="s">
        <v>489</v>
      </c>
      <c r="C247" s="33" t="s">
        <v>1747</v>
      </c>
      <c r="D247" s="33" t="s">
        <v>227</v>
      </c>
      <c r="E247" s="39">
        <v>46078.0</v>
      </c>
      <c r="F247" s="33" t="s">
        <v>248</v>
      </c>
      <c r="G247" s="40">
        <v>3560.0</v>
      </c>
      <c r="H247" s="46">
        <v>0.1478</v>
      </c>
      <c r="I247" s="40">
        <v>2662.77</v>
      </c>
      <c r="J247" s="33">
        <v>174.0</v>
      </c>
      <c r="K247" s="33" t="s">
        <v>794</v>
      </c>
    </row>
    <row r="248" ht="15.75" customHeight="1">
      <c r="A248" s="33" t="s">
        <v>1750</v>
      </c>
      <c r="B248" s="33" t="s">
        <v>1654</v>
      </c>
      <c r="C248" s="33" t="s">
        <v>1751</v>
      </c>
      <c r="D248" s="33" t="s">
        <v>227</v>
      </c>
      <c r="E248" s="39">
        <v>46225.0</v>
      </c>
      <c r="F248" s="33" t="s">
        <v>230</v>
      </c>
      <c r="G248" s="40">
        <v>12200.0</v>
      </c>
      <c r="H248" s="46">
        <v>0.1672</v>
      </c>
      <c r="I248" s="40">
        <v>11082.43</v>
      </c>
      <c r="J248" s="33">
        <v>0.0</v>
      </c>
      <c r="K248" s="33" t="s">
        <v>182</v>
      </c>
    </row>
    <row r="249" ht="15.75" customHeight="1">
      <c r="A249" s="33" t="s">
        <v>1753</v>
      </c>
      <c r="B249" s="33" t="s">
        <v>876</v>
      </c>
      <c r="C249" s="33" t="s">
        <v>1755</v>
      </c>
      <c r="D249" s="33" t="s">
        <v>227</v>
      </c>
      <c r="E249" s="39">
        <v>46263.0</v>
      </c>
      <c r="F249" s="33" t="s">
        <v>230</v>
      </c>
      <c r="G249" s="40">
        <v>21500.0</v>
      </c>
      <c r="H249" s="46">
        <v>0.1334</v>
      </c>
      <c r="I249" s="40">
        <v>19630.98</v>
      </c>
      <c r="J249" s="33">
        <v>0.0</v>
      </c>
      <c r="K249" s="33" t="s">
        <v>182</v>
      </c>
    </row>
    <row r="250" ht="15.75" customHeight="1">
      <c r="A250" s="33" t="s">
        <v>1757</v>
      </c>
      <c r="B250" s="33" t="s">
        <v>1759</v>
      </c>
      <c r="C250" s="33" t="s">
        <v>1760</v>
      </c>
      <c r="D250" s="33" t="s">
        <v>247</v>
      </c>
      <c r="E250" s="39">
        <v>45698.0</v>
      </c>
      <c r="F250" s="33" t="s">
        <v>230</v>
      </c>
      <c r="G250" s="40">
        <v>38170.0</v>
      </c>
      <c r="H250" s="46">
        <v>0.1249</v>
      </c>
      <c r="I250" s="40">
        <v>0.0</v>
      </c>
      <c r="J250" s="33">
        <v>168.0</v>
      </c>
      <c r="K250" s="33" t="s">
        <v>198</v>
      </c>
    </row>
    <row r="251" ht="15.75" customHeight="1">
      <c r="A251" s="33" t="s">
        <v>1762</v>
      </c>
      <c r="B251" s="33" t="s">
        <v>1763</v>
      </c>
      <c r="C251" s="33" t="s">
        <v>1764</v>
      </c>
      <c r="D251" s="33" t="s">
        <v>227</v>
      </c>
      <c r="E251" s="39">
        <v>46082.0</v>
      </c>
      <c r="F251" s="33" t="s">
        <v>269</v>
      </c>
      <c r="G251" s="40">
        <v>47420.0</v>
      </c>
      <c r="H251" s="46">
        <v>0.2153</v>
      </c>
      <c r="I251" s="40">
        <v>25020.82</v>
      </c>
      <c r="J251" s="33">
        <v>111.0</v>
      </c>
      <c r="K251" s="33" t="s">
        <v>794</v>
      </c>
    </row>
    <row r="252" ht="15.75" customHeight="1">
      <c r="A252" s="33" t="s">
        <v>1768</v>
      </c>
      <c r="B252" s="33" t="s">
        <v>575</v>
      </c>
      <c r="C252" s="33" t="s">
        <v>1769</v>
      </c>
      <c r="D252" s="33" t="s">
        <v>247</v>
      </c>
      <c r="E252" s="39">
        <v>46191.0</v>
      </c>
      <c r="F252" s="33" t="s">
        <v>248</v>
      </c>
      <c r="G252" s="40">
        <v>20380.0</v>
      </c>
      <c r="H252" s="46">
        <v>0.1195</v>
      </c>
      <c r="I252" s="40">
        <v>17662.2</v>
      </c>
      <c r="J252" s="33">
        <v>0.0</v>
      </c>
      <c r="K252" s="33" t="s">
        <v>182</v>
      </c>
    </row>
    <row r="253" ht="15.75" customHeight="1">
      <c r="A253" s="33" t="s">
        <v>1773</v>
      </c>
      <c r="B253" s="33" t="s">
        <v>1775</v>
      </c>
      <c r="C253" s="33" t="s">
        <v>1777</v>
      </c>
      <c r="D253" s="33" t="s">
        <v>227</v>
      </c>
      <c r="E253" s="39">
        <v>46059.0</v>
      </c>
      <c r="F253" s="33" t="s">
        <v>230</v>
      </c>
      <c r="G253" s="40">
        <v>32940.0</v>
      </c>
      <c r="H253" s="46">
        <v>0.103</v>
      </c>
      <c r="I253" s="40">
        <v>25018.2</v>
      </c>
      <c r="J253" s="33">
        <v>9.0</v>
      </c>
      <c r="K253" s="33" t="s">
        <v>182</v>
      </c>
    </row>
    <row r="254" ht="15.75" customHeight="1">
      <c r="A254" s="33" t="s">
        <v>1779</v>
      </c>
      <c r="B254" s="33" t="s">
        <v>1488</v>
      </c>
      <c r="C254" s="33" t="s">
        <v>1781</v>
      </c>
      <c r="D254" s="33" t="s">
        <v>235</v>
      </c>
      <c r="E254" s="39">
        <v>45777.0</v>
      </c>
      <c r="F254" s="33" t="s">
        <v>241</v>
      </c>
      <c r="G254" s="40">
        <v>9720.0</v>
      </c>
      <c r="H254" s="46">
        <v>0.1965</v>
      </c>
      <c r="I254" s="40">
        <v>3509.51</v>
      </c>
      <c r="J254" s="33">
        <v>0.0</v>
      </c>
      <c r="K254" s="33" t="s">
        <v>182</v>
      </c>
    </row>
    <row r="255" ht="15.75" customHeight="1">
      <c r="A255" s="33" t="s">
        <v>1784</v>
      </c>
      <c r="B255" s="33" t="s">
        <v>701</v>
      </c>
      <c r="C255" s="33" t="s">
        <v>1786</v>
      </c>
      <c r="D255" s="33" t="s">
        <v>235</v>
      </c>
      <c r="E255" s="39">
        <v>45948.0</v>
      </c>
      <c r="F255" s="33" t="s">
        <v>241</v>
      </c>
      <c r="G255" s="40">
        <v>23790.0</v>
      </c>
      <c r="H255" s="46">
        <v>0.2146</v>
      </c>
      <c r="I255" s="40">
        <v>11417.31</v>
      </c>
      <c r="J255" s="33">
        <v>0.0</v>
      </c>
      <c r="K255" s="33" t="s">
        <v>182</v>
      </c>
    </row>
    <row r="256" ht="15.75" customHeight="1">
      <c r="A256" s="33" t="s">
        <v>1791</v>
      </c>
      <c r="B256" s="33" t="s">
        <v>949</v>
      </c>
      <c r="C256" s="33" t="s">
        <v>1793</v>
      </c>
      <c r="D256" s="33" t="s">
        <v>227</v>
      </c>
      <c r="E256" s="39">
        <v>45962.0</v>
      </c>
      <c r="F256" s="33" t="s">
        <v>269</v>
      </c>
      <c r="G256" s="40">
        <v>27150.0</v>
      </c>
      <c r="H256" s="46">
        <v>0.2284</v>
      </c>
      <c r="I256" s="40">
        <v>12247.52</v>
      </c>
      <c r="J256" s="33">
        <v>0.0</v>
      </c>
      <c r="K256" s="33" t="s">
        <v>182</v>
      </c>
    </row>
    <row r="257" ht="15.75" customHeight="1">
      <c r="A257" s="33" t="s">
        <v>1797</v>
      </c>
      <c r="B257" s="33" t="s">
        <v>360</v>
      </c>
      <c r="C257" s="33" t="s">
        <v>1800</v>
      </c>
      <c r="D257" s="33" t="s">
        <v>247</v>
      </c>
      <c r="E257" s="39">
        <v>45761.0</v>
      </c>
      <c r="F257" s="33" t="s">
        <v>248</v>
      </c>
      <c r="G257" s="40">
        <v>31870.0</v>
      </c>
      <c r="H257" s="46">
        <v>0.1867</v>
      </c>
      <c r="I257" s="40">
        <v>12431.92</v>
      </c>
      <c r="J257" s="33">
        <v>0.0</v>
      </c>
      <c r="K257" s="33" t="s">
        <v>182</v>
      </c>
    </row>
    <row r="258" ht="15.75" customHeight="1">
      <c r="A258" s="33" t="s">
        <v>1804</v>
      </c>
      <c r="B258" s="33" t="s">
        <v>1806</v>
      </c>
      <c r="C258" s="33" t="s">
        <v>1807</v>
      </c>
      <c r="D258" s="33" t="s">
        <v>227</v>
      </c>
      <c r="E258" s="39">
        <v>46128.0</v>
      </c>
      <c r="F258" s="33" t="s">
        <v>230</v>
      </c>
      <c r="G258" s="40">
        <v>31480.0</v>
      </c>
      <c r="H258" s="46">
        <v>0.1357</v>
      </c>
      <c r="I258" s="40">
        <v>25863.34</v>
      </c>
      <c r="J258" s="33">
        <v>0.0</v>
      </c>
      <c r="K258" s="33" t="s">
        <v>182</v>
      </c>
    </row>
    <row r="259" ht="15.75" customHeight="1">
      <c r="A259" s="33" t="s">
        <v>1810</v>
      </c>
      <c r="B259" s="33" t="s">
        <v>1811</v>
      </c>
      <c r="C259" s="33" t="s">
        <v>1813</v>
      </c>
      <c r="D259" s="33" t="s">
        <v>235</v>
      </c>
      <c r="E259" s="39">
        <v>46207.0</v>
      </c>
      <c r="F259" s="33" t="s">
        <v>230</v>
      </c>
      <c r="G259" s="40">
        <v>32830.0</v>
      </c>
      <c r="H259" s="46">
        <v>0.1617</v>
      </c>
      <c r="I259" s="40">
        <v>28865.6</v>
      </c>
      <c r="J259" s="33">
        <v>0.0</v>
      </c>
      <c r="K259" s="33" t="s">
        <v>182</v>
      </c>
    </row>
    <row r="260" ht="15.75" customHeight="1">
      <c r="A260" s="33" t="s">
        <v>1817</v>
      </c>
      <c r="B260" s="33" t="s">
        <v>1130</v>
      </c>
      <c r="C260" s="33" t="s">
        <v>1820</v>
      </c>
      <c r="D260" s="33" t="s">
        <v>235</v>
      </c>
      <c r="E260" s="39">
        <v>45826.0</v>
      </c>
      <c r="F260" s="33" t="s">
        <v>230</v>
      </c>
      <c r="G260" s="40">
        <v>26860.0</v>
      </c>
      <c r="H260" s="46">
        <v>0.1098</v>
      </c>
      <c r="I260" s="40">
        <v>13841.61</v>
      </c>
      <c r="J260" s="33">
        <v>0.0</v>
      </c>
      <c r="K260" s="33" t="s">
        <v>182</v>
      </c>
    </row>
    <row r="261" ht="15.75" customHeight="1">
      <c r="A261" s="33" t="s">
        <v>1823</v>
      </c>
      <c r="B261" s="33" t="s">
        <v>1561</v>
      </c>
      <c r="C261" s="33" t="s">
        <v>1826</v>
      </c>
      <c r="D261" s="33" t="s">
        <v>247</v>
      </c>
      <c r="E261" s="39">
        <v>45933.0</v>
      </c>
      <c r="F261" s="33" t="s">
        <v>241</v>
      </c>
      <c r="G261" s="40">
        <v>37510.0</v>
      </c>
      <c r="H261" s="46">
        <v>0.1139</v>
      </c>
      <c r="I261" s="40">
        <v>25962.33</v>
      </c>
      <c r="J261" s="33">
        <v>0.0</v>
      </c>
      <c r="K261" s="33" t="s">
        <v>182</v>
      </c>
    </row>
    <row r="262" ht="15.75" customHeight="1">
      <c r="A262" s="33" t="s">
        <v>1832</v>
      </c>
      <c r="B262" s="33" t="s">
        <v>1833</v>
      </c>
      <c r="C262" s="33" t="s">
        <v>1835</v>
      </c>
      <c r="D262" s="33" t="s">
        <v>247</v>
      </c>
      <c r="E262" s="39">
        <v>45871.0</v>
      </c>
      <c r="F262" s="33" t="s">
        <v>241</v>
      </c>
      <c r="G262" s="40">
        <v>36220.0</v>
      </c>
      <c r="H262" s="46">
        <v>0.2234</v>
      </c>
      <c r="I262" s="40">
        <v>19279.82</v>
      </c>
      <c r="J262" s="33">
        <v>0.0</v>
      </c>
      <c r="K262" s="33" t="s">
        <v>182</v>
      </c>
    </row>
    <row r="263" ht="15.75" customHeight="1">
      <c r="A263" s="33" t="s">
        <v>1838</v>
      </c>
      <c r="B263" s="33" t="s">
        <v>920</v>
      </c>
      <c r="C263" s="33" t="s">
        <v>1839</v>
      </c>
      <c r="D263" s="33" t="s">
        <v>235</v>
      </c>
      <c r="E263" s="39">
        <v>45860.0</v>
      </c>
      <c r="F263" s="33" t="s">
        <v>248</v>
      </c>
      <c r="G263" s="40">
        <v>17350.0</v>
      </c>
      <c r="H263" s="46">
        <v>0.2158</v>
      </c>
      <c r="I263" s="40">
        <v>8547.23</v>
      </c>
      <c r="J263" s="33">
        <v>0.0</v>
      </c>
      <c r="K263" s="33" t="s">
        <v>182</v>
      </c>
    </row>
    <row r="264" ht="15.75" customHeight="1">
      <c r="A264" s="33" t="s">
        <v>1840</v>
      </c>
      <c r="B264" s="33" t="s">
        <v>1473</v>
      </c>
      <c r="C264" s="33" t="s">
        <v>1843</v>
      </c>
      <c r="D264" s="33" t="s">
        <v>247</v>
      </c>
      <c r="E264" s="39">
        <v>46156.0</v>
      </c>
      <c r="F264" s="33" t="s">
        <v>241</v>
      </c>
      <c r="G264" s="40">
        <v>1280.0</v>
      </c>
      <c r="H264" s="46">
        <v>0.1246</v>
      </c>
      <c r="I264" s="40">
        <v>1030.51</v>
      </c>
      <c r="J264" s="33">
        <v>0.0</v>
      </c>
      <c r="K264" s="33" t="s">
        <v>182</v>
      </c>
    </row>
    <row r="265" ht="15.75" customHeight="1">
      <c r="A265" s="33" t="s">
        <v>1845</v>
      </c>
      <c r="B265" s="33" t="s">
        <v>1847</v>
      </c>
      <c r="C265" s="33" t="s">
        <v>1849</v>
      </c>
      <c r="D265" s="33" t="s">
        <v>227</v>
      </c>
      <c r="E265" s="39">
        <v>46111.0</v>
      </c>
      <c r="F265" s="33" t="s">
        <v>241</v>
      </c>
      <c r="G265" s="40">
        <v>40640.0</v>
      </c>
      <c r="H265" s="46">
        <v>0.1409</v>
      </c>
      <c r="I265" s="40">
        <v>24329.69</v>
      </c>
      <c r="J265" s="33">
        <v>0.0</v>
      </c>
      <c r="K265" s="33" t="s">
        <v>182</v>
      </c>
    </row>
    <row r="266" ht="15.75" customHeight="1">
      <c r="A266" s="33" t="s">
        <v>1852</v>
      </c>
      <c r="B266" s="33" t="s">
        <v>1085</v>
      </c>
      <c r="C266" s="33" t="s">
        <v>1854</v>
      </c>
      <c r="D266" s="33" t="s">
        <v>227</v>
      </c>
      <c r="E266" s="39">
        <v>46050.0</v>
      </c>
      <c r="F266" s="33" t="s">
        <v>241</v>
      </c>
      <c r="G266" s="40">
        <v>16290.0</v>
      </c>
      <c r="H266" s="46">
        <v>0.2334</v>
      </c>
      <c r="I266" s="40">
        <v>12500.32</v>
      </c>
      <c r="J266" s="33">
        <v>0.0</v>
      </c>
      <c r="K266" s="33" t="s">
        <v>182</v>
      </c>
    </row>
    <row r="267" ht="15.75" customHeight="1">
      <c r="A267" s="33" t="s">
        <v>1857</v>
      </c>
      <c r="B267" s="33" t="s">
        <v>1581</v>
      </c>
      <c r="C267" s="33" t="s">
        <v>1858</v>
      </c>
      <c r="D267" s="33" t="s">
        <v>235</v>
      </c>
      <c r="E267" s="39">
        <v>45839.0</v>
      </c>
      <c r="F267" s="33" t="s">
        <v>230</v>
      </c>
      <c r="G267" s="40">
        <v>1670.0</v>
      </c>
      <c r="H267" s="46">
        <v>0.1427</v>
      </c>
      <c r="I267" s="40">
        <v>932.35</v>
      </c>
      <c r="J267" s="33">
        <v>0.0</v>
      </c>
      <c r="K267" s="33" t="s">
        <v>182</v>
      </c>
    </row>
    <row r="268" ht="15.75" customHeight="1">
      <c r="A268" s="33" t="s">
        <v>1861</v>
      </c>
      <c r="B268" s="33" t="s">
        <v>1016</v>
      </c>
      <c r="C268" s="33" t="s">
        <v>1863</v>
      </c>
      <c r="D268" s="33" t="s">
        <v>235</v>
      </c>
      <c r="E268" s="39">
        <v>45694.0</v>
      </c>
      <c r="F268" s="33" t="s">
        <v>241</v>
      </c>
      <c r="G268" s="40">
        <v>39980.0</v>
      </c>
      <c r="H268" s="46">
        <v>0.1324</v>
      </c>
      <c r="I268" s="40">
        <v>12430.17</v>
      </c>
      <c r="J268" s="33">
        <v>0.0</v>
      </c>
      <c r="K268" s="33" t="s">
        <v>182</v>
      </c>
    </row>
    <row r="269" ht="15.75" customHeight="1">
      <c r="A269" s="33" t="s">
        <v>1866</v>
      </c>
      <c r="B269" s="33" t="s">
        <v>268</v>
      </c>
      <c r="C269" s="33" t="s">
        <v>1869</v>
      </c>
      <c r="D269" s="33" t="s">
        <v>227</v>
      </c>
      <c r="E269" s="39">
        <v>45841.0</v>
      </c>
      <c r="F269" s="33" t="s">
        <v>230</v>
      </c>
      <c r="G269" s="40">
        <v>35250.0</v>
      </c>
      <c r="H269" s="46">
        <v>0.1121</v>
      </c>
      <c r="I269" s="40">
        <v>0.0</v>
      </c>
      <c r="J269" s="33">
        <v>46.0</v>
      </c>
      <c r="K269" s="33" t="s">
        <v>198</v>
      </c>
    </row>
    <row r="270" ht="15.75" customHeight="1">
      <c r="A270" s="33" t="s">
        <v>1872</v>
      </c>
      <c r="B270" s="33" t="s">
        <v>1205</v>
      </c>
      <c r="C270" s="33" t="s">
        <v>1873</v>
      </c>
      <c r="D270" s="33" t="s">
        <v>247</v>
      </c>
      <c r="E270" s="39">
        <v>46013.0</v>
      </c>
      <c r="F270" s="33" t="s">
        <v>248</v>
      </c>
      <c r="G270" s="40">
        <v>30330.0</v>
      </c>
      <c r="H270" s="46">
        <v>0.1452</v>
      </c>
      <c r="I270" s="40">
        <v>15104.26</v>
      </c>
      <c r="J270" s="33">
        <v>10.0</v>
      </c>
      <c r="K270" s="33" t="s">
        <v>182</v>
      </c>
    </row>
    <row r="271" ht="15.75" customHeight="1">
      <c r="A271" s="33" t="s">
        <v>1875</v>
      </c>
      <c r="B271" s="33" t="s">
        <v>1876</v>
      </c>
      <c r="C271" s="33" t="s">
        <v>1879</v>
      </c>
      <c r="D271" s="33" t="s">
        <v>235</v>
      </c>
      <c r="E271" s="39">
        <v>46209.0</v>
      </c>
      <c r="F271" s="33" t="s">
        <v>241</v>
      </c>
      <c r="G271" s="40">
        <v>31130.0</v>
      </c>
      <c r="H271" s="46">
        <v>0.1382</v>
      </c>
      <c r="I271" s="40">
        <v>28686.34</v>
      </c>
      <c r="J271" s="33">
        <v>0.0</v>
      </c>
      <c r="K271" s="33" t="s">
        <v>182</v>
      </c>
    </row>
    <row r="272" ht="15.75" customHeight="1">
      <c r="A272" s="33" t="s">
        <v>1882</v>
      </c>
      <c r="B272" s="33" t="s">
        <v>1883</v>
      </c>
      <c r="C272" s="33" t="s">
        <v>1885</v>
      </c>
      <c r="D272" s="33" t="s">
        <v>227</v>
      </c>
      <c r="E272" s="39">
        <v>46200.0</v>
      </c>
      <c r="F272" s="33" t="s">
        <v>241</v>
      </c>
      <c r="G272" s="40">
        <v>29310.0</v>
      </c>
      <c r="H272" s="46">
        <v>0.1976</v>
      </c>
      <c r="I272" s="40">
        <v>25969.46</v>
      </c>
      <c r="J272" s="33">
        <v>0.0</v>
      </c>
      <c r="K272" s="33" t="s">
        <v>182</v>
      </c>
    </row>
    <row r="273" ht="15.75" customHeight="1">
      <c r="A273" s="33" t="s">
        <v>1888</v>
      </c>
      <c r="B273" s="33" t="s">
        <v>1890</v>
      </c>
      <c r="C273" s="33" t="s">
        <v>1891</v>
      </c>
      <c r="D273" s="33" t="s">
        <v>247</v>
      </c>
      <c r="E273" s="39">
        <v>46027.0</v>
      </c>
      <c r="F273" s="33" t="s">
        <v>248</v>
      </c>
      <c r="G273" s="40">
        <v>8890.0</v>
      </c>
      <c r="H273" s="46">
        <v>0.1355</v>
      </c>
      <c r="I273" s="40">
        <v>4358.52</v>
      </c>
      <c r="J273" s="33">
        <v>116.0</v>
      </c>
      <c r="K273" s="33" t="s">
        <v>794</v>
      </c>
    </row>
    <row r="274" ht="15.75" customHeight="1">
      <c r="A274" s="33" t="s">
        <v>1895</v>
      </c>
      <c r="B274" s="33" t="s">
        <v>1896</v>
      </c>
      <c r="C274" s="33" t="s">
        <v>1897</v>
      </c>
      <c r="D274" s="33" t="s">
        <v>247</v>
      </c>
      <c r="E274" s="39">
        <v>45903.0</v>
      </c>
      <c r="F274" s="33" t="s">
        <v>230</v>
      </c>
      <c r="G274" s="40">
        <v>20210.0</v>
      </c>
      <c r="H274" s="46">
        <v>0.1533</v>
      </c>
      <c r="I274" s="40">
        <v>7281.97</v>
      </c>
      <c r="J274" s="33">
        <v>0.0</v>
      </c>
      <c r="K274" s="33" t="s">
        <v>182</v>
      </c>
    </row>
    <row r="275" ht="15.75" customHeight="1">
      <c r="A275" s="33" t="s">
        <v>1900</v>
      </c>
      <c r="B275" s="33" t="s">
        <v>1901</v>
      </c>
      <c r="C275" s="33" t="s">
        <v>1902</v>
      </c>
      <c r="D275" s="33" t="s">
        <v>227</v>
      </c>
      <c r="E275" s="39">
        <v>45758.0</v>
      </c>
      <c r="F275" s="33" t="s">
        <v>248</v>
      </c>
      <c r="G275" s="40">
        <v>1640.0</v>
      </c>
      <c r="H275" s="46">
        <v>0.1314</v>
      </c>
      <c r="I275" s="40">
        <v>609.47</v>
      </c>
      <c r="J275" s="33">
        <v>0.0</v>
      </c>
      <c r="K275" s="33" t="s">
        <v>182</v>
      </c>
    </row>
    <row r="276" ht="15.75" customHeight="1">
      <c r="A276" s="33" t="s">
        <v>1905</v>
      </c>
      <c r="B276" s="33" t="s">
        <v>1906</v>
      </c>
      <c r="C276" s="33" t="s">
        <v>1913</v>
      </c>
      <c r="D276" s="33" t="s">
        <v>247</v>
      </c>
      <c r="E276" s="39">
        <v>46015.0</v>
      </c>
      <c r="F276" s="33" t="s">
        <v>230</v>
      </c>
      <c r="G276" s="40">
        <v>19610.0</v>
      </c>
      <c r="H276" s="46">
        <v>0.1311</v>
      </c>
      <c r="I276" s="40">
        <v>8463.19</v>
      </c>
      <c r="J276" s="33">
        <v>0.0</v>
      </c>
      <c r="K276" s="33" t="s">
        <v>182</v>
      </c>
    </row>
    <row r="277" ht="15.75" customHeight="1">
      <c r="A277" s="33" t="s">
        <v>1916</v>
      </c>
      <c r="B277" s="33" t="s">
        <v>1917</v>
      </c>
      <c r="C277" s="33" t="s">
        <v>1918</v>
      </c>
      <c r="D277" s="33" t="s">
        <v>227</v>
      </c>
      <c r="E277" s="39">
        <v>46248.0</v>
      </c>
      <c r="F277" s="33" t="s">
        <v>230</v>
      </c>
      <c r="G277" s="40">
        <v>4600.0</v>
      </c>
      <c r="H277" s="46">
        <v>0.1202</v>
      </c>
      <c r="I277" s="40">
        <v>4818.02</v>
      </c>
      <c r="J277" s="33">
        <v>0.0</v>
      </c>
      <c r="K277" s="33" t="s">
        <v>182</v>
      </c>
    </row>
    <row r="278" ht="15.75" customHeight="1">
      <c r="A278" s="33" t="s">
        <v>1922</v>
      </c>
      <c r="B278" s="33" t="s">
        <v>470</v>
      </c>
      <c r="C278" s="33" t="s">
        <v>1923</v>
      </c>
      <c r="D278" s="33" t="s">
        <v>235</v>
      </c>
      <c r="E278" s="39">
        <v>45773.0</v>
      </c>
      <c r="F278" s="33" t="s">
        <v>241</v>
      </c>
      <c r="G278" s="40">
        <v>27510.0</v>
      </c>
      <c r="H278" s="46">
        <v>0.1597</v>
      </c>
      <c r="I278" s="40">
        <v>0.0</v>
      </c>
      <c r="J278" s="33">
        <v>179.0</v>
      </c>
      <c r="K278" s="33" t="s">
        <v>198</v>
      </c>
    </row>
    <row r="279" ht="15.75" customHeight="1">
      <c r="A279" s="33" t="s">
        <v>1928</v>
      </c>
      <c r="B279" s="33" t="s">
        <v>858</v>
      </c>
      <c r="C279" s="33" t="s">
        <v>1929</v>
      </c>
      <c r="D279" s="33" t="s">
        <v>227</v>
      </c>
      <c r="E279" s="39">
        <v>45901.0</v>
      </c>
      <c r="F279" s="33" t="s">
        <v>248</v>
      </c>
      <c r="G279" s="40">
        <v>36160.0</v>
      </c>
      <c r="H279" s="46">
        <v>0.1486</v>
      </c>
      <c r="I279" s="40">
        <v>17980.29</v>
      </c>
      <c r="J279" s="33">
        <v>0.0</v>
      </c>
      <c r="K279" s="33" t="s">
        <v>182</v>
      </c>
    </row>
    <row r="280" ht="15.75" customHeight="1">
      <c r="A280" s="33" t="s">
        <v>1933</v>
      </c>
      <c r="B280" s="33" t="s">
        <v>1796</v>
      </c>
      <c r="C280" s="33" t="s">
        <v>1935</v>
      </c>
      <c r="D280" s="33" t="s">
        <v>227</v>
      </c>
      <c r="E280" s="39">
        <v>45938.0</v>
      </c>
      <c r="F280" s="33" t="s">
        <v>241</v>
      </c>
      <c r="G280" s="40">
        <v>10040.0</v>
      </c>
      <c r="H280" s="46">
        <v>0.0892</v>
      </c>
      <c r="I280" s="40">
        <v>4454.83</v>
      </c>
      <c r="J280" s="33">
        <v>53.0</v>
      </c>
      <c r="K280" s="33" t="s">
        <v>385</v>
      </c>
    </row>
    <row r="281" ht="15.75" customHeight="1">
      <c r="A281" s="33" t="s">
        <v>1938</v>
      </c>
      <c r="B281" s="33" t="s">
        <v>1528</v>
      </c>
      <c r="C281" s="33" t="s">
        <v>1939</v>
      </c>
      <c r="D281" s="33" t="s">
        <v>247</v>
      </c>
      <c r="E281" s="39">
        <v>46079.0</v>
      </c>
      <c r="F281" s="33" t="s">
        <v>230</v>
      </c>
      <c r="G281" s="40">
        <v>11250.0</v>
      </c>
      <c r="H281" s="46">
        <v>0.2289</v>
      </c>
      <c r="I281" s="40">
        <v>5594.72</v>
      </c>
      <c r="J281" s="33">
        <v>0.0</v>
      </c>
      <c r="K281" s="33" t="s">
        <v>182</v>
      </c>
    </row>
    <row r="282" ht="15.75" customHeight="1">
      <c r="A282" s="33" t="s">
        <v>1943</v>
      </c>
      <c r="B282" s="33" t="s">
        <v>282</v>
      </c>
      <c r="C282" s="33" t="s">
        <v>1947</v>
      </c>
      <c r="D282" s="33" t="s">
        <v>235</v>
      </c>
      <c r="E282" s="39">
        <v>45830.0</v>
      </c>
      <c r="F282" s="33" t="s">
        <v>230</v>
      </c>
      <c r="G282" s="40">
        <v>7500.0</v>
      </c>
      <c r="H282" s="46">
        <v>0.1358</v>
      </c>
      <c r="I282" s="40">
        <v>2856.21</v>
      </c>
      <c r="J282" s="33">
        <v>31.0</v>
      </c>
      <c r="K282" s="33" t="s">
        <v>385</v>
      </c>
    </row>
    <row r="283" ht="15.75" customHeight="1">
      <c r="A283" s="33" t="s">
        <v>1949</v>
      </c>
      <c r="B283" s="33" t="s">
        <v>905</v>
      </c>
      <c r="C283" s="33" t="s">
        <v>1951</v>
      </c>
      <c r="D283" s="33" t="s">
        <v>247</v>
      </c>
      <c r="E283" s="39">
        <v>45707.0</v>
      </c>
      <c r="F283" s="33" t="s">
        <v>241</v>
      </c>
      <c r="G283" s="40">
        <v>7860.0</v>
      </c>
      <c r="H283" s="46">
        <v>0.2012</v>
      </c>
      <c r="I283" s="40">
        <v>3156.08</v>
      </c>
      <c r="J283" s="33">
        <v>0.0</v>
      </c>
      <c r="K283" s="33" t="s">
        <v>182</v>
      </c>
    </row>
    <row r="284" ht="15.75" customHeight="1">
      <c r="A284" s="33" t="s">
        <v>1956</v>
      </c>
      <c r="B284" s="33" t="s">
        <v>563</v>
      </c>
      <c r="C284" s="33" t="s">
        <v>1958</v>
      </c>
      <c r="D284" s="33" t="s">
        <v>227</v>
      </c>
      <c r="E284" s="39">
        <v>45857.0</v>
      </c>
      <c r="F284" s="33" t="s">
        <v>230</v>
      </c>
      <c r="G284" s="40">
        <v>27250.0</v>
      </c>
      <c r="H284" s="46">
        <v>0.2251</v>
      </c>
      <c r="I284" s="40">
        <v>15308.14</v>
      </c>
      <c r="J284" s="33">
        <v>0.0</v>
      </c>
      <c r="K284" s="33" t="s">
        <v>182</v>
      </c>
    </row>
    <row r="285" ht="15.75" customHeight="1">
      <c r="A285" s="33" t="s">
        <v>1962</v>
      </c>
      <c r="B285" s="33" t="s">
        <v>1001</v>
      </c>
      <c r="C285" s="33" t="s">
        <v>1964</v>
      </c>
      <c r="D285" s="33" t="s">
        <v>235</v>
      </c>
      <c r="E285" s="39">
        <v>46079.0</v>
      </c>
      <c r="F285" s="33" t="s">
        <v>241</v>
      </c>
      <c r="G285" s="40">
        <v>45190.0</v>
      </c>
      <c r="H285" s="46">
        <v>0.0818</v>
      </c>
      <c r="I285" s="40">
        <v>33236.71</v>
      </c>
      <c r="J285" s="33">
        <v>0.0</v>
      </c>
      <c r="K285" s="33" t="s">
        <v>182</v>
      </c>
    </row>
    <row r="286" ht="15.75" customHeight="1">
      <c r="A286" s="33" t="s">
        <v>1968</v>
      </c>
      <c r="B286" s="33" t="s">
        <v>1969</v>
      </c>
      <c r="C286" s="33" t="s">
        <v>1970</v>
      </c>
      <c r="D286" s="33" t="s">
        <v>227</v>
      </c>
      <c r="E286" s="39">
        <v>46108.0</v>
      </c>
      <c r="F286" s="33" t="s">
        <v>248</v>
      </c>
      <c r="G286" s="40">
        <v>37810.0</v>
      </c>
      <c r="H286" s="46">
        <v>0.0997</v>
      </c>
      <c r="I286" s="40">
        <v>31798.27</v>
      </c>
      <c r="J286" s="33">
        <v>37.0</v>
      </c>
      <c r="K286" s="33" t="s">
        <v>385</v>
      </c>
    </row>
    <row r="287" ht="15.75" customHeight="1">
      <c r="A287" s="33" t="s">
        <v>1974</v>
      </c>
      <c r="B287" s="33" t="s">
        <v>1103</v>
      </c>
      <c r="C287" s="33" t="s">
        <v>1976</v>
      </c>
      <c r="D287" s="33" t="s">
        <v>227</v>
      </c>
      <c r="E287" s="39">
        <v>46002.0</v>
      </c>
      <c r="F287" s="33" t="s">
        <v>269</v>
      </c>
      <c r="G287" s="40">
        <v>15640.0</v>
      </c>
      <c r="H287" s="46">
        <v>0.1105</v>
      </c>
      <c r="I287" s="40">
        <v>11482.93</v>
      </c>
      <c r="J287" s="33">
        <v>0.0</v>
      </c>
      <c r="K287" s="33" t="s">
        <v>182</v>
      </c>
    </row>
    <row r="288" ht="15.75" customHeight="1">
      <c r="A288" s="33" t="s">
        <v>1980</v>
      </c>
      <c r="B288" s="33" t="s">
        <v>1981</v>
      </c>
      <c r="C288" s="33" t="s">
        <v>1982</v>
      </c>
      <c r="D288" s="33" t="s">
        <v>227</v>
      </c>
      <c r="E288" s="39">
        <v>46029.0</v>
      </c>
      <c r="F288" s="33" t="s">
        <v>230</v>
      </c>
      <c r="G288" s="40">
        <v>29240.0</v>
      </c>
      <c r="H288" s="46">
        <v>0.2217</v>
      </c>
      <c r="I288" s="40">
        <v>14328.74</v>
      </c>
      <c r="J288" s="33">
        <v>0.0</v>
      </c>
      <c r="K288" s="33" t="s">
        <v>182</v>
      </c>
    </row>
    <row r="289" ht="15.75" customHeight="1">
      <c r="A289" s="33" t="s">
        <v>1986</v>
      </c>
      <c r="B289" s="33" t="s">
        <v>1488</v>
      </c>
      <c r="C289" s="33" t="s">
        <v>1988</v>
      </c>
      <c r="D289" s="33" t="s">
        <v>227</v>
      </c>
      <c r="E289" s="39">
        <v>45820.0</v>
      </c>
      <c r="F289" s="33" t="s">
        <v>241</v>
      </c>
      <c r="G289" s="40">
        <v>33490.0</v>
      </c>
      <c r="H289" s="46">
        <v>0.1673</v>
      </c>
      <c r="I289" s="40">
        <v>5457.67</v>
      </c>
      <c r="J289" s="33">
        <v>0.0</v>
      </c>
      <c r="K289" s="33" t="s">
        <v>182</v>
      </c>
    </row>
    <row r="290" ht="15.75" customHeight="1">
      <c r="A290" s="33" t="s">
        <v>1990</v>
      </c>
      <c r="B290" s="33" t="s">
        <v>1991</v>
      </c>
      <c r="C290" s="33" t="s">
        <v>1992</v>
      </c>
      <c r="D290" s="33" t="s">
        <v>227</v>
      </c>
      <c r="E290" s="39">
        <v>45747.0</v>
      </c>
      <c r="F290" s="33" t="s">
        <v>248</v>
      </c>
      <c r="G290" s="40">
        <v>7170.0</v>
      </c>
      <c r="H290" s="46">
        <v>0.1298</v>
      </c>
      <c r="I290" s="40">
        <v>3085.85</v>
      </c>
      <c r="J290" s="33">
        <v>0.0</v>
      </c>
      <c r="K290" s="33" t="s">
        <v>182</v>
      </c>
    </row>
    <row r="291" ht="15.75" customHeight="1">
      <c r="A291" s="33" t="s">
        <v>1996</v>
      </c>
      <c r="B291" s="33" t="s">
        <v>1585</v>
      </c>
      <c r="C291" s="33" t="s">
        <v>1999</v>
      </c>
      <c r="D291" s="33" t="s">
        <v>235</v>
      </c>
      <c r="E291" s="39">
        <v>45852.0</v>
      </c>
      <c r="F291" s="33" t="s">
        <v>248</v>
      </c>
      <c r="G291" s="40">
        <v>39330.0</v>
      </c>
      <c r="H291" s="46">
        <v>0.0871</v>
      </c>
      <c r="I291" s="40">
        <v>13634.48</v>
      </c>
      <c r="J291" s="33">
        <v>0.0</v>
      </c>
      <c r="K291" s="33" t="s">
        <v>182</v>
      </c>
    </row>
    <row r="292" ht="15.75" customHeight="1">
      <c r="A292" s="33" t="s">
        <v>2003</v>
      </c>
      <c r="B292" s="33" t="s">
        <v>499</v>
      </c>
      <c r="C292" s="33" t="s">
        <v>2004</v>
      </c>
      <c r="D292" s="33" t="s">
        <v>247</v>
      </c>
      <c r="E292" s="39">
        <v>46132.0</v>
      </c>
      <c r="F292" s="33" t="s">
        <v>241</v>
      </c>
      <c r="G292" s="40">
        <v>46730.0</v>
      </c>
      <c r="H292" s="46">
        <v>0.0857</v>
      </c>
      <c r="I292" s="40">
        <v>35431.03</v>
      </c>
      <c r="J292" s="33">
        <v>0.0</v>
      </c>
      <c r="K292" s="33" t="s">
        <v>182</v>
      </c>
    </row>
    <row r="293" ht="15.75" customHeight="1">
      <c r="A293" s="33" t="s">
        <v>2007</v>
      </c>
      <c r="B293" s="33" t="s">
        <v>737</v>
      </c>
      <c r="C293" s="33" t="s">
        <v>2008</v>
      </c>
      <c r="D293" s="33" t="s">
        <v>247</v>
      </c>
      <c r="E293" s="39">
        <v>46177.0</v>
      </c>
      <c r="F293" s="33" t="s">
        <v>248</v>
      </c>
      <c r="G293" s="40">
        <v>11990.0</v>
      </c>
      <c r="H293" s="46">
        <v>0.1724</v>
      </c>
      <c r="I293" s="40">
        <v>10107.98</v>
      </c>
      <c r="J293" s="33">
        <v>0.0</v>
      </c>
      <c r="K293" s="33" t="s">
        <v>182</v>
      </c>
    </row>
    <row r="294" ht="15.75" customHeight="1">
      <c r="A294" s="33" t="s">
        <v>2011</v>
      </c>
      <c r="B294" s="33" t="s">
        <v>1654</v>
      </c>
      <c r="C294" s="33" t="s">
        <v>2012</v>
      </c>
      <c r="D294" s="33" t="s">
        <v>227</v>
      </c>
      <c r="E294" s="39">
        <v>45782.0</v>
      </c>
      <c r="F294" s="33" t="s">
        <v>248</v>
      </c>
      <c r="G294" s="40">
        <v>42250.0</v>
      </c>
      <c r="H294" s="46">
        <v>0.1925</v>
      </c>
      <c r="I294" s="40">
        <v>20215.07</v>
      </c>
      <c r="J294" s="33">
        <v>0.0</v>
      </c>
      <c r="K294" s="33" t="s">
        <v>182</v>
      </c>
    </row>
    <row r="295" ht="15.75" customHeight="1">
      <c r="A295" s="33" t="s">
        <v>2014</v>
      </c>
      <c r="B295" s="33" t="s">
        <v>2015</v>
      </c>
      <c r="C295" s="33" t="s">
        <v>2016</v>
      </c>
      <c r="D295" s="33" t="s">
        <v>247</v>
      </c>
      <c r="E295" s="39">
        <v>45876.0</v>
      </c>
      <c r="F295" s="33" t="s">
        <v>230</v>
      </c>
      <c r="G295" s="40">
        <v>3140.0</v>
      </c>
      <c r="H295" s="46">
        <v>0.1417</v>
      </c>
      <c r="I295" s="40">
        <v>1884.62</v>
      </c>
      <c r="J295" s="33">
        <v>0.0</v>
      </c>
      <c r="K295" s="33" t="s">
        <v>182</v>
      </c>
    </row>
    <row r="296" ht="15.75" customHeight="1">
      <c r="A296" s="33" t="s">
        <v>2024</v>
      </c>
      <c r="B296" s="33" t="s">
        <v>2026</v>
      </c>
      <c r="C296" s="33" t="s">
        <v>2027</v>
      </c>
      <c r="D296" s="33" t="s">
        <v>227</v>
      </c>
      <c r="E296" s="39">
        <v>45796.0</v>
      </c>
      <c r="F296" s="33" t="s">
        <v>248</v>
      </c>
      <c r="G296" s="40">
        <v>10810.0</v>
      </c>
      <c r="H296" s="46">
        <v>0.126</v>
      </c>
      <c r="I296" s="40">
        <v>0.0</v>
      </c>
      <c r="J296" s="33">
        <v>0.0</v>
      </c>
      <c r="K296" s="33" t="s">
        <v>198</v>
      </c>
    </row>
    <row r="297" ht="15.75" customHeight="1">
      <c r="A297" s="33" t="s">
        <v>2029</v>
      </c>
      <c r="B297" s="33" t="s">
        <v>333</v>
      </c>
      <c r="C297" s="33" t="s">
        <v>2031</v>
      </c>
      <c r="D297" s="33" t="s">
        <v>247</v>
      </c>
      <c r="E297" s="39">
        <v>46186.0</v>
      </c>
      <c r="F297" s="33" t="s">
        <v>248</v>
      </c>
      <c r="G297" s="40">
        <v>17340.0</v>
      </c>
      <c r="H297" s="46">
        <v>0.209</v>
      </c>
      <c r="I297" s="40">
        <v>14245.24</v>
      </c>
      <c r="J297" s="33">
        <v>0.0</v>
      </c>
      <c r="K297" s="33" t="s">
        <v>182</v>
      </c>
    </row>
    <row r="298" ht="15.75" customHeight="1">
      <c r="A298" s="33" t="s">
        <v>2033</v>
      </c>
      <c r="B298" s="33" t="s">
        <v>381</v>
      </c>
      <c r="C298" s="33" t="s">
        <v>2034</v>
      </c>
      <c r="D298" s="33" t="s">
        <v>247</v>
      </c>
      <c r="E298" s="39">
        <v>46138.0</v>
      </c>
      <c r="F298" s="33" t="s">
        <v>241</v>
      </c>
      <c r="G298" s="40">
        <v>18700.0</v>
      </c>
      <c r="H298" s="46">
        <v>0.2185</v>
      </c>
      <c r="I298" s="40">
        <v>13891.78</v>
      </c>
      <c r="J298" s="33">
        <v>28.0</v>
      </c>
      <c r="K298" s="33" t="s">
        <v>182</v>
      </c>
    </row>
    <row r="299" ht="15.75" customHeight="1">
      <c r="A299" s="33" t="s">
        <v>2037</v>
      </c>
      <c r="B299" s="33" t="s">
        <v>226</v>
      </c>
      <c r="C299" s="33" t="s">
        <v>2038</v>
      </c>
      <c r="D299" s="33" t="s">
        <v>247</v>
      </c>
      <c r="E299" s="39">
        <v>46022.0</v>
      </c>
      <c r="F299" s="33" t="s">
        <v>241</v>
      </c>
      <c r="G299" s="40">
        <v>43210.0</v>
      </c>
      <c r="H299" s="46">
        <v>0.1414</v>
      </c>
      <c r="I299" s="40">
        <v>21629.35</v>
      </c>
      <c r="J299" s="33">
        <v>78.0</v>
      </c>
      <c r="K299" s="33" t="s">
        <v>385</v>
      </c>
    </row>
    <row r="300" ht="15.75" customHeight="1">
      <c r="A300" s="33" t="s">
        <v>2041</v>
      </c>
      <c r="B300" s="33" t="s">
        <v>1749</v>
      </c>
      <c r="C300" s="33" t="s">
        <v>2043</v>
      </c>
      <c r="D300" s="33" t="s">
        <v>247</v>
      </c>
      <c r="E300" s="39">
        <v>45816.0</v>
      </c>
      <c r="F300" s="33" t="s">
        <v>269</v>
      </c>
      <c r="G300" s="40">
        <v>34270.0</v>
      </c>
      <c r="H300" s="46">
        <v>0.1997</v>
      </c>
      <c r="I300" s="40">
        <v>7799.92</v>
      </c>
      <c r="J300" s="33">
        <v>0.0</v>
      </c>
      <c r="K300" s="33" t="s">
        <v>182</v>
      </c>
    </row>
    <row r="301" ht="15.75" customHeight="1">
      <c r="A301" s="33" t="s">
        <v>2045</v>
      </c>
      <c r="B301" s="33" t="s">
        <v>524</v>
      </c>
      <c r="C301" s="33" t="s">
        <v>2046</v>
      </c>
      <c r="D301" s="33" t="s">
        <v>247</v>
      </c>
      <c r="E301" s="39">
        <v>46225.0</v>
      </c>
      <c r="F301" s="33" t="s">
        <v>241</v>
      </c>
      <c r="G301" s="40">
        <v>23450.0</v>
      </c>
      <c r="H301" s="46">
        <v>0.2191</v>
      </c>
      <c r="I301" s="40">
        <v>20633.07</v>
      </c>
      <c r="J301" s="33">
        <v>0.0</v>
      </c>
      <c r="K301" s="33" t="s">
        <v>182</v>
      </c>
    </row>
    <row r="302" ht="15.75" customHeight="1">
      <c r="A302" s="33" t="s">
        <v>2050</v>
      </c>
      <c r="B302" s="33" t="s">
        <v>2051</v>
      </c>
      <c r="C302" s="33" t="s">
        <v>2052</v>
      </c>
      <c r="D302" s="33" t="s">
        <v>247</v>
      </c>
      <c r="E302" s="39">
        <v>46212.0</v>
      </c>
      <c r="F302" s="33" t="s">
        <v>248</v>
      </c>
      <c r="G302" s="40">
        <v>34580.0</v>
      </c>
      <c r="H302" s="46">
        <v>0.1409</v>
      </c>
      <c r="I302" s="40">
        <v>34694.81</v>
      </c>
      <c r="J302" s="33">
        <v>0.0</v>
      </c>
      <c r="K302" s="33" t="s">
        <v>182</v>
      </c>
    </row>
    <row r="303" ht="15.75" customHeight="1">
      <c r="A303" s="33" t="s">
        <v>2056</v>
      </c>
      <c r="B303" s="33" t="s">
        <v>2009</v>
      </c>
      <c r="C303" s="33" t="s">
        <v>2057</v>
      </c>
      <c r="D303" s="33" t="s">
        <v>227</v>
      </c>
      <c r="E303" s="39">
        <v>46226.0</v>
      </c>
      <c r="F303" s="33" t="s">
        <v>248</v>
      </c>
      <c r="G303" s="40">
        <v>32310.0</v>
      </c>
      <c r="H303" s="46">
        <v>0.1057</v>
      </c>
      <c r="I303" s="40">
        <v>31982.84</v>
      </c>
      <c r="J303" s="33">
        <v>0.0</v>
      </c>
      <c r="K303" s="33" t="s">
        <v>182</v>
      </c>
    </row>
    <row r="304" ht="15.75" customHeight="1">
      <c r="A304" s="33" t="s">
        <v>2060</v>
      </c>
      <c r="B304" s="33" t="s">
        <v>1179</v>
      </c>
      <c r="C304" s="33" t="s">
        <v>2061</v>
      </c>
      <c r="D304" s="33" t="s">
        <v>227</v>
      </c>
      <c r="E304" s="39">
        <v>45684.0</v>
      </c>
      <c r="F304" s="33" t="s">
        <v>230</v>
      </c>
      <c r="G304" s="40">
        <v>14480.0</v>
      </c>
      <c r="H304" s="46">
        <v>0.1389</v>
      </c>
      <c r="I304" s="40">
        <v>0.0</v>
      </c>
      <c r="J304" s="33">
        <v>0.0</v>
      </c>
      <c r="K304" s="33" t="s">
        <v>198</v>
      </c>
    </row>
    <row r="305" ht="15.75" customHeight="1">
      <c r="A305" s="33" t="s">
        <v>2064</v>
      </c>
      <c r="B305" s="33" t="s">
        <v>1099</v>
      </c>
      <c r="C305" s="33" t="s">
        <v>2068</v>
      </c>
      <c r="D305" s="33" t="s">
        <v>247</v>
      </c>
      <c r="E305" s="39">
        <v>45852.0</v>
      </c>
      <c r="F305" s="33" t="s">
        <v>248</v>
      </c>
      <c r="G305" s="40">
        <v>23390.0</v>
      </c>
      <c r="H305" s="46">
        <v>0.09</v>
      </c>
      <c r="I305" s="40">
        <v>7584.94</v>
      </c>
      <c r="J305" s="33">
        <v>0.0</v>
      </c>
      <c r="K305" s="33" t="s">
        <v>182</v>
      </c>
    </row>
    <row r="306" ht="15.75" customHeight="1">
      <c r="A306" s="33" t="s">
        <v>2070</v>
      </c>
      <c r="B306" s="33" t="s">
        <v>620</v>
      </c>
      <c r="C306" s="33" t="s">
        <v>2071</v>
      </c>
      <c r="D306" s="33" t="s">
        <v>247</v>
      </c>
      <c r="E306" s="39">
        <v>45799.0</v>
      </c>
      <c r="F306" s="33" t="s">
        <v>241</v>
      </c>
      <c r="G306" s="40">
        <v>14790.0</v>
      </c>
      <c r="H306" s="46">
        <v>0.0857</v>
      </c>
      <c r="I306" s="40">
        <v>6229.23</v>
      </c>
      <c r="J306" s="33">
        <v>0.0</v>
      </c>
      <c r="K306" s="33" t="s">
        <v>182</v>
      </c>
    </row>
    <row r="307" ht="15.75" customHeight="1">
      <c r="A307" s="33" t="s">
        <v>2074</v>
      </c>
      <c r="B307" s="33" t="s">
        <v>2075</v>
      </c>
      <c r="C307" s="33" t="s">
        <v>2076</v>
      </c>
      <c r="D307" s="33" t="s">
        <v>235</v>
      </c>
      <c r="E307" s="39">
        <v>46019.0</v>
      </c>
      <c r="F307" s="33" t="s">
        <v>241</v>
      </c>
      <c r="G307" s="40">
        <v>7840.0</v>
      </c>
      <c r="H307" s="46">
        <v>0.212</v>
      </c>
      <c r="I307" s="40">
        <v>4222.57</v>
      </c>
      <c r="J307" s="33">
        <v>0.0</v>
      </c>
      <c r="K307" s="33" t="s">
        <v>182</v>
      </c>
    </row>
    <row r="308" ht="15.75" customHeight="1">
      <c r="A308" s="33" t="s">
        <v>2081</v>
      </c>
      <c r="B308" s="33" t="s">
        <v>1006</v>
      </c>
      <c r="C308" s="33" t="s">
        <v>2082</v>
      </c>
      <c r="D308" s="33" t="s">
        <v>227</v>
      </c>
      <c r="E308" s="39">
        <v>46244.0</v>
      </c>
      <c r="F308" s="33" t="s">
        <v>248</v>
      </c>
      <c r="G308" s="40">
        <v>4530.0</v>
      </c>
      <c r="H308" s="46">
        <v>0.2164</v>
      </c>
      <c r="I308" s="40">
        <v>4364.86</v>
      </c>
      <c r="J308" s="33">
        <v>0.0</v>
      </c>
      <c r="K308" s="33" t="s">
        <v>182</v>
      </c>
    </row>
    <row r="309" ht="15.75" customHeight="1">
      <c r="A309" s="33" t="s">
        <v>2089</v>
      </c>
      <c r="B309" s="33" t="s">
        <v>1774</v>
      </c>
      <c r="C309" s="33" t="s">
        <v>2090</v>
      </c>
      <c r="D309" s="33" t="s">
        <v>227</v>
      </c>
      <c r="E309" s="39">
        <v>45928.0</v>
      </c>
      <c r="F309" s="33" t="s">
        <v>230</v>
      </c>
      <c r="G309" s="40">
        <v>30120.0</v>
      </c>
      <c r="H309" s="46">
        <v>0.1836</v>
      </c>
      <c r="I309" s="40">
        <v>8970.5</v>
      </c>
      <c r="J309" s="33">
        <v>0.0</v>
      </c>
      <c r="K309" s="33" t="s">
        <v>182</v>
      </c>
    </row>
    <row r="310" ht="15.75" customHeight="1">
      <c r="A310" s="33" t="s">
        <v>2095</v>
      </c>
      <c r="B310" s="33" t="s">
        <v>953</v>
      </c>
      <c r="C310" s="33" t="s">
        <v>2097</v>
      </c>
      <c r="D310" s="33" t="s">
        <v>227</v>
      </c>
      <c r="E310" s="39">
        <v>46211.0</v>
      </c>
      <c r="F310" s="33" t="s">
        <v>248</v>
      </c>
      <c r="G310" s="40">
        <v>32710.0</v>
      </c>
      <c r="H310" s="46">
        <v>0.2171</v>
      </c>
      <c r="I310" s="40">
        <v>30779.27</v>
      </c>
      <c r="J310" s="33">
        <v>0.0</v>
      </c>
      <c r="K310" s="33" t="s">
        <v>182</v>
      </c>
    </row>
    <row r="311" ht="15.75" customHeight="1">
      <c r="A311" s="33" t="s">
        <v>2100</v>
      </c>
      <c r="B311" s="33" t="s">
        <v>1654</v>
      </c>
      <c r="C311" s="33" t="s">
        <v>2102</v>
      </c>
      <c r="D311" s="33" t="s">
        <v>227</v>
      </c>
      <c r="E311" s="39">
        <v>45881.0</v>
      </c>
      <c r="F311" s="33" t="s">
        <v>230</v>
      </c>
      <c r="G311" s="40">
        <v>44700.0</v>
      </c>
      <c r="H311" s="46">
        <v>0.2297</v>
      </c>
      <c r="I311" s="40">
        <v>9786.53</v>
      </c>
      <c r="J311" s="33">
        <v>0.0</v>
      </c>
      <c r="K311" s="33" t="s">
        <v>182</v>
      </c>
    </row>
    <row r="312" ht="15.75" customHeight="1">
      <c r="A312" s="33" t="s">
        <v>2106</v>
      </c>
      <c r="B312" s="33" t="s">
        <v>1581</v>
      </c>
      <c r="C312" s="33" t="s">
        <v>2108</v>
      </c>
      <c r="D312" s="33" t="s">
        <v>235</v>
      </c>
      <c r="E312" s="39">
        <v>46073.0</v>
      </c>
      <c r="F312" s="33" t="s">
        <v>248</v>
      </c>
      <c r="G312" s="40">
        <v>30790.0</v>
      </c>
      <c r="H312" s="46">
        <v>0.1898</v>
      </c>
      <c r="I312" s="40">
        <v>16989.16</v>
      </c>
      <c r="J312" s="33">
        <v>0.0</v>
      </c>
      <c r="K312" s="33" t="s">
        <v>182</v>
      </c>
    </row>
    <row r="313" ht="15.75" customHeight="1">
      <c r="A313" s="33" t="s">
        <v>2111</v>
      </c>
      <c r="B313" s="33" t="s">
        <v>1463</v>
      </c>
      <c r="C313" s="33" t="s">
        <v>2113</v>
      </c>
      <c r="D313" s="33" t="s">
        <v>227</v>
      </c>
      <c r="E313" s="39">
        <v>46063.0</v>
      </c>
      <c r="F313" s="33" t="s">
        <v>248</v>
      </c>
      <c r="G313" s="40">
        <v>13220.0</v>
      </c>
      <c r="H313" s="46">
        <v>0.2259</v>
      </c>
      <c r="I313" s="40">
        <v>11037.78</v>
      </c>
      <c r="J313" s="33">
        <v>0.0</v>
      </c>
      <c r="K313" s="33" t="s">
        <v>182</v>
      </c>
    </row>
    <row r="314" ht="15.75" customHeight="1">
      <c r="A314" s="33" t="s">
        <v>2115</v>
      </c>
      <c r="B314" s="33" t="s">
        <v>2116</v>
      </c>
      <c r="C314" s="33" t="s">
        <v>2119</v>
      </c>
      <c r="D314" s="33" t="s">
        <v>227</v>
      </c>
      <c r="E314" s="39">
        <v>45990.0</v>
      </c>
      <c r="F314" s="33" t="s">
        <v>230</v>
      </c>
      <c r="G314" s="40">
        <v>10920.0</v>
      </c>
      <c r="H314" s="46">
        <v>0.2271</v>
      </c>
      <c r="I314" s="40">
        <v>6256.23</v>
      </c>
      <c r="J314" s="33">
        <v>0.0</v>
      </c>
      <c r="K314" s="33" t="s">
        <v>182</v>
      </c>
    </row>
    <row r="315" ht="15.75" customHeight="1">
      <c r="A315" s="33" t="s">
        <v>2121</v>
      </c>
      <c r="B315" s="33" t="s">
        <v>2123</v>
      </c>
      <c r="C315" s="33" t="s">
        <v>2124</v>
      </c>
      <c r="D315" s="33" t="s">
        <v>235</v>
      </c>
      <c r="E315" s="39">
        <v>45701.0</v>
      </c>
      <c r="F315" s="33" t="s">
        <v>269</v>
      </c>
      <c r="G315" s="40">
        <v>28380.0</v>
      </c>
      <c r="H315" s="46">
        <v>0.1239</v>
      </c>
      <c r="I315" s="40">
        <v>11831.51</v>
      </c>
      <c r="J315" s="33">
        <v>0.0</v>
      </c>
      <c r="K315" s="33" t="s">
        <v>182</v>
      </c>
    </row>
    <row r="316" ht="15.75" customHeight="1">
      <c r="A316" s="33" t="s">
        <v>2126</v>
      </c>
      <c r="B316" s="33" t="s">
        <v>2088</v>
      </c>
      <c r="C316" s="33" t="s">
        <v>2127</v>
      </c>
      <c r="D316" s="33" t="s">
        <v>247</v>
      </c>
      <c r="E316" s="39">
        <v>45793.0</v>
      </c>
      <c r="F316" s="33" t="s">
        <v>241</v>
      </c>
      <c r="G316" s="40">
        <v>38000.0</v>
      </c>
      <c r="H316" s="46">
        <v>0.232</v>
      </c>
      <c r="I316" s="40">
        <v>14027.22</v>
      </c>
      <c r="J316" s="33">
        <v>0.0</v>
      </c>
      <c r="K316" s="33" t="s">
        <v>182</v>
      </c>
    </row>
    <row r="317" ht="15.75" customHeight="1">
      <c r="A317" s="33" t="s">
        <v>2130</v>
      </c>
      <c r="B317" s="33" t="s">
        <v>2131</v>
      </c>
      <c r="C317" s="33" t="s">
        <v>2133</v>
      </c>
      <c r="D317" s="33" t="s">
        <v>227</v>
      </c>
      <c r="E317" s="39">
        <v>45791.0</v>
      </c>
      <c r="F317" s="33" t="s">
        <v>248</v>
      </c>
      <c r="G317" s="40">
        <v>39080.0</v>
      </c>
      <c r="H317" s="46">
        <v>0.2374</v>
      </c>
      <c r="I317" s="40">
        <v>386.65</v>
      </c>
      <c r="J317" s="33">
        <v>0.0</v>
      </c>
      <c r="K317" s="33" t="s">
        <v>182</v>
      </c>
    </row>
    <row r="318" ht="15.75" customHeight="1">
      <c r="A318" s="33" t="s">
        <v>2134</v>
      </c>
      <c r="B318" s="33" t="s">
        <v>1103</v>
      </c>
      <c r="C318" s="33" t="s">
        <v>2135</v>
      </c>
      <c r="D318" s="33" t="s">
        <v>227</v>
      </c>
      <c r="E318" s="39">
        <v>45900.0</v>
      </c>
      <c r="F318" s="33" t="s">
        <v>241</v>
      </c>
      <c r="G318" s="40">
        <v>12930.0</v>
      </c>
      <c r="H318" s="46">
        <v>0.1248</v>
      </c>
      <c r="I318" s="40">
        <v>3664.05</v>
      </c>
      <c r="J318" s="33">
        <v>0.0</v>
      </c>
      <c r="K318" s="33" t="s">
        <v>182</v>
      </c>
    </row>
    <row r="319" ht="15.75" customHeight="1">
      <c r="A319" s="33" t="s">
        <v>2137</v>
      </c>
      <c r="B319" s="33" t="s">
        <v>740</v>
      </c>
      <c r="C319" s="33" t="s">
        <v>2140</v>
      </c>
      <c r="D319" s="33" t="s">
        <v>247</v>
      </c>
      <c r="E319" s="39">
        <v>46036.0</v>
      </c>
      <c r="F319" s="33" t="s">
        <v>241</v>
      </c>
      <c r="G319" s="40">
        <v>48350.0</v>
      </c>
      <c r="H319" s="46">
        <v>0.1804</v>
      </c>
      <c r="I319" s="40">
        <v>39110.5</v>
      </c>
      <c r="J319" s="33">
        <v>150.0</v>
      </c>
      <c r="K319" s="33" t="s">
        <v>794</v>
      </c>
    </row>
    <row r="320" ht="15.75" customHeight="1">
      <c r="A320" s="33" t="s">
        <v>2145</v>
      </c>
      <c r="B320" s="33" t="s">
        <v>697</v>
      </c>
      <c r="C320" s="33" t="s">
        <v>2146</v>
      </c>
      <c r="D320" s="33" t="s">
        <v>247</v>
      </c>
      <c r="E320" s="39">
        <v>46164.0</v>
      </c>
      <c r="F320" s="33" t="s">
        <v>230</v>
      </c>
      <c r="G320" s="40">
        <v>17590.0</v>
      </c>
      <c r="H320" s="46">
        <v>0.1152</v>
      </c>
      <c r="I320" s="40">
        <v>14061.89</v>
      </c>
      <c r="J320" s="33">
        <v>0.0</v>
      </c>
      <c r="K320" s="33" t="s">
        <v>182</v>
      </c>
    </row>
    <row r="321" ht="15.75" customHeight="1">
      <c r="A321" s="33" t="s">
        <v>2149</v>
      </c>
      <c r="B321" s="33" t="s">
        <v>1444</v>
      </c>
      <c r="C321" s="33" t="s">
        <v>2151</v>
      </c>
      <c r="D321" s="33" t="s">
        <v>247</v>
      </c>
      <c r="E321" s="39">
        <v>46071.0</v>
      </c>
      <c r="F321" s="33" t="s">
        <v>241</v>
      </c>
      <c r="G321" s="40">
        <v>29150.0</v>
      </c>
      <c r="H321" s="46">
        <v>0.143</v>
      </c>
      <c r="I321" s="40">
        <v>20233.78</v>
      </c>
      <c r="J321" s="33">
        <v>0.0</v>
      </c>
      <c r="K321" s="33" t="s">
        <v>182</v>
      </c>
    </row>
    <row r="322" ht="15.75" customHeight="1">
      <c r="A322" s="33" t="s">
        <v>2155</v>
      </c>
      <c r="B322" s="33" t="s">
        <v>606</v>
      </c>
      <c r="C322" s="33" t="s">
        <v>2156</v>
      </c>
      <c r="D322" s="33" t="s">
        <v>247</v>
      </c>
      <c r="E322" s="39">
        <v>46037.0</v>
      </c>
      <c r="F322" s="33" t="s">
        <v>248</v>
      </c>
      <c r="G322" s="40">
        <v>21030.0</v>
      </c>
      <c r="H322" s="46">
        <v>0.1798</v>
      </c>
      <c r="I322" s="40">
        <v>13766.73</v>
      </c>
      <c r="J322" s="33">
        <v>0.0</v>
      </c>
      <c r="K322" s="33" t="s">
        <v>182</v>
      </c>
    </row>
    <row r="323" ht="15.75" customHeight="1">
      <c r="A323" s="33" t="s">
        <v>2160</v>
      </c>
      <c r="B323" s="33" t="s">
        <v>2161</v>
      </c>
      <c r="C323" s="33" t="s">
        <v>2163</v>
      </c>
      <c r="D323" s="33" t="s">
        <v>247</v>
      </c>
      <c r="E323" s="39">
        <v>45804.0</v>
      </c>
      <c r="F323" s="33" t="s">
        <v>269</v>
      </c>
      <c r="G323" s="40">
        <v>42880.0</v>
      </c>
      <c r="H323" s="46">
        <v>0.086</v>
      </c>
      <c r="I323" s="40">
        <v>22759.17</v>
      </c>
      <c r="J323" s="33">
        <v>0.0</v>
      </c>
      <c r="K323" s="33" t="s">
        <v>182</v>
      </c>
    </row>
    <row r="324" ht="15.75" customHeight="1">
      <c r="A324" s="33" t="s">
        <v>2167</v>
      </c>
      <c r="B324" s="33" t="s">
        <v>2169</v>
      </c>
      <c r="C324" s="33" t="s">
        <v>2170</v>
      </c>
      <c r="D324" s="33" t="s">
        <v>247</v>
      </c>
      <c r="E324" s="39">
        <v>46055.0</v>
      </c>
      <c r="F324" s="33" t="s">
        <v>269</v>
      </c>
      <c r="G324" s="40">
        <v>12600.0</v>
      </c>
      <c r="H324" s="46">
        <v>0.1834</v>
      </c>
      <c r="I324" s="40">
        <v>10169.68</v>
      </c>
      <c r="J324" s="33">
        <v>0.0</v>
      </c>
      <c r="K324" s="33" t="s">
        <v>182</v>
      </c>
    </row>
    <row r="325" ht="15.75" customHeight="1">
      <c r="A325" s="33" t="s">
        <v>2173</v>
      </c>
      <c r="B325" s="33" t="s">
        <v>884</v>
      </c>
      <c r="C325" s="33" t="s">
        <v>2176</v>
      </c>
      <c r="D325" s="33" t="s">
        <v>227</v>
      </c>
      <c r="E325" s="39">
        <v>46232.0</v>
      </c>
      <c r="F325" s="33" t="s">
        <v>230</v>
      </c>
      <c r="G325" s="40">
        <v>22830.0</v>
      </c>
      <c r="H325" s="46">
        <v>0.1578</v>
      </c>
      <c r="I325" s="40">
        <v>20225.17</v>
      </c>
      <c r="J325" s="33">
        <v>0.0</v>
      </c>
      <c r="K325" s="33" t="s">
        <v>182</v>
      </c>
    </row>
    <row r="326" ht="15.75" customHeight="1">
      <c r="A326" s="33" t="s">
        <v>2179</v>
      </c>
      <c r="B326" s="33" t="s">
        <v>2180</v>
      </c>
      <c r="C326" s="33" t="s">
        <v>2181</v>
      </c>
      <c r="D326" s="33" t="s">
        <v>227</v>
      </c>
      <c r="E326" s="39">
        <v>45778.0</v>
      </c>
      <c r="F326" s="33" t="s">
        <v>230</v>
      </c>
      <c r="G326" s="40">
        <v>40900.0</v>
      </c>
      <c r="H326" s="46">
        <v>0.0998</v>
      </c>
      <c r="I326" s="40">
        <v>3469.81</v>
      </c>
      <c r="J326" s="33">
        <v>0.0</v>
      </c>
      <c r="K326" s="33" t="s">
        <v>182</v>
      </c>
    </row>
    <row r="327" ht="15.75" customHeight="1">
      <c r="A327" s="33" t="s">
        <v>2184</v>
      </c>
      <c r="B327" s="33" t="s">
        <v>1147</v>
      </c>
      <c r="C327" s="33" t="s">
        <v>2185</v>
      </c>
      <c r="D327" s="33" t="s">
        <v>247</v>
      </c>
      <c r="E327" s="39">
        <v>45847.0</v>
      </c>
      <c r="F327" s="33" t="s">
        <v>230</v>
      </c>
      <c r="G327" s="40">
        <v>37850.0</v>
      </c>
      <c r="H327" s="46">
        <v>0.1895</v>
      </c>
      <c r="I327" s="40">
        <v>7635.66</v>
      </c>
      <c r="J327" s="33">
        <v>0.0</v>
      </c>
      <c r="K327" s="33" t="s">
        <v>182</v>
      </c>
    </row>
    <row r="328" ht="15.75" customHeight="1">
      <c r="A328" s="33" t="s">
        <v>2189</v>
      </c>
      <c r="B328" s="33" t="s">
        <v>1911</v>
      </c>
      <c r="C328" s="33" t="s">
        <v>2191</v>
      </c>
      <c r="D328" s="33" t="s">
        <v>227</v>
      </c>
      <c r="E328" s="39">
        <v>46062.0</v>
      </c>
      <c r="F328" s="33" t="s">
        <v>230</v>
      </c>
      <c r="G328" s="40">
        <v>30500.0</v>
      </c>
      <c r="H328" s="46">
        <v>0.2308</v>
      </c>
      <c r="I328" s="40">
        <v>15886.79</v>
      </c>
      <c r="J328" s="33">
        <v>0.0</v>
      </c>
      <c r="K328" s="33" t="s">
        <v>182</v>
      </c>
    </row>
    <row r="329" ht="15.75" customHeight="1">
      <c r="A329" s="33" t="s">
        <v>2193</v>
      </c>
      <c r="B329" s="33" t="s">
        <v>2194</v>
      </c>
      <c r="C329" s="33" t="s">
        <v>2195</v>
      </c>
      <c r="D329" s="33" t="s">
        <v>247</v>
      </c>
      <c r="E329" s="39">
        <v>45988.0</v>
      </c>
      <c r="F329" s="33" t="s">
        <v>248</v>
      </c>
      <c r="G329" s="40">
        <v>27340.0</v>
      </c>
      <c r="H329" s="46">
        <v>0.0804</v>
      </c>
      <c r="I329" s="40">
        <v>8229.42</v>
      </c>
      <c r="J329" s="33">
        <v>0.0</v>
      </c>
      <c r="K329" s="33" t="s">
        <v>182</v>
      </c>
    </row>
    <row r="330" ht="15.75" customHeight="1">
      <c r="A330" s="33" t="s">
        <v>2200</v>
      </c>
      <c r="B330" s="33" t="s">
        <v>519</v>
      </c>
      <c r="C330" s="33" t="s">
        <v>2202</v>
      </c>
      <c r="D330" s="33" t="s">
        <v>247</v>
      </c>
      <c r="E330" s="39">
        <v>46261.0</v>
      </c>
      <c r="F330" s="33" t="s">
        <v>241</v>
      </c>
      <c r="G330" s="40">
        <v>28690.0</v>
      </c>
      <c r="H330" s="46">
        <v>0.15</v>
      </c>
      <c r="I330" s="40">
        <v>26092.67</v>
      </c>
      <c r="J330" s="33">
        <v>83.0</v>
      </c>
      <c r="K330" s="33" t="s">
        <v>385</v>
      </c>
    </row>
    <row r="331" ht="15.75" customHeight="1">
      <c r="A331" s="33" t="s">
        <v>2204</v>
      </c>
      <c r="B331" s="33" t="s">
        <v>2205</v>
      </c>
      <c r="C331" s="33" t="s">
        <v>2207</v>
      </c>
      <c r="D331" s="33" t="s">
        <v>235</v>
      </c>
      <c r="E331" s="39">
        <v>45779.0</v>
      </c>
      <c r="F331" s="33" t="s">
        <v>230</v>
      </c>
      <c r="G331" s="40">
        <v>38130.0</v>
      </c>
      <c r="H331" s="46">
        <v>0.1002</v>
      </c>
      <c r="I331" s="40">
        <v>15803.28</v>
      </c>
      <c r="J331" s="33">
        <v>0.0</v>
      </c>
      <c r="K331" s="33" t="s">
        <v>182</v>
      </c>
    </row>
    <row r="332" ht="15.75" customHeight="1">
      <c r="A332" s="33" t="s">
        <v>2208</v>
      </c>
      <c r="B332" s="33" t="s">
        <v>618</v>
      </c>
      <c r="C332" s="33" t="s">
        <v>2213</v>
      </c>
      <c r="D332" s="33" t="s">
        <v>227</v>
      </c>
      <c r="E332" s="39">
        <v>45735.0</v>
      </c>
      <c r="F332" s="33" t="s">
        <v>241</v>
      </c>
      <c r="G332" s="40">
        <v>4640.0</v>
      </c>
      <c r="H332" s="46">
        <v>0.1131</v>
      </c>
      <c r="I332" s="40">
        <v>0.0</v>
      </c>
      <c r="J332" s="33">
        <v>0.0</v>
      </c>
      <c r="K332" s="33" t="s">
        <v>198</v>
      </c>
    </row>
    <row r="333" ht="15.75" customHeight="1">
      <c r="A333" s="33" t="s">
        <v>2216</v>
      </c>
      <c r="B333" s="33" t="s">
        <v>539</v>
      </c>
      <c r="C333" s="33" t="s">
        <v>2218</v>
      </c>
      <c r="D333" s="33" t="s">
        <v>247</v>
      </c>
      <c r="E333" s="39">
        <v>45922.0</v>
      </c>
      <c r="F333" s="33" t="s">
        <v>248</v>
      </c>
      <c r="G333" s="40">
        <v>42530.0</v>
      </c>
      <c r="H333" s="46">
        <v>0.1587</v>
      </c>
      <c r="I333" s="40">
        <v>26256.3</v>
      </c>
      <c r="J333" s="33">
        <v>0.0</v>
      </c>
      <c r="K333" s="33" t="s">
        <v>182</v>
      </c>
    </row>
    <row r="334" ht="15.75" customHeight="1">
      <c r="A334" s="33" t="s">
        <v>2223</v>
      </c>
      <c r="B334" s="33" t="s">
        <v>1758</v>
      </c>
      <c r="C334" s="33" t="s">
        <v>2224</v>
      </c>
      <c r="D334" s="33" t="s">
        <v>227</v>
      </c>
      <c r="E334" s="39">
        <v>46224.0</v>
      </c>
      <c r="F334" s="33" t="s">
        <v>230</v>
      </c>
      <c r="G334" s="40">
        <v>26570.0</v>
      </c>
      <c r="H334" s="46">
        <v>0.1266</v>
      </c>
      <c r="I334" s="40">
        <v>23169.9</v>
      </c>
      <c r="J334" s="33">
        <v>86.0</v>
      </c>
      <c r="K334" s="33" t="s">
        <v>385</v>
      </c>
    </row>
    <row r="335" ht="15.75" customHeight="1">
      <c r="A335" s="33" t="s">
        <v>2230</v>
      </c>
      <c r="B335" s="33" t="s">
        <v>2231</v>
      </c>
      <c r="C335" s="33" t="s">
        <v>2232</v>
      </c>
      <c r="D335" s="33" t="s">
        <v>235</v>
      </c>
      <c r="E335" s="39">
        <v>45799.0</v>
      </c>
      <c r="F335" s="33" t="s">
        <v>230</v>
      </c>
      <c r="G335" s="40">
        <v>1640.0</v>
      </c>
      <c r="H335" s="46">
        <v>0.1839</v>
      </c>
      <c r="I335" s="40">
        <v>663.14</v>
      </c>
      <c r="J335" s="33">
        <v>0.0</v>
      </c>
      <c r="K335" s="33" t="s">
        <v>182</v>
      </c>
    </row>
    <row r="336" ht="15.75" customHeight="1">
      <c r="A336" s="33" t="s">
        <v>2235</v>
      </c>
      <c r="B336" s="33" t="s">
        <v>245</v>
      </c>
      <c r="C336" s="33" t="s">
        <v>2237</v>
      </c>
      <c r="D336" s="33" t="s">
        <v>247</v>
      </c>
      <c r="E336" s="39">
        <v>46034.0</v>
      </c>
      <c r="F336" s="33" t="s">
        <v>241</v>
      </c>
      <c r="G336" s="40">
        <v>25140.0</v>
      </c>
      <c r="H336" s="46">
        <v>0.1222</v>
      </c>
      <c r="I336" s="40">
        <v>13303.02</v>
      </c>
      <c r="J336" s="33">
        <v>0.0</v>
      </c>
      <c r="K336" s="33" t="s">
        <v>182</v>
      </c>
    </row>
    <row r="337" ht="15.75" customHeight="1">
      <c r="A337" s="33" t="s">
        <v>2240</v>
      </c>
      <c r="B337" s="33" t="s">
        <v>2023</v>
      </c>
      <c r="C337" s="33" t="s">
        <v>2241</v>
      </c>
      <c r="D337" s="33" t="s">
        <v>235</v>
      </c>
      <c r="E337" s="39">
        <v>46025.0</v>
      </c>
      <c r="F337" s="33" t="s">
        <v>248</v>
      </c>
      <c r="G337" s="40">
        <v>42620.0</v>
      </c>
      <c r="H337" s="46">
        <v>0.2042</v>
      </c>
      <c r="I337" s="40">
        <v>27132.03</v>
      </c>
      <c r="J337" s="33">
        <v>0.0</v>
      </c>
      <c r="K337" s="33" t="s">
        <v>182</v>
      </c>
    </row>
    <row r="338" ht="15.75" customHeight="1">
      <c r="A338" s="33" t="s">
        <v>2246</v>
      </c>
      <c r="B338" s="33" t="s">
        <v>206</v>
      </c>
      <c r="C338" s="33" t="s">
        <v>2248</v>
      </c>
      <c r="D338" s="33" t="s">
        <v>247</v>
      </c>
      <c r="E338" s="39">
        <v>45704.0</v>
      </c>
      <c r="F338" s="33" t="s">
        <v>248</v>
      </c>
      <c r="G338" s="40">
        <v>44640.0</v>
      </c>
      <c r="H338" s="46">
        <v>0.1094</v>
      </c>
      <c r="I338" s="40">
        <v>0.0</v>
      </c>
      <c r="J338" s="33">
        <v>0.0</v>
      </c>
      <c r="K338" s="33" t="s">
        <v>198</v>
      </c>
    </row>
    <row r="339" ht="15.75" customHeight="1">
      <c r="A339" s="33" t="s">
        <v>2251</v>
      </c>
      <c r="B339" s="33" t="s">
        <v>2252</v>
      </c>
      <c r="C339" s="33" t="s">
        <v>2253</v>
      </c>
      <c r="D339" s="33" t="s">
        <v>227</v>
      </c>
      <c r="E339" s="39">
        <v>45746.0</v>
      </c>
      <c r="F339" s="33" t="s">
        <v>230</v>
      </c>
      <c r="G339" s="40">
        <v>38680.0</v>
      </c>
      <c r="H339" s="46">
        <v>0.2252</v>
      </c>
      <c r="I339" s="40">
        <v>0.0</v>
      </c>
      <c r="J339" s="33">
        <v>74.0</v>
      </c>
      <c r="K339" s="33" t="s">
        <v>198</v>
      </c>
    </row>
    <row r="340" ht="15.75" customHeight="1">
      <c r="A340" s="33" t="s">
        <v>2256</v>
      </c>
      <c r="B340" s="33" t="s">
        <v>306</v>
      </c>
      <c r="C340" s="33" t="s">
        <v>2257</v>
      </c>
      <c r="D340" s="33" t="s">
        <v>227</v>
      </c>
      <c r="E340" s="39">
        <v>45980.0</v>
      </c>
      <c r="F340" s="33" t="s">
        <v>230</v>
      </c>
      <c r="G340" s="40">
        <v>20090.0</v>
      </c>
      <c r="H340" s="46">
        <v>0.144</v>
      </c>
      <c r="I340" s="40">
        <v>15324.64</v>
      </c>
      <c r="J340" s="33">
        <v>0.0</v>
      </c>
      <c r="K340" s="33" t="s">
        <v>182</v>
      </c>
    </row>
    <row r="341" ht="15.75" customHeight="1">
      <c r="A341" s="33" t="s">
        <v>2261</v>
      </c>
      <c r="B341" s="33" t="s">
        <v>1321</v>
      </c>
      <c r="C341" s="33" t="s">
        <v>2262</v>
      </c>
      <c r="D341" s="33" t="s">
        <v>227</v>
      </c>
      <c r="E341" s="39">
        <v>45816.0</v>
      </c>
      <c r="F341" s="33" t="s">
        <v>230</v>
      </c>
      <c r="G341" s="40">
        <v>35200.0</v>
      </c>
      <c r="H341" s="46">
        <v>0.0889</v>
      </c>
      <c r="I341" s="40">
        <v>18666.48</v>
      </c>
      <c r="J341" s="33">
        <v>0.0</v>
      </c>
      <c r="K341" s="33" t="s">
        <v>182</v>
      </c>
    </row>
    <row r="342" ht="15.75" customHeight="1">
      <c r="A342" s="33" t="s">
        <v>2265</v>
      </c>
      <c r="B342" s="33" t="s">
        <v>260</v>
      </c>
      <c r="C342" s="33" t="s">
        <v>2267</v>
      </c>
      <c r="D342" s="33" t="s">
        <v>235</v>
      </c>
      <c r="E342" s="39">
        <v>46021.0</v>
      </c>
      <c r="F342" s="33" t="s">
        <v>269</v>
      </c>
      <c r="G342" s="40">
        <v>13600.0</v>
      </c>
      <c r="H342" s="46">
        <v>0.096</v>
      </c>
      <c r="I342" s="40">
        <v>8154.89</v>
      </c>
      <c r="J342" s="33">
        <v>0.0</v>
      </c>
      <c r="K342" s="33" t="s">
        <v>182</v>
      </c>
    </row>
    <row r="343" ht="15.75" customHeight="1">
      <c r="A343" s="33" t="s">
        <v>2272</v>
      </c>
      <c r="B343" s="33" t="s">
        <v>1842</v>
      </c>
      <c r="C343" s="33" t="s">
        <v>2274</v>
      </c>
      <c r="D343" s="33" t="s">
        <v>247</v>
      </c>
      <c r="E343" s="39">
        <v>45721.0</v>
      </c>
      <c r="F343" s="33" t="s">
        <v>241</v>
      </c>
      <c r="G343" s="40">
        <v>7340.0</v>
      </c>
      <c r="H343" s="46">
        <v>0.1653</v>
      </c>
      <c r="I343" s="40">
        <v>2927.11</v>
      </c>
      <c r="J343" s="33">
        <v>0.0</v>
      </c>
      <c r="K343" s="33" t="s">
        <v>182</v>
      </c>
    </row>
    <row r="344" ht="15.75" customHeight="1">
      <c r="A344" s="33" t="s">
        <v>2279</v>
      </c>
      <c r="B344" s="33" t="s">
        <v>891</v>
      </c>
      <c r="C344" s="33" t="s">
        <v>2282</v>
      </c>
      <c r="D344" s="33" t="s">
        <v>227</v>
      </c>
      <c r="E344" s="39">
        <v>46140.0</v>
      </c>
      <c r="F344" s="33" t="s">
        <v>230</v>
      </c>
      <c r="G344" s="40">
        <v>18430.0</v>
      </c>
      <c r="H344" s="46">
        <v>0.2258</v>
      </c>
      <c r="I344" s="40">
        <v>13494.17</v>
      </c>
      <c r="J344" s="33">
        <v>0.0</v>
      </c>
      <c r="K344" s="33" t="s">
        <v>182</v>
      </c>
    </row>
    <row r="345" ht="15.75" customHeight="1">
      <c r="A345" s="33" t="s">
        <v>2285</v>
      </c>
      <c r="B345" s="33" t="s">
        <v>2286</v>
      </c>
      <c r="C345" s="33" t="s">
        <v>2287</v>
      </c>
      <c r="D345" s="33" t="s">
        <v>247</v>
      </c>
      <c r="E345" s="39">
        <v>45727.0</v>
      </c>
      <c r="F345" s="33" t="s">
        <v>269</v>
      </c>
      <c r="G345" s="40">
        <v>42780.0</v>
      </c>
      <c r="H345" s="46">
        <v>0.1625</v>
      </c>
      <c r="I345" s="40">
        <v>9298.63</v>
      </c>
      <c r="J345" s="33">
        <v>0.0</v>
      </c>
      <c r="K345" s="33" t="s">
        <v>182</v>
      </c>
    </row>
    <row r="346" ht="15.75" customHeight="1">
      <c r="A346" s="33" t="s">
        <v>2291</v>
      </c>
      <c r="B346" s="33" t="s">
        <v>1259</v>
      </c>
      <c r="C346" s="33" t="s">
        <v>2293</v>
      </c>
      <c r="D346" s="33" t="s">
        <v>227</v>
      </c>
      <c r="E346" s="39">
        <v>46212.0</v>
      </c>
      <c r="F346" s="33" t="s">
        <v>248</v>
      </c>
      <c r="G346" s="40">
        <v>19880.0</v>
      </c>
      <c r="H346" s="46">
        <v>0.152</v>
      </c>
      <c r="I346" s="40">
        <v>17648.32</v>
      </c>
      <c r="J346" s="33">
        <v>0.0</v>
      </c>
      <c r="K346" s="33" t="s">
        <v>182</v>
      </c>
    </row>
    <row r="347" ht="15.75" customHeight="1">
      <c r="A347" s="33" t="s">
        <v>2296</v>
      </c>
      <c r="B347" s="33" t="s">
        <v>208</v>
      </c>
      <c r="C347" s="33" t="s">
        <v>2297</v>
      </c>
      <c r="D347" s="33" t="s">
        <v>235</v>
      </c>
      <c r="E347" s="39">
        <v>45759.0</v>
      </c>
      <c r="F347" s="33" t="s">
        <v>241</v>
      </c>
      <c r="G347" s="40">
        <v>32650.0</v>
      </c>
      <c r="H347" s="46">
        <v>0.2036</v>
      </c>
      <c r="I347" s="40">
        <v>0.0</v>
      </c>
      <c r="J347" s="33">
        <v>0.0</v>
      </c>
      <c r="K347" s="33" t="s">
        <v>198</v>
      </c>
    </row>
    <row r="348" ht="15.75" customHeight="1">
      <c r="A348" s="33" t="s">
        <v>2302</v>
      </c>
      <c r="B348" s="33" t="s">
        <v>2303</v>
      </c>
      <c r="C348" s="33" t="s">
        <v>2304</v>
      </c>
      <c r="D348" s="33" t="s">
        <v>227</v>
      </c>
      <c r="E348" s="39">
        <v>46097.0</v>
      </c>
      <c r="F348" s="33" t="s">
        <v>241</v>
      </c>
      <c r="G348" s="40">
        <v>39770.0</v>
      </c>
      <c r="H348" s="46">
        <v>0.1163</v>
      </c>
      <c r="I348" s="40">
        <v>28134.15</v>
      </c>
      <c r="J348" s="33">
        <v>0.0</v>
      </c>
      <c r="K348" s="33" t="s">
        <v>182</v>
      </c>
    </row>
    <row r="349" ht="15.75" customHeight="1">
      <c r="A349" s="33" t="s">
        <v>2306</v>
      </c>
      <c r="B349" s="33" t="s">
        <v>2048</v>
      </c>
      <c r="C349" s="33" t="s">
        <v>2309</v>
      </c>
      <c r="D349" s="33" t="s">
        <v>247</v>
      </c>
      <c r="E349" s="39">
        <v>46147.0</v>
      </c>
      <c r="F349" s="33" t="s">
        <v>241</v>
      </c>
      <c r="G349" s="40">
        <v>45880.0</v>
      </c>
      <c r="H349" s="46">
        <v>0.1883</v>
      </c>
      <c r="I349" s="40">
        <v>37625.1</v>
      </c>
      <c r="J349" s="33">
        <v>0.0</v>
      </c>
      <c r="K349" s="33" t="s">
        <v>182</v>
      </c>
    </row>
    <row r="350" ht="15.75" customHeight="1">
      <c r="A350" s="33" t="s">
        <v>2311</v>
      </c>
      <c r="B350" s="33" t="s">
        <v>315</v>
      </c>
      <c r="C350" s="33" t="s">
        <v>2312</v>
      </c>
      <c r="D350" s="33" t="s">
        <v>227</v>
      </c>
      <c r="E350" s="39">
        <v>45928.0</v>
      </c>
      <c r="F350" s="33" t="s">
        <v>241</v>
      </c>
      <c r="G350" s="40">
        <v>15130.0</v>
      </c>
      <c r="H350" s="46">
        <v>0.1149</v>
      </c>
      <c r="I350" s="40">
        <v>9671.68</v>
      </c>
      <c r="J350" s="33">
        <v>0.0</v>
      </c>
      <c r="K350" s="33" t="s">
        <v>182</v>
      </c>
    </row>
    <row r="351" ht="15.75" customHeight="1">
      <c r="A351" s="33" t="s">
        <v>2315</v>
      </c>
      <c r="B351" s="33" t="s">
        <v>2092</v>
      </c>
      <c r="C351" s="33" t="s">
        <v>2320</v>
      </c>
      <c r="D351" s="33" t="s">
        <v>227</v>
      </c>
      <c r="E351" s="39">
        <v>46068.0</v>
      </c>
      <c r="F351" s="33" t="s">
        <v>230</v>
      </c>
      <c r="G351" s="40">
        <v>8860.0</v>
      </c>
      <c r="H351" s="46">
        <v>0.2153</v>
      </c>
      <c r="I351" s="40">
        <v>6605.83</v>
      </c>
      <c r="J351" s="33">
        <v>65.0</v>
      </c>
      <c r="K351" s="33" t="s">
        <v>385</v>
      </c>
    </row>
    <row r="352" ht="15.75" customHeight="1">
      <c r="A352" s="33" t="s">
        <v>2322</v>
      </c>
      <c r="B352" s="33" t="s">
        <v>576</v>
      </c>
      <c r="C352" s="33" t="s">
        <v>2323</v>
      </c>
      <c r="D352" s="33" t="s">
        <v>235</v>
      </c>
      <c r="E352" s="39">
        <v>46056.0</v>
      </c>
      <c r="F352" s="33" t="s">
        <v>230</v>
      </c>
      <c r="G352" s="40">
        <v>7600.0</v>
      </c>
      <c r="H352" s="46">
        <v>0.221</v>
      </c>
      <c r="I352" s="40">
        <v>5112.26</v>
      </c>
      <c r="J352" s="33">
        <v>74.0</v>
      </c>
      <c r="K352" s="33" t="s">
        <v>385</v>
      </c>
    </row>
    <row r="353" ht="15.75" customHeight="1">
      <c r="A353" s="33" t="s">
        <v>2325</v>
      </c>
      <c r="B353" s="33" t="s">
        <v>2161</v>
      </c>
      <c r="C353" s="33" t="s">
        <v>2328</v>
      </c>
      <c r="D353" s="33" t="s">
        <v>247</v>
      </c>
      <c r="E353" s="39">
        <v>45799.0</v>
      </c>
      <c r="F353" s="33" t="s">
        <v>230</v>
      </c>
      <c r="G353" s="40">
        <v>36530.0</v>
      </c>
      <c r="H353" s="46">
        <v>0.1111</v>
      </c>
      <c r="I353" s="40">
        <v>16603.88</v>
      </c>
      <c r="J353" s="33">
        <v>0.0</v>
      </c>
      <c r="K353" s="33" t="s">
        <v>182</v>
      </c>
    </row>
    <row r="354" ht="15.75" customHeight="1">
      <c r="A354" s="33" t="s">
        <v>2330</v>
      </c>
      <c r="B354" s="33" t="s">
        <v>526</v>
      </c>
      <c r="C354" s="33" t="s">
        <v>2332</v>
      </c>
      <c r="D354" s="33" t="s">
        <v>247</v>
      </c>
      <c r="E354" s="39">
        <v>45807.0</v>
      </c>
      <c r="F354" s="33" t="s">
        <v>248</v>
      </c>
      <c r="G354" s="40">
        <v>34270.0</v>
      </c>
      <c r="H354" s="46">
        <v>0.103</v>
      </c>
      <c r="I354" s="40">
        <v>17625.19</v>
      </c>
      <c r="J354" s="33">
        <v>0.0</v>
      </c>
      <c r="K354" s="33" t="s">
        <v>182</v>
      </c>
    </row>
    <row r="355" ht="15.75" customHeight="1">
      <c r="A355" s="33" t="s">
        <v>2335</v>
      </c>
      <c r="B355" s="33" t="s">
        <v>850</v>
      </c>
      <c r="C355" s="33" t="s">
        <v>2337</v>
      </c>
      <c r="D355" s="33" t="s">
        <v>227</v>
      </c>
      <c r="E355" s="39">
        <v>46161.0</v>
      </c>
      <c r="F355" s="33" t="s">
        <v>241</v>
      </c>
      <c r="G355" s="40">
        <v>43670.0</v>
      </c>
      <c r="H355" s="46">
        <v>0.1957</v>
      </c>
      <c r="I355" s="40">
        <v>36423.57</v>
      </c>
      <c r="J355" s="33">
        <v>0.0</v>
      </c>
      <c r="K355" s="33" t="s">
        <v>182</v>
      </c>
    </row>
    <row r="356" ht="15.75" customHeight="1">
      <c r="A356" s="33" t="s">
        <v>2339</v>
      </c>
      <c r="B356" s="33" t="s">
        <v>225</v>
      </c>
      <c r="C356" s="33" t="s">
        <v>2341</v>
      </c>
      <c r="D356" s="33" t="s">
        <v>227</v>
      </c>
      <c r="E356" s="39">
        <v>45844.0</v>
      </c>
      <c r="F356" s="33" t="s">
        <v>230</v>
      </c>
      <c r="G356" s="40">
        <v>39400.0</v>
      </c>
      <c r="H356" s="46">
        <v>0.1845</v>
      </c>
      <c r="I356" s="40">
        <v>13008.73</v>
      </c>
      <c r="J356" s="33">
        <v>0.0</v>
      </c>
      <c r="K356" s="33" t="s">
        <v>182</v>
      </c>
    </row>
    <row r="357" ht="15.75" customHeight="1">
      <c r="A357" s="33" t="s">
        <v>2343</v>
      </c>
      <c r="B357" s="33" t="s">
        <v>1640</v>
      </c>
      <c r="C357" s="33" t="s">
        <v>2344</v>
      </c>
      <c r="D357" s="33" t="s">
        <v>247</v>
      </c>
      <c r="E357" s="39">
        <v>45778.0</v>
      </c>
      <c r="F357" s="33" t="s">
        <v>241</v>
      </c>
      <c r="G357" s="40">
        <v>47620.0</v>
      </c>
      <c r="H357" s="46">
        <v>0.1795</v>
      </c>
      <c r="I357" s="40">
        <v>22614.46</v>
      </c>
      <c r="J357" s="33">
        <v>7.0</v>
      </c>
      <c r="K357" s="33" t="s">
        <v>182</v>
      </c>
    </row>
    <row r="358" ht="15.75" customHeight="1">
      <c r="A358" s="33" t="s">
        <v>2347</v>
      </c>
      <c r="B358" s="33" t="s">
        <v>1850</v>
      </c>
      <c r="C358" s="33" t="s">
        <v>2349</v>
      </c>
      <c r="D358" s="33" t="s">
        <v>247</v>
      </c>
      <c r="E358" s="39">
        <v>46059.0</v>
      </c>
      <c r="F358" s="33" t="s">
        <v>248</v>
      </c>
      <c r="G358" s="40">
        <v>18280.0</v>
      </c>
      <c r="H358" s="46">
        <v>0.1615</v>
      </c>
      <c r="I358" s="40">
        <v>14315.12</v>
      </c>
      <c r="J358" s="33">
        <v>0.0</v>
      </c>
      <c r="K358" s="33" t="s">
        <v>182</v>
      </c>
    </row>
    <row r="359" ht="15.75" customHeight="1">
      <c r="A359" s="33" t="s">
        <v>2351</v>
      </c>
      <c r="B359" s="33" t="s">
        <v>1693</v>
      </c>
      <c r="C359" s="33" t="s">
        <v>2352</v>
      </c>
      <c r="D359" s="33" t="s">
        <v>247</v>
      </c>
      <c r="E359" s="39">
        <v>46111.0</v>
      </c>
      <c r="F359" s="33" t="s">
        <v>230</v>
      </c>
      <c r="G359" s="40">
        <v>20170.0</v>
      </c>
      <c r="H359" s="46">
        <v>0.1006</v>
      </c>
      <c r="I359" s="40">
        <v>15695.72</v>
      </c>
      <c r="J359" s="33">
        <v>0.0</v>
      </c>
      <c r="K359" s="33" t="s">
        <v>182</v>
      </c>
    </row>
    <row r="360" ht="15.75" customHeight="1">
      <c r="A360" s="33" t="s">
        <v>2355</v>
      </c>
      <c r="B360" s="33" t="s">
        <v>2165</v>
      </c>
      <c r="C360" s="33" t="s">
        <v>2356</v>
      </c>
      <c r="D360" s="33" t="s">
        <v>247</v>
      </c>
      <c r="E360" s="39">
        <v>45824.0</v>
      </c>
      <c r="F360" s="33" t="s">
        <v>230</v>
      </c>
      <c r="G360" s="40">
        <v>4900.0</v>
      </c>
      <c r="H360" s="46">
        <v>0.1951</v>
      </c>
      <c r="I360" s="40">
        <v>1890.96</v>
      </c>
      <c r="J360" s="33">
        <v>0.0</v>
      </c>
      <c r="K360" s="33" t="s">
        <v>182</v>
      </c>
    </row>
    <row r="361" ht="15.75" customHeight="1">
      <c r="A361" s="33" t="s">
        <v>2360</v>
      </c>
      <c r="B361" s="33" t="s">
        <v>1325</v>
      </c>
      <c r="C361" s="33" t="s">
        <v>2361</v>
      </c>
      <c r="D361" s="33" t="s">
        <v>227</v>
      </c>
      <c r="E361" s="39">
        <v>46121.0</v>
      </c>
      <c r="F361" s="33" t="s">
        <v>241</v>
      </c>
      <c r="G361" s="40">
        <v>33910.0</v>
      </c>
      <c r="H361" s="46">
        <v>0.106</v>
      </c>
      <c r="I361" s="40">
        <v>30651.9</v>
      </c>
      <c r="J361" s="33">
        <v>87.0</v>
      </c>
      <c r="K361" s="33" t="s">
        <v>385</v>
      </c>
    </row>
    <row r="362" ht="15.75" customHeight="1">
      <c r="A362" s="33" t="s">
        <v>2364</v>
      </c>
      <c r="B362" s="33" t="s">
        <v>749</v>
      </c>
      <c r="C362" s="33" t="s">
        <v>2365</v>
      </c>
      <c r="D362" s="33" t="s">
        <v>235</v>
      </c>
      <c r="E362" s="39">
        <v>45738.0</v>
      </c>
      <c r="F362" s="33" t="s">
        <v>230</v>
      </c>
      <c r="G362" s="40">
        <v>24940.0</v>
      </c>
      <c r="H362" s="46">
        <v>0.1669</v>
      </c>
      <c r="I362" s="40">
        <v>11293.78</v>
      </c>
      <c r="J362" s="33">
        <v>0.0</v>
      </c>
      <c r="K362" s="33" t="s">
        <v>182</v>
      </c>
    </row>
    <row r="363" ht="15.75" customHeight="1">
      <c r="A363" s="33" t="s">
        <v>2368</v>
      </c>
      <c r="B363" s="33" t="s">
        <v>572</v>
      </c>
      <c r="C363" s="33" t="s">
        <v>2370</v>
      </c>
      <c r="D363" s="33" t="s">
        <v>247</v>
      </c>
      <c r="E363" s="39">
        <v>46169.0</v>
      </c>
      <c r="F363" s="33" t="s">
        <v>230</v>
      </c>
      <c r="G363" s="40">
        <v>17270.0</v>
      </c>
      <c r="H363" s="46">
        <v>0.1355</v>
      </c>
      <c r="I363" s="40">
        <v>15155.14</v>
      </c>
      <c r="J363" s="33">
        <v>88.0</v>
      </c>
      <c r="K363" s="33" t="s">
        <v>385</v>
      </c>
    </row>
    <row r="364" ht="15.75" customHeight="1">
      <c r="A364" s="33" t="s">
        <v>2373</v>
      </c>
      <c r="B364" s="33" t="s">
        <v>1828</v>
      </c>
      <c r="C364" s="33" t="s">
        <v>2374</v>
      </c>
      <c r="D364" s="33" t="s">
        <v>247</v>
      </c>
      <c r="E364" s="39">
        <v>46209.0</v>
      </c>
      <c r="F364" s="33" t="s">
        <v>241</v>
      </c>
      <c r="G364" s="40">
        <v>18370.0</v>
      </c>
      <c r="H364" s="46">
        <v>0.1331</v>
      </c>
      <c r="I364" s="40">
        <v>16512.74</v>
      </c>
      <c r="J364" s="33">
        <v>26.0</v>
      </c>
      <c r="K364" s="33" t="s">
        <v>182</v>
      </c>
    </row>
    <row r="365" ht="15.75" customHeight="1">
      <c r="A365" s="33" t="s">
        <v>2378</v>
      </c>
      <c r="B365" s="33" t="s">
        <v>1730</v>
      </c>
      <c r="C365" s="33" t="s">
        <v>2379</v>
      </c>
      <c r="D365" s="33" t="s">
        <v>227</v>
      </c>
      <c r="E365" s="39">
        <v>45718.0</v>
      </c>
      <c r="F365" s="33" t="s">
        <v>269</v>
      </c>
      <c r="G365" s="40">
        <v>11590.0</v>
      </c>
      <c r="H365" s="46">
        <v>0.2132</v>
      </c>
      <c r="I365" s="40">
        <v>3225.13</v>
      </c>
      <c r="J365" s="33">
        <v>0.0</v>
      </c>
      <c r="K365" s="33" t="s">
        <v>182</v>
      </c>
    </row>
    <row r="366" ht="15.75" customHeight="1">
      <c r="A366" s="33" t="s">
        <v>2381</v>
      </c>
      <c r="B366" s="33" t="s">
        <v>2023</v>
      </c>
      <c r="C366" s="33" t="s">
        <v>2383</v>
      </c>
      <c r="D366" s="33" t="s">
        <v>247</v>
      </c>
      <c r="E366" s="39">
        <v>45800.0</v>
      </c>
      <c r="F366" s="33" t="s">
        <v>248</v>
      </c>
      <c r="G366" s="40">
        <v>17160.0</v>
      </c>
      <c r="H366" s="46">
        <v>0.153</v>
      </c>
      <c r="I366" s="40">
        <v>1743.5</v>
      </c>
      <c r="J366" s="33">
        <v>0.0</v>
      </c>
      <c r="K366" s="33" t="s">
        <v>182</v>
      </c>
    </row>
    <row r="367" ht="15.75" customHeight="1">
      <c r="A367" s="33" t="s">
        <v>2386</v>
      </c>
      <c r="B367" s="33" t="s">
        <v>627</v>
      </c>
      <c r="C367" s="33" t="s">
        <v>2387</v>
      </c>
      <c r="D367" s="33" t="s">
        <v>235</v>
      </c>
      <c r="E367" s="39">
        <v>45977.0</v>
      </c>
      <c r="F367" s="33" t="s">
        <v>241</v>
      </c>
      <c r="G367" s="40">
        <v>23620.0</v>
      </c>
      <c r="H367" s="46">
        <v>0.159</v>
      </c>
      <c r="I367" s="40">
        <v>10953.29</v>
      </c>
      <c r="J367" s="33">
        <v>0.0</v>
      </c>
      <c r="K367" s="33" t="s">
        <v>182</v>
      </c>
    </row>
    <row r="368" ht="15.75" customHeight="1">
      <c r="A368" s="33" t="s">
        <v>2390</v>
      </c>
      <c r="B368" s="33" t="s">
        <v>496</v>
      </c>
      <c r="C368" s="33" t="s">
        <v>2391</v>
      </c>
      <c r="D368" s="33" t="s">
        <v>227</v>
      </c>
      <c r="E368" s="39">
        <v>46139.0</v>
      </c>
      <c r="F368" s="33" t="s">
        <v>248</v>
      </c>
      <c r="G368" s="40">
        <v>30010.0</v>
      </c>
      <c r="H368" s="46">
        <v>0.2234</v>
      </c>
      <c r="I368" s="40">
        <v>23736.62</v>
      </c>
      <c r="J368" s="33">
        <v>0.0</v>
      </c>
      <c r="K368" s="33" t="s">
        <v>182</v>
      </c>
    </row>
    <row r="369" ht="15.75" customHeight="1">
      <c r="A369" s="33" t="s">
        <v>2393</v>
      </c>
      <c r="B369" s="33" t="s">
        <v>2362</v>
      </c>
      <c r="C369" s="33" t="s">
        <v>2395</v>
      </c>
      <c r="D369" s="33" t="s">
        <v>227</v>
      </c>
      <c r="E369" s="39">
        <v>46246.0</v>
      </c>
      <c r="F369" s="33" t="s">
        <v>230</v>
      </c>
      <c r="G369" s="40">
        <v>22250.0</v>
      </c>
      <c r="H369" s="46">
        <v>0.1694</v>
      </c>
      <c r="I369" s="40">
        <v>21252.96</v>
      </c>
      <c r="J369" s="33">
        <v>0.0</v>
      </c>
      <c r="K369" s="33" t="s">
        <v>182</v>
      </c>
    </row>
    <row r="370" ht="15.75" customHeight="1">
      <c r="A370" s="33" t="s">
        <v>2398</v>
      </c>
      <c r="B370" s="33" t="s">
        <v>879</v>
      </c>
      <c r="C370" s="33" t="s">
        <v>2400</v>
      </c>
      <c r="D370" s="33" t="s">
        <v>247</v>
      </c>
      <c r="E370" s="39">
        <v>45948.0</v>
      </c>
      <c r="F370" s="33" t="s">
        <v>230</v>
      </c>
      <c r="G370" s="40">
        <v>8350.0</v>
      </c>
      <c r="H370" s="46">
        <v>0.2082</v>
      </c>
      <c r="I370" s="40">
        <v>5836.68</v>
      </c>
      <c r="J370" s="33">
        <v>80.0</v>
      </c>
      <c r="K370" s="33" t="s">
        <v>385</v>
      </c>
    </row>
    <row r="371" ht="15.75" customHeight="1">
      <c r="A371" s="33" t="s">
        <v>2402</v>
      </c>
      <c r="B371" s="33" t="s">
        <v>1649</v>
      </c>
      <c r="C371" s="33" t="s">
        <v>2403</v>
      </c>
      <c r="D371" s="33" t="s">
        <v>247</v>
      </c>
      <c r="E371" s="39">
        <v>46234.0</v>
      </c>
      <c r="F371" s="33" t="s">
        <v>248</v>
      </c>
      <c r="G371" s="40">
        <v>13660.0</v>
      </c>
      <c r="H371" s="46">
        <v>0.2181</v>
      </c>
      <c r="I371" s="40">
        <v>12103.71</v>
      </c>
      <c r="J371" s="33">
        <v>0.0</v>
      </c>
      <c r="K371" s="33" t="s">
        <v>182</v>
      </c>
    </row>
    <row r="372" ht="15.75" customHeight="1">
      <c r="A372" s="33" t="s">
        <v>2406</v>
      </c>
      <c r="B372" s="33" t="s">
        <v>2165</v>
      </c>
      <c r="C372" s="33" t="s">
        <v>2407</v>
      </c>
      <c r="D372" s="33" t="s">
        <v>247</v>
      </c>
      <c r="E372" s="39">
        <v>45924.0</v>
      </c>
      <c r="F372" s="33" t="s">
        <v>269</v>
      </c>
      <c r="G372" s="40">
        <v>38200.0</v>
      </c>
      <c r="H372" s="46">
        <v>0.1912</v>
      </c>
      <c r="I372" s="40">
        <v>15484.27</v>
      </c>
      <c r="J372" s="33">
        <v>0.0</v>
      </c>
      <c r="K372" s="33" t="s">
        <v>182</v>
      </c>
    </row>
    <row r="373" ht="15.75" customHeight="1">
      <c r="A373" s="33" t="s">
        <v>2410</v>
      </c>
      <c r="B373" s="33" t="s">
        <v>397</v>
      </c>
      <c r="C373" s="33" t="s">
        <v>2411</v>
      </c>
      <c r="D373" s="33" t="s">
        <v>227</v>
      </c>
      <c r="E373" s="39">
        <v>46184.0</v>
      </c>
      <c r="F373" s="33" t="s">
        <v>241</v>
      </c>
      <c r="G373" s="40">
        <v>3590.0</v>
      </c>
      <c r="H373" s="46">
        <v>0.103</v>
      </c>
      <c r="I373" s="40">
        <v>3398.42</v>
      </c>
      <c r="J373" s="33">
        <v>0.0</v>
      </c>
      <c r="K373" s="33" t="s">
        <v>182</v>
      </c>
    </row>
    <row r="374" ht="15.75" customHeight="1">
      <c r="A374" s="33" t="s">
        <v>2414</v>
      </c>
      <c r="B374" s="33" t="s">
        <v>391</v>
      </c>
      <c r="C374" s="33" t="s">
        <v>2415</v>
      </c>
      <c r="D374" s="33" t="s">
        <v>247</v>
      </c>
      <c r="E374" s="39">
        <v>45774.0</v>
      </c>
      <c r="F374" s="33" t="s">
        <v>269</v>
      </c>
      <c r="G374" s="40">
        <v>31610.0</v>
      </c>
      <c r="H374" s="46">
        <v>0.0991</v>
      </c>
      <c r="I374" s="40">
        <v>12437.64</v>
      </c>
      <c r="J374" s="33">
        <v>0.0</v>
      </c>
      <c r="K374" s="33" t="s">
        <v>182</v>
      </c>
    </row>
    <row r="375" ht="15.75" customHeight="1">
      <c r="A375" s="33" t="s">
        <v>2419</v>
      </c>
      <c r="B375" s="33" t="s">
        <v>1661</v>
      </c>
      <c r="C375" s="33" t="s">
        <v>2420</v>
      </c>
      <c r="D375" s="33" t="s">
        <v>235</v>
      </c>
      <c r="E375" s="39">
        <v>46024.0</v>
      </c>
      <c r="F375" s="33" t="s">
        <v>230</v>
      </c>
      <c r="G375" s="40">
        <v>34720.0</v>
      </c>
      <c r="H375" s="46">
        <v>0.1495</v>
      </c>
      <c r="I375" s="40">
        <v>21551.25</v>
      </c>
      <c r="J375" s="33">
        <v>0.0</v>
      </c>
      <c r="K375" s="33" t="s">
        <v>182</v>
      </c>
    </row>
    <row r="376" ht="15.75" customHeight="1">
      <c r="A376" s="33" t="s">
        <v>2422</v>
      </c>
      <c r="B376" s="33" t="s">
        <v>369</v>
      </c>
      <c r="C376" s="33" t="s">
        <v>2423</v>
      </c>
      <c r="D376" s="33" t="s">
        <v>227</v>
      </c>
      <c r="E376" s="39">
        <v>46097.0</v>
      </c>
      <c r="F376" s="33" t="s">
        <v>248</v>
      </c>
      <c r="G376" s="40">
        <v>40970.0</v>
      </c>
      <c r="H376" s="46">
        <v>0.0901</v>
      </c>
      <c r="I376" s="40">
        <v>27987.34</v>
      </c>
      <c r="J376" s="33">
        <v>0.0</v>
      </c>
      <c r="K376" s="33" t="s">
        <v>182</v>
      </c>
    </row>
    <row r="377" ht="15.75" customHeight="1">
      <c r="A377" s="33" t="s">
        <v>2426</v>
      </c>
      <c r="B377" s="33" t="s">
        <v>1926</v>
      </c>
      <c r="C377" s="33" t="s">
        <v>2427</v>
      </c>
      <c r="D377" s="33" t="s">
        <v>227</v>
      </c>
      <c r="E377" s="39">
        <v>46172.0</v>
      </c>
      <c r="F377" s="33" t="s">
        <v>269</v>
      </c>
      <c r="G377" s="40">
        <v>15970.0</v>
      </c>
      <c r="H377" s="46">
        <v>0.1281</v>
      </c>
      <c r="I377" s="40">
        <v>13944.7</v>
      </c>
      <c r="J377" s="33">
        <v>0.0</v>
      </c>
      <c r="K377" s="33" t="s">
        <v>182</v>
      </c>
    </row>
    <row r="378" ht="15.75" customHeight="1">
      <c r="A378" s="33" t="s">
        <v>2430</v>
      </c>
      <c r="B378" s="33" t="s">
        <v>1792</v>
      </c>
      <c r="C378" s="33" t="s">
        <v>2432</v>
      </c>
      <c r="D378" s="33" t="s">
        <v>227</v>
      </c>
      <c r="E378" s="39">
        <v>46136.0</v>
      </c>
      <c r="F378" s="33" t="s">
        <v>241</v>
      </c>
      <c r="G378" s="40">
        <v>21720.0</v>
      </c>
      <c r="H378" s="46">
        <v>0.1134</v>
      </c>
      <c r="I378" s="40">
        <v>19738.19</v>
      </c>
      <c r="J378" s="33">
        <v>0.0</v>
      </c>
      <c r="K378" s="33" t="s">
        <v>182</v>
      </c>
    </row>
    <row r="379" ht="15.75" customHeight="1">
      <c r="A379" s="33" t="s">
        <v>2435</v>
      </c>
      <c r="B379" s="33" t="s">
        <v>1056</v>
      </c>
      <c r="C379" s="33" t="s">
        <v>2436</v>
      </c>
      <c r="D379" s="33" t="s">
        <v>235</v>
      </c>
      <c r="E379" s="39">
        <v>45891.0</v>
      </c>
      <c r="F379" s="33" t="s">
        <v>230</v>
      </c>
      <c r="G379" s="40">
        <v>8530.0</v>
      </c>
      <c r="H379" s="46">
        <v>0.0862</v>
      </c>
      <c r="I379" s="40">
        <v>2827.83</v>
      </c>
      <c r="J379" s="33">
        <v>0.0</v>
      </c>
      <c r="K379" s="33" t="s">
        <v>182</v>
      </c>
    </row>
    <row r="380" ht="15.75" customHeight="1">
      <c r="A380" s="33" t="s">
        <v>2438</v>
      </c>
      <c r="B380" s="33" t="s">
        <v>533</v>
      </c>
      <c r="C380" s="33" t="s">
        <v>2439</v>
      </c>
      <c r="D380" s="33" t="s">
        <v>227</v>
      </c>
      <c r="E380" s="39">
        <v>46008.0</v>
      </c>
      <c r="F380" s="33" t="s">
        <v>230</v>
      </c>
      <c r="G380" s="40">
        <v>38300.0</v>
      </c>
      <c r="H380" s="46">
        <v>0.1439</v>
      </c>
      <c r="I380" s="40">
        <v>25221.2</v>
      </c>
      <c r="J380" s="33">
        <v>0.0</v>
      </c>
      <c r="K380" s="33" t="s">
        <v>182</v>
      </c>
    </row>
    <row r="381" ht="15.75" customHeight="1">
      <c r="A381" s="33" t="s">
        <v>2441</v>
      </c>
      <c r="B381" s="33" t="s">
        <v>2168</v>
      </c>
      <c r="C381" s="33" t="s">
        <v>2442</v>
      </c>
      <c r="D381" s="33" t="s">
        <v>227</v>
      </c>
      <c r="E381" s="39">
        <v>46056.0</v>
      </c>
      <c r="F381" s="33" t="s">
        <v>230</v>
      </c>
      <c r="G381" s="40">
        <v>18120.0</v>
      </c>
      <c r="H381" s="46">
        <v>0.1199</v>
      </c>
      <c r="I381" s="40">
        <v>13797.66</v>
      </c>
      <c r="J381" s="33">
        <v>0.0</v>
      </c>
      <c r="K381" s="33" t="s">
        <v>182</v>
      </c>
    </row>
    <row r="382" ht="15.75" customHeight="1">
      <c r="A382" s="33" t="s">
        <v>2446</v>
      </c>
      <c r="B382" s="33" t="s">
        <v>2447</v>
      </c>
      <c r="C382" s="33" t="s">
        <v>2449</v>
      </c>
      <c r="D382" s="33" t="s">
        <v>227</v>
      </c>
      <c r="E382" s="39">
        <v>46051.0</v>
      </c>
      <c r="F382" s="33" t="s">
        <v>230</v>
      </c>
      <c r="G382" s="40">
        <v>21540.0</v>
      </c>
      <c r="H382" s="46">
        <v>0.0963</v>
      </c>
      <c r="I382" s="40">
        <v>11142.62</v>
      </c>
      <c r="J382" s="33">
        <v>0.0</v>
      </c>
      <c r="K382" s="33" t="s">
        <v>182</v>
      </c>
    </row>
    <row r="383" ht="15.75" customHeight="1">
      <c r="A383" s="33" t="s">
        <v>2450</v>
      </c>
      <c r="B383" s="33" t="s">
        <v>825</v>
      </c>
      <c r="C383" s="33" t="s">
        <v>2452</v>
      </c>
      <c r="D383" s="33" t="s">
        <v>227</v>
      </c>
      <c r="E383" s="39">
        <v>45777.0</v>
      </c>
      <c r="F383" s="33" t="s">
        <v>248</v>
      </c>
      <c r="G383" s="40">
        <v>44510.0</v>
      </c>
      <c r="H383" s="46">
        <v>0.1968</v>
      </c>
      <c r="I383" s="40">
        <v>22029.98</v>
      </c>
      <c r="J383" s="33">
        <v>0.0</v>
      </c>
      <c r="K383" s="33" t="s">
        <v>182</v>
      </c>
    </row>
    <row r="384" ht="15.75" customHeight="1">
      <c r="A384" s="33" t="s">
        <v>2454</v>
      </c>
      <c r="B384" s="33" t="s">
        <v>2456</v>
      </c>
      <c r="C384" s="33" t="s">
        <v>2457</v>
      </c>
      <c r="D384" s="33" t="s">
        <v>247</v>
      </c>
      <c r="E384" s="39">
        <v>46092.0</v>
      </c>
      <c r="F384" s="33" t="s">
        <v>230</v>
      </c>
      <c r="G384" s="40">
        <v>36450.0</v>
      </c>
      <c r="H384" s="46">
        <v>0.226</v>
      </c>
      <c r="I384" s="40">
        <v>29510.11</v>
      </c>
      <c r="J384" s="33">
        <v>0.0</v>
      </c>
      <c r="K384" s="33" t="s">
        <v>182</v>
      </c>
    </row>
    <row r="385" ht="15.75" customHeight="1">
      <c r="A385" s="33" t="s">
        <v>2460</v>
      </c>
      <c r="B385" s="33" t="s">
        <v>1856</v>
      </c>
      <c r="C385" s="33" t="s">
        <v>2461</v>
      </c>
      <c r="D385" s="33" t="s">
        <v>247</v>
      </c>
      <c r="E385" s="39">
        <v>46112.0</v>
      </c>
      <c r="F385" s="33" t="s">
        <v>248</v>
      </c>
      <c r="G385" s="40">
        <v>2250.0</v>
      </c>
      <c r="H385" s="46">
        <v>0.1793</v>
      </c>
      <c r="I385" s="40">
        <v>1645.93</v>
      </c>
      <c r="J385" s="33">
        <v>73.0</v>
      </c>
      <c r="K385" s="33" t="s">
        <v>385</v>
      </c>
    </row>
    <row r="386" ht="15.75" customHeight="1">
      <c r="A386" s="33" t="s">
        <v>2465</v>
      </c>
      <c r="B386" s="33" t="s">
        <v>876</v>
      </c>
      <c r="C386" s="33" t="s">
        <v>2466</v>
      </c>
      <c r="D386" s="33" t="s">
        <v>227</v>
      </c>
      <c r="E386" s="39">
        <v>46017.0</v>
      </c>
      <c r="F386" s="33" t="s">
        <v>230</v>
      </c>
      <c r="G386" s="40">
        <v>8940.0</v>
      </c>
      <c r="H386" s="46">
        <v>0.2287</v>
      </c>
      <c r="I386" s="40">
        <v>7089.37</v>
      </c>
      <c r="J386" s="33">
        <v>0.0</v>
      </c>
      <c r="K386" s="33" t="s">
        <v>182</v>
      </c>
    </row>
    <row r="387" ht="15.75" customHeight="1">
      <c r="A387" s="33" t="s">
        <v>2468</v>
      </c>
      <c r="B387" s="33" t="s">
        <v>2469</v>
      </c>
      <c r="C387" s="33" t="s">
        <v>2470</v>
      </c>
      <c r="D387" s="33" t="s">
        <v>247</v>
      </c>
      <c r="E387" s="39">
        <v>45826.0</v>
      </c>
      <c r="F387" s="33" t="s">
        <v>230</v>
      </c>
      <c r="G387" s="40">
        <v>19550.0</v>
      </c>
      <c r="H387" s="46">
        <v>0.1066</v>
      </c>
      <c r="I387" s="40">
        <v>0.0</v>
      </c>
      <c r="J387" s="33">
        <v>0.0</v>
      </c>
      <c r="K387" s="33" t="s">
        <v>198</v>
      </c>
    </row>
    <row r="388" ht="15.75" customHeight="1">
      <c r="A388" s="33" t="s">
        <v>2475</v>
      </c>
      <c r="B388" s="33" t="s">
        <v>890</v>
      </c>
      <c r="C388" s="33" t="s">
        <v>2476</v>
      </c>
      <c r="D388" s="33" t="s">
        <v>227</v>
      </c>
      <c r="E388" s="39">
        <v>45828.0</v>
      </c>
      <c r="F388" s="33" t="s">
        <v>230</v>
      </c>
      <c r="G388" s="40">
        <v>5680.0</v>
      </c>
      <c r="H388" s="46">
        <v>0.2029</v>
      </c>
      <c r="I388" s="40">
        <v>3289.56</v>
      </c>
      <c r="J388" s="33">
        <v>0.0</v>
      </c>
      <c r="K388" s="33" t="s">
        <v>182</v>
      </c>
    </row>
    <row r="389" ht="15.75" customHeight="1">
      <c r="A389" s="33" t="s">
        <v>2480</v>
      </c>
      <c r="B389" s="33" t="s">
        <v>1485</v>
      </c>
      <c r="C389" s="33" t="s">
        <v>2481</v>
      </c>
      <c r="D389" s="33" t="s">
        <v>227</v>
      </c>
      <c r="E389" s="39">
        <v>46192.0</v>
      </c>
      <c r="F389" s="33" t="s">
        <v>241</v>
      </c>
      <c r="G389" s="40">
        <v>6920.0</v>
      </c>
      <c r="H389" s="46">
        <v>0.1454</v>
      </c>
      <c r="I389" s="40">
        <v>6347.05</v>
      </c>
      <c r="J389" s="33">
        <v>0.0</v>
      </c>
      <c r="K389" s="33" t="s">
        <v>182</v>
      </c>
    </row>
    <row r="390" ht="15.75" customHeight="1">
      <c r="A390" s="33" t="s">
        <v>2484</v>
      </c>
      <c r="B390" s="33" t="s">
        <v>1995</v>
      </c>
      <c r="C390" s="33" t="s">
        <v>2485</v>
      </c>
      <c r="D390" s="33" t="s">
        <v>235</v>
      </c>
      <c r="E390" s="39">
        <v>45997.0</v>
      </c>
      <c r="F390" s="33" t="s">
        <v>241</v>
      </c>
      <c r="G390" s="40">
        <v>38570.0</v>
      </c>
      <c r="H390" s="46">
        <v>0.1583</v>
      </c>
      <c r="I390" s="40">
        <v>21542.13</v>
      </c>
      <c r="J390" s="33">
        <v>0.0</v>
      </c>
      <c r="K390" s="33" t="s">
        <v>182</v>
      </c>
    </row>
    <row r="391" ht="15.75" customHeight="1">
      <c r="A391" s="33" t="s">
        <v>2488</v>
      </c>
      <c r="B391" s="33" t="s">
        <v>936</v>
      </c>
      <c r="C391" s="33" t="s">
        <v>2489</v>
      </c>
      <c r="D391" s="33" t="s">
        <v>247</v>
      </c>
      <c r="E391" s="39">
        <v>46001.0</v>
      </c>
      <c r="F391" s="33" t="s">
        <v>241</v>
      </c>
      <c r="G391" s="40">
        <v>48900.0</v>
      </c>
      <c r="H391" s="46">
        <v>0.1863</v>
      </c>
      <c r="I391" s="40">
        <v>21915.46</v>
      </c>
      <c r="J391" s="33">
        <v>4.0</v>
      </c>
      <c r="K391" s="33" t="s">
        <v>182</v>
      </c>
    </row>
    <row r="392" ht="15.75" customHeight="1">
      <c r="A392" s="33" t="s">
        <v>2491</v>
      </c>
      <c r="B392" s="33" t="s">
        <v>1705</v>
      </c>
      <c r="C392" s="33" t="s">
        <v>2494</v>
      </c>
      <c r="D392" s="33" t="s">
        <v>247</v>
      </c>
      <c r="E392" s="39">
        <v>45679.0</v>
      </c>
      <c r="F392" s="33" t="s">
        <v>248</v>
      </c>
      <c r="G392" s="40">
        <v>6950.0</v>
      </c>
      <c r="H392" s="46">
        <v>0.2054</v>
      </c>
      <c r="I392" s="40">
        <v>1404.45</v>
      </c>
      <c r="J392" s="33">
        <v>0.0</v>
      </c>
      <c r="K392" s="33" t="s">
        <v>182</v>
      </c>
    </row>
    <row r="393" ht="15.75" customHeight="1">
      <c r="A393" s="33" t="s">
        <v>2496</v>
      </c>
      <c r="B393" s="33" t="s">
        <v>402</v>
      </c>
      <c r="C393" s="33" t="s">
        <v>2498</v>
      </c>
      <c r="D393" s="33" t="s">
        <v>247</v>
      </c>
      <c r="E393" s="39">
        <v>45782.0</v>
      </c>
      <c r="F393" s="33" t="s">
        <v>241</v>
      </c>
      <c r="G393" s="40">
        <v>11340.0</v>
      </c>
      <c r="H393" s="46">
        <v>0.0896</v>
      </c>
      <c r="I393" s="40">
        <v>43.04</v>
      </c>
      <c r="J393" s="33">
        <v>0.0</v>
      </c>
      <c r="K393" s="33" t="s">
        <v>182</v>
      </c>
    </row>
    <row r="394" ht="15.75" customHeight="1">
      <c r="A394" s="33" t="s">
        <v>2500</v>
      </c>
      <c r="B394" s="33" t="s">
        <v>192</v>
      </c>
      <c r="C394" s="33" t="s">
        <v>2501</v>
      </c>
      <c r="D394" s="33" t="s">
        <v>227</v>
      </c>
      <c r="E394" s="39">
        <v>45667.0</v>
      </c>
      <c r="F394" s="33" t="s">
        <v>269</v>
      </c>
      <c r="G394" s="40">
        <v>21990.0</v>
      </c>
      <c r="H394" s="46">
        <v>0.1421</v>
      </c>
      <c r="I394" s="40">
        <v>0.0</v>
      </c>
      <c r="J394" s="33">
        <v>0.0</v>
      </c>
      <c r="K394" s="33" t="s">
        <v>198</v>
      </c>
    </row>
    <row r="395" ht="15.75" customHeight="1">
      <c r="A395" s="33" t="s">
        <v>2503</v>
      </c>
      <c r="B395" s="33" t="s">
        <v>652</v>
      </c>
      <c r="C395" s="33" t="s">
        <v>2504</v>
      </c>
      <c r="D395" s="33" t="s">
        <v>247</v>
      </c>
      <c r="E395" s="39">
        <v>45735.0</v>
      </c>
      <c r="F395" s="33" t="s">
        <v>248</v>
      </c>
      <c r="G395" s="40">
        <v>7160.0</v>
      </c>
      <c r="H395" s="46">
        <v>0.2024</v>
      </c>
      <c r="I395" s="40">
        <v>0.0</v>
      </c>
      <c r="J395" s="33">
        <v>0.0</v>
      </c>
      <c r="K395" s="33" t="s">
        <v>198</v>
      </c>
    </row>
    <row r="396" ht="15.75" customHeight="1">
      <c r="A396" s="33" t="s">
        <v>2507</v>
      </c>
      <c r="B396" s="33" t="s">
        <v>2508</v>
      </c>
      <c r="C396" s="33" t="s">
        <v>2509</v>
      </c>
      <c r="D396" s="33" t="s">
        <v>247</v>
      </c>
      <c r="E396" s="39">
        <v>45726.0</v>
      </c>
      <c r="F396" s="33" t="s">
        <v>230</v>
      </c>
      <c r="G396" s="40">
        <v>30430.0</v>
      </c>
      <c r="H396" s="46">
        <v>0.1656</v>
      </c>
      <c r="I396" s="40">
        <v>3822.67</v>
      </c>
      <c r="J396" s="33">
        <v>0.0</v>
      </c>
      <c r="K396" s="33" t="s">
        <v>182</v>
      </c>
    </row>
    <row r="397" ht="15.75" customHeight="1">
      <c r="A397" s="33" t="s">
        <v>2512</v>
      </c>
      <c r="B397" s="33" t="s">
        <v>649</v>
      </c>
      <c r="C397" s="33" t="s">
        <v>2514</v>
      </c>
      <c r="D397" s="33" t="s">
        <v>227</v>
      </c>
      <c r="E397" s="39">
        <v>46058.0</v>
      </c>
      <c r="F397" s="33" t="s">
        <v>230</v>
      </c>
      <c r="G397" s="40">
        <v>28310.0</v>
      </c>
      <c r="H397" s="46">
        <v>0.1347</v>
      </c>
      <c r="I397" s="40">
        <v>16760.89</v>
      </c>
      <c r="J397" s="33">
        <v>0.0</v>
      </c>
      <c r="K397" s="33" t="s">
        <v>182</v>
      </c>
    </row>
    <row r="398" ht="15.75" customHeight="1">
      <c r="A398" s="33" t="s">
        <v>2516</v>
      </c>
      <c r="B398" s="33" t="s">
        <v>333</v>
      </c>
      <c r="C398" s="33" t="s">
        <v>2518</v>
      </c>
      <c r="D398" s="33" t="s">
        <v>247</v>
      </c>
      <c r="E398" s="39">
        <v>45876.0</v>
      </c>
      <c r="F398" s="33" t="s">
        <v>269</v>
      </c>
      <c r="G398" s="40">
        <v>2650.0</v>
      </c>
      <c r="H398" s="46">
        <v>0.0865</v>
      </c>
      <c r="I398" s="40">
        <v>1457.1</v>
      </c>
      <c r="J398" s="33">
        <v>0.0</v>
      </c>
      <c r="K398" s="33" t="s">
        <v>182</v>
      </c>
    </row>
    <row r="399" ht="15.75" customHeight="1">
      <c r="A399" s="33" t="s">
        <v>2522</v>
      </c>
      <c r="B399" s="33" t="s">
        <v>2019</v>
      </c>
      <c r="C399" s="33" t="s">
        <v>2524</v>
      </c>
      <c r="D399" s="33" t="s">
        <v>247</v>
      </c>
      <c r="E399" s="39">
        <v>45848.0</v>
      </c>
      <c r="F399" s="33" t="s">
        <v>269</v>
      </c>
      <c r="G399" s="40">
        <v>4150.0</v>
      </c>
      <c r="H399" s="46">
        <v>0.0812</v>
      </c>
      <c r="I399" s="40">
        <v>2122.65</v>
      </c>
      <c r="J399" s="33">
        <v>0.0</v>
      </c>
      <c r="K399" s="33" t="s">
        <v>182</v>
      </c>
    </row>
    <row r="400" ht="15.75" customHeight="1">
      <c r="A400" s="33" t="s">
        <v>2528</v>
      </c>
      <c r="B400" s="33" t="s">
        <v>2529</v>
      </c>
      <c r="C400" s="33" t="s">
        <v>2530</v>
      </c>
      <c r="D400" s="33" t="s">
        <v>235</v>
      </c>
      <c r="E400" s="39">
        <v>46036.0</v>
      </c>
      <c r="F400" s="33" t="s">
        <v>230</v>
      </c>
      <c r="G400" s="40">
        <v>9870.0</v>
      </c>
      <c r="H400" s="46">
        <v>0.148</v>
      </c>
      <c r="I400" s="40">
        <v>7525.28</v>
      </c>
      <c r="J400" s="33">
        <v>0.0</v>
      </c>
      <c r="K400" s="33" t="s">
        <v>182</v>
      </c>
    </row>
    <row r="401" ht="15.75" customHeight="1">
      <c r="A401" s="33" t="s">
        <v>2532</v>
      </c>
      <c r="B401" s="33" t="s">
        <v>697</v>
      </c>
      <c r="C401" s="33" t="s">
        <v>2534</v>
      </c>
      <c r="D401" s="33" t="s">
        <v>227</v>
      </c>
      <c r="E401" s="39">
        <v>45823.0</v>
      </c>
      <c r="F401" s="33" t="s">
        <v>248</v>
      </c>
      <c r="G401" s="40">
        <v>40710.0</v>
      </c>
      <c r="H401" s="46">
        <v>0.1574</v>
      </c>
      <c r="I401" s="40">
        <v>19056.5</v>
      </c>
      <c r="J401" s="33">
        <v>0.0</v>
      </c>
      <c r="K401" s="33" t="s">
        <v>182</v>
      </c>
    </row>
    <row r="402" ht="15.75" customHeight="1">
      <c r="A402" s="33" t="s">
        <v>2535</v>
      </c>
      <c r="B402" s="33" t="s">
        <v>689</v>
      </c>
      <c r="C402" s="33" t="s">
        <v>2537</v>
      </c>
      <c r="D402" s="33" t="s">
        <v>227</v>
      </c>
      <c r="E402" s="39">
        <v>45994.0</v>
      </c>
      <c r="F402" s="33" t="s">
        <v>241</v>
      </c>
      <c r="G402" s="40">
        <v>21970.0</v>
      </c>
      <c r="H402" s="46">
        <v>0.1167</v>
      </c>
      <c r="I402" s="40">
        <v>8405.21</v>
      </c>
      <c r="J402" s="33">
        <v>0.0</v>
      </c>
      <c r="K402" s="33" t="s">
        <v>182</v>
      </c>
    </row>
    <row r="403" ht="15.75" customHeight="1">
      <c r="A403" s="33" t="s">
        <v>2540</v>
      </c>
      <c r="B403" s="33" t="s">
        <v>1444</v>
      </c>
      <c r="C403" s="33" t="s">
        <v>2542</v>
      </c>
      <c r="D403" s="33" t="s">
        <v>227</v>
      </c>
      <c r="E403" s="39">
        <v>46046.0</v>
      </c>
      <c r="F403" s="33" t="s">
        <v>230</v>
      </c>
      <c r="G403" s="40">
        <v>43490.0</v>
      </c>
      <c r="H403" s="46">
        <v>0.2079</v>
      </c>
      <c r="I403" s="40">
        <v>23158.62</v>
      </c>
      <c r="J403" s="33">
        <v>0.0</v>
      </c>
      <c r="K403" s="33" t="s">
        <v>182</v>
      </c>
    </row>
    <row r="404" ht="15.75" customHeight="1">
      <c r="A404" s="33" t="s">
        <v>2543</v>
      </c>
      <c r="B404" s="33" t="s">
        <v>2544</v>
      </c>
      <c r="C404" s="33" t="s">
        <v>2545</v>
      </c>
      <c r="D404" s="33" t="s">
        <v>227</v>
      </c>
      <c r="E404" s="39">
        <v>45780.0</v>
      </c>
      <c r="F404" s="33" t="s">
        <v>248</v>
      </c>
      <c r="G404" s="40">
        <v>7780.0</v>
      </c>
      <c r="H404" s="46">
        <v>0.1958</v>
      </c>
      <c r="I404" s="40">
        <v>3371.09</v>
      </c>
      <c r="J404" s="33">
        <v>0.0</v>
      </c>
      <c r="K404" s="33" t="s">
        <v>182</v>
      </c>
    </row>
    <row r="405" ht="15.75" customHeight="1">
      <c r="A405" s="33" t="s">
        <v>2548</v>
      </c>
      <c r="B405" s="33" t="s">
        <v>880</v>
      </c>
      <c r="C405" s="33" t="s">
        <v>2549</v>
      </c>
      <c r="D405" s="33" t="s">
        <v>235</v>
      </c>
      <c r="E405" s="39">
        <v>46203.0</v>
      </c>
      <c r="F405" s="33" t="s">
        <v>269</v>
      </c>
      <c r="G405" s="40">
        <v>15770.0</v>
      </c>
      <c r="H405" s="46">
        <v>0.1101</v>
      </c>
      <c r="I405" s="40">
        <v>15098.33</v>
      </c>
      <c r="J405" s="33">
        <v>0.0</v>
      </c>
      <c r="K405" s="33" t="s">
        <v>182</v>
      </c>
    </row>
    <row r="406" ht="15.75" customHeight="1">
      <c r="A406" s="33" t="s">
        <v>2551</v>
      </c>
      <c r="B406" s="33" t="s">
        <v>1576</v>
      </c>
      <c r="C406" s="33" t="s">
        <v>2552</v>
      </c>
      <c r="D406" s="33" t="s">
        <v>247</v>
      </c>
      <c r="E406" s="39">
        <v>45867.0</v>
      </c>
      <c r="F406" s="33" t="s">
        <v>230</v>
      </c>
      <c r="G406" s="40">
        <v>44130.0</v>
      </c>
      <c r="H406" s="46">
        <v>0.1101</v>
      </c>
      <c r="I406" s="40">
        <v>22942.92</v>
      </c>
      <c r="J406" s="33">
        <v>0.0</v>
      </c>
      <c r="K406" s="33" t="s">
        <v>182</v>
      </c>
    </row>
    <row r="407" ht="15.75" customHeight="1">
      <c r="A407" s="33" t="s">
        <v>2554</v>
      </c>
      <c r="B407" s="33" t="s">
        <v>2107</v>
      </c>
      <c r="C407" s="33" t="s">
        <v>2556</v>
      </c>
      <c r="D407" s="33" t="s">
        <v>247</v>
      </c>
      <c r="E407" s="39">
        <v>45671.0</v>
      </c>
      <c r="F407" s="33" t="s">
        <v>248</v>
      </c>
      <c r="G407" s="40">
        <v>44320.0</v>
      </c>
      <c r="H407" s="46">
        <v>0.2184</v>
      </c>
      <c r="I407" s="40">
        <v>0.0</v>
      </c>
      <c r="J407" s="33">
        <v>0.0</v>
      </c>
      <c r="K407" s="33" t="s">
        <v>198</v>
      </c>
    </row>
    <row r="408" ht="15.75" customHeight="1">
      <c r="A408" s="33" t="s">
        <v>2558</v>
      </c>
      <c r="B408" s="33" t="s">
        <v>2559</v>
      </c>
      <c r="C408" s="33" t="s">
        <v>2560</v>
      </c>
      <c r="D408" s="33" t="s">
        <v>227</v>
      </c>
      <c r="E408" s="39">
        <v>45999.0</v>
      </c>
      <c r="F408" s="33" t="s">
        <v>241</v>
      </c>
      <c r="G408" s="40">
        <v>7790.0</v>
      </c>
      <c r="H408" s="46">
        <v>0.2271</v>
      </c>
      <c r="I408" s="40">
        <v>4907.71</v>
      </c>
      <c r="J408" s="33">
        <v>0.0</v>
      </c>
      <c r="K408" s="33" t="s">
        <v>182</v>
      </c>
    </row>
    <row r="409" ht="15.75" customHeight="1">
      <c r="A409" s="33" t="s">
        <v>2563</v>
      </c>
      <c r="B409" s="33" t="s">
        <v>2538</v>
      </c>
      <c r="C409" s="33" t="s">
        <v>2564</v>
      </c>
      <c r="D409" s="33" t="s">
        <v>247</v>
      </c>
      <c r="E409" s="39">
        <v>46097.0</v>
      </c>
      <c r="F409" s="33" t="s">
        <v>230</v>
      </c>
      <c r="G409" s="40">
        <v>28300.0</v>
      </c>
      <c r="H409" s="46">
        <v>0.2375</v>
      </c>
      <c r="I409" s="40">
        <v>21250.34</v>
      </c>
      <c r="J409" s="33">
        <v>0.0</v>
      </c>
      <c r="K409" s="33" t="s">
        <v>182</v>
      </c>
    </row>
    <row r="410" ht="15.75" customHeight="1">
      <c r="A410" s="33" t="s">
        <v>2567</v>
      </c>
      <c r="B410" s="33" t="s">
        <v>1467</v>
      </c>
      <c r="C410" s="33" t="s">
        <v>2569</v>
      </c>
      <c r="D410" s="33" t="s">
        <v>235</v>
      </c>
      <c r="E410" s="39">
        <v>45707.0</v>
      </c>
      <c r="F410" s="33" t="s">
        <v>269</v>
      </c>
      <c r="G410" s="40">
        <v>13010.0</v>
      </c>
      <c r="H410" s="46">
        <v>0.1898</v>
      </c>
      <c r="I410" s="40">
        <v>4421.17</v>
      </c>
      <c r="J410" s="33">
        <v>0.0</v>
      </c>
      <c r="K410" s="33" t="s">
        <v>182</v>
      </c>
    </row>
    <row r="411" ht="15.75" customHeight="1">
      <c r="A411" s="33" t="s">
        <v>2572</v>
      </c>
      <c r="B411" s="33" t="s">
        <v>1945</v>
      </c>
      <c r="C411" s="33" t="s">
        <v>2574</v>
      </c>
      <c r="D411" s="33" t="s">
        <v>227</v>
      </c>
      <c r="E411" s="39">
        <v>45674.0</v>
      </c>
      <c r="F411" s="33" t="s">
        <v>230</v>
      </c>
      <c r="G411" s="40">
        <v>15900.0</v>
      </c>
      <c r="H411" s="46">
        <v>0.2286</v>
      </c>
      <c r="I411" s="40">
        <v>6808.54</v>
      </c>
      <c r="J411" s="33">
        <v>0.0</v>
      </c>
      <c r="K411" s="33" t="s">
        <v>182</v>
      </c>
    </row>
    <row r="412" ht="15.75" customHeight="1">
      <c r="A412" s="33" t="s">
        <v>2576</v>
      </c>
      <c r="B412" s="33" t="s">
        <v>623</v>
      </c>
      <c r="C412" s="33" t="s">
        <v>2577</v>
      </c>
      <c r="D412" s="33" t="s">
        <v>227</v>
      </c>
      <c r="E412" s="39">
        <v>45765.0</v>
      </c>
      <c r="F412" s="33" t="s">
        <v>230</v>
      </c>
      <c r="G412" s="40">
        <v>15120.0</v>
      </c>
      <c r="H412" s="46">
        <v>0.1038</v>
      </c>
      <c r="I412" s="40">
        <v>5987.76</v>
      </c>
      <c r="J412" s="33">
        <v>0.0</v>
      </c>
      <c r="K412" s="33" t="s">
        <v>182</v>
      </c>
    </row>
    <row r="413" ht="15.75" customHeight="1">
      <c r="A413" s="33" t="s">
        <v>2580</v>
      </c>
      <c r="B413" s="33" t="s">
        <v>186</v>
      </c>
      <c r="C413" s="33" t="s">
        <v>2581</v>
      </c>
      <c r="D413" s="33" t="s">
        <v>227</v>
      </c>
      <c r="E413" s="39">
        <v>45785.0</v>
      </c>
      <c r="F413" s="33" t="s">
        <v>230</v>
      </c>
      <c r="G413" s="40">
        <v>36040.0</v>
      </c>
      <c r="H413" s="46">
        <v>0.1049</v>
      </c>
      <c r="I413" s="40">
        <v>15983.88</v>
      </c>
      <c r="J413" s="33">
        <v>60.0</v>
      </c>
      <c r="K413" s="33" t="s">
        <v>385</v>
      </c>
    </row>
    <row r="414" ht="15.75" customHeight="1">
      <c r="A414" s="33" t="s">
        <v>2584</v>
      </c>
      <c r="B414" s="33" t="s">
        <v>983</v>
      </c>
      <c r="C414" s="33" t="s">
        <v>2585</v>
      </c>
      <c r="D414" s="33" t="s">
        <v>247</v>
      </c>
      <c r="E414" s="39">
        <v>45936.0</v>
      </c>
      <c r="F414" s="33" t="s">
        <v>241</v>
      </c>
      <c r="G414" s="40">
        <v>17550.0</v>
      </c>
      <c r="H414" s="46">
        <v>0.0866</v>
      </c>
      <c r="I414" s="40">
        <v>10128.1</v>
      </c>
      <c r="J414" s="33">
        <v>0.0</v>
      </c>
      <c r="K414" s="33" t="s">
        <v>182</v>
      </c>
    </row>
    <row r="415" ht="15.75" customHeight="1">
      <c r="A415" s="33" t="s">
        <v>2587</v>
      </c>
      <c r="B415" s="33" t="s">
        <v>2589</v>
      </c>
      <c r="C415" s="33" t="s">
        <v>2590</v>
      </c>
      <c r="D415" s="33" t="s">
        <v>235</v>
      </c>
      <c r="E415" s="39">
        <v>46020.0</v>
      </c>
      <c r="F415" s="33" t="s">
        <v>241</v>
      </c>
      <c r="G415" s="40">
        <v>9120.0</v>
      </c>
      <c r="H415" s="46">
        <v>0.1662</v>
      </c>
      <c r="I415" s="40">
        <v>7041.84</v>
      </c>
      <c r="J415" s="33">
        <v>150.0</v>
      </c>
      <c r="K415" s="33" t="s">
        <v>794</v>
      </c>
    </row>
    <row r="416" ht="15.75" customHeight="1">
      <c r="A416" s="33" t="s">
        <v>2593</v>
      </c>
      <c r="B416" s="33" t="s">
        <v>2594</v>
      </c>
      <c r="C416" s="33" t="s">
        <v>2595</v>
      </c>
      <c r="D416" s="33" t="s">
        <v>227</v>
      </c>
      <c r="E416" s="39">
        <v>45814.0</v>
      </c>
      <c r="F416" s="33" t="s">
        <v>241</v>
      </c>
      <c r="G416" s="40">
        <v>42640.0</v>
      </c>
      <c r="H416" s="46">
        <v>0.1154</v>
      </c>
      <c r="I416" s="40">
        <v>21598.39</v>
      </c>
      <c r="J416" s="33">
        <v>0.0</v>
      </c>
      <c r="K416" s="33" t="s">
        <v>182</v>
      </c>
    </row>
    <row r="417" ht="15.75" customHeight="1">
      <c r="A417" s="33" t="s">
        <v>2597</v>
      </c>
      <c r="B417" s="33" t="s">
        <v>1430</v>
      </c>
      <c r="C417" s="33" t="s">
        <v>2598</v>
      </c>
      <c r="D417" s="33" t="s">
        <v>235</v>
      </c>
      <c r="E417" s="39">
        <v>46230.0</v>
      </c>
      <c r="F417" s="33" t="s">
        <v>230</v>
      </c>
      <c r="G417" s="40">
        <v>23170.0</v>
      </c>
      <c r="H417" s="46">
        <v>0.171</v>
      </c>
      <c r="I417" s="40">
        <v>20788.73</v>
      </c>
      <c r="J417" s="33">
        <v>0.0</v>
      </c>
      <c r="K417" s="33" t="s">
        <v>182</v>
      </c>
    </row>
    <row r="418" ht="15.75" customHeight="1">
      <c r="A418" s="33" t="s">
        <v>2601</v>
      </c>
      <c r="B418" s="33" t="s">
        <v>2299</v>
      </c>
      <c r="C418" s="33" t="s">
        <v>2602</v>
      </c>
      <c r="D418" s="33" t="s">
        <v>247</v>
      </c>
      <c r="E418" s="39">
        <v>45841.0</v>
      </c>
      <c r="F418" s="33" t="s">
        <v>230</v>
      </c>
      <c r="G418" s="40">
        <v>4820.0</v>
      </c>
      <c r="H418" s="46">
        <v>0.0812</v>
      </c>
      <c r="I418" s="40">
        <v>902.44</v>
      </c>
      <c r="J418" s="33">
        <v>0.0</v>
      </c>
      <c r="K418" s="33" t="s">
        <v>182</v>
      </c>
    </row>
    <row r="419" ht="15.75" customHeight="1">
      <c r="A419" s="33" t="s">
        <v>2604</v>
      </c>
      <c r="B419" s="33" t="s">
        <v>281</v>
      </c>
      <c r="C419" s="33" t="s">
        <v>2606</v>
      </c>
      <c r="D419" s="33" t="s">
        <v>247</v>
      </c>
      <c r="E419" s="39">
        <v>45691.0</v>
      </c>
      <c r="F419" s="33" t="s">
        <v>248</v>
      </c>
      <c r="G419" s="40">
        <v>12250.0</v>
      </c>
      <c r="H419" s="46">
        <v>0.1646</v>
      </c>
      <c r="I419" s="40">
        <v>5593.83</v>
      </c>
      <c r="J419" s="33">
        <v>0.0</v>
      </c>
      <c r="K419" s="33" t="s">
        <v>182</v>
      </c>
    </row>
    <row r="420" ht="15.75" customHeight="1">
      <c r="A420" s="33" t="s">
        <v>2608</v>
      </c>
      <c r="B420" s="33" t="s">
        <v>2610</v>
      </c>
      <c r="C420" s="33" t="s">
        <v>2611</v>
      </c>
      <c r="D420" s="33" t="s">
        <v>247</v>
      </c>
      <c r="E420" s="39">
        <v>46084.0</v>
      </c>
      <c r="F420" s="33" t="s">
        <v>230</v>
      </c>
      <c r="G420" s="40">
        <v>11160.0</v>
      </c>
      <c r="H420" s="46">
        <v>0.2222</v>
      </c>
      <c r="I420" s="40">
        <v>8079.45</v>
      </c>
      <c r="J420" s="33">
        <v>0.0</v>
      </c>
      <c r="K420" s="33" t="s">
        <v>182</v>
      </c>
    </row>
    <row r="421" ht="15.75" customHeight="1">
      <c r="A421" s="33" t="s">
        <v>2613</v>
      </c>
      <c r="B421" s="33" t="s">
        <v>342</v>
      </c>
      <c r="C421" s="33" t="s">
        <v>2614</v>
      </c>
      <c r="D421" s="33" t="s">
        <v>227</v>
      </c>
      <c r="E421" s="39">
        <v>45780.0</v>
      </c>
      <c r="F421" s="33" t="s">
        <v>230</v>
      </c>
      <c r="G421" s="40">
        <v>27880.0</v>
      </c>
      <c r="H421" s="46">
        <v>0.1961</v>
      </c>
      <c r="I421" s="40">
        <v>7726.35</v>
      </c>
      <c r="J421" s="33">
        <v>76.0</v>
      </c>
      <c r="K421" s="33" t="s">
        <v>385</v>
      </c>
    </row>
    <row r="422" ht="15.75" customHeight="1">
      <c r="A422" s="33" t="s">
        <v>2617</v>
      </c>
      <c r="B422" s="33" t="s">
        <v>2354</v>
      </c>
      <c r="C422" s="33" t="s">
        <v>2619</v>
      </c>
      <c r="D422" s="33" t="s">
        <v>227</v>
      </c>
      <c r="E422" s="39">
        <v>45718.0</v>
      </c>
      <c r="F422" s="33" t="s">
        <v>269</v>
      </c>
      <c r="G422" s="40">
        <v>27510.0</v>
      </c>
      <c r="H422" s="46">
        <v>0.1387</v>
      </c>
      <c r="I422" s="40">
        <v>10112.78</v>
      </c>
      <c r="J422" s="33">
        <v>0.0</v>
      </c>
      <c r="K422" s="33" t="s">
        <v>182</v>
      </c>
    </row>
    <row r="423" ht="15.75" customHeight="1">
      <c r="A423" s="33" t="s">
        <v>2621</v>
      </c>
      <c r="B423" s="33" t="s">
        <v>2622</v>
      </c>
      <c r="C423" s="33" t="s">
        <v>2623</v>
      </c>
      <c r="D423" s="33" t="s">
        <v>235</v>
      </c>
      <c r="E423" s="39">
        <v>45675.0</v>
      </c>
      <c r="F423" s="33" t="s">
        <v>269</v>
      </c>
      <c r="G423" s="40">
        <v>43690.0</v>
      </c>
      <c r="H423" s="46">
        <v>0.0909</v>
      </c>
      <c r="I423" s="40">
        <v>0.0</v>
      </c>
      <c r="J423" s="33">
        <v>0.0</v>
      </c>
      <c r="K423" s="33" t="s">
        <v>198</v>
      </c>
    </row>
    <row r="424" ht="15.75" customHeight="1">
      <c r="A424" s="33" t="s">
        <v>2626</v>
      </c>
      <c r="B424" s="33" t="s">
        <v>2627</v>
      </c>
      <c r="C424" s="33" t="s">
        <v>2628</v>
      </c>
      <c r="D424" s="33" t="s">
        <v>227</v>
      </c>
      <c r="E424" s="39">
        <v>45790.0</v>
      </c>
      <c r="F424" s="33" t="s">
        <v>230</v>
      </c>
      <c r="G424" s="40">
        <v>28970.0</v>
      </c>
      <c r="H424" s="46">
        <v>0.1192</v>
      </c>
      <c r="I424" s="40">
        <v>13960.28</v>
      </c>
      <c r="J424" s="33">
        <v>0.0</v>
      </c>
      <c r="K424" s="33" t="s">
        <v>182</v>
      </c>
    </row>
    <row r="425" ht="15.75" customHeight="1">
      <c r="A425" s="33" t="s">
        <v>2630</v>
      </c>
      <c r="B425" s="33" t="s">
        <v>620</v>
      </c>
      <c r="C425" s="33" t="s">
        <v>2632</v>
      </c>
      <c r="D425" s="33" t="s">
        <v>227</v>
      </c>
      <c r="E425" s="39">
        <v>46020.0</v>
      </c>
      <c r="F425" s="33" t="s">
        <v>230</v>
      </c>
      <c r="G425" s="40">
        <v>16450.0</v>
      </c>
      <c r="H425" s="46">
        <v>0.1605</v>
      </c>
      <c r="I425" s="40">
        <v>10971.29</v>
      </c>
      <c r="J425" s="33">
        <v>0.0</v>
      </c>
      <c r="K425" s="33" t="s">
        <v>182</v>
      </c>
    </row>
    <row r="426" ht="15.75" customHeight="1">
      <c r="A426" s="33" t="s">
        <v>2634</v>
      </c>
      <c r="B426" s="33" t="s">
        <v>1721</v>
      </c>
      <c r="C426" s="33" t="s">
        <v>2635</v>
      </c>
      <c r="D426" s="33" t="s">
        <v>247</v>
      </c>
      <c r="E426" s="39">
        <v>46258.0</v>
      </c>
      <c r="F426" s="33" t="s">
        <v>241</v>
      </c>
      <c r="G426" s="40">
        <v>7680.0</v>
      </c>
      <c r="H426" s="46">
        <v>0.1212</v>
      </c>
      <c r="I426" s="40">
        <v>7573.81</v>
      </c>
      <c r="J426" s="33">
        <v>0.0</v>
      </c>
      <c r="K426" s="33" t="s">
        <v>182</v>
      </c>
    </row>
    <row r="427" ht="15.75" customHeight="1">
      <c r="A427" s="33" t="s">
        <v>2636</v>
      </c>
      <c r="B427" s="33" t="s">
        <v>318</v>
      </c>
      <c r="C427" s="33" t="s">
        <v>2637</v>
      </c>
      <c r="D427" s="33" t="s">
        <v>227</v>
      </c>
      <c r="E427" s="39">
        <v>45714.0</v>
      </c>
      <c r="F427" s="33" t="s">
        <v>241</v>
      </c>
      <c r="G427" s="40">
        <v>26970.0</v>
      </c>
      <c r="H427" s="46">
        <v>0.2042</v>
      </c>
      <c r="I427" s="40">
        <v>9198.69</v>
      </c>
      <c r="J427" s="33">
        <v>0.0</v>
      </c>
      <c r="K427" s="33" t="s">
        <v>182</v>
      </c>
    </row>
    <row r="428" ht="15.75" customHeight="1">
      <c r="A428" s="33" t="s">
        <v>2638</v>
      </c>
      <c r="B428" s="33" t="s">
        <v>191</v>
      </c>
      <c r="C428" s="33" t="s">
        <v>2640</v>
      </c>
      <c r="D428" s="33" t="s">
        <v>235</v>
      </c>
      <c r="E428" s="39">
        <v>45831.0</v>
      </c>
      <c r="F428" s="33" t="s">
        <v>230</v>
      </c>
      <c r="G428" s="40">
        <v>1610.0</v>
      </c>
      <c r="H428" s="46">
        <v>0.2296</v>
      </c>
      <c r="I428" s="40">
        <v>360.39</v>
      </c>
      <c r="J428" s="33">
        <v>0.0</v>
      </c>
      <c r="K428" s="33" t="s">
        <v>182</v>
      </c>
    </row>
    <row r="429" ht="15.75" customHeight="1">
      <c r="A429" s="33" t="s">
        <v>2641</v>
      </c>
      <c r="B429" s="33" t="s">
        <v>315</v>
      </c>
      <c r="C429" s="33" t="s">
        <v>2642</v>
      </c>
      <c r="D429" s="33" t="s">
        <v>227</v>
      </c>
      <c r="E429" s="39">
        <v>45698.0</v>
      </c>
      <c r="F429" s="33" t="s">
        <v>241</v>
      </c>
      <c r="G429" s="40">
        <v>40570.0</v>
      </c>
      <c r="H429" s="46">
        <v>0.1082</v>
      </c>
      <c r="I429" s="40">
        <v>18687.94</v>
      </c>
      <c r="J429" s="33">
        <v>0.0</v>
      </c>
      <c r="K429" s="33" t="s">
        <v>182</v>
      </c>
    </row>
    <row r="430" ht="15.75" customHeight="1">
      <c r="A430" s="33" t="s">
        <v>2645</v>
      </c>
      <c r="B430" s="33" t="s">
        <v>1186</v>
      </c>
      <c r="C430" s="33" t="s">
        <v>2647</v>
      </c>
      <c r="D430" s="33" t="s">
        <v>247</v>
      </c>
      <c r="E430" s="39">
        <v>45880.0</v>
      </c>
      <c r="F430" s="33" t="s">
        <v>230</v>
      </c>
      <c r="G430" s="40">
        <v>32720.0</v>
      </c>
      <c r="H430" s="46">
        <v>0.0809</v>
      </c>
      <c r="I430" s="40">
        <v>13850.68</v>
      </c>
      <c r="J430" s="33">
        <v>0.0</v>
      </c>
      <c r="K430" s="33" t="s">
        <v>182</v>
      </c>
    </row>
    <row r="431" ht="15.75" customHeight="1">
      <c r="A431" s="33" t="s">
        <v>2648</v>
      </c>
      <c r="B431" s="33" t="s">
        <v>902</v>
      </c>
      <c r="C431" s="33" t="s">
        <v>2651</v>
      </c>
      <c r="D431" s="33" t="s">
        <v>227</v>
      </c>
      <c r="E431" s="39">
        <v>46220.0</v>
      </c>
      <c r="F431" s="33" t="s">
        <v>230</v>
      </c>
      <c r="G431" s="40">
        <v>15950.0</v>
      </c>
      <c r="H431" s="46">
        <v>0.0935</v>
      </c>
      <c r="I431" s="40">
        <v>15813.02</v>
      </c>
      <c r="J431" s="33">
        <v>0.0</v>
      </c>
      <c r="K431" s="33" t="s">
        <v>182</v>
      </c>
    </row>
    <row r="432" ht="15.75" customHeight="1">
      <c r="A432" s="33" t="s">
        <v>2653</v>
      </c>
      <c r="B432" s="33" t="s">
        <v>696</v>
      </c>
      <c r="C432" s="33" t="s">
        <v>2655</v>
      </c>
      <c r="D432" s="33" t="s">
        <v>235</v>
      </c>
      <c r="E432" s="39">
        <v>46130.0</v>
      </c>
      <c r="F432" s="33" t="s">
        <v>269</v>
      </c>
      <c r="G432" s="40">
        <v>38820.0</v>
      </c>
      <c r="H432" s="46">
        <v>0.2085</v>
      </c>
      <c r="I432" s="40">
        <v>30067.85</v>
      </c>
      <c r="J432" s="33">
        <v>0.0</v>
      </c>
      <c r="K432" s="33" t="s">
        <v>182</v>
      </c>
    </row>
    <row r="433" ht="15.75" customHeight="1">
      <c r="A433" s="33" t="s">
        <v>2659</v>
      </c>
      <c r="B433" s="33" t="s">
        <v>1102</v>
      </c>
      <c r="C433" s="33" t="s">
        <v>2660</v>
      </c>
      <c r="D433" s="33" t="s">
        <v>247</v>
      </c>
      <c r="E433" s="39">
        <v>45779.0</v>
      </c>
      <c r="F433" s="33" t="s">
        <v>230</v>
      </c>
      <c r="G433" s="40">
        <v>11420.0</v>
      </c>
      <c r="H433" s="46">
        <v>0.0886</v>
      </c>
      <c r="I433" s="40">
        <v>2992.62</v>
      </c>
      <c r="J433" s="33">
        <v>0.0</v>
      </c>
      <c r="K433" s="33" t="s">
        <v>182</v>
      </c>
    </row>
    <row r="434" ht="15.75" customHeight="1">
      <c r="A434" s="33" t="s">
        <v>2663</v>
      </c>
      <c r="B434" s="33" t="s">
        <v>2658</v>
      </c>
      <c r="C434" s="33" t="s">
        <v>2664</v>
      </c>
      <c r="D434" s="33" t="s">
        <v>235</v>
      </c>
      <c r="E434" s="39">
        <v>46056.0</v>
      </c>
      <c r="F434" s="33" t="s">
        <v>241</v>
      </c>
      <c r="G434" s="40">
        <v>40670.0</v>
      </c>
      <c r="H434" s="46">
        <v>0.1994</v>
      </c>
      <c r="I434" s="40">
        <v>32199.05</v>
      </c>
      <c r="J434" s="33">
        <v>0.0</v>
      </c>
      <c r="K434" s="33" t="s">
        <v>182</v>
      </c>
    </row>
    <row r="435" ht="15.75" customHeight="1">
      <c r="A435" s="33" t="s">
        <v>2668</v>
      </c>
      <c r="B435" s="33" t="s">
        <v>458</v>
      </c>
      <c r="C435" s="33" t="s">
        <v>2670</v>
      </c>
      <c r="D435" s="33" t="s">
        <v>235</v>
      </c>
      <c r="E435" s="39">
        <v>46182.0</v>
      </c>
      <c r="F435" s="33" t="s">
        <v>230</v>
      </c>
      <c r="G435" s="40">
        <v>32890.0</v>
      </c>
      <c r="H435" s="46">
        <v>0.1448</v>
      </c>
      <c r="I435" s="40">
        <v>29143.61</v>
      </c>
      <c r="J435" s="33">
        <v>0.0</v>
      </c>
      <c r="K435" s="33" t="s">
        <v>182</v>
      </c>
    </row>
    <row r="436" ht="15.75" customHeight="1">
      <c r="A436" s="33" t="s">
        <v>2671</v>
      </c>
      <c r="B436" s="33" t="s">
        <v>898</v>
      </c>
      <c r="C436" s="33" t="s">
        <v>2673</v>
      </c>
      <c r="D436" s="33" t="s">
        <v>235</v>
      </c>
      <c r="E436" s="39">
        <v>46025.0</v>
      </c>
      <c r="F436" s="33" t="s">
        <v>230</v>
      </c>
      <c r="G436" s="40">
        <v>8640.0</v>
      </c>
      <c r="H436" s="46">
        <v>0.1482</v>
      </c>
      <c r="I436" s="40">
        <v>6833.76</v>
      </c>
      <c r="J436" s="33">
        <v>0.0</v>
      </c>
      <c r="K436" s="33" t="s">
        <v>182</v>
      </c>
    </row>
    <row r="437" ht="15.75" customHeight="1">
      <c r="A437" s="33" t="s">
        <v>2677</v>
      </c>
      <c r="B437" s="33" t="s">
        <v>740</v>
      </c>
      <c r="C437" s="33" t="s">
        <v>2679</v>
      </c>
      <c r="D437" s="33" t="s">
        <v>247</v>
      </c>
      <c r="E437" s="39">
        <v>45993.0</v>
      </c>
      <c r="F437" s="33" t="s">
        <v>248</v>
      </c>
      <c r="G437" s="40">
        <v>13940.0</v>
      </c>
      <c r="H437" s="46">
        <v>0.1969</v>
      </c>
      <c r="I437" s="40">
        <v>10002.74</v>
      </c>
      <c r="J437" s="33">
        <v>0.0</v>
      </c>
      <c r="K437" s="33" t="s">
        <v>182</v>
      </c>
    </row>
    <row r="438" ht="15.75" customHeight="1">
      <c r="A438" s="33" t="s">
        <v>2681</v>
      </c>
      <c r="B438" s="33" t="s">
        <v>195</v>
      </c>
      <c r="C438" s="33" t="s">
        <v>2683</v>
      </c>
      <c r="D438" s="33" t="s">
        <v>227</v>
      </c>
      <c r="E438" s="39">
        <v>46264.0</v>
      </c>
      <c r="F438" s="33" t="s">
        <v>230</v>
      </c>
      <c r="G438" s="40">
        <v>14990.0</v>
      </c>
      <c r="H438" s="46">
        <v>0.1312</v>
      </c>
      <c r="I438" s="40">
        <v>13717.98</v>
      </c>
      <c r="J438" s="33">
        <v>0.0</v>
      </c>
      <c r="K438" s="33" t="s">
        <v>182</v>
      </c>
    </row>
    <row r="439" ht="15.75" customHeight="1">
      <c r="A439" s="33" t="s">
        <v>2685</v>
      </c>
      <c r="B439" s="33" t="s">
        <v>371</v>
      </c>
      <c r="C439" s="33" t="s">
        <v>2686</v>
      </c>
      <c r="D439" s="33" t="s">
        <v>227</v>
      </c>
      <c r="E439" s="39">
        <v>45760.0</v>
      </c>
      <c r="F439" s="33" t="s">
        <v>230</v>
      </c>
      <c r="G439" s="40">
        <v>45030.0</v>
      </c>
      <c r="H439" s="46">
        <v>0.2097</v>
      </c>
      <c r="I439" s="40">
        <v>20902.69</v>
      </c>
      <c r="J439" s="33">
        <v>0.0</v>
      </c>
      <c r="K439" s="33" t="s">
        <v>182</v>
      </c>
    </row>
    <row r="440" ht="15.75" customHeight="1">
      <c r="A440" s="33" t="s">
        <v>2689</v>
      </c>
      <c r="B440" s="33" t="s">
        <v>1485</v>
      </c>
      <c r="C440" s="33" t="s">
        <v>2692</v>
      </c>
      <c r="D440" s="33" t="s">
        <v>227</v>
      </c>
      <c r="E440" s="39">
        <v>45950.0</v>
      </c>
      <c r="F440" s="33" t="s">
        <v>230</v>
      </c>
      <c r="G440" s="40">
        <v>39280.0</v>
      </c>
      <c r="H440" s="46">
        <v>0.0951</v>
      </c>
      <c r="I440" s="40">
        <v>25125.73</v>
      </c>
      <c r="J440" s="33">
        <v>0.0</v>
      </c>
      <c r="K440" s="33" t="s">
        <v>182</v>
      </c>
    </row>
    <row r="441" ht="15.75" customHeight="1">
      <c r="A441" s="33" t="s">
        <v>2694</v>
      </c>
      <c r="B441" s="33" t="s">
        <v>1850</v>
      </c>
      <c r="C441" s="33" t="s">
        <v>2695</v>
      </c>
      <c r="D441" s="33" t="s">
        <v>247</v>
      </c>
      <c r="E441" s="39">
        <v>45837.0</v>
      </c>
      <c r="F441" s="33" t="s">
        <v>230</v>
      </c>
      <c r="G441" s="40">
        <v>25830.0</v>
      </c>
      <c r="H441" s="46">
        <v>0.195</v>
      </c>
      <c r="I441" s="40">
        <v>13984.99</v>
      </c>
      <c r="J441" s="33">
        <v>0.0</v>
      </c>
      <c r="K441" s="33" t="s">
        <v>182</v>
      </c>
    </row>
    <row r="442" ht="15.75" customHeight="1">
      <c r="A442" s="33" t="s">
        <v>2697</v>
      </c>
      <c r="B442" s="33" t="s">
        <v>1167</v>
      </c>
      <c r="C442" s="33" t="s">
        <v>2698</v>
      </c>
      <c r="D442" s="33" t="s">
        <v>247</v>
      </c>
      <c r="E442" s="39">
        <v>45845.0</v>
      </c>
      <c r="F442" s="33" t="s">
        <v>230</v>
      </c>
      <c r="G442" s="40">
        <v>40160.0</v>
      </c>
      <c r="H442" s="46">
        <v>0.2246</v>
      </c>
      <c r="I442" s="40">
        <v>22835.5</v>
      </c>
      <c r="J442" s="33">
        <v>0.0</v>
      </c>
      <c r="K442" s="33" t="s">
        <v>182</v>
      </c>
    </row>
    <row r="443" ht="15.75" customHeight="1">
      <c r="A443" s="33" t="s">
        <v>2703</v>
      </c>
      <c r="B443" s="33" t="s">
        <v>767</v>
      </c>
      <c r="C443" s="33" t="s">
        <v>2704</v>
      </c>
      <c r="D443" s="33" t="s">
        <v>235</v>
      </c>
      <c r="E443" s="39">
        <v>46019.0</v>
      </c>
      <c r="F443" s="33" t="s">
        <v>241</v>
      </c>
      <c r="G443" s="40">
        <v>44820.0</v>
      </c>
      <c r="H443" s="46">
        <v>0.1063</v>
      </c>
      <c r="I443" s="40">
        <v>29966.35</v>
      </c>
      <c r="J443" s="33">
        <v>0.0</v>
      </c>
      <c r="K443" s="33" t="s">
        <v>182</v>
      </c>
    </row>
    <row r="444" ht="15.75" customHeight="1">
      <c r="A444" s="33" t="s">
        <v>2707</v>
      </c>
      <c r="B444" s="33" t="s">
        <v>1868</v>
      </c>
      <c r="C444" s="33" t="s">
        <v>2708</v>
      </c>
      <c r="D444" s="33" t="s">
        <v>247</v>
      </c>
      <c r="E444" s="39">
        <v>45907.0</v>
      </c>
      <c r="F444" s="33" t="s">
        <v>248</v>
      </c>
      <c r="G444" s="40">
        <v>40740.0</v>
      </c>
      <c r="H444" s="46">
        <v>0.1688</v>
      </c>
      <c r="I444" s="40">
        <v>26361.22</v>
      </c>
      <c r="J444" s="33">
        <v>0.0</v>
      </c>
      <c r="K444" s="33" t="s">
        <v>182</v>
      </c>
    </row>
    <row r="445" ht="15.75" customHeight="1">
      <c r="A445" s="33" t="s">
        <v>2710</v>
      </c>
      <c r="B445" s="33" t="s">
        <v>2268</v>
      </c>
      <c r="C445" s="33" t="s">
        <v>2712</v>
      </c>
      <c r="D445" s="33" t="s">
        <v>235</v>
      </c>
      <c r="E445" s="39">
        <v>46010.0</v>
      </c>
      <c r="F445" s="33" t="s">
        <v>248</v>
      </c>
      <c r="G445" s="40">
        <v>31500.0</v>
      </c>
      <c r="H445" s="46">
        <v>0.1826</v>
      </c>
      <c r="I445" s="40">
        <v>21735.88</v>
      </c>
      <c r="J445" s="33">
        <v>112.0</v>
      </c>
      <c r="K445" s="33" t="s">
        <v>794</v>
      </c>
    </row>
    <row r="446" ht="15.75" customHeight="1">
      <c r="A446" s="33" t="s">
        <v>2714</v>
      </c>
      <c r="B446" s="33" t="s">
        <v>257</v>
      </c>
      <c r="C446" s="33" t="s">
        <v>2717</v>
      </c>
      <c r="D446" s="33" t="s">
        <v>235</v>
      </c>
      <c r="E446" s="39">
        <v>46020.0</v>
      </c>
      <c r="F446" s="33" t="s">
        <v>248</v>
      </c>
      <c r="G446" s="40">
        <v>34730.0</v>
      </c>
      <c r="H446" s="46">
        <v>0.1012</v>
      </c>
      <c r="I446" s="40">
        <v>18835.42</v>
      </c>
      <c r="J446" s="33">
        <v>145.0</v>
      </c>
      <c r="K446" s="33" t="s">
        <v>794</v>
      </c>
    </row>
    <row r="447" ht="15.75" customHeight="1">
      <c r="A447" s="33" t="s">
        <v>2720</v>
      </c>
      <c r="B447" s="33" t="s">
        <v>225</v>
      </c>
      <c r="C447" s="33" t="s">
        <v>2722</v>
      </c>
      <c r="D447" s="33" t="s">
        <v>227</v>
      </c>
      <c r="E447" s="39">
        <v>45720.0</v>
      </c>
      <c r="F447" s="33" t="s">
        <v>230</v>
      </c>
      <c r="G447" s="40">
        <v>33750.0</v>
      </c>
      <c r="H447" s="46">
        <v>0.1669</v>
      </c>
      <c r="I447" s="40">
        <v>13077.98</v>
      </c>
      <c r="J447" s="33">
        <v>0.0</v>
      </c>
      <c r="K447" s="33" t="s">
        <v>182</v>
      </c>
    </row>
    <row r="448" ht="15.75" customHeight="1">
      <c r="A448" s="33" t="s">
        <v>2725</v>
      </c>
      <c r="B448" s="33" t="s">
        <v>483</v>
      </c>
      <c r="C448" s="33" t="s">
        <v>2726</v>
      </c>
      <c r="D448" s="33" t="s">
        <v>227</v>
      </c>
      <c r="E448" s="39">
        <v>45935.0</v>
      </c>
      <c r="F448" s="33" t="s">
        <v>248</v>
      </c>
      <c r="G448" s="40">
        <v>8640.0</v>
      </c>
      <c r="H448" s="46">
        <v>0.1204</v>
      </c>
      <c r="I448" s="40">
        <v>2895.1</v>
      </c>
      <c r="J448" s="33">
        <v>0.0</v>
      </c>
      <c r="K448" s="33" t="s">
        <v>182</v>
      </c>
    </row>
    <row r="449" ht="15.75" customHeight="1">
      <c r="A449" s="33" t="s">
        <v>2728</v>
      </c>
      <c r="B449" s="33" t="s">
        <v>2729</v>
      </c>
      <c r="C449" s="33" t="s">
        <v>2730</v>
      </c>
      <c r="D449" s="33" t="s">
        <v>227</v>
      </c>
      <c r="E449" s="39">
        <v>46205.0</v>
      </c>
      <c r="F449" s="33" t="s">
        <v>269</v>
      </c>
      <c r="G449" s="40">
        <v>35230.0</v>
      </c>
      <c r="H449" s="46">
        <v>0.2006</v>
      </c>
      <c r="I449" s="40">
        <v>31436.07</v>
      </c>
      <c r="J449" s="33">
        <v>22.0</v>
      </c>
      <c r="K449" s="33" t="s">
        <v>182</v>
      </c>
    </row>
    <row r="450" ht="15.75" customHeight="1">
      <c r="A450" s="33" t="s">
        <v>2733</v>
      </c>
      <c r="B450" s="33" t="s">
        <v>539</v>
      </c>
      <c r="C450" s="33" t="s">
        <v>2735</v>
      </c>
      <c r="D450" s="33" t="s">
        <v>227</v>
      </c>
      <c r="E450" s="39">
        <v>46109.0</v>
      </c>
      <c r="F450" s="33" t="s">
        <v>230</v>
      </c>
      <c r="G450" s="40">
        <v>9240.0</v>
      </c>
      <c r="H450" s="46">
        <v>0.1709</v>
      </c>
      <c r="I450" s="40">
        <v>6874.29</v>
      </c>
      <c r="J450" s="33">
        <v>0.0</v>
      </c>
      <c r="K450" s="33" t="s">
        <v>182</v>
      </c>
    </row>
    <row r="451" ht="15.75" customHeight="1">
      <c r="A451" s="33" t="s">
        <v>2737</v>
      </c>
      <c r="B451" s="33" t="s">
        <v>561</v>
      </c>
      <c r="C451" s="33" t="s">
        <v>2739</v>
      </c>
      <c r="D451" s="33" t="s">
        <v>247</v>
      </c>
      <c r="E451" s="39">
        <v>45866.0</v>
      </c>
      <c r="F451" s="33" t="s">
        <v>269</v>
      </c>
      <c r="G451" s="40">
        <v>5530.0</v>
      </c>
      <c r="H451" s="46">
        <v>0.1457</v>
      </c>
      <c r="I451" s="40">
        <v>1023.01</v>
      </c>
      <c r="J451" s="33">
        <v>137.0</v>
      </c>
      <c r="K451" s="33" t="s">
        <v>794</v>
      </c>
    </row>
    <row r="452" ht="15.75" customHeight="1">
      <c r="A452" s="33" t="s">
        <v>2743</v>
      </c>
      <c r="B452" s="33" t="s">
        <v>1360</v>
      </c>
      <c r="C452" s="33" t="s">
        <v>2746</v>
      </c>
      <c r="D452" s="33" t="s">
        <v>227</v>
      </c>
      <c r="E452" s="39">
        <v>46213.0</v>
      </c>
      <c r="F452" s="33" t="s">
        <v>230</v>
      </c>
      <c r="G452" s="40">
        <v>30330.0</v>
      </c>
      <c r="H452" s="46">
        <v>0.1988</v>
      </c>
      <c r="I452" s="40">
        <v>26768.8</v>
      </c>
      <c r="J452" s="33">
        <v>0.0</v>
      </c>
      <c r="K452" s="33" t="s">
        <v>182</v>
      </c>
    </row>
    <row r="453" ht="15.75" customHeight="1">
      <c r="A453" s="33" t="s">
        <v>2748</v>
      </c>
      <c r="B453" s="33" t="s">
        <v>323</v>
      </c>
      <c r="C453" s="33" t="s">
        <v>2749</v>
      </c>
      <c r="D453" s="33" t="s">
        <v>235</v>
      </c>
      <c r="E453" s="39">
        <v>46098.0</v>
      </c>
      <c r="F453" s="33" t="s">
        <v>248</v>
      </c>
      <c r="G453" s="40">
        <v>48000.0</v>
      </c>
      <c r="H453" s="46">
        <v>0.1971</v>
      </c>
      <c r="I453" s="40">
        <v>39227.27</v>
      </c>
      <c r="J453" s="33">
        <v>0.0</v>
      </c>
      <c r="K453" s="33" t="s">
        <v>182</v>
      </c>
    </row>
    <row r="454" ht="15.75" customHeight="1">
      <c r="A454" s="33" t="s">
        <v>2756</v>
      </c>
      <c r="B454" s="33" t="s">
        <v>2252</v>
      </c>
      <c r="C454" s="33" t="s">
        <v>2758</v>
      </c>
      <c r="D454" s="33" t="s">
        <v>247</v>
      </c>
      <c r="E454" s="39">
        <v>45844.0</v>
      </c>
      <c r="F454" s="33" t="s">
        <v>241</v>
      </c>
      <c r="G454" s="40">
        <v>3140.0</v>
      </c>
      <c r="H454" s="46">
        <v>0.1137</v>
      </c>
      <c r="I454" s="40">
        <v>1303.37</v>
      </c>
      <c r="J454" s="33">
        <v>0.0</v>
      </c>
      <c r="K454" s="33" t="s">
        <v>182</v>
      </c>
    </row>
    <row r="455" ht="15.75" customHeight="1">
      <c r="A455" s="33" t="s">
        <v>2760</v>
      </c>
      <c r="B455" s="33" t="s">
        <v>576</v>
      </c>
      <c r="C455" s="33" t="s">
        <v>2762</v>
      </c>
      <c r="D455" s="33" t="s">
        <v>235</v>
      </c>
      <c r="E455" s="39">
        <v>45677.0</v>
      </c>
      <c r="F455" s="33" t="s">
        <v>230</v>
      </c>
      <c r="G455" s="40">
        <v>13000.0</v>
      </c>
      <c r="H455" s="46">
        <v>0.0841</v>
      </c>
      <c r="I455" s="40">
        <v>2632.11</v>
      </c>
      <c r="J455" s="33">
        <v>0.0</v>
      </c>
      <c r="K455" s="33" t="s">
        <v>182</v>
      </c>
    </row>
    <row r="456" ht="15.75" customHeight="1">
      <c r="A456" s="33" t="s">
        <v>2767</v>
      </c>
      <c r="B456" s="33" t="s">
        <v>2131</v>
      </c>
      <c r="C456" s="33" t="s">
        <v>2768</v>
      </c>
      <c r="D456" s="33" t="s">
        <v>235</v>
      </c>
      <c r="E456" s="39">
        <v>45861.0</v>
      </c>
      <c r="F456" s="33" t="s">
        <v>230</v>
      </c>
      <c r="G456" s="40">
        <v>38330.0</v>
      </c>
      <c r="H456" s="46">
        <v>0.1197</v>
      </c>
      <c r="I456" s="40">
        <v>19980.6</v>
      </c>
      <c r="J456" s="33">
        <v>0.0</v>
      </c>
      <c r="K456" s="33" t="s">
        <v>182</v>
      </c>
    </row>
    <row r="457" ht="15.75" customHeight="1">
      <c r="A457" s="33" t="s">
        <v>2770</v>
      </c>
      <c r="B457" s="33" t="s">
        <v>521</v>
      </c>
      <c r="C457" s="33" t="s">
        <v>2771</v>
      </c>
      <c r="D457" s="33" t="s">
        <v>247</v>
      </c>
      <c r="E457" s="39">
        <v>45787.0</v>
      </c>
      <c r="F457" s="33" t="s">
        <v>248</v>
      </c>
      <c r="G457" s="40">
        <v>14240.0</v>
      </c>
      <c r="H457" s="46">
        <v>0.2212</v>
      </c>
      <c r="I457" s="40">
        <v>974.63</v>
      </c>
      <c r="J457" s="33">
        <v>162.0</v>
      </c>
      <c r="K457" s="33" t="s">
        <v>794</v>
      </c>
    </row>
    <row r="458" ht="15.75" customHeight="1">
      <c r="A458" s="33" t="s">
        <v>2773</v>
      </c>
      <c r="B458" s="33" t="s">
        <v>620</v>
      </c>
      <c r="C458" s="33" t="s">
        <v>2774</v>
      </c>
      <c r="D458" s="33" t="s">
        <v>247</v>
      </c>
      <c r="E458" s="39">
        <v>46013.0</v>
      </c>
      <c r="F458" s="33" t="s">
        <v>241</v>
      </c>
      <c r="G458" s="40">
        <v>7290.0</v>
      </c>
      <c r="H458" s="46">
        <v>0.1435</v>
      </c>
      <c r="I458" s="40">
        <v>4893.89</v>
      </c>
      <c r="J458" s="33">
        <v>0.0</v>
      </c>
      <c r="K458" s="33" t="s">
        <v>182</v>
      </c>
    </row>
    <row r="459" ht="15.75" customHeight="1">
      <c r="A459" s="33" t="s">
        <v>2778</v>
      </c>
      <c r="B459" s="33" t="s">
        <v>2779</v>
      </c>
      <c r="C459" s="33" t="s">
        <v>2780</v>
      </c>
      <c r="D459" s="33" t="s">
        <v>247</v>
      </c>
      <c r="E459" s="39">
        <v>45767.0</v>
      </c>
      <c r="F459" s="33" t="s">
        <v>248</v>
      </c>
      <c r="G459" s="40">
        <v>33750.0</v>
      </c>
      <c r="H459" s="46">
        <v>0.1122</v>
      </c>
      <c r="I459" s="40">
        <v>4153.29</v>
      </c>
      <c r="J459" s="33">
        <v>0.0</v>
      </c>
      <c r="K459" s="33" t="s">
        <v>182</v>
      </c>
    </row>
    <row r="460" ht="15.75" customHeight="1">
      <c r="A460" s="33" t="s">
        <v>2782</v>
      </c>
      <c r="B460" s="33" t="s">
        <v>1448</v>
      </c>
      <c r="C460" s="33" t="s">
        <v>2783</v>
      </c>
      <c r="D460" s="33" t="s">
        <v>247</v>
      </c>
      <c r="E460" s="39">
        <v>45712.0</v>
      </c>
      <c r="F460" s="33" t="s">
        <v>241</v>
      </c>
      <c r="G460" s="40">
        <v>15580.0</v>
      </c>
      <c r="H460" s="46">
        <v>0.139</v>
      </c>
      <c r="I460" s="40">
        <v>7064.45</v>
      </c>
      <c r="J460" s="33">
        <v>0.0</v>
      </c>
      <c r="K460" s="33" t="s">
        <v>182</v>
      </c>
    </row>
    <row r="461" ht="15.75" customHeight="1">
      <c r="A461" s="33" t="s">
        <v>2787</v>
      </c>
      <c r="B461" s="33" t="s">
        <v>848</v>
      </c>
      <c r="C461" s="33" t="s">
        <v>2789</v>
      </c>
      <c r="D461" s="33" t="s">
        <v>235</v>
      </c>
      <c r="E461" s="39">
        <v>45727.0</v>
      </c>
      <c r="F461" s="33" t="s">
        <v>230</v>
      </c>
      <c r="G461" s="40">
        <v>45100.0</v>
      </c>
      <c r="H461" s="46">
        <v>0.1413</v>
      </c>
      <c r="I461" s="40">
        <v>0.0</v>
      </c>
      <c r="J461" s="33">
        <v>0.0</v>
      </c>
      <c r="K461" s="33" t="s">
        <v>198</v>
      </c>
    </row>
    <row r="462" ht="15.75" customHeight="1">
      <c r="A462" s="33" t="s">
        <v>2792</v>
      </c>
      <c r="B462" s="33" t="s">
        <v>1629</v>
      </c>
      <c r="C462" s="33" t="s">
        <v>2793</v>
      </c>
      <c r="D462" s="33" t="s">
        <v>227</v>
      </c>
      <c r="E462" s="39">
        <v>45865.0</v>
      </c>
      <c r="F462" s="33" t="s">
        <v>241</v>
      </c>
      <c r="G462" s="40">
        <v>19850.0</v>
      </c>
      <c r="H462" s="46">
        <v>0.1527</v>
      </c>
      <c r="I462" s="40">
        <v>12101.31</v>
      </c>
      <c r="J462" s="33">
        <v>67.0</v>
      </c>
      <c r="K462" s="33" t="s">
        <v>385</v>
      </c>
    </row>
    <row r="463" ht="15.75" customHeight="1">
      <c r="A463" s="33" t="s">
        <v>2795</v>
      </c>
      <c r="B463" s="33" t="s">
        <v>1730</v>
      </c>
      <c r="C463" s="33" t="s">
        <v>2796</v>
      </c>
      <c r="D463" s="33" t="s">
        <v>235</v>
      </c>
      <c r="E463" s="39">
        <v>45789.0</v>
      </c>
      <c r="F463" s="33" t="s">
        <v>230</v>
      </c>
      <c r="G463" s="40">
        <v>26930.0</v>
      </c>
      <c r="H463" s="46">
        <v>0.152</v>
      </c>
      <c r="I463" s="40">
        <v>0.0</v>
      </c>
      <c r="J463" s="33">
        <v>0.0</v>
      </c>
      <c r="K463" s="33" t="s">
        <v>198</v>
      </c>
    </row>
    <row r="464" ht="15.75" customHeight="1">
      <c r="A464" s="33" t="s">
        <v>2798</v>
      </c>
      <c r="B464" s="33" t="s">
        <v>597</v>
      </c>
      <c r="C464" s="33" t="s">
        <v>2799</v>
      </c>
      <c r="D464" s="33" t="s">
        <v>227</v>
      </c>
      <c r="E464" s="39">
        <v>45739.0</v>
      </c>
      <c r="F464" s="33" t="s">
        <v>230</v>
      </c>
      <c r="G464" s="40">
        <v>18920.0</v>
      </c>
      <c r="H464" s="46">
        <v>0.1277</v>
      </c>
      <c r="I464" s="40">
        <v>0.0</v>
      </c>
      <c r="J464" s="33">
        <v>0.0</v>
      </c>
      <c r="K464" s="33" t="s">
        <v>198</v>
      </c>
    </row>
    <row r="465" ht="15.75" customHeight="1">
      <c r="A465" s="33" t="s">
        <v>2801</v>
      </c>
      <c r="B465" s="33" t="s">
        <v>705</v>
      </c>
      <c r="C465" s="33" t="s">
        <v>2802</v>
      </c>
      <c r="D465" s="33" t="s">
        <v>235</v>
      </c>
      <c r="E465" s="39">
        <v>45706.0</v>
      </c>
      <c r="F465" s="33" t="s">
        <v>230</v>
      </c>
      <c r="G465" s="40">
        <v>21360.0</v>
      </c>
      <c r="H465" s="46">
        <v>0.1279</v>
      </c>
      <c r="I465" s="40">
        <v>9713.65</v>
      </c>
      <c r="J465" s="33">
        <v>0.0</v>
      </c>
      <c r="K465" s="33" t="s">
        <v>182</v>
      </c>
    </row>
    <row r="466" ht="15.75" customHeight="1">
      <c r="A466" s="33" t="s">
        <v>2805</v>
      </c>
      <c r="B466" s="33" t="s">
        <v>2678</v>
      </c>
      <c r="C466" s="33" t="s">
        <v>2806</v>
      </c>
      <c r="D466" s="33" t="s">
        <v>235</v>
      </c>
      <c r="E466" s="39">
        <v>46071.0</v>
      </c>
      <c r="F466" s="33" t="s">
        <v>230</v>
      </c>
      <c r="G466" s="40">
        <v>39750.0</v>
      </c>
      <c r="H466" s="46">
        <v>0.208</v>
      </c>
      <c r="I466" s="40">
        <v>32097.88</v>
      </c>
      <c r="J466" s="33">
        <v>0.0</v>
      </c>
      <c r="K466" s="33" t="s">
        <v>182</v>
      </c>
    </row>
    <row r="467" ht="15.75" customHeight="1">
      <c r="A467" s="33" t="s">
        <v>2811</v>
      </c>
      <c r="B467" s="33" t="s">
        <v>2812</v>
      </c>
      <c r="C467" s="33" t="s">
        <v>2813</v>
      </c>
      <c r="D467" s="33" t="s">
        <v>247</v>
      </c>
      <c r="E467" s="39">
        <v>45932.0</v>
      </c>
      <c r="F467" s="33" t="s">
        <v>230</v>
      </c>
      <c r="G467" s="40">
        <v>2310.0</v>
      </c>
      <c r="H467" s="46">
        <v>0.1861</v>
      </c>
      <c r="I467" s="40">
        <v>954.66</v>
      </c>
      <c r="J467" s="33">
        <v>0.0</v>
      </c>
      <c r="K467" s="33" t="s">
        <v>182</v>
      </c>
    </row>
    <row r="468" ht="15.75" customHeight="1">
      <c r="A468" s="33" t="s">
        <v>2814</v>
      </c>
      <c r="B468" s="33" t="s">
        <v>2816</v>
      </c>
      <c r="C468" s="33" t="s">
        <v>2817</v>
      </c>
      <c r="D468" s="33" t="s">
        <v>227</v>
      </c>
      <c r="E468" s="39">
        <v>45824.0</v>
      </c>
      <c r="F468" s="33" t="s">
        <v>230</v>
      </c>
      <c r="G468" s="40">
        <v>21550.0</v>
      </c>
      <c r="H468" s="46">
        <v>0.1887</v>
      </c>
      <c r="I468" s="40">
        <v>9834.12</v>
      </c>
      <c r="J468" s="33">
        <v>0.0</v>
      </c>
      <c r="K468" s="33" t="s">
        <v>182</v>
      </c>
    </row>
    <row r="469" ht="15.75" customHeight="1">
      <c r="A469" s="33" t="s">
        <v>2820</v>
      </c>
      <c r="B469" s="33" t="s">
        <v>254</v>
      </c>
      <c r="C469" s="33" t="s">
        <v>2822</v>
      </c>
      <c r="D469" s="33" t="s">
        <v>227</v>
      </c>
      <c r="E469" s="39">
        <v>45869.0</v>
      </c>
      <c r="F469" s="33" t="s">
        <v>230</v>
      </c>
      <c r="G469" s="40">
        <v>13730.0</v>
      </c>
      <c r="H469" s="46">
        <v>0.1105</v>
      </c>
      <c r="I469" s="40">
        <v>2433.04</v>
      </c>
      <c r="J469" s="33">
        <v>7.0</v>
      </c>
      <c r="K469" s="33" t="s">
        <v>182</v>
      </c>
    </row>
    <row r="470" ht="15.75" customHeight="1">
      <c r="A470" s="33" t="s">
        <v>2824</v>
      </c>
      <c r="B470" s="33" t="s">
        <v>2826</v>
      </c>
      <c r="C470" s="33" t="s">
        <v>2827</v>
      </c>
      <c r="D470" s="33" t="s">
        <v>247</v>
      </c>
      <c r="E470" s="39">
        <v>45823.0</v>
      </c>
      <c r="F470" s="33" t="s">
        <v>230</v>
      </c>
      <c r="G470" s="40">
        <v>34970.0</v>
      </c>
      <c r="H470" s="46">
        <v>0.2387</v>
      </c>
      <c r="I470" s="40">
        <v>0.0</v>
      </c>
      <c r="J470" s="33">
        <v>0.0</v>
      </c>
      <c r="K470" s="33" t="s">
        <v>198</v>
      </c>
    </row>
    <row r="471" ht="15.75" customHeight="1">
      <c r="A471" s="33" t="s">
        <v>2829</v>
      </c>
      <c r="B471" s="33" t="s">
        <v>952</v>
      </c>
      <c r="C471" s="33" t="s">
        <v>2831</v>
      </c>
      <c r="D471" s="33" t="s">
        <v>247</v>
      </c>
      <c r="E471" s="39">
        <v>46200.0</v>
      </c>
      <c r="F471" s="33" t="s">
        <v>248</v>
      </c>
      <c r="G471" s="40">
        <v>37010.0</v>
      </c>
      <c r="H471" s="46">
        <v>0.0939</v>
      </c>
      <c r="I471" s="40">
        <v>30850.7</v>
      </c>
      <c r="J471" s="33">
        <v>0.0</v>
      </c>
      <c r="K471" s="33" t="s">
        <v>182</v>
      </c>
    </row>
    <row r="472" ht="15.75" customHeight="1">
      <c r="A472" s="33" t="s">
        <v>2833</v>
      </c>
      <c r="B472" s="33" t="s">
        <v>1099</v>
      </c>
      <c r="C472" s="33" t="s">
        <v>2834</v>
      </c>
      <c r="D472" s="33" t="s">
        <v>235</v>
      </c>
      <c r="E472" s="39">
        <v>46057.0</v>
      </c>
      <c r="F472" s="33" t="s">
        <v>230</v>
      </c>
      <c r="G472" s="40">
        <v>10670.0</v>
      </c>
      <c r="H472" s="46">
        <v>0.1892</v>
      </c>
      <c r="I472" s="40">
        <v>7192.07</v>
      </c>
      <c r="J472" s="33">
        <v>0.0</v>
      </c>
      <c r="K472" s="33" t="s">
        <v>182</v>
      </c>
    </row>
    <row r="473" ht="15.75" customHeight="1">
      <c r="A473" s="33" t="s">
        <v>2837</v>
      </c>
      <c r="B473" s="33" t="s">
        <v>1102</v>
      </c>
      <c r="C473" s="33" t="s">
        <v>2838</v>
      </c>
      <c r="D473" s="33" t="s">
        <v>247</v>
      </c>
      <c r="E473" s="39">
        <v>45954.0</v>
      </c>
      <c r="F473" s="33" t="s">
        <v>241</v>
      </c>
      <c r="G473" s="40">
        <v>9430.0</v>
      </c>
      <c r="H473" s="46">
        <v>0.1989</v>
      </c>
      <c r="I473" s="40">
        <v>3323.62</v>
      </c>
      <c r="J473" s="33">
        <v>0.0</v>
      </c>
      <c r="K473" s="33" t="s">
        <v>182</v>
      </c>
    </row>
    <row r="474" ht="15.75" customHeight="1">
      <c r="A474" s="33" t="s">
        <v>2841</v>
      </c>
      <c r="B474" s="33" t="s">
        <v>2276</v>
      </c>
      <c r="C474" s="33" t="s">
        <v>2843</v>
      </c>
      <c r="D474" s="33" t="s">
        <v>247</v>
      </c>
      <c r="E474" s="39">
        <v>46043.0</v>
      </c>
      <c r="F474" s="33" t="s">
        <v>241</v>
      </c>
      <c r="G474" s="40">
        <v>34120.0</v>
      </c>
      <c r="H474" s="46">
        <v>0.1227</v>
      </c>
      <c r="I474" s="40">
        <v>22482.98</v>
      </c>
      <c r="J474" s="33">
        <v>0.0</v>
      </c>
      <c r="K474" s="33" t="s">
        <v>182</v>
      </c>
    </row>
    <row r="475" ht="15.75" customHeight="1">
      <c r="A475" s="33" t="s">
        <v>2845</v>
      </c>
      <c r="B475" s="33" t="s">
        <v>324</v>
      </c>
      <c r="C475" s="33" t="s">
        <v>2846</v>
      </c>
      <c r="D475" s="33" t="s">
        <v>227</v>
      </c>
      <c r="E475" s="39">
        <v>45874.0</v>
      </c>
      <c r="F475" s="33" t="s">
        <v>230</v>
      </c>
      <c r="G475" s="40">
        <v>20990.0</v>
      </c>
      <c r="H475" s="46">
        <v>0.0923</v>
      </c>
      <c r="I475" s="40">
        <v>12564.71</v>
      </c>
      <c r="J475" s="33">
        <v>0.0</v>
      </c>
      <c r="K475" s="33" t="s">
        <v>182</v>
      </c>
    </row>
    <row r="476" ht="15.75" customHeight="1">
      <c r="A476" s="33" t="s">
        <v>2848</v>
      </c>
      <c r="B476" s="33" t="s">
        <v>1660</v>
      </c>
      <c r="C476" s="33" t="s">
        <v>2850</v>
      </c>
      <c r="D476" s="33" t="s">
        <v>247</v>
      </c>
      <c r="E476" s="39">
        <v>45712.0</v>
      </c>
      <c r="F476" s="33" t="s">
        <v>241</v>
      </c>
      <c r="G476" s="40">
        <v>7760.0</v>
      </c>
      <c r="H476" s="46">
        <v>0.198</v>
      </c>
      <c r="I476" s="40">
        <v>1071.4</v>
      </c>
      <c r="J476" s="33">
        <v>0.0</v>
      </c>
      <c r="K476" s="33" t="s">
        <v>182</v>
      </c>
    </row>
    <row r="477" ht="15.75" customHeight="1">
      <c r="A477" s="33" t="s">
        <v>2852</v>
      </c>
      <c r="B477" s="33" t="s">
        <v>467</v>
      </c>
      <c r="C477" s="33" t="s">
        <v>2854</v>
      </c>
      <c r="D477" s="33" t="s">
        <v>247</v>
      </c>
      <c r="E477" s="39">
        <v>45759.0</v>
      </c>
      <c r="F477" s="33" t="s">
        <v>248</v>
      </c>
      <c r="G477" s="40">
        <v>47800.0</v>
      </c>
      <c r="H477" s="46">
        <v>0.1705</v>
      </c>
      <c r="I477" s="40">
        <v>12463.88</v>
      </c>
      <c r="J477" s="33">
        <v>0.0</v>
      </c>
      <c r="K477" s="33" t="s">
        <v>182</v>
      </c>
    </row>
    <row r="478" ht="15.75" customHeight="1">
      <c r="A478" s="33" t="s">
        <v>2858</v>
      </c>
      <c r="B478" s="33" t="s">
        <v>539</v>
      </c>
      <c r="C478" s="33" t="s">
        <v>2859</v>
      </c>
      <c r="D478" s="33" t="s">
        <v>247</v>
      </c>
      <c r="E478" s="39">
        <v>45939.0</v>
      </c>
      <c r="F478" s="33" t="s">
        <v>241</v>
      </c>
      <c r="G478" s="40">
        <v>39580.0</v>
      </c>
      <c r="H478" s="46">
        <v>0.2345</v>
      </c>
      <c r="I478" s="40">
        <v>12623.08</v>
      </c>
      <c r="J478" s="33">
        <v>0.0</v>
      </c>
      <c r="K478" s="33" t="s">
        <v>182</v>
      </c>
    </row>
    <row r="479" ht="15.75" customHeight="1">
      <c r="A479" s="33" t="s">
        <v>2862</v>
      </c>
      <c r="B479" s="33" t="s">
        <v>251</v>
      </c>
      <c r="C479" s="33" t="s">
        <v>2863</v>
      </c>
      <c r="D479" s="33" t="s">
        <v>227</v>
      </c>
      <c r="E479" s="39">
        <v>45915.0</v>
      </c>
      <c r="F479" s="33" t="s">
        <v>248</v>
      </c>
      <c r="G479" s="40">
        <v>13290.0</v>
      </c>
      <c r="H479" s="46">
        <v>0.1964</v>
      </c>
      <c r="I479" s="40">
        <v>9052.99</v>
      </c>
      <c r="J479" s="33">
        <v>0.0</v>
      </c>
      <c r="K479" s="33" t="s">
        <v>182</v>
      </c>
    </row>
    <row r="480" ht="15.75" customHeight="1">
      <c r="A480" s="33" t="s">
        <v>2865</v>
      </c>
      <c r="B480" s="33" t="s">
        <v>879</v>
      </c>
      <c r="C480" s="33" t="s">
        <v>2866</v>
      </c>
      <c r="D480" s="33" t="s">
        <v>227</v>
      </c>
      <c r="E480" s="39">
        <v>46030.0</v>
      </c>
      <c r="F480" s="33" t="s">
        <v>269</v>
      </c>
      <c r="G480" s="40">
        <v>6220.0</v>
      </c>
      <c r="H480" s="46">
        <v>0.2287</v>
      </c>
      <c r="I480" s="40">
        <v>3252.1</v>
      </c>
      <c r="J480" s="33">
        <v>0.0</v>
      </c>
      <c r="K480" s="33" t="s">
        <v>182</v>
      </c>
    </row>
    <row r="481" ht="15.75" customHeight="1">
      <c r="A481" s="33" t="s">
        <v>2868</v>
      </c>
      <c r="B481" s="33" t="s">
        <v>2669</v>
      </c>
      <c r="C481" s="33" t="s">
        <v>2870</v>
      </c>
      <c r="D481" s="33" t="s">
        <v>247</v>
      </c>
      <c r="E481" s="39">
        <v>46149.0</v>
      </c>
      <c r="F481" s="33" t="s">
        <v>230</v>
      </c>
      <c r="G481" s="40">
        <v>1490.0</v>
      </c>
      <c r="H481" s="46">
        <v>0.1815</v>
      </c>
      <c r="I481" s="40">
        <v>1269.7</v>
      </c>
      <c r="J481" s="33">
        <v>0.0</v>
      </c>
      <c r="K481" s="33" t="s">
        <v>182</v>
      </c>
    </row>
    <row r="482" ht="15.75" customHeight="1">
      <c r="A482" s="33" t="s">
        <v>2871</v>
      </c>
      <c r="B482" s="33" t="s">
        <v>2872</v>
      </c>
      <c r="C482" s="33" t="s">
        <v>2873</v>
      </c>
      <c r="D482" s="33" t="s">
        <v>247</v>
      </c>
      <c r="E482" s="39">
        <v>45717.0</v>
      </c>
      <c r="F482" s="33" t="s">
        <v>230</v>
      </c>
      <c r="G482" s="40">
        <v>31390.0</v>
      </c>
      <c r="H482" s="46">
        <v>0.1597</v>
      </c>
      <c r="I482" s="40">
        <v>13829.15</v>
      </c>
      <c r="J482" s="33">
        <v>0.0</v>
      </c>
      <c r="K482" s="33" t="s">
        <v>182</v>
      </c>
    </row>
    <row r="483" ht="15.75" customHeight="1">
      <c r="A483" s="33" t="s">
        <v>2877</v>
      </c>
      <c r="B483" s="33" t="s">
        <v>2424</v>
      </c>
      <c r="C483" s="33" t="s">
        <v>2880</v>
      </c>
      <c r="D483" s="33" t="s">
        <v>235</v>
      </c>
      <c r="E483" s="39">
        <v>46080.0</v>
      </c>
      <c r="F483" s="33" t="s">
        <v>230</v>
      </c>
      <c r="G483" s="40">
        <v>15310.0</v>
      </c>
      <c r="H483" s="46">
        <v>0.2312</v>
      </c>
      <c r="I483" s="40">
        <v>11029.84</v>
      </c>
      <c r="J483" s="33">
        <v>51.0</v>
      </c>
      <c r="K483" s="33" t="s">
        <v>385</v>
      </c>
    </row>
    <row r="484" ht="15.75" customHeight="1">
      <c r="A484" s="33" t="s">
        <v>2881</v>
      </c>
      <c r="B484" s="33" t="s">
        <v>808</v>
      </c>
      <c r="C484" s="33" t="s">
        <v>2883</v>
      </c>
      <c r="D484" s="33" t="s">
        <v>227</v>
      </c>
      <c r="E484" s="39">
        <v>45763.0</v>
      </c>
      <c r="F484" s="33" t="s">
        <v>241</v>
      </c>
      <c r="G484" s="40">
        <v>30650.0</v>
      </c>
      <c r="H484" s="46">
        <v>0.211</v>
      </c>
      <c r="I484" s="40">
        <v>6484.84</v>
      </c>
      <c r="J484" s="33">
        <v>0.0</v>
      </c>
      <c r="K484" s="33" t="s">
        <v>182</v>
      </c>
    </row>
    <row r="485" ht="15.75" customHeight="1">
      <c r="A485" s="33" t="s">
        <v>2885</v>
      </c>
      <c r="B485" s="33" t="s">
        <v>2886</v>
      </c>
      <c r="C485" s="33" t="s">
        <v>2887</v>
      </c>
      <c r="D485" s="33" t="s">
        <v>235</v>
      </c>
      <c r="E485" s="39">
        <v>46011.0</v>
      </c>
      <c r="F485" s="33" t="s">
        <v>241</v>
      </c>
      <c r="G485" s="40">
        <v>14380.0</v>
      </c>
      <c r="H485" s="46">
        <v>0.0856</v>
      </c>
      <c r="I485" s="40">
        <v>9759.99</v>
      </c>
      <c r="J485" s="33">
        <v>0.0</v>
      </c>
      <c r="K485" s="33" t="s">
        <v>182</v>
      </c>
    </row>
    <row r="486" ht="15.75" customHeight="1">
      <c r="A486" s="33" t="s">
        <v>2889</v>
      </c>
      <c r="B486" s="33" t="s">
        <v>845</v>
      </c>
      <c r="C486" s="33" t="s">
        <v>2890</v>
      </c>
      <c r="D486" s="33" t="s">
        <v>247</v>
      </c>
      <c r="E486" s="39">
        <v>45853.0</v>
      </c>
      <c r="F486" s="33" t="s">
        <v>230</v>
      </c>
      <c r="G486" s="40">
        <v>25180.0</v>
      </c>
      <c r="H486" s="46">
        <v>0.1733</v>
      </c>
      <c r="I486" s="40">
        <v>0.0</v>
      </c>
      <c r="J486" s="33">
        <v>0.0</v>
      </c>
      <c r="K486" s="33" t="s">
        <v>198</v>
      </c>
    </row>
    <row r="487" ht="15.75" customHeight="1">
      <c r="A487" s="33" t="s">
        <v>2893</v>
      </c>
      <c r="B487" s="33" t="s">
        <v>1742</v>
      </c>
      <c r="C487" s="33" t="s">
        <v>2894</v>
      </c>
      <c r="D487" s="33" t="s">
        <v>247</v>
      </c>
      <c r="E487" s="39">
        <v>45751.0</v>
      </c>
      <c r="F487" s="33" t="s">
        <v>248</v>
      </c>
      <c r="G487" s="40">
        <v>37500.0</v>
      </c>
      <c r="H487" s="46">
        <v>0.1039</v>
      </c>
      <c r="I487" s="40">
        <v>5322.76</v>
      </c>
      <c r="J487" s="33">
        <v>0.0</v>
      </c>
      <c r="K487" s="33" t="s">
        <v>182</v>
      </c>
    </row>
    <row r="488" ht="15.75" customHeight="1">
      <c r="A488" s="33" t="s">
        <v>2897</v>
      </c>
      <c r="B488" s="33" t="s">
        <v>876</v>
      </c>
      <c r="C488" s="33" t="s">
        <v>2898</v>
      </c>
      <c r="D488" s="33" t="s">
        <v>235</v>
      </c>
      <c r="E488" s="39">
        <v>46000.0</v>
      </c>
      <c r="F488" s="33" t="s">
        <v>248</v>
      </c>
      <c r="G488" s="40">
        <v>30110.0</v>
      </c>
      <c r="H488" s="46">
        <v>0.2317</v>
      </c>
      <c r="I488" s="40">
        <v>19456.5</v>
      </c>
      <c r="J488" s="33">
        <v>0.0</v>
      </c>
      <c r="K488" s="33" t="s">
        <v>182</v>
      </c>
    </row>
    <row r="489" ht="15.75" customHeight="1">
      <c r="A489" s="33" t="s">
        <v>2900</v>
      </c>
      <c r="B489" s="33" t="s">
        <v>2453</v>
      </c>
      <c r="C489" s="33" t="s">
        <v>2901</v>
      </c>
      <c r="D489" s="33" t="s">
        <v>227</v>
      </c>
      <c r="E489" s="39">
        <v>45953.0</v>
      </c>
      <c r="F489" s="33" t="s">
        <v>230</v>
      </c>
      <c r="G489" s="40">
        <v>7910.0</v>
      </c>
      <c r="H489" s="46">
        <v>0.1881</v>
      </c>
      <c r="I489" s="40">
        <v>5198.59</v>
      </c>
      <c r="J489" s="33">
        <v>93.0</v>
      </c>
      <c r="K489" s="33" t="s">
        <v>794</v>
      </c>
    </row>
    <row r="490" ht="15.75" customHeight="1">
      <c r="A490" s="33" t="s">
        <v>2904</v>
      </c>
      <c r="B490" s="33" t="s">
        <v>1812</v>
      </c>
      <c r="C490" s="33" t="s">
        <v>2906</v>
      </c>
      <c r="D490" s="33" t="s">
        <v>247</v>
      </c>
      <c r="E490" s="39">
        <v>45731.0</v>
      </c>
      <c r="F490" s="33" t="s">
        <v>230</v>
      </c>
      <c r="G490" s="40">
        <v>18080.0</v>
      </c>
      <c r="H490" s="46">
        <v>0.1522</v>
      </c>
      <c r="I490" s="40">
        <v>9490.56</v>
      </c>
      <c r="J490" s="33">
        <v>0.0</v>
      </c>
      <c r="K490" s="33" t="s">
        <v>182</v>
      </c>
    </row>
    <row r="491" ht="15.75" customHeight="1">
      <c r="A491" s="33" t="s">
        <v>2908</v>
      </c>
      <c r="B491" s="33" t="s">
        <v>374</v>
      </c>
      <c r="C491" s="33" t="s">
        <v>2909</v>
      </c>
      <c r="D491" s="33" t="s">
        <v>227</v>
      </c>
      <c r="E491" s="39">
        <v>46183.0</v>
      </c>
      <c r="F491" s="33" t="s">
        <v>248</v>
      </c>
      <c r="G491" s="40">
        <v>15290.0</v>
      </c>
      <c r="H491" s="46">
        <v>0.2336</v>
      </c>
      <c r="I491" s="40">
        <v>14778.57</v>
      </c>
      <c r="J491" s="33">
        <v>0.0</v>
      </c>
      <c r="K491" s="33" t="s">
        <v>182</v>
      </c>
    </row>
    <row r="492" ht="15.75" customHeight="1">
      <c r="A492" s="33" t="s">
        <v>2912</v>
      </c>
      <c r="B492" s="33" t="s">
        <v>2914</v>
      </c>
      <c r="C492" s="33" t="s">
        <v>2915</v>
      </c>
      <c r="D492" s="33" t="s">
        <v>227</v>
      </c>
      <c r="E492" s="39">
        <v>45962.0</v>
      </c>
      <c r="F492" s="33" t="s">
        <v>269</v>
      </c>
      <c r="G492" s="40">
        <v>41250.0</v>
      </c>
      <c r="H492" s="46">
        <v>0.1338</v>
      </c>
      <c r="I492" s="40">
        <v>19509.8</v>
      </c>
      <c r="J492" s="33">
        <v>37.0</v>
      </c>
      <c r="K492" s="33" t="s">
        <v>385</v>
      </c>
    </row>
    <row r="493" ht="15.75" customHeight="1">
      <c r="A493" s="33" t="s">
        <v>2919</v>
      </c>
      <c r="B493" s="33" t="s">
        <v>220</v>
      </c>
      <c r="C493" s="33" t="s">
        <v>2920</v>
      </c>
      <c r="D493" s="33" t="s">
        <v>235</v>
      </c>
      <c r="E493" s="39">
        <v>46121.0</v>
      </c>
      <c r="F493" s="33" t="s">
        <v>230</v>
      </c>
      <c r="G493" s="40">
        <v>11720.0</v>
      </c>
      <c r="H493" s="46">
        <v>0.1511</v>
      </c>
      <c r="I493" s="40">
        <v>10224.1</v>
      </c>
      <c r="J493" s="33">
        <v>0.0</v>
      </c>
      <c r="K493" s="33" t="s">
        <v>182</v>
      </c>
    </row>
    <row r="494" ht="15.75" customHeight="1">
      <c r="A494" s="33" t="s">
        <v>2924</v>
      </c>
      <c r="B494" s="33" t="s">
        <v>2926</v>
      </c>
      <c r="C494" s="33" t="s">
        <v>2927</v>
      </c>
      <c r="D494" s="33" t="s">
        <v>227</v>
      </c>
      <c r="E494" s="39">
        <v>46253.0</v>
      </c>
      <c r="F494" s="33" t="s">
        <v>269</v>
      </c>
      <c r="G494" s="40">
        <v>4410.0</v>
      </c>
      <c r="H494" s="46">
        <v>0.1438</v>
      </c>
      <c r="I494" s="40">
        <v>4106.7</v>
      </c>
      <c r="J494" s="33">
        <v>19.0</v>
      </c>
      <c r="K494" s="33" t="s">
        <v>182</v>
      </c>
    </row>
    <row r="495" ht="15.75" customHeight="1">
      <c r="A495" s="33" t="s">
        <v>2930</v>
      </c>
      <c r="B495" s="33" t="s">
        <v>1693</v>
      </c>
      <c r="C495" s="33" t="s">
        <v>2931</v>
      </c>
      <c r="D495" s="33" t="s">
        <v>247</v>
      </c>
      <c r="E495" s="39">
        <v>46035.0</v>
      </c>
      <c r="F495" s="33" t="s">
        <v>241</v>
      </c>
      <c r="G495" s="40">
        <v>17770.0</v>
      </c>
      <c r="H495" s="46">
        <v>0.1011</v>
      </c>
      <c r="I495" s="40">
        <v>12714.88</v>
      </c>
      <c r="J495" s="33">
        <v>161.0</v>
      </c>
      <c r="K495" s="33" t="s">
        <v>794</v>
      </c>
    </row>
    <row r="496" ht="15.75" customHeight="1">
      <c r="A496" s="33" t="s">
        <v>2933</v>
      </c>
      <c r="B496" s="33" t="s">
        <v>2199</v>
      </c>
      <c r="C496" s="33" t="s">
        <v>2935</v>
      </c>
      <c r="D496" s="33" t="s">
        <v>247</v>
      </c>
      <c r="E496" s="39">
        <v>45931.0</v>
      </c>
      <c r="F496" s="33" t="s">
        <v>230</v>
      </c>
      <c r="G496" s="40">
        <v>24330.0</v>
      </c>
      <c r="H496" s="46">
        <v>0.104</v>
      </c>
      <c r="I496" s="40">
        <v>7388.46</v>
      </c>
      <c r="J496" s="33">
        <v>0.0</v>
      </c>
      <c r="K496" s="33" t="s">
        <v>182</v>
      </c>
    </row>
    <row r="497" ht="15.75" customHeight="1">
      <c r="A497" s="33" t="s">
        <v>2938</v>
      </c>
      <c r="B497" s="33" t="s">
        <v>765</v>
      </c>
      <c r="C497" s="33" t="s">
        <v>2939</v>
      </c>
      <c r="D497" s="33" t="s">
        <v>227</v>
      </c>
      <c r="E497" s="39">
        <v>46110.0</v>
      </c>
      <c r="F497" s="33" t="s">
        <v>248</v>
      </c>
      <c r="G497" s="40">
        <v>5390.0</v>
      </c>
      <c r="H497" s="46">
        <v>0.1746</v>
      </c>
      <c r="I497" s="40">
        <v>4375.25</v>
      </c>
      <c r="J497" s="33">
        <v>39.0</v>
      </c>
      <c r="K497" s="33" t="s">
        <v>385</v>
      </c>
    </row>
    <row r="498" ht="15.75" customHeight="1">
      <c r="A498" s="33" t="s">
        <v>2940</v>
      </c>
      <c r="B498" s="33" t="s">
        <v>393</v>
      </c>
      <c r="C498" s="33" t="s">
        <v>2942</v>
      </c>
      <c r="D498" s="33" t="s">
        <v>247</v>
      </c>
      <c r="E498" s="39">
        <v>45942.0</v>
      </c>
      <c r="F498" s="33" t="s">
        <v>269</v>
      </c>
      <c r="G498" s="40">
        <v>13090.0</v>
      </c>
      <c r="H498" s="46">
        <v>0.0911</v>
      </c>
      <c r="I498" s="40">
        <v>9323.16</v>
      </c>
      <c r="J498" s="33">
        <v>0.0</v>
      </c>
      <c r="K498" s="33" t="s">
        <v>182</v>
      </c>
    </row>
    <row r="499" ht="15.75" customHeight="1">
      <c r="A499" s="33" t="s">
        <v>2944</v>
      </c>
      <c r="B499" s="33" t="s">
        <v>1113</v>
      </c>
      <c r="C499" s="33" t="s">
        <v>2945</v>
      </c>
      <c r="D499" s="33" t="s">
        <v>235</v>
      </c>
      <c r="E499" s="39">
        <v>46160.0</v>
      </c>
      <c r="F499" s="33" t="s">
        <v>230</v>
      </c>
      <c r="G499" s="40">
        <v>30670.0</v>
      </c>
      <c r="H499" s="46">
        <v>0.229</v>
      </c>
      <c r="I499" s="40">
        <v>23347.49</v>
      </c>
      <c r="J499" s="33">
        <v>0.0</v>
      </c>
      <c r="K499" s="33" t="s">
        <v>182</v>
      </c>
    </row>
    <row r="500" ht="15.75" customHeight="1">
      <c r="A500" s="33" t="s">
        <v>2947</v>
      </c>
      <c r="B500" s="33" t="s">
        <v>492</v>
      </c>
      <c r="C500" s="33" t="s">
        <v>2948</v>
      </c>
      <c r="D500" s="33" t="s">
        <v>227</v>
      </c>
      <c r="E500" s="39">
        <v>46047.0</v>
      </c>
      <c r="F500" s="33" t="s">
        <v>241</v>
      </c>
      <c r="G500" s="40">
        <v>15490.0</v>
      </c>
      <c r="H500" s="46">
        <v>0.1324</v>
      </c>
      <c r="I500" s="40">
        <v>11084.34</v>
      </c>
      <c r="J500" s="33">
        <v>0.0</v>
      </c>
      <c r="K500" s="33" t="s">
        <v>182</v>
      </c>
    </row>
    <row r="501" ht="15.75" customHeight="1">
      <c r="A501" s="33" t="s">
        <v>2950</v>
      </c>
      <c r="B501" s="33" t="s">
        <v>2816</v>
      </c>
      <c r="C501" s="33" t="s">
        <v>2952</v>
      </c>
      <c r="D501" s="33" t="s">
        <v>247</v>
      </c>
      <c r="E501" s="39">
        <v>45832.0</v>
      </c>
      <c r="F501" s="33" t="s">
        <v>248</v>
      </c>
      <c r="G501" s="40">
        <v>16200.0</v>
      </c>
      <c r="H501" s="46">
        <v>0.1314</v>
      </c>
      <c r="I501" s="40">
        <v>9727.47</v>
      </c>
      <c r="J501" s="33">
        <v>0.0</v>
      </c>
      <c r="K501" s="33" t="s">
        <v>182</v>
      </c>
    </row>
    <row r="502" ht="15.75" customHeight="1">
      <c r="A502" s="33" t="s">
        <v>2956</v>
      </c>
      <c r="B502" s="33" t="s">
        <v>2958</v>
      </c>
      <c r="C502" s="33" t="s">
        <v>2959</v>
      </c>
      <c r="D502" s="33" t="s">
        <v>235</v>
      </c>
      <c r="E502" s="39">
        <v>46242.0</v>
      </c>
      <c r="F502" s="33" t="s">
        <v>241</v>
      </c>
      <c r="G502" s="40">
        <v>34640.0</v>
      </c>
      <c r="H502" s="46">
        <v>0.1023</v>
      </c>
      <c r="I502" s="40">
        <v>32351.76</v>
      </c>
      <c r="J502" s="33">
        <v>0.0</v>
      </c>
      <c r="K502" s="33" t="s">
        <v>182</v>
      </c>
    </row>
    <row r="503" ht="15.75" customHeight="1">
      <c r="A503" s="33" t="s">
        <v>2961</v>
      </c>
      <c r="B503" s="33" t="s">
        <v>2497</v>
      </c>
      <c r="C503" s="33" t="s">
        <v>2962</v>
      </c>
      <c r="D503" s="33" t="s">
        <v>235</v>
      </c>
      <c r="E503" s="39">
        <v>46078.0</v>
      </c>
      <c r="F503" s="33" t="s">
        <v>248</v>
      </c>
      <c r="G503" s="40">
        <v>33380.0</v>
      </c>
      <c r="H503" s="46">
        <v>0.1362</v>
      </c>
      <c r="I503" s="40">
        <v>27662.89</v>
      </c>
      <c r="J503" s="33">
        <v>0.0</v>
      </c>
      <c r="K503" s="33" t="s">
        <v>182</v>
      </c>
    </row>
    <row r="504" ht="15.75" customHeight="1">
      <c r="A504" s="33" t="s">
        <v>2966</v>
      </c>
      <c r="B504" s="33" t="s">
        <v>861</v>
      </c>
      <c r="C504" s="33" t="s">
        <v>2968</v>
      </c>
      <c r="D504" s="33" t="s">
        <v>247</v>
      </c>
      <c r="E504" s="39">
        <v>45779.0</v>
      </c>
      <c r="F504" s="33" t="s">
        <v>248</v>
      </c>
      <c r="G504" s="40">
        <v>1130.0</v>
      </c>
      <c r="H504" s="46">
        <v>0.1906</v>
      </c>
      <c r="I504" s="40">
        <v>23.08</v>
      </c>
      <c r="J504" s="33">
        <v>0.0</v>
      </c>
      <c r="K504" s="33" t="s">
        <v>182</v>
      </c>
    </row>
    <row r="505" ht="15.75" customHeight="1">
      <c r="A505" s="33" t="s">
        <v>2971</v>
      </c>
      <c r="B505" s="33" t="s">
        <v>2161</v>
      </c>
      <c r="C505" s="33" t="s">
        <v>2972</v>
      </c>
      <c r="D505" s="33" t="s">
        <v>227</v>
      </c>
      <c r="E505" s="39">
        <v>45742.0</v>
      </c>
      <c r="F505" s="33" t="s">
        <v>248</v>
      </c>
      <c r="G505" s="40">
        <v>30520.0</v>
      </c>
      <c r="H505" s="46">
        <v>0.2332</v>
      </c>
      <c r="I505" s="40">
        <v>5393.43</v>
      </c>
      <c r="J505" s="33">
        <v>0.0</v>
      </c>
      <c r="K505" s="33" t="s">
        <v>182</v>
      </c>
    </row>
    <row r="506" ht="15.75" customHeight="1">
      <c r="A506" s="33" t="s">
        <v>2975</v>
      </c>
      <c r="B506" s="33" t="s">
        <v>659</v>
      </c>
      <c r="C506" s="33" t="s">
        <v>2976</v>
      </c>
      <c r="D506" s="33" t="s">
        <v>247</v>
      </c>
      <c r="E506" s="39">
        <v>45961.0</v>
      </c>
      <c r="F506" s="33" t="s">
        <v>230</v>
      </c>
      <c r="G506" s="40">
        <v>6600.0</v>
      </c>
      <c r="H506" s="46">
        <v>0.1108</v>
      </c>
      <c r="I506" s="40">
        <v>4892.51</v>
      </c>
      <c r="J506" s="33">
        <v>0.0</v>
      </c>
      <c r="K506" s="33" t="s">
        <v>182</v>
      </c>
    </row>
    <row r="507" ht="15.75" customHeight="1">
      <c r="A507" s="33" t="s">
        <v>2979</v>
      </c>
      <c r="B507" s="33" t="s">
        <v>1571</v>
      </c>
      <c r="C507" s="33" t="s">
        <v>2980</v>
      </c>
      <c r="D507" s="33" t="s">
        <v>227</v>
      </c>
      <c r="E507" s="39">
        <v>45662.0</v>
      </c>
      <c r="F507" s="33" t="s">
        <v>241</v>
      </c>
      <c r="G507" s="40">
        <v>32750.0</v>
      </c>
      <c r="H507" s="46">
        <v>0.1084</v>
      </c>
      <c r="I507" s="40">
        <v>14461.87</v>
      </c>
      <c r="J507" s="33">
        <v>0.0</v>
      </c>
      <c r="K507" s="33" t="s">
        <v>182</v>
      </c>
    </row>
    <row r="508" ht="15.75" customHeight="1">
      <c r="A508" s="33" t="s">
        <v>2982</v>
      </c>
      <c r="B508" s="33" t="s">
        <v>299</v>
      </c>
      <c r="C508" s="33" t="s">
        <v>2984</v>
      </c>
      <c r="D508" s="33" t="s">
        <v>235</v>
      </c>
      <c r="E508" s="39">
        <v>45754.0</v>
      </c>
      <c r="F508" s="33" t="s">
        <v>230</v>
      </c>
      <c r="G508" s="40">
        <v>44820.0</v>
      </c>
      <c r="H508" s="46">
        <v>0.1022</v>
      </c>
      <c r="I508" s="40">
        <v>0.0</v>
      </c>
      <c r="J508" s="33">
        <v>0.0</v>
      </c>
      <c r="K508" s="33" t="s">
        <v>198</v>
      </c>
    </row>
    <row r="509" ht="15.75" customHeight="1">
      <c r="A509" s="33" t="s">
        <v>2985</v>
      </c>
      <c r="B509" s="33" t="s">
        <v>2987</v>
      </c>
      <c r="C509" s="33" t="s">
        <v>2989</v>
      </c>
      <c r="D509" s="33" t="s">
        <v>247</v>
      </c>
      <c r="E509" s="39">
        <v>46260.0</v>
      </c>
      <c r="F509" s="33" t="s">
        <v>230</v>
      </c>
      <c r="G509" s="40">
        <v>11830.0</v>
      </c>
      <c r="H509" s="46">
        <v>0.1718</v>
      </c>
      <c r="I509" s="40">
        <v>11714.65</v>
      </c>
      <c r="J509" s="33">
        <v>0.0</v>
      </c>
      <c r="K509" s="33" t="s">
        <v>182</v>
      </c>
    </row>
    <row r="510" ht="15.75" customHeight="1">
      <c r="A510" s="33" t="s">
        <v>2991</v>
      </c>
      <c r="B510" s="33" t="s">
        <v>2993</v>
      </c>
      <c r="C510" s="33" t="s">
        <v>2994</v>
      </c>
      <c r="D510" s="33" t="s">
        <v>247</v>
      </c>
      <c r="E510" s="39">
        <v>45970.0</v>
      </c>
      <c r="F510" s="33" t="s">
        <v>230</v>
      </c>
      <c r="G510" s="40">
        <v>25030.0</v>
      </c>
      <c r="H510" s="46">
        <v>0.0987</v>
      </c>
      <c r="I510" s="40">
        <v>16549.57</v>
      </c>
      <c r="J510" s="33">
        <v>130.0</v>
      </c>
      <c r="K510" s="33" t="s">
        <v>794</v>
      </c>
    </row>
    <row r="511" ht="15.75" customHeight="1">
      <c r="A511" s="33" t="s">
        <v>2997</v>
      </c>
      <c r="B511" s="33" t="s">
        <v>742</v>
      </c>
      <c r="C511" s="33" t="s">
        <v>2998</v>
      </c>
      <c r="D511" s="33" t="s">
        <v>247</v>
      </c>
      <c r="E511" s="39">
        <v>45746.0</v>
      </c>
      <c r="F511" s="33" t="s">
        <v>241</v>
      </c>
      <c r="G511" s="40">
        <v>7600.0</v>
      </c>
      <c r="H511" s="46">
        <v>0.0941</v>
      </c>
      <c r="I511" s="40">
        <v>3684.35</v>
      </c>
      <c r="J511" s="33">
        <v>0.0</v>
      </c>
      <c r="K511" s="33" t="s">
        <v>182</v>
      </c>
    </row>
    <row r="512" ht="15.75" customHeight="1">
      <c r="A512" s="33" t="s">
        <v>3000</v>
      </c>
      <c r="B512" s="33" t="s">
        <v>2965</v>
      </c>
      <c r="C512" s="33" t="s">
        <v>3001</v>
      </c>
      <c r="D512" s="33" t="s">
        <v>227</v>
      </c>
      <c r="E512" s="39">
        <v>46119.0</v>
      </c>
      <c r="F512" s="33" t="s">
        <v>230</v>
      </c>
      <c r="G512" s="40">
        <v>23830.0</v>
      </c>
      <c r="H512" s="46">
        <v>0.199</v>
      </c>
      <c r="I512" s="40">
        <v>19925.33</v>
      </c>
      <c r="J512" s="33">
        <v>81.0</v>
      </c>
      <c r="K512" s="33" t="s">
        <v>385</v>
      </c>
    </row>
    <row r="513" ht="15.75" customHeight="1">
      <c r="A513" s="33" t="s">
        <v>3004</v>
      </c>
      <c r="B513" s="33" t="s">
        <v>1674</v>
      </c>
      <c r="C513" s="33" t="s">
        <v>3005</v>
      </c>
      <c r="D513" s="33" t="s">
        <v>247</v>
      </c>
      <c r="E513" s="39">
        <v>45727.0</v>
      </c>
      <c r="F513" s="33" t="s">
        <v>241</v>
      </c>
      <c r="G513" s="40">
        <v>26400.0</v>
      </c>
      <c r="H513" s="46">
        <v>0.2069</v>
      </c>
      <c r="I513" s="40">
        <v>12906.77</v>
      </c>
      <c r="J513" s="33">
        <v>0.0</v>
      </c>
      <c r="K513" s="33" t="s">
        <v>182</v>
      </c>
    </row>
    <row r="514" ht="15.75" customHeight="1">
      <c r="A514" s="33" t="s">
        <v>3007</v>
      </c>
      <c r="B514" s="33" t="s">
        <v>2826</v>
      </c>
      <c r="C514" s="33" t="s">
        <v>3009</v>
      </c>
      <c r="D514" s="33" t="s">
        <v>247</v>
      </c>
      <c r="E514" s="39">
        <v>45689.0</v>
      </c>
      <c r="F514" s="33" t="s">
        <v>248</v>
      </c>
      <c r="G514" s="40">
        <v>10690.0</v>
      </c>
      <c r="H514" s="46">
        <v>0.1303</v>
      </c>
      <c r="I514" s="40">
        <v>3988.2</v>
      </c>
      <c r="J514" s="33">
        <v>0.0</v>
      </c>
      <c r="K514" s="33" t="s">
        <v>182</v>
      </c>
    </row>
    <row r="515" ht="15.75" customHeight="1">
      <c r="A515" s="33" t="s">
        <v>3012</v>
      </c>
      <c r="B515" s="33" t="s">
        <v>3013</v>
      </c>
      <c r="C515" s="33" t="s">
        <v>3015</v>
      </c>
      <c r="D515" s="33" t="s">
        <v>227</v>
      </c>
      <c r="E515" s="39">
        <v>45895.0</v>
      </c>
      <c r="F515" s="33" t="s">
        <v>230</v>
      </c>
      <c r="G515" s="40">
        <v>12920.0</v>
      </c>
      <c r="H515" s="46">
        <v>0.173</v>
      </c>
      <c r="I515" s="40">
        <v>7489.54</v>
      </c>
      <c r="J515" s="33">
        <v>0.0</v>
      </c>
      <c r="K515" s="33" t="s">
        <v>182</v>
      </c>
    </row>
    <row r="516" ht="15.75" customHeight="1">
      <c r="A516" s="33" t="s">
        <v>3019</v>
      </c>
      <c r="B516" s="33" t="s">
        <v>1077</v>
      </c>
      <c r="C516" s="33" t="s">
        <v>3020</v>
      </c>
      <c r="D516" s="33" t="s">
        <v>227</v>
      </c>
      <c r="E516" s="39">
        <v>45799.0</v>
      </c>
      <c r="F516" s="33" t="s">
        <v>230</v>
      </c>
      <c r="G516" s="40">
        <v>7190.0</v>
      </c>
      <c r="H516" s="46">
        <v>0.1988</v>
      </c>
      <c r="I516" s="40">
        <v>2338.57</v>
      </c>
      <c r="J516" s="33">
        <v>124.0</v>
      </c>
      <c r="K516" s="33" t="s">
        <v>794</v>
      </c>
    </row>
    <row r="517" ht="15.75" customHeight="1">
      <c r="A517" s="33" t="s">
        <v>3022</v>
      </c>
      <c r="B517" s="33" t="s">
        <v>1977</v>
      </c>
      <c r="C517" s="33" t="s">
        <v>3023</v>
      </c>
      <c r="D517" s="33" t="s">
        <v>227</v>
      </c>
      <c r="E517" s="39">
        <v>46063.0</v>
      </c>
      <c r="F517" s="33" t="s">
        <v>241</v>
      </c>
      <c r="G517" s="40">
        <v>9120.0</v>
      </c>
      <c r="H517" s="46">
        <v>0.0878</v>
      </c>
      <c r="I517" s="40">
        <v>6329.56</v>
      </c>
      <c r="J517" s="33">
        <v>0.0</v>
      </c>
      <c r="K517" s="33" t="s">
        <v>182</v>
      </c>
    </row>
    <row r="518" ht="15.75" customHeight="1">
      <c r="A518" s="33" t="s">
        <v>3025</v>
      </c>
      <c r="B518" s="33" t="s">
        <v>2644</v>
      </c>
      <c r="C518" s="33" t="s">
        <v>3027</v>
      </c>
      <c r="D518" s="33" t="s">
        <v>235</v>
      </c>
      <c r="E518" s="39">
        <v>46246.0</v>
      </c>
      <c r="F518" s="33" t="s">
        <v>248</v>
      </c>
      <c r="G518" s="40">
        <v>38620.0</v>
      </c>
      <c r="H518" s="46">
        <v>0.1816</v>
      </c>
      <c r="I518" s="40">
        <v>36763.05</v>
      </c>
      <c r="J518" s="33">
        <v>61.0</v>
      </c>
      <c r="K518" s="33" t="s">
        <v>385</v>
      </c>
    </row>
    <row r="519" ht="15.75" customHeight="1">
      <c r="A519" s="33" t="s">
        <v>3029</v>
      </c>
      <c r="B519" s="33" t="s">
        <v>1842</v>
      </c>
      <c r="C519" s="33" t="s">
        <v>3030</v>
      </c>
      <c r="D519" s="33" t="s">
        <v>227</v>
      </c>
      <c r="E519" s="39">
        <v>46049.0</v>
      </c>
      <c r="F519" s="33" t="s">
        <v>241</v>
      </c>
      <c r="G519" s="40">
        <v>37380.0</v>
      </c>
      <c r="H519" s="46">
        <v>0.1258</v>
      </c>
      <c r="I519" s="40">
        <v>17922.89</v>
      </c>
      <c r="J519" s="33">
        <v>0.0</v>
      </c>
      <c r="K519" s="33" t="s">
        <v>182</v>
      </c>
    </row>
    <row r="520" ht="15.75" customHeight="1">
      <c r="A520" s="33" t="s">
        <v>3032</v>
      </c>
      <c r="B520" s="33" t="s">
        <v>1251</v>
      </c>
      <c r="C520" s="33" t="s">
        <v>3034</v>
      </c>
      <c r="D520" s="33" t="s">
        <v>227</v>
      </c>
      <c r="E520" s="39">
        <v>46127.0</v>
      </c>
      <c r="F520" s="33" t="s">
        <v>230</v>
      </c>
      <c r="G520" s="40">
        <v>21890.0</v>
      </c>
      <c r="H520" s="46">
        <v>0.1455</v>
      </c>
      <c r="I520" s="40">
        <v>18925.84</v>
      </c>
      <c r="J520" s="33">
        <v>0.0</v>
      </c>
      <c r="K520" s="33" t="s">
        <v>182</v>
      </c>
    </row>
    <row r="521" ht="15.75" customHeight="1">
      <c r="A521" s="33" t="s">
        <v>3036</v>
      </c>
      <c r="B521" s="33" t="s">
        <v>1862</v>
      </c>
      <c r="C521" s="33" t="s">
        <v>3037</v>
      </c>
      <c r="D521" s="33" t="s">
        <v>227</v>
      </c>
      <c r="E521" s="39">
        <v>45661.0</v>
      </c>
      <c r="F521" s="33" t="s">
        <v>230</v>
      </c>
      <c r="G521" s="40">
        <v>12170.0</v>
      </c>
      <c r="H521" s="46">
        <v>0.137</v>
      </c>
      <c r="I521" s="40">
        <v>2951.86</v>
      </c>
      <c r="J521" s="33">
        <v>29.0</v>
      </c>
      <c r="K521" s="33" t="s">
        <v>182</v>
      </c>
    </row>
    <row r="522" ht="15.75" customHeight="1">
      <c r="A522" s="33" t="s">
        <v>3040</v>
      </c>
      <c r="B522" s="33" t="s">
        <v>1095</v>
      </c>
      <c r="C522" s="33" t="s">
        <v>3041</v>
      </c>
      <c r="D522" s="33" t="s">
        <v>227</v>
      </c>
      <c r="E522" s="39">
        <v>45954.0</v>
      </c>
      <c r="F522" s="33" t="s">
        <v>248</v>
      </c>
      <c r="G522" s="40">
        <v>38610.0</v>
      </c>
      <c r="H522" s="46">
        <v>0.1949</v>
      </c>
      <c r="I522" s="40">
        <v>23825.08</v>
      </c>
      <c r="J522" s="33">
        <v>0.0</v>
      </c>
      <c r="K522" s="33" t="s">
        <v>182</v>
      </c>
    </row>
    <row r="523" ht="15.75" customHeight="1">
      <c r="A523" s="33" t="s">
        <v>3045</v>
      </c>
      <c r="B523" s="33" t="s">
        <v>527</v>
      </c>
      <c r="C523" s="33" t="s">
        <v>3046</v>
      </c>
      <c r="D523" s="33" t="s">
        <v>247</v>
      </c>
      <c r="E523" s="39">
        <v>46007.0</v>
      </c>
      <c r="F523" s="33" t="s">
        <v>241</v>
      </c>
      <c r="G523" s="40">
        <v>23450.0</v>
      </c>
      <c r="H523" s="46">
        <v>0.155</v>
      </c>
      <c r="I523" s="40">
        <v>14549.74</v>
      </c>
      <c r="J523" s="33">
        <v>0.0</v>
      </c>
      <c r="K523" s="33" t="s">
        <v>182</v>
      </c>
    </row>
    <row r="524" ht="15.75" customHeight="1">
      <c r="A524" s="33" t="s">
        <v>3049</v>
      </c>
      <c r="B524" s="33" t="s">
        <v>644</v>
      </c>
      <c r="C524" s="33" t="s">
        <v>3050</v>
      </c>
      <c r="D524" s="33" t="s">
        <v>247</v>
      </c>
      <c r="E524" s="39">
        <v>46020.0</v>
      </c>
      <c r="F524" s="33" t="s">
        <v>248</v>
      </c>
      <c r="G524" s="40">
        <v>2840.0</v>
      </c>
      <c r="H524" s="46">
        <v>0.2016</v>
      </c>
      <c r="I524" s="40">
        <v>2107.24</v>
      </c>
      <c r="J524" s="33">
        <v>0.0</v>
      </c>
      <c r="K524" s="33" t="s">
        <v>182</v>
      </c>
    </row>
    <row r="525" ht="15.75" customHeight="1">
      <c r="A525" s="33" t="s">
        <v>3052</v>
      </c>
      <c r="B525" s="33" t="s">
        <v>1303</v>
      </c>
      <c r="C525" s="33" t="s">
        <v>3053</v>
      </c>
      <c r="D525" s="33" t="s">
        <v>235</v>
      </c>
      <c r="E525" s="39">
        <v>46112.0</v>
      </c>
      <c r="F525" s="33" t="s">
        <v>248</v>
      </c>
      <c r="G525" s="40">
        <v>3700.0</v>
      </c>
      <c r="H525" s="46">
        <v>0.1304</v>
      </c>
      <c r="I525" s="40">
        <v>2956.97</v>
      </c>
      <c r="J525" s="33">
        <v>0.0</v>
      </c>
      <c r="K525" s="33" t="s">
        <v>182</v>
      </c>
    </row>
    <row r="526" ht="15.75" customHeight="1">
      <c r="A526" s="33" t="s">
        <v>3056</v>
      </c>
      <c r="B526" s="33" t="s">
        <v>1186</v>
      </c>
      <c r="C526" s="33" t="s">
        <v>3057</v>
      </c>
      <c r="D526" s="33" t="s">
        <v>227</v>
      </c>
      <c r="E526" s="39">
        <v>46142.0</v>
      </c>
      <c r="F526" s="33" t="s">
        <v>241</v>
      </c>
      <c r="G526" s="40">
        <v>23780.0</v>
      </c>
      <c r="H526" s="46">
        <v>0.1666</v>
      </c>
      <c r="I526" s="40">
        <v>19165.38</v>
      </c>
      <c r="J526" s="33">
        <v>0.0</v>
      </c>
      <c r="K526" s="33" t="s">
        <v>182</v>
      </c>
    </row>
    <row r="527" ht="15.75" customHeight="1">
      <c r="A527" s="33" t="s">
        <v>3060</v>
      </c>
      <c r="B527" s="33" t="s">
        <v>484</v>
      </c>
      <c r="C527" s="33" t="s">
        <v>3061</v>
      </c>
      <c r="D527" s="33" t="s">
        <v>247</v>
      </c>
      <c r="E527" s="39">
        <v>46248.0</v>
      </c>
      <c r="F527" s="33" t="s">
        <v>241</v>
      </c>
      <c r="G527" s="40">
        <v>32170.0</v>
      </c>
      <c r="H527" s="46">
        <v>0.2251</v>
      </c>
      <c r="I527" s="40">
        <v>32043.64</v>
      </c>
      <c r="J527" s="33">
        <v>0.0</v>
      </c>
      <c r="K527" s="33" t="s">
        <v>182</v>
      </c>
    </row>
    <row r="528" ht="15.75" customHeight="1">
      <c r="A528" s="33" t="s">
        <v>3063</v>
      </c>
      <c r="B528" s="33" t="s">
        <v>2965</v>
      </c>
      <c r="C528" s="33" t="s">
        <v>3065</v>
      </c>
      <c r="D528" s="33" t="s">
        <v>247</v>
      </c>
      <c r="E528" s="39">
        <v>46174.0</v>
      </c>
      <c r="F528" s="33" t="s">
        <v>241</v>
      </c>
      <c r="G528" s="40">
        <v>29210.0</v>
      </c>
      <c r="H528" s="46">
        <v>0.1501</v>
      </c>
      <c r="I528" s="40">
        <v>22193.13</v>
      </c>
      <c r="J528" s="33">
        <v>0.0</v>
      </c>
      <c r="K528" s="33" t="s">
        <v>182</v>
      </c>
    </row>
    <row r="529" ht="15.75" customHeight="1">
      <c r="A529" s="33" t="s">
        <v>3066</v>
      </c>
      <c r="B529" s="33" t="s">
        <v>2478</v>
      </c>
      <c r="C529" s="33" t="s">
        <v>3067</v>
      </c>
      <c r="D529" s="33" t="s">
        <v>235</v>
      </c>
      <c r="E529" s="39">
        <v>46148.0</v>
      </c>
      <c r="F529" s="33" t="s">
        <v>241</v>
      </c>
      <c r="G529" s="40">
        <v>14170.0</v>
      </c>
      <c r="H529" s="46">
        <v>0.1722</v>
      </c>
      <c r="I529" s="40">
        <v>11610.69</v>
      </c>
      <c r="J529" s="33">
        <v>0.0</v>
      </c>
      <c r="K529" s="33" t="s">
        <v>182</v>
      </c>
    </row>
    <row r="530" ht="15.75" customHeight="1">
      <c r="A530" s="33" t="s">
        <v>3068</v>
      </c>
      <c r="B530" s="33" t="s">
        <v>642</v>
      </c>
      <c r="C530" s="33" t="s">
        <v>3070</v>
      </c>
      <c r="D530" s="33" t="s">
        <v>227</v>
      </c>
      <c r="E530" s="39">
        <v>45918.0</v>
      </c>
      <c r="F530" s="33" t="s">
        <v>241</v>
      </c>
      <c r="G530" s="40">
        <v>29840.0</v>
      </c>
      <c r="H530" s="46">
        <v>0.1873</v>
      </c>
      <c r="I530" s="40">
        <v>3814.31</v>
      </c>
      <c r="J530" s="33">
        <v>0.0</v>
      </c>
      <c r="K530" s="33" t="s">
        <v>182</v>
      </c>
    </row>
    <row r="531" ht="15.75" customHeight="1">
      <c r="A531" s="33" t="s">
        <v>3072</v>
      </c>
      <c r="B531" s="33" t="s">
        <v>1405</v>
      </c>
      <c r="C531" s="33" t="s">
        <v>3073</v>
      </c>
      <c r="D531" s="33" t="s">
        <v>227</v>
      </c>
      <c r="E531" s="39">
        <v>45704.0</v>
      </c>
      <c r="F531" s="33" t="s">
        <v>230</v>
      </c>
      <c r="G531" s="40">
        <v>23850.0</v>
      </c>
      <c r="H531" s="46">
        <v>0.226</v>
      </c>
      <c r="I531" s="40">
        <v>8550.27</v>
      </c>
      <c r="J531" s="33">
        <v>0.0</v>
      </c>
      <c r="K531" s="33" t="s">
        <v>182</v>
      </c>
    </row>
    <row r="532" ht="15.75" customHeight="1">
      <c r="A532" s="33" t="s">
        <v>3076</v>
      </c>
      <c r="B532" s="33" t="s">
        <v>273</v>
      </c>
      <c r="C532" s="33" t="s">
        <v>3077</v>
      </c>
      <c r="D532" s="33" t="s">
        <v>235</v>
      </c>
      <c r="E532" s="39">
        <v>46192.0</v>
      </c>
      <c r="F532" s="33" t="s">
        <v>248</v>
      </c>
      <c r="G532" s="40">
        <v>19130.0</v>
      </c>
      <c r="H532" s="46">
        <v>0.1818</v>
      </c>
      <c r="I532" s="40">
        <v>17579.7</v>
      </c>
      <c r="J532" s="33">
        <v>0.0</v>
      </c>
      <c r="K532" s="33" t="s">
        <v>182</v>
      </c>
    </row>
    <row r="533" ht="15.75" customHeight="1">
      <c r="A533" s="33" t="s">
        <v>3080</v>
      </c>
      <c r="B533" s="33" t="s">
        <v>884</v>
      </c>
      <c r="C533" s="33" t="s">
        <v>3081</v>
      </c>
      <c r="D533" s="33" t="s">
        <v>235</v>
      </c>
      <c r="E533" s="39">
        <v>45914.0</v>
      </c>
      <c r="F533" s="33" t="s">
        <v>248</v>
      </c>
      <c r="G533" s="40">
        <v>15860.0</v>
      </c>
      <c r="H533" s="46">
        <v>0.178</v>
      </c>
      <c r="I533" s="40">
        <v>7933.95</v>
      </c>
      <c r="J533" s="33">
        <v>0.0</v>
      </c>
      <c r="K533" s="33" t="s">
        <v>182</v>
      </c>
    </row>
    <row r="534" ht="15.75" customHeight="1">
      <c r="A534" s="33" t="s">
        <v>3084</v>
      </c>
      <c r="B534" s="33" t="s">
        <v>475</v>
      </c>
      <c r="C534" s="33" t="s">
        <v>3085</v>
      </c>
      <c r="D534" s="33" t="s">
        <v>247</v>
      </c>
      <c r="E534" s="39">
        <v>45947.0</v>
      </c>
      <c r="F534" s="33" t="s">
        <v>248</v>
      </c>
      <c r="G534" s="40">
        <v>21700.0</v>
      </c>
      <c r="H534" s="46">
        <v>0.2134</v>
      </c>
      <c r="I534" s="40">
        <v>13631.05</v>
      </c>
      <c r="J534" s="33">
        <v>0.0</v>
      </c>
      <c r="K534" s="33" t="s">
        <v>182</v>
      </c>
    </row>
    <row r="535" ht="15.75" customHeight="1">
      <c r="A535" s="33" t="s">
        <v>3086</v>
      </c>
      <c r="B535" s="33" t="s">
        <v>2048</v>
      </c>
      <c r="C535" s="33" t="s">
        <v>3089</v>
      </c>
      <c r="D535" s="33" t="s">
        <v>247</v>
      </c>
      <c r="E535" s="39">
        <v>45697.0</v>
      </c>
      <c r="F535" s="33" t="s">
        <v>230</v>
      </c>
      <c r="G535" s="40">
        <v>37790.0</v>
      </c>
      <c r="H535" s="46">
        <v>0.2387</v>
      </c>
      <c r="I535" s="40">
        <v>19018.4</v>
      </c>
      <c r="J535" s="33">
        <v>0.0</v>
      </c>
      <c r="K535" s="33" t="s">
        <v>182</v>
      </c>
    </row>
    <row r="536" ht="15.75" customHeight="1">
      <c r="A536" s="33" t="s">
        <v>3090</v>
      </c>
      <c r="B536" s="33" t="s">
        <v>2418</v>
      </c>
      <c r="C536" s="33" t="s">
        <v>3091</v>
      </c>
      <c r="D536" s="33" t="s">
        <v>227</v>
      </c>
      <c r="E536" s="39">
        <v>45900.0</v>
      </c>
      <c r="F536" s="33" t="s">
        <v>248</v>
      </c>
      <c r="G536" s="40">
        <v>10880.0</v>
      </c>
      <c r="H536" s="46">
        <v>0.2238</v>
      </c>
      <c r="I536" s="40">
        <v>6039.65</v>
      </c>
      <c r="J536" s="33">
        <v>0.0</v>
      </c>
      <c r="K536" s="33" t="s">
        <v>182</v>
      </c>
    </row>
    <row r="537" ht="15.75" customHeight="1">
      <c r="A537" s="33" t="s">
        <v>3094</v>
      </c>
      <c r="B537" s="33" t="s">
        <v>1383</v>
      </c>
      <c r="C537" s="33" t="s">
        <v>3095</v>
      </c>
      <c r="D537" s="33" t="s">
        <v>227</v>
      </c>
      <c r="E537" s="39">
        <v>45916.0</v>
      </c>
      <c r="F537" s="33" t="s">
        <v>241</v>
      </c>
      <c r="G537" s="40">
        <v>39420.0</v>
      </c>
      <c r="H537" s="46">
        <v>0.1</v>
      </c>
      <c r="I537" s="40">
        <v>22220.31</v>
      </c>
      <c r="J537" s="33">
        <v>0.0</v>
      </c>
      <c r="K537" s="33" t="s">
        <v>182</v>
      </c>
    </row>
    <row r="538" ht="15.75" customHeight="1">
      <c r="A538" s="33" t="s">
        <v>3098</v>
      </c>
      <c r="B538" s="33" t="s">
        <v>2779</v>
      </c>
      <c r="C538" s="33" t="s">
        <v>3099</v>
      </c>
      <c r="D538" s="33" t="s">
        <v>247</v>
      </c>
      <c r="E538" s="39">
        <v>46196.0</v>
      </c>
      <c r="F538" s="33" t="s">
        <v>248</v>
      </c>
      <c r="G538" s="40">
        <v>39050.0</v>
      </c>
      <c r="H538" s="46">
        <v>0.1882</v>
      </c>
      <c r="I538" s="40">
        <v>32808.98</v>
      </c>
      <c r="J538" s="33">
        <v>0.0</v>
      </c>
      <c r="K538" s="33" t="s">
        <v>182</v>
      </c>
    </row>
    <row r="539" ht="15.75" customHeight="1">
      <c r="A539" s="33" t="s">
        <v>3102</v>
      </c>
      <c r="B539" s="33" t="s">
        <v>801</v>
      </c>
      <c r="C539" s="33" t="s">
        <v>3103</v>
      </c>
      <c r="D539" s="33" t="s">
        <v>227</v>
      </c>
      <c r="E539" s="39">
        <v>46002.0</v>
      </c>
      <c r="F539" s="33" t="s">
        <v>248</v>
      </c>
      <c r="G539" s="40">
        <v>17440.0</v>
      </c>
      <c r="H539" s="46">
        <v>0.1326</v>
      </c>
      <c r="I539" s="40">
        <v>12403.82</v>
      </c>
      <c r="J539" s="33">
        <v>0.0</v>
      </c>
      <c r="K539" s="33" t="s">
        <v>182</v>
      </c>
    </row>
    <row r="540" ht="15.75" customHeight="1">
      <c r="A540" s="33" t="s">
        <v>3106</v>
      </c>
      <c r="B540" s="33" t="s">
        <v>1006</v>
      </c>
      <c r="C540" s="33" t="s">
        <v>3107</v>
      </c>
      <c r="D540" s="33" t="s">
        <v>247</v>
      </c>
      <c r="E540" s="39">
        <v>45659.0</v>
      </c>
      <c r="F540" s="33" t="s">
        <v>248</v>
      </c>
      <c r="G540" s="40">
        <v>27040.0</v>
      </c>
      <c r="H540" s="46">
        <v>0.1463</v>
      </c>
      <c r="I540" s="40">
        <v>0.0</v>
      </c>
      <c r="J540" s="33">
        <v>0.0</v>
      </c>
      <c r="K540" s="33" t="s">
        <v>198</v>
      </c>
    </row>
    <row r="541" ht="15.75" customHeight="1">
      <c r="A541" s="33" t="s">
        <v>3109</v>
      </c>
      <c r="B541" s="33" t="s">
        <v>1917</v>
      </c>
      <c r="C541" s="33" t="s">
        <v>3111</v>
      </c>
      <c r="D541" s="33" t="s">
        <v>227</v>
      </c>
      <c r="E541" s="39">
        <v>46203.0</v>
      </c>
      <c r="F541" s="33" t="s">
        <v>230</v>
      </c>
      <c r="G541" s="40">
        <v>36800.0</v>
      </c>
      <c r="H541" s="46">
        <v>0.1833</v>
      </c>
      <c r="I541" s="40">
        <v>32023.86</v>
      </c>
      <c r="J541" s="33">
        <v>0.0</v>
      </c>
      <c r="K541" s="33" t="s">
        <v>182</v>
      </c>
    </row>
    <row r="542" ht="15.75" customHeight="1">
      <c r="A542" s="33" t="s">
        <v>3113</v>
      </c>
      <c r="B542" s="33" t="s">
        <v>336</v>
      </c>
      <c r="C542" s="33" t="s">
        <v>3114</v>
      </c>
      <c r="D542" s="33" t="s">
        <v>247</v>
      </c>
      <c r="E542" s="39">
        <v>45923.0</v>
      </c>
      <c r="F542" s="33" t="s">
        <v>269</v>
      </c>
      <c r="G542" s="40">
        <v>16030.0</v>
      </c>
      <c r="H542" s="46">
        <v>0.1032</v>
      </c>
      <c r="I542" s="40">
        <v>1978.54</v>
      </c>
      <c r="J542" s="33">
        <v>0.0</v>
      </c>
      <c r="K542" s="33" t="s">
        <v>182</v>
      </c>
    </row>
    <row r="543" ht="15.75" customHeight="1">
      <c r="A543" s="33" t="s">
        <v>3118</v>
      </c>
      <c r="B543" s="33" t="s">
        <v>1901</v>
      </c>
      <c r="C543" s="33" t="s">
        <v>3119</v>
      </c>
      <c r="D543" s="33" t="s">
        <v>247</v>
      </c>
      <c r="E543" s="39">
        <v>46158.0</v>
      </c>
      <c r="F543" s="33" t="s">
        <v>230</v>
      </c>
      <c r="G543" s="40">
        <v>1160.0</v>
      </c>
      <c r="H543" s="46">
        <v>0.1908</v>
      </c>
      <c r="I543" s="40">
        <v>915.1</v>
      </c>
      <c r="J543" s="33">
        <v>0.0</v>
      </c>
      <c r="K543" s="33" t="s">
        <v>182</v>
      </c>
    </row>
    <row r="544" ht="15.75" customHeight="1">
      <c r="A544" s="33" t="s">
        <v>3122</v>
      </c>
      <c r="B544" s="33" t="s">
        <v>1399</v>
      </c>
      <c r="C544" s="33" t="s">
        <v>3123</v>
      </c>
      <c r="D544" s="33" t="s">
        <v>227</v>
      </c>
      <c r="E544" s="39">
        <v>45803.0</v>
      </c>
      <c r="F544" s="33" t="s">
        <v>241</v>
      </c>
      <c r="G544" s="40">
        <v>33420.0</v>
      </c>
      <c r="H544" s="46">
        <v>0.127</v>
      </c>
      <c r="I544" s="40">
        <v>4197.62</v>
      </c>
      <c r="J544" s="33">
        <v>0.0</v>
      </c>
      <c r="K544" s="33" t="s">
        <v>182</v>
      </c>
    </row>
    <row r="545" ht="15.75" customHeight="1">
      <c r="A545" s="33" t="s">
        <v>3125</v>
      </c>
      <c r="B545" s="33" t="s">
        <v>511</v>
      </c>
      <c r="C545" s="33" t="s">
        <v>3126</v>
      </c>
      <c r="D545" s="33" t="s">
        <v>227</v>
      </c>
      <c r="E545" s="39">
        <v>46203.0</v>
      </c>
      <c r="F545" s="33" t="s">
        <v>230</v>
      </c>
      <c r="G545" s="40">
        <v>3590.0</v>
      </c>
      <c r="H545" s="46">
        <v>0.2111</v>
      </c>
      <c r="I545" s="40">
        <v>2960.42</v>
      </c>
      <c r="J545" s="33">
        <v>0.0</v>
      </c>
      <c r="K545" s="33" t="s">
        <v>182</v>
      </c>
    </row>
    <row r="546" ht="15.75" customHeight="1">
      <c r="A546" s="33" t="s">
        <v>3129</v>
      </c>
      <c r="B546" s="33" t="s">
        <v>1693</v>
      </c>
      <c r="C546" s="33" t="s">
        <v>3130</v>
      </c>
      <c r="D546" s="33" t="s">
        <v>235</v>
      </c>
      <c r="E546" s="39">
        <v>46085.0</v>
      </c>
      <c r="F546" s="33" t="s">
        <v>248</v>
      </c>
      <c r="G546" s="40">
        <v>16920.0</v>
      </c>
      <c r="H546" s="46">
        <v>0.1395</v>
      </c>
      <c r="I546" s="40">
        <v>13434.49</v>
      </c>
      <c r="J546" s="33">
        <v>0.0</v>
      </c>
      <c r="K546" s="33" t="s">
        <v>182</v>
      </c>
    </row>
    <row r="547" ht="15.75" customHeight="1">
      <c r="A547" s="33" t="s">
        <v>3131</v>
      </c>
      <c r="B547" s="33" t="s">
        <v>583</v>
      </c>
      <c r="C547" s="33" t="s">
        <v>3132</v>
      </c>
      <c r="D547" s="33" t="s">
        <v>247</v>
      </c>
      <c r="E547" s="39">
        <v>46103.0</v>
      </c>
      <c r="F547" s="33" t="s">
        <v>241</v>
      </c>
      <c r="G547" s="40">
        <v>10700.0</v>
      </c>
      <c r="H547" s="46">
        <v>0.088</v>
      </c>
      <c r="I547" s="40">
        <v>7552.27</v>
      </c>
      <c r="J547" s="33">
        <v>0.0</v>
      </c>
      <c r="K547" s="33" t="s">
        <v>182</v>
      </c>
    </row>
    <row r="548" ht="15.75" customHeight="1">
      <c r="A548" s="33" t="s">
        <v>3135</v>
      </c>
      <c r="B548" s="33" t="s">
        <v>891</v>
      </c>
      <c r="C548" s="33" t="s">
        <v>3136</v>
      </c>
      <c r="D548" s="33" t="s">
        <v>247</v>
      </c>
      <c r="E548" s="39">
        <v>45985.0</v>
      </c>
      <c r="F548" s="33" t="s">
        <v>230</v>
      </c>
      <c r="G548" s="40">
        <v>22560.0</v>
      </c>
      <c r="H548" s="46">
        <v>0.1758</v>
      </c>
      <c r="I548" s="40">
        <v>11779.97</v>
      </c>
      <c r="J548" s="33">
        <v>0.0</v>
      </c>
      <c r="K548" s="33" t="s">
        <v>182</v>
      </c>
    </row>
    <row r="549" ht="15.75" customHeight="1">
      <c r="A549" s="33" t="s">
        <v>3137</v>
      </c>
      <c r="B549" s="33" t="s">
        <v>3138</v>
      </c>
      <c r="C549" s="33" t="s">
        <v>3139</v>
      </c>
      <c r="D549" s="33" t="s">
        <v>227</v>
      </c>
      <c r="E549" s="39">
        <v>46127.0</v>
      </c>
      <c r="F549" s="33" t="s">
        <v>248</v>
      </c>
      <c r="G549" s="40">
        <v>45550.0</v>
      </c>
      <c r="H549" s="46">
        <v>0.2</v>
      </c>
      <c r="I549" s="40">
        <v>36370.38</v>
      </c>
      <c r="J549" s="33">
        <v>0.0</v>
      </c>
      <c r="K549" s="33" t="s">
        <v>182</v>
      </c>
    </row>
    <row r="550" ht="15.75" customHeight="1">
      <c r="A550" s="33" t="s">
        <v>3142</v>
      </c>
      <c r="B550" s="33" t="s">
        <v>1359</v>
      </c>
      <c r="C550" s="33" t="s">
        <v>3143</v>
      </c>
      <c r="D550" s="33" t="s">
        <v>227</v>
      </c>
      <c r="E550" s="39">
        <v>45978.0</v>
      </c>
      <c r="F550" s="33" t="s">
        <v>248</v>
      </c>
      <c r="G550" s="40">
        <v>6230.0</v>
      </c>
      <c r="H550" s="46">
        <v>0.1787</v>
      </c>
      <c r="I550" s="40">
        <v>3805.07</v>
      </c>
      <c r="J550" s="33">
        <v>0.0</v>
      </c>
      <c r="K550" s="33" t="s">
        <v>182</v>
      </c>
    </row>
    <row r="551" ht="15.75" customHeight="1">
      <c r="A551" s="33" t="s">
        <v>3145</v>
      </c>
      <c r="B551" s="33" t="s">
        <v>536</v>
      </c>
      <c r="C551" s="33" t="s">
        <v>3146</v>
      </c>
      <c r="D551" s="33" t="s">
        <v>247</v>
      </c>
      <c r="E551" s="39">
        <v>45849.0</v>
      </c>
      <c r="F551" s="33" t="s">
        <v>230</v>
      </c>
      <c r="G551" s="40">
        <v>30800.0</v>
      </c>
      <c r="H551" s="46">
        <v>0.2046</v>
      </c>
      <c r="I551" s="40">
        <v>9520.52</v>
      </c>
      <c r="J551" s="33">
        <v>0.0</v>
      </c>
      <c r="K551" s="33" t="s">
        <v>182</v>
      </c>
    </row>
    <row r="552" ht="15.75" customHeight="1">
      <c r="A552" s="33" t="s">
        <v>3147</v>
      </c>
      <c r="B552" s="33" t="s">
        <v>284</v>
      </c>
      <c r="C552" s="33" t="s">
        <v>3148</v>
      </c>
      <c r="D552" s="33" t="s">
        <v>247</v>
      </c>
      <c r="E552" s="39">
        <v>45707.0</v>
      </c>
      <c r="F552" s="33" t="s">
        <v>241</v>
      </c>
      <c r="G552" s="40">
        <v>7150.0</v>
      </c>
      <c r="H552" s="46">
        <v>0.2087</v>
      </c>
      <c r="I552" s="40">
        <v>2061.93</v>
      </c>
      <c r="J552" s="33">
        <v>0.0</v>
      </c>
      <c r="K552" s="33" t="s">
        <v>182</v>
      </c>
    </row>
    <row r="553" ht="15.75" customHeight="1">
      <c r="A553" s="33" t="s">
        <v>3150</v>
      </c>
      <c r="B553" s="33" t="s">
        <v>988</v>
      </c>
      <c r="C553" s="33" t="s">
        <v>3151</v>
      </c>
      <c r="D553" s="33" t="s">
        <v>227</v>
      </c>
      <c r="E553" s="39">
        <v>45814.0</v>
      </c>
      <c r="F553" s="33" t="s">
        <v>230</v>
      </c>
      <c r="G553" s="40">
        <v>16080.0</v>
      </c>
      <c r="H553" s="46">
        <v>0.0868</v>
      </c>
      <c r="I553" s="40">
        <v>0.0</v>
      </c>
      <c r="J553" s="33">
        <v>30.0</v>
      </c>
      <c r="K553" s="33" t="s">
        <v>198</v>
      </c>
    </row>
    <row r="554" ht="15.75" customHeight="1">
      <c r="A554" s="33" t="s">
        <v>3154</v>
      </c>
      <c r="B554" s="33" t="s">
        <v>1452</v>
      </c>
      <c r="C554" s="33" t="s">
        <v>3155</v>
      </c>
      <c r="D554" s="33" t="s">
        <v>235</v>
      </c>
      <c r="E554" s="39">
        <v>45919.0</v>
      </c>
      <c r="F554" s="33" t="s">
        <v>248</v>
      </c>
      <c r="G554" s="40">
        <v>4290.0</v>
      </c>
      <c r="H554" s="46">
        <v>0.0803</v>
      </c>
      <c r="I554" s="40">
        <v>2111.89</v>
      </c>
      <c r="J554" s="33">
        <v>0.0</v>
      </c>
      <c r="K554" s="33" t="s">
        <v>182</v>
      </c>
    </row>
    <row r="555" ht="15.75" customHeight="1">
      <c r="A555" s="33" t="s">
        <v>3157</v>
      </c>
      <c r="B555" s="33" t="s">
        <v>786</v>
      </c>
      <c r="C555" s="33" t="s">
        <v>3158</v>
      </c>
      <c r="D555" s="33" t="s">
        <v>227</v>
      </c>
      <c r="E555" s="39">
        <v>46187.0</v>
      </c>
      <c r="F555" s="33" t="s">
        <v>230</v>
      </c>
      <c r="G555" s="40">
        <v>17760.0</v>
      </c>
      <c r="H555" s="46">
        <v>0.1159</v>
      </c>
      <c r="I555" s="40">
        <v>17113.99</v>
      </c>
      <c r="J555" s="33">
        <v>0.0</v>
      </c>
      <c r="K555" s="33" t="s">
        <v>182</v>
      </c>
    </row>
    <row r="556" ht="15.75" customHeight="1">
      <c r="A556" s="33" t="s">
        <v>3161</v>
      </c>
      <c r="B556" s="33" t="s">
        <v>3162</v>
      </c>
      <c r="C556" s="33" t="s">
        <v>3164</v>
      </c>
      <c r="D556" s="33" t="s">
        <v>227</v>
      </c>
      <c r="E556" s="39">
        <v>45905.0</v>
      </c>
      <c r="F556" s="33" t="s">
        <v>248</v>
      </c>
      <c r="G556" s="40">
        <v>34960.0</v>
      </c>
      <c r="H556" s="46">
        <v>0.116</v>
      </c>
      <c r="I556" s="40">
        <v>17504.33</v>
      </c>
      <c r="J556" s="33">
        <v>0.0</v>
      </c>
      <c r="K556" s="33" t="s">
        <v>182</v>
      </c>
    </row>
    <row r="557" ht="15.75" customHeight="1">
      <c r="A557" s="33" t="s">
        <v>3166</v>
      </c>
      <c r="B557" s="33" t="s">
        <v>1076</v>
      </c>
      <c r="C557" s="33" t="s">
        <v>3167</v>
      </c>
      <c r="D557" s="33" t="s">
        <v>235</v>
      </c>
      <c r="E557" s="39">
        <v>45901.0</v>
      </c>
      <c r="F557" s="33" t="s">
        <v>241</v>
      </c>
      <c r="G557" s="40">
        <v>11080.0</v>
      </c>
      <c r="H557" s="46">
        <v>0.1701</v>
      </c>
      <c r="I557" s="40">
        <v>6753.03</v>
      </c>
      <c r="J557" s="33">
        <v>0.0</v>
      </c>
      <c r="K557" s="33" t="s">
        <v>182</v>
      </c>
    </row>
    <row r="558" ht="15.75" customHeight="1">
      <c r="A558" s="33" t="s">
        <v>3170</v>
      </c>
      <c r="B558" s="33" t="s">
        <v>2314</v>
      </c>
      <c r="C558" s="33" t="s">
        <v>3171</v>
      </c>
      <c r="D558" s="33" t="s">
        <v>235</v>
      </c>
      <c r="E558" s="39">
        <v>46051.0</v>
      </c>
      <c r="F558" s="33" t="s">
        <v>230</v>
      </c>
      <c r="G558" s="40">
        <v>45040.0</v>
      </c>
      <c r="H558" s="46">
        <v>0.1167</v>
      </c>
      <c r="I558" s="40">
        <v>22926.41</v>
      </c>
      <c r="J558" s="33">
        <v>0.0</v>
      </c>
      <c r="K558" s="33" t="s">
        <v>182</v>
      </c>
    </row>
    <row r="559" ht="15.75" customHeight="1">
      <c r="A559" s="33" t="s">
        <v>3173</v>
      </c>
      <c r="B559" s="33" t="s">
        <v>1510</v>
      </c>
      <c r="C559" s="33" t="s">
        <v>3174</v>
      </c>
      <c r="D559" s="33" t="s">
        <v>235</v>
      </c>
      <c r="E559" s="39">
        <v>46189.0</v>
      </c>
      <c r="F559" s="33" t="s">
        <v>230</v>
      </c>
      <c r="G559" s="40">
        <v>3070.0</v>
      </c>
      <c r="H559" s="46">
        <v>0.1384</v>
      </c>
      <c r="I559" s="40">
        <v>2567.58</v>
      </c>
      <c r="J559" s="33">
        <v>0.0</v>
      </c>
      <c r="K559" s="33" t="s">
        <v>182</v>
      </c>
    </row>
    <row r="560" ht="15.75" customHeight="1">
      <c r="A560" s="33" t="s">
        <v>3176</v>
      </c>
      <c r="B560" s="33" t="s">
        <v>3177</v>
      </c>
      <c r="C560" s="33" t="s">
        <v>3178</v>
      </c>
      <c r="D560" s="33" t="s">
        <v>227</v>
      </c>
      <c r="E560" s="39">
        <v>46007.0</v>
      </c>
      <c r="F560" s="33" t="s">
        <v>241</v>
      </c>
      <c r="G560" s="40">
        <v>6990.0</v>
      </c>
      <c r="H560" s="46">
        <v>0.1526</v>
      </c>
      <c r="I560" s="40">
        <v>3702.14</v>
      </c>
      <c r="J560" s="33">
        <v>0.0</v>
      </c>
      <c r="K560" s="33" t="s">
        <v>182</v>
      </c>
    </row>
    <row r="561" ht="15.75" customHeight="1">
      <c r="A561" s="33" t="s">
        <v>3181</v>
      </c>
      <c r="B561" s="33" t="s">
        <v>1945</v>
      </c>
      <c r="C561" s="33" t="s">
        <v>3182</v>
      </c>
      <c r="D561" s="33" t="s">
        <v>227</v>
      </c>
      <c r="E561" s="39">
        <v>45981.0</v>
      </c>
      <c r="F561" s="33" t="s">
        <v>241</v>
      </c>
      <c r="G561" s="40">
        <v>32730.0</v>
      </c>
      <c r="H561" s="46">
        <v>0.1761</v>
      </c>
      <c r="I561" s="40">
        <v>22153.61</v>
      </c>
      <c r="J561" s="33">
        <v>55.0</v>
      </c>
      <c r="K561" s="33" t="s">
        <v>385</v>
      </c>
    </row>
    <row r="562" ht="15.75" customHeight="1">
      <c r="A562" s="33" t="s">
        <v>3185</v>
      </c>
      <c r="B562" s="33" t="s">
        <v>858</v>
      </c>
      <c r="C562" s="33" t="s">
        <v>3186</v>
      </c>
      <c r="D562" s="33" t="s">
        <v>247</v>
      </c>
      <c r="E562" s="39">
        <v>45883.0</v>
      </c>
      <c r="F562" s="33" t="s">
        <v>248</v>
      </c>
      <c r="G562" s="40">
        <v>29440.0</v>
      </c>
      <c r="H562" s="46">
        <v>0.2395</v>
      </c>
      <c r="I562" s="40">
        <v>7184.04</v>
      </c>
      <c r="J562" s="33">
        <v>0.0</v>
      </c>
      <c r="K562" s="33" t="s">
        <v>182</v>
      </c>
    </row>
    <row r="563" ht="15.75" customHeight="1">
      <c r="A563" s="33" t="s">
        <v>3189</v>
      </c>
      <c r="B563" s="33" t="s">
        <v>3190</v>
      </c>
      <c r="C563" s="33" t="s">
        <v>3191</v>
      </c>
      <c r="D563" s="33" t="s">
        <v>227</v>
      </c>
      <c r="E563" s="39">
        <v>45830.0</v>
      </c>
      <c r="F563" s="33" t="s">
        <v>230</v>
      </c>
      <c r="G563" s="40">
        <v>26020.0</v>
      </c>
      <c r="H563" s="46">
        <v>0.1902</v>
      </c>
      <c r="I563" s="40">
        <v>10317.75</v>
      </c>
      <c r="J563" s="33">
        <v>0.0</v>
      </c>
      <c r="K563" s="33" t="s">
        <v>182</v>
      </c>
    </row>
    <row r="564" ht="15.75" customHeight="1">
      <c r="A564" s="33" t="s">
        <v>3194</v>
      </c>
      <c r="B564" s="33" t="s">
        <v>3195</v>
      </c>
      <c r="C564" s="33" t="s">
        <v>3196</v>
      </c>
      <c r="D564" s="33" t="s">
        <v>247</v>
      </c>
      <c r="E564" s="39">
        <v>45696.0</v>
      </c>
      <c r="F564" s="33" t="s">
        <v>230</v>
      </c>
      <c r="G564" s="40">
        <v>9730.0</v>
      </c>
      <c r="H564" s="46">
        <v>0.1225</v>
      </c>
      <c r="I564" s="40">
        <v>1692.4</v>
      </c>
      <c r="J564" s="33">
        <v>0.0</v>
      </c>
      <c r="K564" s="33" t="s">
        <v>182</v>
      </c>
    </row>
    <row r="565" ht="15.75" customHeight="1">
      <c r="A565" s="33" t="s">
        <v>3199</v>
      </c>
      <c r="B565" s="33" t="s">
        <v>812</v>
      </c>
      <c r="C565" s="33" t="s">
        <v>3200</v>
      </c>
      <c r="D565" s="33" t="s">
        <v>235</v>
      </c>
      <c r="E565" s="39">
        <v>45824.0</v>
      </c>
      <c r="F565" s="33" t="s">
        <v>269</v>
      </c>
      <c r="G565" s="40">
        <v>20720.0</v>
      </c>
      <c r="H565" s="46">
        <v>0.1361</v>
      </c>
      <c r="I565" s="40">
        <v>11663.55</v>
      </c>
      <c r="J565" s="33">
        <v>0.0</v>
      </c>
      <c r="K565" s="33" t="s">
        <v>182</v>
      </c>
    </row>
    <row r="566" ht="15.75" customHeight="1">
      <c r="A566" s="33" t="s">
        <v>3202</v>
      </c>
      <c r="B566" s="33" t="s">
        <v>3203</v>
      </c>
      <c r="C566" s="33" t="s">
        <v>3204</v>
      </c>
      <c r="D566" s="33" t="s">
        <v>235</v>
      </c>
      <c r="E566" s="39">
        <v>46150.0</v>
      </c>
      <c r="F566" s="33" t="s">
        <v>241</v>
      </c>
      <c r="G566" s="40">
        <v>14530.0</v>
      </c>
      <c r="H566" s="46">
        <v>0.087</v>
      </c>
      <c r="I566" s="40">
        <v>12019.37</v>
      </c>
      <c r="J566" s="33">
        <v>0.0</v>
      </c>
      <c r="K566" s="33" t="s">
        <v>182</v>
      </c>
    </row>
    <row r="567" ht="15.75" customHeight="1">
      <c r="A567" s="33" t="s">
        <v>3206</v>
      </c>
      <c r="B567" s="33" t="s">
        <v>953</v>
      </c>
      <c r="C567" s="33" t="s">
        <v>3207</v>
      </c>
      <c r="D567" s="33" t="s">
        <v>227</v>
      </c>
      <c r="E567" s="39">
        <v>46082.0</v>
      </c>
      <c r="F567" s="33" t="s">
        <v>248</v>
      </c>
      <c r="G567" s="40">
        <v>33240.0</v>
      </c>
      <c r="H567" s="46">
        <v>0.1471</v>
      </c>
      <c r="I567" s="40">
        <v>23712.21</v>
      </c>
      <c r="J567" s="33">
        <v>0.0</v>
      </c>
      <c r="K567" s="33" t="s">
        <v>182</v>
      </c>
    </row>
    <row r="568" ht="15.75" customHeight="1">
      <c r="A568" s="33" t="s">
        <v>3210</v>
      </c>
      <c r="B568" s="33" t="s">
        <v>453</v>
      </c>
      <c r="C568" s="33" t="s">
        <v>3211</v>
      </c>
      <c r="D568" s="33" t="s">
        <v>247</v>
      </c>
      <c r="E568" s="39">
        <v>46263.0</v>
      </c>
      <c r="F568" s="33" t="s">
        <v>269</v>
      </c>
      <c r="G568" s="40">
        <v>11850.0</v>
      </c>
      <c r="H568" s="46">
        <v>0.1743</v>
      </c>
      <c r="I568" s="40">
        <v>12253.63</v>
      </c>
      <c r="J568" s="33">
        <v>1.0</v>
      </c>
      <c r="K568" s="33" t="s">
        <v>182</v>
      </c>
    </row>
    <row r="569" ht="15.75" customHeight="1">
      <c r="A569" s="33" t="s">
        <v>3214</v>
      </c>
      <c r="B569" s="33" t="s">
        <v>2264</v>
      </c>
      <c r="C569" s="33" t="s">
        <v>3215</v>
      </c>
      <c r="D569" s="33" t="s">
        <v>227</v>
      </c>
      <c r="E569" s="39">
        <v>46125.0</v>
      </c>
      <c r="F569" s="33" t="s">
        <v>230</v>
      </c>
      <c r="G569" s="40">
        <v>14680.0</v>
      </c>
      <c r="H569" s="46">
        <v>0.2319</v>
      </c>
      <c r="I569" s="40">
        <v>12062.7</v>
      </c>
      <c r="J569" s="33">
        <v>0.0</v>
      </c>
      <c r="K569" s="33" t="s">
        <v>182</v>
      </c>
    </row>
    <row r="570" ht="15.75" customHeight="1">
      <c r="A570" s="33" t="s">
        <v>3218</v>
      </c>
      <c r="B570" s="33" t="s">
        <v>526</v>
      </c>
      <c r="C570" s="33" t="s">
        <v>3219</v>
      </c>
      <c r="D570" s="33" t="s">
        <v>247</v>
      </c>
      <c r="E570" s="39">
        <v>45866.0</v>
      </c>
      <c r="F570" s="33" t="s">
        <v>230</v>
      </c>
      <c r="G570" s="40">
        <v>31920.0</v>
      </c>
      <c r="H570" s="46">
        <v>0.1229</v>
      </c>
      <c r="I570" s="40">
        <v>0.0</v>
      </c>
      <c r="J570" s="33">
        <v>0.0</v>
      </c>
      <c r="K570" s="33" t="s">
        <v>198</v>
      </c>
    </row>
    <row r="571" ht="15.75" customHeight="1">
      <c r="A571" s="33" t="s">
        <v>3222</v>
      </c>
      <c r="B571" s="33" t="s">
        <v>496</v>
      </c>
      <c r="C571" s="33" t="s">
        <v>3223</v>
      </c>
      <c r="D571" s="33" t="s">
        <v>235</v>
      </c>
      <c r="E571" s="39">
        <v>46017.0</v>
      </c>
      <c r="F571" s="33" t="s">
        <v>230</v>
      </c>
      <c r="G571" s="40">
        <v>19670.0</v>
      </c>
      <c r="H571" s="46">
        <v>0.119</v>
      </c>
      <c r="I571" s="40">
        <v>11294.48</v>
      </c>
      <c r="J571" s="33">
        <v>0.0</v>
      </c>
      <c r="K571" s="33" t="s">
        <v>182</v>
      </c>
    </row>
    <row r="572" ht="15.75" customHeight="1">
      <c r="A572" s="33" t="s">
        <v>3225</v>
      </c>
      <c r="B572" s="33" t="s">
        <v>1842</v>
      </c>
      <c r="C572" s="33" t="s">
        <v>3226</v>
      </c>
      <c r="D572" s="33" t="s">
        <v>247</v>
      </c>
      <c r="E572" s="39">
        <v>46084.0</v>
      </c>
      <c r="F572" s="33" t="s">
        <v>230</v>
      </c>
      <c r="G572" s="40">
        <v>42690.0</v>
      </c>
      <c r="H572" s="46">
        <v>0.0828</v>
      </c>
      <c r="I572" s="40">
        <v>26725.14</v>
      </c>
      <c r="J572" s="33">
        <v>0.0</v>
      </c>
      <c r="K572" s="33" t="s">
        <v>182</v>
      </c>
    </row>
    <row r="573" ht="15.75" customHeight="1">
      <c r="A573" s="33" t="s">
        <v>3229</v>
      </c>
      <c r="B573" s="33" t="s">
        <v>948</v>
      </c>
      <c r="C573" s="33" t="s">
        <v>3231</v>
      </c>
      <c r="D573" s="33" t="s">
        <v>247</v>
      </c>
      <c r="E573" s="39">
        <v>46197.0</v>
      </c>
      <c r="F573" s="33" t="s">
        <v>241</v>
      </c>
      <c r="G573" s="40">
        <v>25190.0</v>
      </c>
      <c r="H573" s="46">
        <v>0.1719</v>
      </c>
      <c r="I573" s="40">
        <v>21026.59</v>
      </c>
      <c r="J573" s="33">
        <v>18.0</v>
      </c>
      <c r="K573" s="33" t="s">
        <v>182</v>
      </c>
    </row>
    <row r="574" ht="15.75" customHeight="1">
      <c r="A574" s="33" t="s">
        <v>3233</v>
      </c>
      <c r="B574" s="33" t="s">
        <v>866</v>
      </c>
      <c r="C574" s="33" t="s">
        <v>3235</v>
      </c>
      <c r="D574" s="33" t="s">
        <v>227</v>
      </c>
      <c r="E574" s="39">
        <v>45870.0</v>
      </c>
      <c r="F574" s="33" t="s">
        <v>269</v>
      </c>
      <c r="G574" s="40">
        <v>3370.0</v>
      </c>
      <c r="H574" s="46">
        <v>0.2393</v>
      </c>
      <c r="I574" s="40">
        <v>1662.13</v>
      </c>
      <c r="J574" s="33">
        <v>0.0</v>
      </c>
      <c r="K574" s="33" t="s">
        <v>182</v>
      </c>
    </row>
    <row r="575" ht="15.75" customHeight="1">
      <c r="A575" s="33" t="s">
        <v>3238</v>
      </c>
      <c r="B575" s="33" t="s">
        <v>2625</v>
      </c>
      <c r="C575" s="33" t="s">
        <v>3239</v>
      </c>
      <c r="D575" s="33" t="s">
        <v>227</v>
      </c>
      <c r="E575" s="39">
        <v>46085.0</v>
      </c>
      <c r="F575" s="33" t="s">
        <v>269</v>
      </c>
      <c r="G575" s="40">
        <v>28920.0</v>
      </c>
      <c r="H575" s="46">
        <v>0.1394</v>
      </c>
      <c r="I575" s="40">
        <v>22438.89</v>
      </c>
      <c r="J575" s="33">
        <v>0.0</v>
      </c>
      <c r="K575" s="33" t="s">
        <v>182</v>
      </c>
    </row>
    <row r="576" ht="15.75" customHeight="1">
      <c r="A576" s="33" t="s">
        <v>3241</v>
      </c>
      <c r="B576" s="33" t="s">
        <v>3242</v>
      </c>
      <c r="C576" s="33" t="s">
        <v>3244</v>
      </c>
      <c r="D576" s="33" t="s">
        <v>247</v>
      </c>
      <c r="E576" s="39">
        <v>46160.0</v>
      </c>
      <c r="F576" s="33" t="s">
        <v>269</v>
      </c>
      <c r="G576" s="40">
        <v>2450.0</v>
      </c>
      <c r="H576" s="46">
        <v>0.1597</v>
      </c>
      <c r="I576" s="40">
        <v>2115.06</v>
      </c>
      <c r="J576" s="33">
        <v>0.0</v>
      </c>
      <c r="K576" s="33" t="s">
        <v>182</v>
      </c>
    </row>
    <row r="577" ht="15.75" customHeight="1">
      <c r="A577" s="33" t="s">
        <v>3245</v>
      </c>
      <c r="B577" s="33" t="s">
        <v>2826</v>
      </c>
      <c r="C577" s="33" t="s">
        <v>3247</v>
      </c>
      <c r="D577" s="33" t="s">
        <v>227</v>
      </c>
      <c r="E577" s="39">
        <v>46166.0</v>
      </c>
      <c r="F577" s="33" t="s">
        <v>248</v>
      </c>
      <c r="G577" s="40">
        <v>46770.0</v>
      </c>
      <c r="H577" s="46">
        <v>0.0893</v>
      </c>
      <c r="I577" s="40">
        <v>38771.36</v>
      </c>
      <c r="J577" s="33">
        <v>0.0</v>
      </c>
      <c r="K577" s="33" t="s">
        <v>182</v>
      </c>
    </row>
    <row r="578" ht="15.75" customHeight="1">
      <c r="A578" s="33" t="s">
        <v>3248</v>
      </c>
      <c r="B578" s="33" t="s">
        <v>2453</v>
      </c>
      <c r="C578" s="33" t="s">
        <v>3250</v>
      </c>
      <c r="D578" s="33" t="s">
        <v>247</v>
      </c>
      <c r="E578" s="39">
        <v>45786.0</v>
      </c>
      <c r="F578" s="33" t="s">
        <v>241</v>
      </c>
      <c r="G578" s="40">
        <v>38240.0</v>
      </c>
      <c r="H578" s="46">
        <v>0.1714</v>
      </c>
      <c r="I578" s="40">
        <v>14715.8</v>
      </c>
      <c r="J578" s="33">
        <v>0.0</v>
      </c>
      <c r="K578" s="33" t="s">
        <v>182</v>
      </c>
    </row>
    <row r="579" ht="15.75" customHeight="1">
      <c r="A579" s="33" t="s">
        <v>3252</v>
      </c>
      <c r="B579" s="33" t="s">
        <v>623</v>
      </c>
      <c r="C579" s="33" t="s">
        <v>3254</v>
      </c>
      <c r="D579" s="33" t="s">
        <v>235</v>
      </c>
      <c r="E579" s="39">
        <v>45725.0</v>
      </c>
      <c r="F579" s="33" t="s">
        <v>241</v>
      </c>
      <c r="G579" s="40">
        <v>21360.0</v>
      </c>
      <c r="H579" s="46">
        <v>0.1136</v>
      </c>
      <c r="I579" s="40">
        <v>4195.3</v>
      </c>
      <c r="J579" s="33">
        <v>0.0</v>
      </c>
      <c r="K579" s="33" t="s">
        <v>182</v>
      </c>
    </row>
    <row r="580" ht="15.75" customHeight="1">
      <c r="A580" s="33" t="s">
        <v>3256</v>
      </c>
      <c r="B580" s="33" t="s">
        <v>2259</v>
      </c>
      <c r="C580" s="33" t="s">
        <v>3257</v>
      </c>
      <c r="D580" s="33" t="s">
        <v>227</v>
      </c>
      <c r="E580" s="39">
        <v>45713.0</v>
      </c>
      <c r="F580" s="33" t="s">
        <v>230</v>
      </c>
      <c r="G580" s="40">
        <v>36480.0</v>
      </c>
      <c r="H580" s="46">
        <v>0.0825</v>
      </c>
      <c r="I580" s="40">
        <v>11991.61</v>
      </c>
      <c r="J580" s="33">
        <v>0.0</v>
      </c>
      <c r="K580" s="33" t="s">
        <v>182</v>
      </c>
    </row>
    <row r="581" ht="15.75" customHeight="1">
      <c r="A581" s="33" t="s">
        <v>3259</v>
      </c>
      <c r="B581" s="33" t="s">
        <v>623</v>
      </c>
      <c r="C581" s="33" t="s">
        <v>3260</v>
      </c>
      <c r="D581" s="33" t="s">
        <v>227</v>
      </c>
      <c r="E581" s="39">
        <v>46077.0</v>
      </c>
      <c r="F581" s="33" t="s">
        <v>248</v>
      </c>
      <c r="G581" s="40">
        <v>46100.0</v>
      </c>
      <c r="H581" s="46">
        <v>0.1894</v>
      </c>
      <c r="I581" s="40">
        <v>33275.81</v>
      </c>
      <c r="J581" s="33">
        <v>0.0</v>
      </c>
      <c r="K581" s="33" t="s">
        <v>182</v>
      </c>
    </row>
    <row r="582" ht="15.75" customHeight="1">
      <c r="A582" s="33" t="s">
        <v>3262</v>
      </c>
      <c r="B582" s="33" t="s">
        <v>1067</v>
      </c>
      <c r="C582" s="33" t="s">
        <v>3263</v>
      </c>
      <c r="D582" s="33" t="s">
        <v>227</v>
      </c>
      <c r="E582" s="39">
        <v>45930.0</v>
      </c>
      <c r="F582" s="33" t="s">
        <v>269</v>
      </c>
      <c r="G582" s="40">
        <v>40120.0</v>
      </c>
      <c r="H582" s="46">
        <v>0.1036</v>
      </c>
      <c r="I582" s="40">
        <v>23279.75</v>
      </c>
      <c r="J582" s="33">
        <v>5.0</v>
      </c>
      <c r="K582" s="33" t="s">
        <v>182</v>
      </c>
    </row>
    <row r="583" ht="15.75" customHeight="1">
      <c r="A583" s="33" t="s">
        <v>3265</v>
      </c>
      <c r="B583" s="33" t="s">
        <v>614</v>
      </c>
      <c r="C583" s="33" t="s">
        <v>3266</v>
      </c>
      <c r="D583" s="33" t="s">
        <v>247</v>
      </c>
      <c r="E583" s="39">
        <v>45974.0</v>
      </c>
      <c r="F583" s="33" t="s">
        <v>269</v>
      </c>
      <c r="G583" s="40">
        <v>32660.0</v>
      </c>
      <c r="H583" s="46">
        <v>0.0962</v>
      </c>
      <c r="I583" s="40">
        <v>23544.82</v>
      </c>
      <c r="J583" s="33">
        <v>0.0</v>
      </c>
      <c r="K583" s="33" t="s">
        <v>182</v>
      </c>
    </row>
    <row r="584" ht="15.75" customHeight="1">
      <c r="A584" s="33" t="s">
        <v>3268</v>
      </c>
      <c r="B584" s="33" t="s">
        <v>1700</v>
      </c>
      <c r="C584" s="33" t="s">
        <v>3269</v>
      </c>
      <c r="D584" s="33" t="s">
        <v>235</v>
      </c>
      <c r="E584" s="39">
        <v>45701.0</v>
      </c>
      <c r="F584" s="33" t="s">
        <v>230</v>
      </c>
      <c r="G584" s="40">
        <v>12070.0</v>
      </c>
      <c r="H584" s="46">
        <v>0.1165</v>
      </c>
      <c r="I584" s="40">
        <v>0.0</v>
      </c>
      <c r="J584" s="33">
        <v>0.0</v>
      </c>
      <c r="K584" s="33" t="s">
        <v>198</v>
      </c>
    </row>
    <row r="585" ht="15.75" customHeight="1">
      <c r="A585" s="33" t="s">
        <v>3271</v>
      </c>
      <c r="B585" s="33" t="s">
        <v>866</v>
      </c>
      <c r="C585" s="33" t="s">
        <v>3272</v>
      </c>
      <c r="D585" s="33" t="s">
        <v>235</v>
      </c>
      <c r="E585" s="39">
        <v>46011.0</v>
      </c>
      <c r="F585" s="33" t="s">
        <v>241</v>
      </c>
      <c r="G585" s="40">
        <v>35630.0</v>
      </c>
      <c r="H585" s="46">
        <v>0.102</v>
      </c>
      <c r="I585" s="40">
        <v>26300.13</v>
      </c>
      <c r="J585" s="33">
        <v>0.0</v>
      </c>
      <c r="K585" s="33" t="s">
        <v>182</v>
      </c>
    </row>
    <row r="586" ht="15.75" customHeight="1">
      <c r="A586" s="33" t="s">
        <v>3274</v>
      </c>
      <c r="B586" s="33" t="s">
        <v>305</v>
      </c>
      <c r="C586" s="33" t="s">
        <v>3275</v>
      </c>
      <c r="D586" s="33" t="s">
        <v>247</v>
      </c>
      <c r="E586" s="39">
        <v>45759.0</v>
      </c>
      <c r="F586" s="33" t="s">
        <v>230</v>
      </c>
      <c r="G586" s="40">
        <v>4160.0</v>
      </c>
      <c r="H586" s="46">
        <v>0.1797</v>
      </c>
      <c r="I586" s="40">
        <v>1999.78</v>
      </c>
      <c r="J586" s="33">
        <v>0.0</v>
      </c>
      <c r="K586" s="33" t="s">
        <v>182</v>
      </c>
    </row>
    <row r="587" ht="15.75" customHeight="1">
      <c r="A587" s="33" t="s">
        <v>3276</v>
      </c>
      <c r="B587" s="33" t="s">
        <v>2579</v>
      </c>
      <c r="C587" s="33" t="s">
        <v>3279</v>
      </c>
      <c r="D587" s="33" t="s">
        <v>247</v>
      </c>
      <c r="E587" s="39">
        <v>46112.0</v>
      </c>
      <c r="F587" s="33" t="s">
        <v>230</v>
      </c>
      <c r="G587" s="40">
        <v>13690.0</v>
      </c>
      <c r="H587" s="46">
        <v>0.1227</v>
      </c>
      <c r="I587" s="40">
        <v>10250.99</v>
      </c>
      <c r="J587" s="33">
        <v>0.0</v>
      </c>
      <c r="K587" s="33" t="s">
        <v>182</v>
      </c>
    </row>
    <row r="588" ht="15.75" customHeight="1">
      <c r="A588" s="33" t="s">
        <v>3280</v>
      </c>
      <c r="B588" s="33" t="s">
        <v>3039</v>
      </c>
      <c r="C588" s="33" t="s">
        <v>3281</v>
      </c>
      <c r="D588" s="33" t="s">
        <v>227</v>
      </c>
      <c r="E588" s="39">
        <v>45724.0</v>
      </c>
      <c r="F588" s="33" t="s">
        <v>230</v>
      </c>
      <c r="G588" s="40">
        <v>29880.0</v>
      </c>
      <c r="H588" s="46">
        <v>0.1874</v>
      </c>
      <c r="I588" s="40">
        <v>11350.1</v>
      </c>
      <c r="J588" s="33">
        <v>0.0</v>
      </c>
      <c r="K588" s="33" t="s">
        <v>182</v>
      </c>
    </row>
    <row r="589" ht="15.75" customHeight="1">
      <c r="A589" s="33" t="s">
        <v>3284</v>
      </c>
      <c r="B589" s="33" t="s">
        <v>1325</v>
      </c>
      <c r="C589" s="33" t="s">
        <v>3286</v>
      </c>
      <c r="D589" s="33" t="s">
        <v>227</v>
      </c>
      <c r="E589" s="39">
        <v>45769.0</v>
      </c>
      <c r="F589" s="33" t="s">
        <v>230</v>
      </c>
      <c r="G589" s="40">
        <v>42150.0</v>
      </c>
      <c r="H589" s="46">
        <v>0.1674</v>
      </c>
      <c r="I589" s="40">
        <v>0.0</v>
      </c>
      <c r="J589" s="33">
        <v>0.0</v>
      </c>
      <c r="K589" s="33" t="s">
        <v>198</v>
      </c>
    </row>
    <row r="590" ht="15.75" customHeight="1">
      <c r="A590" s="33" t="s">
        <v>3288</v>
      </c>
      <c r="B590" s="33" t="s">
        <v>389</v>
      </c>
      <c r="C590" s="33" t="s">
        <v>3290</v>
      </c>
      <c r="D590" s="33" t="s">
        <v>227</v>
      </c>
      <c r="E590" s="39">
        <v>46132.0</v>
      </c>
      <c r="F590" s="33" t="s">
        <v>230</v>
      </c>
      <c r="G590" s="40">
        <v>43390.0</v>
      </c>
      <c r="H590" s="46">
        <v>0.1366</v>
      </c>
      <c r="I590" s="40">
        <v>32986.84</v>
      </c>
      <c r="J590" s="33">
        <v>0.0</v>
      </c>
      <c r="K590" s="33" t="s">
        <v>182</v>
      </c>
    </row>
    <row r="591" ht="15.75" customHeight="1">
      <c r="A591" s="33" t="s">
        <v>3292</v>
      </c>
      <c r="B591" s="33" t="s">
        <v>815</v>
      </c>
      <c r="C591" s="33" t="s">
        <v>3293</v>
      </c>
      <c r="D591" s="33" t="s">
        <v>247</v>
      </c>
      <c r="E591" s="39">
        <v>45979.0</v>
      </c>
      <c r="F591" s="33" t="s">
        <v>241</v>
      </c>
      <c r="G591" s="40">
        <v>29180.0</v>
      </c>
      <c r="H591" s="46">
        <v>0.111</v>
      </c>
      <c r="I591" s="40">
        <v>15891.2</v>
      </c>
      <c r="J591" s="33">
        <v>0.0</v>
      </c>
      <c r="K591" s="33" t="s">
        <v>182</v>
      </c>
    </row>
    <row r="592" ht="15.75" customHeight="1">
      <c r="A592" s="33" t="s">
        <v>3297</v>
      </c>
      <c r="B592" s="33" t="s">
        <v>1660</v>
      </c>
      <c r="C592" s="33" t="s">
        <v>3298</v>
      </c>
      <c r="D592" s="33" t="s">
        <v>227</v>
      </c>
      <c r="E592" s="39">
        <v>45872.0</v>
      </c>
      <c r="F592" s="33" t="s">
        <v>269</v>
      </c>
      <c r="G592" s="40">
        <v>39500.0</v>
      </c>
      <c r="H592" s="46">
        <v>0.1876</v>
      </c>
      <c r="I592" s="40">
        <v>10039.67</v>
      </c>
      <c r="J592" s="33">
        <v>0.0</v>
      </c>
      <c r="K592" s="33" t="s">
        <v>182</v>
      </c>
    </row>
    <row r="593" ht="15.75" customHeight="1">
      <c r="A593" s="33" t="s">
        <v>3301</v>
      </c>
      <c r="B593" s="33" t="s">
        <v>1237</v>
      </c>
      <c r="C593" s="33" t="s">
        <v>3302</v>
      </c>
      <c r="D593" s="33" t="s">
        <v>227</v>
      </c>
      <c r="E593" s="39">
        <v>46050.0</v>
      </c>
      <c r="F593" s="33" t="s">
        <v>241</v>
      </c>
      <c r="G593" s="40">
        <v>24470.0</v>
      </c>
      <c r="H593" s="46">
        <v>0.1639</v>
      </c>
      <c r="I593" s="40">
        <v>18024.78</v>
      </c>
      <c r="J593" s="33">
        <v>0.0</v>
      </c>
      <c r="K593" s="33" t="s">
        <v>182</v>
      </c>
    </row>
    <row r="594" ht="15.75" customHeight="1">
      <c r="A594" s="33" t="s">
        <v>3304</v>
      </c>
      <c r="B594" s="33" t="s">
        <v>3305</v>
      </c>
      <c r="C594" s="33" t="s">
        <v>3306</v>
      </c>
      <c r="D594" s="33" t="s">
        <v>235</v>
      </c>
      <c r="E594" s="39">
        <v>46080.0</v>
      </c>
      <c r="F594" s="33" t="s">
        <v>269</v>
      </c>
      <c r="G594" s="40">
        <v>33640.0</v>
      </c>
      <c r="H594" s="46">
        <v>0.1953</v>
      </c>
      <c r="I594" s="40">
        <v>24733.06</v>
      </c>
      <c r="J594" s="33">
        <v>0.0</v>
      </c>
      <c r="K594" s="33" t="s">
        <v>182</v>
      </c>
    </row>
    <row r="595" ht="15.75" customHeight="1">
      <c r="A595" s="33" t="s">
        <v>3309</v>
      </c>
      <c r="B595" s="33" t="s">
        <v>3310</v>
      </c>
      <c r="C595" s="33" t="s">
        <v>3311</v>
      </c>
      <c r="D595" s="33" t="s">
        <v>227</v>
      </c>
      <c r="E595" s="39">
        <v>46037.0</v>
      </c>
      <c r="F595" s="33" t="s">
        <v>269</v>
      </c>
      <c r="G595" s="40">
        <v>34250.0</v>
      </c>
      <c r="H595" s="46">
        <v>0.161</v>
      </c>
      <c r="I595" s="40">
        <v>19033.12</v>
      </c>
      <c r="J595" s="33">
        <v>0.0</v>
      </c>
      <c r="K595" s="33" t="s">
        <v>182</v>
      </c>
    </row>
    <row r="596" ht="15.75" customHeight="1">
      <c r="A596" s="33" t="s">
        <v>3313</v>
      </c>
      <c r="B596" s="33" t="s">
        <v>1796</v>
      </c>
      <c r="C596" s="33" t="s">
        <v>3315</v>
      </c>
      <c r="D596" s="33" t="s">
        <v>227</v>
      </c>
      <c r="E596" s="39">
        <v>46117.0</v>
      </c>
      <c r="F596" s="33" t="s">
        <v>241</v>
      </c>
      <c r="G596" s="40">
        <v>37910.0</v>
      </c>
      <c r="H596" s="46">
        <v>0.2083</v>
      </c>
      <c r="I596" s="40">
        <v>31926.2</v>
      </c>
      <c r="J596" s="33">
        <v>0.0</v>
      </c>
      <c r="K596" s="33" t="s">
        <v>182</v>
      </c>
    </row>
    <row r="597" ht="15.75" customHeight="1">
      <c r="A597" s="33" t="s">
        <v>3317</v>
      </c>
      <c r="B597" s="33" t="s">
        <v>763</v>
      </c>
      <c r="C597" s="33" t="s">
        <v>3318</v>
      </c>
      <c r="D597" s="33" t="s">
        <v>247</v>
      </c>
      <c r="E597" s="39">
        <v>46024.0</v>
      </c>
      <c r="F597" s="33" t="s">
        <v>248</v>
      </c>
      <c r="G597" s="40">
        <v>41570.0</v>
      </c>
      <c r="H597" s="46">
        <v>0.168</v>
      </c>
      <c r="I597" s="40">
        <v>28685.88</v>
      </c>
      <c r="J597" s="33">
        <v>0.0</v>
      </c>
      <c r="K597" s="33" t="s">
        <v>182</v>
      </c>
    </row>
    <row r="598" ht="15.75" customHeight="1">
      <c r="A598" s="33" t="s">
        <v>3321</v>
      </c>
      <c r="B598" s="33" t="s">
        <v>1581</v>
      </c>
      <c r="C598" s="33" t="s">
        <v>3322</v>
      </c>
      <c r="D598" s="33" t="s">
        <v>247</v>
      </c>
      <c r="E598" s="39">
        <v>45666.0</v>
      </c>
      <c r="F598" s="33" t="s">
        <v>230</v>
      </c>
      <c r="G598" s="40">
        <v>28730.0</v>
      </c>
      <c r="H598" s="46">
        <v>0.2101</v>
      </c>
      <c r="I598" s="40">
        <v>0.0</v>
      </c>
      <c r="J598" s="33">
        <v>0.0</v>
      </c>
      <c r="K598" s="33" t="s">
        <v>198</v>
      </c>
    </row>
    <row r="599" ht="15.75" customHeight="1">
      <c r="A599" s="33" t="s">
        <v>3325</v>
      </c>
      <c r="B599" s="33" t="s">
        <v>3326</v>
      </c>
      <c r="C599" s="33" t="s">
        <v>3327</v>
      </c>
      <c r="D599" s="33" t="s">
        <v>247</v>
      </c>
      <c r="E599" s="39">
        <v>45885.0</v>
      </c>
      <c r="F599" s="33" t="s">
        <v>230</v>
      </c>
      <c r="G599" s="40">
        <v>28350.0</v>
      </c>
      <c r="H599" s="46">
        <v>0.168</v>
      </c>
      <c r="I599" s="40">
        <v>17259.43</v>
      </c>
      <c r="J599" s="33">
        <v>0.0</v>
      </c>
      <c r="K599" s="33" t="s">
        <v>182</v>
      </c>
    </row>
    <row r="600" ht="15.75" customHeight="1">
      <c r="A600" s="33" t="s">
        <v>3329</v>
      </c>
      <c r="B600" s="33" t="s">
        <v>499</v>
      </c>
      <c r="C600" s="33" t="s">
        <v>3330</v>
      </c>
      <c r="D600" s="33" t="s">
        <v>247</v>
      </c>
      <c r="E600" s="39">
        <v>45972.0</v>
      </c>
      <c r="F600" s="33" t="s">
        <v>241</v>
      </c>
      <c r="G600" s="40">
        <v>38670.0</v>
      </c>
      <c r="H600" s="46">
        <v>0.2339</v>
      </c>
      <c r="I600" s="40">
        <v>29113.41</v>
      </c>
      <c r="J600" s="33">
        <v>0.0</v>
      </c>
      <c r="K600" s="33" t="s">
        <v>182</v>
      </c>
    </row>
    <row r="601" ht="15.75" customHeight="1">
      <c r="A601" s="33" t="s">
        <v>3332</v>
      </c>
      <c r="B601" s="33" t="s">
        <v>953</v>
      </c>
      <c r="C601" s="33" t="s">
        <v>3333</v>
      </c>
      <c r="D601" s="33" t="s">
        <v>247</v>
      </c>
      <c r="E601" s="39">
        <v>45839.0</v>
      </c>
      <c r="F601" s="33" t="s">
        <v>230</v>
      </c>
      <c r="G601" s="40">
        <v>5160.0</v>
      </c>
      <c r="H601" s="46">
        <v>0.2165</v>
      </c>
      <c r="I601" s="40">
        <v>1500.91</v>
      </c>
      <c r="J601" s="33">
        <v>19.0</v>
      </c>
      <c r="K601" s="33" t="s">
        <v>182</v>
      </c>
    </row>
    <row r="602" ht="15.75" customHeight="1">
      <c r="A602" s="33" t="s">
        <v>3336</v>
      </c>
      <c r="B602" s="33" t="s">
        <v>1016</v>
      </c>
      <c r="C602" s="33" t="s">
        <v>3337</v>
      </c>
      <c r="D602" s="33" t="s">
        <v>235</v>
      </c>
      <c r="E602" s="39">
        <v>46220.0</v>
      </c>
      <c r="F602" s="33" t="s">
        <v>248</v>
      </c>
      <c r="G602" s="40">
        <v>33360.0</v>
      </c>
      <c r="H602" s="46">
        <v>0.1207</v>
      </c>
      <c r="I602" s="40">
        <v>30250.41</v>
      </c>
      <c r="J602" s="33">
        <v>125.0</v>
      </c>
      <c r="K602" s="33" t="s">
        <v>794</v>
      </c>
    </row>
    <row r="603" ht="15.75" customHeight="1">
      <c r="A603" s="33" t="s">
        <v>3339</v>
      </c>
      <c r="B603" s="33" t="s">
        <v>1235</v>
      </c>
      <c r="C603" s="33" t="s">
        <v>3341</v>
      </c>
      <c r="D603" s="33" t="s">
        <v>227</v>
      </c>
      <c r="E603" s="39">
        <v>45881.0</v>
      </c>
      <c r="F603" s="33" t="s">
        <v>230</v>
      </c>
      <c r="G603" s="40">
        <v>28470.0</v>
      </c>
      <c r="H603" s="46">
        <v>0.1965</v>
      </c>
      <c r="I603" s="40">
        <v>17424.61</v>
      </c>
      <c r="J603" s="33">
        <v>0.0</v>
      </c>
      <c r="K603" s="33" t="s">
        <v>182</v>
      </c>
    </row>
    <row r="604" ht="15.75" customHeight="1">
      <c r="A604" s="33" t="s">
        <v>3343</v>
      </c>
      <c r="B604" s="33" t="s">
        <v>3344</v>
      </c>
      <c r="C604" s="33" t="s">
        <v>3346</v>
      </c>
      <c r="D604" s="33" t="s">
        <v>227</v>
      </c>
      <c r="E604" s="39">
        <v>46218.0</v>
      </c>
      <c r="F604" s="33" t="s">
        <v>230</v>
      </c>
      <c r="G604" s="40">
        <v>3280.0</v>
      </c>
      <c r="H604" s="46">
        <v>0.1011</v>
      </c>
      <c r="I604" s="40">
        <v>2948.11</v>
      </c>
      <c r="J604" s="33">
        <v>0.0</v>
      </c>
      <c r="K604" s="33" t="s">
        <v>182</v>
      </c>
    </row>
    <row r="605" ht="15.75" customHeight="1">
      <c r="A605" s="33" t="s">
        <v>3348</v>
      </c>
      <c r="B605" s="33" t="s">
        <v>279</v>
      </c>
      <c r="C605" s="33" t="s">
        <v>3349</v>
      </c>
      <c r="D605" s="33" t="s">
        <v>227</v>
      </c>
      <c r="E605" s="39">
        <v>45942.0</v>
      </c>
      <c r="F605" s="33" t="s">
        <v>248</v>
      </c>
      <c r="G605" s="40">
        <v>4000.0</v>
      </c>
      <c r="H605" s="46">
        <v>0.2258</v>
      </c>
      <c r="I605" s="40">
        <v>2826.6</v>
      </c>
      <c r="J605" s="33">
        <v>29.0</v>
      </c>
      <c r="K605" s="33" t="s">
        <v>182</v>
      </c>
    </row>
    <row r="606" ht="15.75" customHeight="1">
      <c r="A606" s="33" t="s">
        <v>3353</v>
      </c>
      <c r="B606" s="33" t="s">
        <v>1661</v>
      </c>
      <c r="C606" s="33" t="s">
        <v>3354</v>
      </c>
      <c r="D606" s="33" t="s">
        <v>235</v>
      </c>
      <c r="E606" s="39">
        <v>45968.0</v>
      </c>
      <c r="F606" s="33" t="s">
        <v>269</v>
      </c>
      <c r="G606" s="40">
        <v>6760.0</v>
      </c>
      <c r="H606" s="46">
        <v>0.1353</v>
      </c>
      <c r="I606" s="40">
        <v>4745.97</v>
      </c>
      <c r="J606" s="33">
        <v>0.0</v>
      </c>
      <c r="K606" s="33" t="s">
        <v>182</v>
      </c>
    </row>
    <row r="607" ht="15.75" customHeight="1">
      <c r="A607" s="33" t="s">
        <v>3357</v>
      </c>
      <c r="B607" s="33" t="s">
        <v>306</v>
      </c>
      <c r="C607" s="33" t="s">
        <v>3358</v>
      </c>
      <c r="D607" s="33" t="s">
        <v>235</v>
      </c>
      <c r="E607" s="39">
        <v>45855.0</v>
      </c>
      <c r="F607" s="33" t="s">
        <v>241</v>
      </c>
      <c r="G607" s="40">
        <v>31240.0</v>
      </c>
      <c r="H607" s="46">
        <v>0.1564</v>
      </c>
      <c r="I607" s="40">
        <v>17181.89</v>
      </c>
      <c r="J607" s="33">
        <v>10.0</v>
      </c>
      <c r="K607" s="33" t="s">
        <v>182</v>
      </c>
    </row>
    <row r="608" ht="15.75" customHeight="1">
      <c r="A608" s="33" t="s">
        <v>3361</v>
      </c>
      <c r="B608" s="33" t="s">
        <v>1510</v>
      </c>
      <c r="C608" s="33" t="s">
        <v>3362</v>
      </c>
      <c r="D608" s="33" t="s">
        <v>247</v>
      </c>
      <c r="E608" s="39">
        <v>46037.0</v>
      </c>
      <c r="F608" s="33" t="s">
        <v>230</v>
      </c>
      <c r="G608" s="40">
        <v>4150.0</v>
      </c>
      <c r="H608" s="46">
        <v>0.0833</v>
      </c>
      <c r="I608" s="40">
        <v>2147.51</v>
      </c>
      <c r="J608" s="33">
        <v>0.0</v>
      </c>
      <c r="K608" s="33" t="s">
        <v>182</v>
      </c>
    </row>
    <row r="609" ht="15.75" customHeight="1">
      <c r="A609" s="33" t="s">
        <v>3365</v>
      </c>
      <c r="B609" s="33" t="s">
        <v>2197</v>
      </c>
      <c r="C609" s="33" t="s">
        <v>3366</v>
      </c>
      <c r="D609" s="33" t="s">
        <v>227</v>
      </c>
      <c r="E609" s="39">
        <v>46234.0</v>
      </c>
      <c r="F609" s="33" t="s">
        <v>241</v>
      </c>
      <c r="G609" s="40">
        <v>20470.0</v>
      </c>
      <c r="H609" s="46">
        <v>0.2188</v>
      </c>
      <c r="I609" s="40">
        <v>18458.46</v>
      </c>
      <c r="J609" s="33">
        <v>0.0</v>
      </c>
      <c r="K609" s="33" t="s">
        <v>182</v>
      </c>
    </row>
    <row r="610" ht="15.75" customHeight="1">
      <c r="A610" s="33" t="s">
        <v>3368</v>
      </c>
      <c r="B610" s="33" t="s">
        <v>3044</v>
      </c>
      <c r="C610" s="33" t="s">
        <v>3370</v>
      </c>
      <c r="D610" s="33" t="s">
        <v>247</v>
      </c>
      <c r="E610" s="39">
        <v>46132.0</v>
      </c>
      <c r="F610" s="33" t="s">
        <v>230</v>
      </c>
      <c r="G610" s="40">
        <v>32290.0</v>
      </c>
      <c r="H610" s="46">
        <v>0.2317</v>
      </c>
      <c r="I610" s="40">
        <v>25992.54</v>
      </c>
      <c r="J610" s="33">
        <v>0.0</v>
      </c>
      <c r="K610" s="33" t="s">
        <v>182</v>
      </c>
    </row>
    <row r="611" ht="15.75" customHeight="1">
      <c r="A611" s="33" t="s">
        <v>3373</v>
      </c>
      <c r="B611" s="33" t="s">
        <v>684</v>
      </c>
      <c r="C611" s="33" t="s">
        <v>3374</v>
      </c>
      <c r="D611" s="33" t="s">
        <v>247</v>
      </c>
      <c r="E611" s="39">
        <v>46181.0</v>
      </c>
      <c r="F611" s="33" t="s">
        <v>230</v>
      </c>
      <c r="G611" s="40">
        <v>12850.0</v>
      </c>
      <c r="H611" s="46">
        <v>0.1553</v>
      </c>
      <c r="I611" s="40">
        <v>12094.97</v>
      </c>
      <c r="J611" s="33">
        <v>0.0</v>
      </c>
      <c r="K611" s="33" t="s">
        <v>182</v>
      </c>
    </row>
    <row r="612" ht="15.75" customHeight="1">
      <c r="A612" s="33" t="s">
        <v>3377</v>
      </c>
      <c r="B612" s="33" t="s">
        <v>1981</v>
      </c>
      <c r="C612" s="33" t="s">
        <v>3378</v>
      </c>
      <c r="D612" s="33" t="s">
        <v>247</v>
      </c>
      <c r="E612" s="39">
        <v>45802.0</v>
      </c>
      <c r="F612" s="33" t="s">
        <v>230</v>
      </c>
      <c r="G612" s="40">
        <v>10900.0</v>
      </c>
      <c r="H612" s="46">
        <v>0.1101</v>
      </c>
      <c r="I612" s="40">
        <v>1521.05</v>
      </c>
      <c r="J612" s="33">
        <v>0.0</v>
      </c>
      <c r="K612" s="33" t="s">
        <v>182</v>
      </c>
    </row>
    <row r="613" ht="15.75" customHeight="1">
      <c r="A613" s="33" t="s">
        <v>3380</v>
      </c>
      <c r="B613" s="33" t="s">
        <v>1660</v>
      </c>
      <c r="C613" s="33" t="s">
        <v>3381</v>
      </c>
      <c r="D613" s="33" t="s">
        <v>227</v>
      </c>
      <c r="E613" s="39">
        <v>46055.0</v>
      </c>
      <c r="F613" s="33" t="s">
        <v>248</v>
      </c>
      <c r="G613" s="40">
        <v>36250.0</v>
      </c>
      <c r="H613" s="46">
        <v>0.191</v>
      </c>
      <c r="I613" s="40">
        <v>26431.08</v>
      </c>
      <c r="J613" s="33">
        <v>0.0</v>
      </c>
      <c r="K613" s="33" t="s">
        <v>182</v>
      </c>
    </row>
    <row r="614" ht="15.75" customHeight="1">
      <c r="A614" s="33" t="s">
        <v>3384</v>
      </c>
      <c r="B614" s="33" t="s">
        <v>1103</v>
      </c>
      <c r="C614" s="33" t="s">
        <v>3385</v>
      </c>
      <c r="D614" s="33" t="s">
        <v>247</v>
      </c>
      <c r="E614" s="39">
        <v>45901.0</v>
      </c>
      <c r="F614" s="33" t="s">
        <v>269</v>
      </c>
      <c r="G614" s="40">
        <v>4590.0</v>
      </c>
      <c r="H614" s="46">
        <v>0.1275</v>
      </c>
      <c r="I614" s="40">
        <v>3025.68</v>
      </c>
      <c r="J614" s="33">
        <v>0.0</v>
      </c>
      <c r="K614" s="33" t="s">
        <v>182</v>
      </c>
    </row>
    <row r="615" ht="15.75" customHeight="1">
      <c r="A615" s="33" t="s">
        <v>3387</v>
      </c>
      <c r="B615" s="33" t="s">
        <v>1610</v>
      </c>
      <c r="C615" s="33" t="s">
        <v>3388</v>
      </c>
      <c r="D615" s="33" t="s">
        <v>227</v>
      </c>
      <c r="E615" s="39">
        <v>45868.0</v>
      </c>
      <c r="F615" s="33" t="s">
        <v>269</v>
      </c>
      <c r="G615" s="40">
        <v>5200.0</v>
      </c>
      <c r="H615" s="46">
        <v>0.2336</v>
      </c>
      <c r="I615" s="40">
        <v>2348.99</v>
      </c>
      <c r="J615" s="33">
        <v>15.0</v>
      </c>
      <c r="K615" s="33" t="s">
        <v>182</v>
      </c>
    </row>
    <row r="616" ht="15.75" customHeight="1">
      <c r="A616" s="33" t="s">
        <v>3390</v>
      </c>
      <c r="B616" s="33" t="s">
        <v>1118</v>
      </c>
      <c r="C616" s="33" t="s">
        <v>3391</v>
      </c>
      <c r="D616" s="33" t="s">
        <v>247</v>
      </c>
      <c r="E616" s="39">
        <v>46107.0</v>
      </c>
      <c r="F616" s="33" t="s">
        <v>248</v>
      </c>
      <c r="G616" s="40">
        <v>37910.0</v>
      </c>
      <c r="H616" s="46">
        <v>0.1298</v>
      </c>
      <c r="I616" s="40">
        <v>28074.59</v>
      </c>
      <c r="J616" s="33">
        <v>5.0</v>
      </c>
      <c r="K616" s="33" t="s">
        <v>182</v>
      </c>
    </row>
    <row r="617" ht="15.75" customHeight="1">
      <c r="A617" s="33" t="s">
        <v>3393</v>
      </c>
      <c r="B617" s="33" t="s">
        <v>483</v>
      </c>
      <c r="C617" s="33" t="s">
        <v>3395</v>
      </c>
      <c r="D617" s="33" t="s">
        <v>247</v>
      </c>
      <c r="E617" s="39">
        <v>46064.0</v>
      </c>
      <c r="F617" s="33" t="s">
        <v>230</v>
      </c>
      <c r="G617" s="40">
        <v>18140.0</v>
      </c>
      <c r="H617" s="46">
        <v>0.1721</v>
      </c>
      <c r="I617" s="40">
        <v>11002.74</v>
      </c>
      <c r="J617" s="33">
        <v>0.0</v>
      </c>
      <c r="K617" s="33" t="s">
        <v>182</v>
      </c>
    </row>
    <row r="618" ht="15.75" customHeight="1">
      <c r="A618" s="33" t="s">
        <v>3397</v>
      </c>
      <c r="B618" s="33" t="s">
        <v>3177</v>
      </c>
      <c r="C618" s="33" t="s">
        <v>3399</v>
      </c>
      <c r="D618" s="33" t="s">
        <v>247</v>
      </c>
      <c r="E618" s="39">
        <v>45796.0</v>
      </c>
      <c r="F618" s="33" t="s">
        <v>269</v>
      </c>
      <c r="G618" s="40">
        <v>35940.0</v>
      </c>
      <c r="H618" s="46">
        <v>0.0879</v>
      </c>
      <c r="I618" s="40">
        <v>5194.28</v>
      </c>
      <c r="J618" s="33">
        <v>0.0</v>
      </c>
      <c r="K618" s="33" t="s">
        <v>182</v>
      </c>
    </row>
    <row r="619" ht="15.75" customHeight="1">
      <c r="A619" s="33" t="s">
        <v>3403</v>
      </c>
      <c r="B619" s="33" t="s">
        <v>2168</v>
      </c>
      <c r="C619" s="33" t="s">
        <v>3404</v>
      </c>
      <c r="D619" s="33" t="s">
        <v>227</v>
      </c>
      <c r="E619" s="39">
        <v>45707.0</v>
      </c>
      <c r="F619" s="33" t="s">
        <v>248</v>
      </c>
      <c r="G619" s="40">
        <v>13050.0</v>
      </c>
      <c r="H619" s="46">
        <v>0.2384</v>
      </c>
      <c r="I619" s="40">
        <v>6729.27</v>
      </c>
      <c r="J619" s="33">
        <v>0.0</v>
      </c>
      <c r="K619" s="33" t="s">
        <v>182</v>
      </c>
    </row>
    <row r="620" ht="15.75" customHeight="1">
      <c r="A620" s="33" t="s">
        <v>3406</v>
      </c>
      <c r="B620" s="33" t="s">
        <v>1321</v>
      </c>
      <c r="C620" s="33" t="s">
        <v>3408</v>
      </c>
      <c r="D620" s="33" t="s">
        <v>227</v>
      </c>
      <c r="E620" s="39">
        <v>46032.0</v>
      </c>
      <c r="F620" s="33" t="s">
        <v>241</v>
      </c>
      <c r="G620" s="40">
        <v>6540.0</v>
      </c>
      <c r="H620" s="46">
        <v>0.1722</v>
      </c>
      <c r="I620" s="40">
        <v>5145.05</v>
      </c>
      <c r="J620" s="33">
        <v>0.0</v>
      </c>
      <c r="K620" s="33" t="s">
        <v>182</v>
      </c>
    </row>
    <row r="621" ht="15.75" customHeight="1">
      <c r="A621" s="33" t="s">
        <v>3410</v>
      </c>
      <c r="B621" s="33" t="s">
        <v>1034</v>
      </c>
      <c r="C621" s="33" t="s">
        <v>3411</v>
      </c>
      <c r="D621" s="33" t="s">
        <v>235</v>
      </c>
      <c r="E621" s="39">
        <v>46151.0</v>
      </c>
      <c r="F621" s="33" t="s">
        <v>241</v>
      </c>
      <c r="G621" s="40">
        <v>38390.0</v>
      </c>
      <c r="H621" s="46">
        <v>0.2361</v>
      </c>
      <c r="I621" s="40">
        <v>31980.5</v>
      </c>
      <c r="J621" s="33">
        <v>78.0</v>
      </c>
      <c r="K621" s="33" t="s">
        <v>385</v>
      </c>
    </row>
    <row r="622" ht="15.75" customHeight="1">
      <c r="A622" s="33" t="s">
        <v>3415</v>
      </c>
      <c r="B622" s="33" t="s">
        <v>2187</v>
      </c>
      <c r="C622" s="33" t="s">
        <v>3416</v>
      </c>
      <c r="D622" s="33" t="s">
        <v>235</v>
      </c>
      <c r="E622" s="39">
        <v>46241.0</v>
      </c>
      <c r="F622" s="33" t="s">
        <v>241</v>
      </c>
      <c r="G622" s="40">
        <v>34350.0</v>
      </c>
      <c r="H622" s="46">
        <v>0.1281</v>
      </c>
      <c r="I622" s="40">
        <v>34405.55</v>
      </c>
      <c r="J622" s="33">
        <v>0.0</v>
      </c>
      <c r="K622" s="33" t="s">
        <v>182</v>
      </c>
    </row>
    <row r="623" ht="15.75" customHeight="1">
      <c r="A623" s="33" t="s">
        <v>3419</v>
      </c>
      <c r="B623" s="33" t="s">
        <v>284</v>
      </c>
      <c r="C623" s="33" t="s">
        <v>3420</v>
      </c>
      <c r="D623" s="33" t="s">
        <v>227</v>
      </c>
      <c r="E623" s="39">
        <v>46071.0</v>
      </c>
      <c r="F623" s="33" t="s">
        <v>230</v>
      </c>
      <c r="G623" s="40">
        <v>4300.0</v>
      </c>
      <c r="H623" s="46">
        <v>0.1643</v>
      </c>
      <c r="I623" s="40">
        <v>3392.78</v>
      </c>
      <c r="J623" s="33">
        <v>0.0</v>
      </c>
      <c r="K623" s="33" t="s">
        <v>182</v>
      </c>
    </row>
    <row r="624" ht="15.75" customHeight="1">
      <c r="A624" s="33" t="s">
        <v>3423</v>
      </c>
      <c r="B624" s="33" t="s">
        <v>819</v>
      </c>
      <c r="C624" s="33" t="s">
        <v>3424</v>
      </c>
      <c r="D624" s="33" t="s">
        <v>247</v>
      </c>
      <c r="E624" s="39">
        <v>45908.0</v>
      </c>
      <c r="F624" s="33" t="s">
        <v>241</v>
      </c>
      <c r="G624" s="40">
        <v>29090.0</v>
      </c>
      <c r="H624" s="46">
        <v>0.0829</v>
      </c>
      <c r="I624" s="40">
        <v>13903.41</v>
      </c>
      <c r="J624" s="33">
        <v>0.0</v>
      </c>
      <c r="K624" s="33" t="s">
        <v>182</v>
      </c>
    </row>
    <row r="625" ht="15.75" customHeight="1">
      <c r="A625" s="33" t="s">
        <v>3427</v>
      </c>
      <c r="B625" s="33" t="s">
        <v>3428</v>
      </c>
      <c r="C625" s="33" t="s">
        <v>3429</v>
      </c>
      <c r="D625" s="33" t="s">
        <v>247</v>
      </c>
      <c r="E625" s="39">
        <v>45680.0</v>
      </c>
      <c r="F625" s="33" t="s">
        <v>230</v>
      </c>
      <c r="G625" s="40">
        <v>39250.0</v>
      </c>
      <c r="H625" s="46">
        <v>0.2033</v>
      </c>
      <c r="I625" s="40">
        <v>2691.43</v>
      </c>
      <c r="J625" s="33">
        <v>15.0</v>
      </c>
      <c r="K625" s="33" t="s">
        <v>182</v>
      </c>
    </row>
    <row r="626" ht="15.75" customHeight="1">
      <c r="A626" s="33" t="s">
        <v>3432</v>
      </c>
      <c r="B626" s="33" t="s">
        <v>3434</v>
      </c>
      <c r="C626" s="33" t="s">
        <v>3435</v>
      </c>
      <c r="D626" s="33" t="s">
        <v>247</v>
      </c>
      <c r="E626" s="39">
        <v>45805.0</v>
      </c>
      <c r="F626" s="33" t="s">
        <v>241</v>
      </c>
      <c r="G626" s="40">
        <v>4760.0</v>
      </c>
      <c r="H626" s="46">
        <v>0.1066</v>
      </c>
      <c r="I626" s="40">
        <v>0.0</v>
      </c>
      <c r="J626" s="33">
        <v>0.0</v>
      </c>
      <c r="K626" s="33" t="s">
        <v>198</v>
      </c>
    </row>
    <row r="627" ht="15.75" customHeight="1">
      <c r="A627" s="33" t="s">
        <v>3437</v>
      </c>
      <c r="B627" s="33" t="s">
        <v>597</v>
      </c>
      <c r="C627" s="33" t="s">
        <v>3438</v>
      </c>
      <c r="D627" s="33" t="s">
        <v>227</v>
      </c>
      <c r="E627" s="39">
        <v>45888.0</v>
      </c>
      <c r="F627" s="33" t="s">
        <v>230</v>
      </c>
      <c r="G627" s="40">
        <v>6520.0</v>
      </c>
      <c r="H627" s="46">
        <v>0.1481</v>
      </c>
      <c r="I627" s="40">
        <v>3813.89</v>
      </c>
      <c r="J627" s="33">
        <v>0.0</v>
      </c>
      <c r="K627" s="33" t="s">
        <v>182</v>
      </c>
    </row>
    <row r="628" ht="15.75" customHeight="1">
      <c r="A628" s="33" t="s">
        <v>3441</v>
      </c>
      <c r="B628" s="33" t="s">
        <v>3442</v>
      </c>
      <c r="C628" s="33" t="s">
        <v>3443</v>
      </c>
      <c r="D628" s="33" t="s">
        <v>235</v>
      </c>
      <c r="E628" s="39">
        <v>45843.0</v>
      </c>
      <c r="F628" s="33" t="s">
        <v>230</v>
      </c>
      <c r="G628" s="40">
        <v>37270.0</v>
      </c>
      <c r="H628" s="46">
        <v>0.1872</v>
      </c>
      <c r="I628" s="40">
        <v>22357.33</v>
      </c>
      <c r="J628" s="33">
        <v>0.0</v>
      </c>
      <c r="K628" s="33" t="s">
        <v>182</v>
      </c>
    </row>
    <row r="629" ht="15.75" customHeight="1">
      <c r="A629" s="33" t="s">
        <v>3445</v>
      </c>
      <c r="B629" s="33" t="s">
        <v>723</v>
      </c>
      <c r="C629" s="33" t="s">
        <v>3447</v>
      </c>
      <c r="D629" s="33" t="s">
        <v>235</v>
      </c>
      <c r="E629" s="39">
        <v>46207.0</v>
      </c>
      <c r="F629" s="33" t="s">
        <v>230</v>
      </c>
      <c r="G629" s="40">
        <v>33770.0</v>
      </c>
      <c r="H629" s="46">
        <v>0.0931</v>
      </c>
      <c r="I629" s="40">
        <v>32203.5</v>
      </c>
      <c r="J629" s="33">
        <v>0.0</v>
      </c>
      <c r="K629" s="33" t="s">
        <v>182</v>
      </c>
    </row>
    <row r="630" ht="15.75" customHeight="1">
      <c r="A630" s="33" t="s">
        <v>3449</v>
      </c>
      <c r="B630" s="33" t="s">
        <v>1186</v>
      </c>
      <c r="C630" s="33" t="s">
        <v>3450</v>
      </c>
      <c r="D630" s="33" t="s">
        <v>247</v>
      </c>
      <c r="E630" s="39">
        <v>45714.0</v>
      </c>
      <c r="F630" s="33" t="s">
        <v>241</v>
      </c>
      <c r="G630" s="40">
        <v>8330.0</v>
      </c>
      <c r="H630" s="46">
        <v>0.2054</v>
      </c>
      <c r="I630" s="40">
        <v>2052.23</v>
      </c>
      <c r="J630" s="33">
        <v>0.0</v>
      </c>
      <c r="K630" s="33" t="s">
        <v>182</v>
      </c>
    </row>
    <row r="631" ht="15.75" customHeight="1">
      <c r="A631" s="33" t="s">
        <v>3451</v>
      </c>
      <c r="B631" s="33" t="s">
        <v>1991</v>
      </c>
      <c r="C631" s="33" t="s">
        <v>3454</v>
      </c>
      <c r="D631" s="33" t="s">
        <v>235</v>
      </c>
      <c r="E631" s="39">
        <v>46136.0</v>
      </c>
      <c r="F631" s="33" t="s">
        <v>248</v>
      </c>
      <c r="G631" s="40">
        <v>21860.0</v>
      </c>
      <c r="H631" s="46">
        <v>0.2089</v>
      </c>
      <c r="I631" s="40">
        <v>18100.65</v>
      </c>
      <c r="J631" s="33">
        <v>0.0</v>
      </c>
      <c r="K631" s="33" t="s">
        <v>182</v>
      </c>
    </row>
    <row r="632" ht="15.75" customHeight="1">
      <c r="A632" s="33" t="s">
        <v>3456</v>
      </c>
      <c r="B632" s="33" t="s">
        <v>2334</v>
      </c>
      <c r="C632" s="33" t="s">
        <v>3457</v>
      </c>
      <c r="D632" s="33" t="s">
        <v>247</v>
      </c>
      <c r="E632" s="39">
        <v>45668.0</v>
      </c>
      <c r="F632" s="33" t="s">
        <v>241</v>
      </c>
      <c r="G632" s="40">
        <v>43050.0</v>
      </c>
      <c r="H632" s="46">
        <v>0.165</v>
      </c>
      <c r="I632" s="40">
        <v>13557.89</v>
      </c>
      <c r="J632" s="33">
        <v>0.0</v>
      </c>
      <c r="K632" s="33" t="s">
        <v>182</v>
      </c>
    </row>
    <row r="633" ht="15.75" customHeight="1">
      <c r="A633" s="33" t="s">
        <v>3459</v>
      </c>
      <c r="B633" s="33" t="s">
        <v>533</v>
      </c>
      <c r="C633" s="33" t="s">
        <v>3460</v>
      </c>
      <c r="D633" s="33" t="s">
        <v>227</v>
      </c>
      <c r="E633" s="39">
        <v>46197.0</v>
      </c>
      <c r="F633" s="33" t="s">
        <v>230</v>
      </c>
      <c r="G633" s="40">
        <v>28590.0</v>
      </c>
      <c r="H633" s="46">
        <v>0.1768</v>
      </c>
      <c r="I633" s="40">
        <v>26698.13</v>
      </c>
      <c r="J633" s="33">
        <v>0.0</v>
      </c>
      <c r="K633" s="33" t="s">
        <v>182</v>
      </c>
    </row>
    <row r="634" ht="15.75" customHeight="1">
      <c r="A634" s="33" t="s">
        <v>3462</v>
      </c>
      <c r="B634" s="33" t="s">
        <v>672</v>
      </c>
      <c r="C634" s="33" t="s">
        <v>3464</v>
      </c>
      <c r="D634" s="33" t="s">
        <v>227</v>
      </c>
      <c r="E634" s="39">
        <v>46076.0</v>
      </c>
      <c r="F634" s="33" t="s">
        <v>269</v>
      </c>
      <c r="G634" s="40">
        <v>11730.0</v>
      </c>
      <c r="H634" s="46">
        <v>0.0951</v>
      </c>
      <c r="I634" s="40">
        <v>7005.13</v>
      </c>
      <c r="J634" s="33">
        <v>0.0</v>
      </c>
      <c r="K634" s="33" t="s">
        <v>182</v>
      </c>
    </row>
    <row r="635" ht="15.75" customHeight="1">
      <c r="A635" s="33" t="s">
        <v>3467</v>
      </c>
      <c r="B635" s="33" t="s">
        <v>394</v>
      </c>
      <c r="C635" s="33" t="s">
        <v>3468</v>
      </c>
      <c r="D635" s="33" t="s">
        <v>227</v>
      </c>
      <c r="E635" s="39">
        <v>46040.0</v>
      </c>
      <c r="F635" s="33" t="s">
        <v>248</v>
      </c>
      <c r="G635" s="40">
        <v>27050.0</v>
      </c>
      <c r="H635" s="46">
        <v>0.1518</v>
      </c>
      <c r="I635" s="40">
        <v>20248.27</v>
      </c>
      <c r="J635" s="33">
        <v>0.0</v>
      </c>
      <c r="K635" s="33" t="s">
        <v>182</v>
      </c>
    </row>
    <row r="636" ht="15.75" customHeight="1">
      <c r="A636" s="33" t="s">
        <v>3470</v>
      </c>
      <c r="B636" s="33" t="s">
        <v>566</v>
      </c>
      <c r="C636" s="33" t="s">
        <v>3472</v>
      </c>
      <c r="D636" s="33" t="s">
        <v>227</v>
      </c>
      <c r="E636" s="39">
        <v>45749.0</v>
      </c>
      <c r="F636" s="33" t="s">
        <v>241</v>
      </c>
      <c r="G636" s="40">
        <v>5430.0</v>
      </c>
      <c r="H636" s="46">
        <v>0.2146</v>
      </c>
      <c r="I636" s="40">
        <v>2423.14</v>
      </c>
      <c r="J636" s="33">
        <v>0.0</v>
      </c>
      <c r="K636" s="33" t="s">
        <v>182</v>
      </c>
    </row>
    <row r="637" ht="15.75" customHeight="1">
      <c r="A637" s="33" t="s">
        <v>3474</v>
      </c>
      <c r="B637" s="33" t="s">
        <v>1145</v>
      </c>
      <c r="C637" s="33" t="s">
        <v>3475</v>
      </c>
      <c r="D637" s="33" t="s">
        <v>227</v>
      </c>
      <c r="E637" s="39">
        <v>45752.0</v>
      </c>
      <c r="F637" s="33" t="s">
        <v>248</v>
      </c>
      <c r="G637" s="40">
        <v>14760.0</v>
      </c>
      <c r="H637" s="46">
        <v>0.0943</v>
      </c>
      <c r="I637" s="40">
        <v>0.0</v>
      </c>
      <c r="J637" s="33">
        <v>0.0</v>
      </c>
      <c r="K637" s="33" t="s">
        <v>198</v>
      </c>
    </row>
    <row r="638" ht="15.75" customHeight="1">
      <c r="A638" s="33" t="s">
        <v>3478</v>
      </c>
      <c r="B638" s="33" t="s">
        <v>1721</v>
      </c>
      <c r="C638" s="33" t="s">
        <v>3479</v>
      </c>
      <c r="D638" s="33" t="s">
        <v>247</v>
      </c>
      <c r="E638" s="39">
        <v>46143.0</v>
      </c>
      <c r="F638" s="33" t="s">
        <v>241</v>
      </c>
      <c r="G638" s="40">
        <v>30960.0</v>
      </c>
      <c r="H638" s="46">
        <v>0.2382</v>
      </c>
      <c r="I638" s="40">
        <v>24872.58</v>
      </c>
      <c r="J638" s="33">
        <v>0.0</v>
      </c>
      <c r="K638" s="33" t="s">
        <v>182</v>
      </c>
    </row>
    <row r="639" ht="15.75" customHeight="1">
      <c r="A639" s="33" t="s">
        <v>3482</v>
      </c>
      <c r="B639" s="33" t="s">
        <v>2627</v>
      </c>
      <c r="C639" s="33" t="s">
        <v>3483</v>
      </c>
      <c r="D639" s="33" t="s">
        <v>247</v>
      </c>
      <c r="E639" s="39">
        <v>46058.0</v>
      </c>
      <c r="F639" s="33" t="s">
        <v>230</v>
      </c>
      <c r="G639" s="40">
        <v>20880.0</v>
      </c>
      <c r="H639" s="46">
        <v>0.1577</v>
      </c>
      <c r="I639" s="40">
        <v>15877.16</v>
      </c>
      <c r="J639" s="33">
        <v>0.0</v>
      </c>
      <c r="K639" s="33" t="s">
        <v>182</v>
      </c>
    </row>
    <row r="640" ht="15.75" customHeight="1">
      <c r="A640" s="33" t="s">
        <v>3485</v>
      </c>
      <c r="B640" s="33" t="s">
        <v>2497</v>
      </c>
      <c r="C640" s="33" t="s">
        <v>3486</v>
      </c>
      <c r="D640" s="33" t="s">
        <v>235</v>
      </c>
      <c r="E640" s="39">
        <v>46243.0</v>
      </c>
      <c r="F640" s="33" t="s">
        <v>248</v>
      </c>
      <c r="G640" s="40">
        <v>9530.0</v>
      </c>
      <c r="H640" s="46">
        <v>0.082</v>
      </c>
      <c r="I640" s="40">
        <v>8595.0</v>
      </c>
      <c r="J640" s="33">
        <v>0.0</v>
      </c>
      <c r="K640" s="33" t="s">
        <v>182</v>
      </c>
    </row>
    <row r="641" ht="15.75" customHeight="1">
      <c r="A641" s="33" t="s">
        <v>3488</v>
      </c>
      <c r="B641" s="33" t="s">
        <v>1118</v>
      </c>
      <c r="C641" s="33" t="s">
        <v>3489</v>
      </c>
      <c r="D641" s="33" t="s">
        <v>247</v>
      </c>
      <c r="E641" s="39">
        <v>45768.0</v>
      </c>
      <c r="F641" s="33" t="s">
        <v>248</v>
      </c>
      <c r="G641" s="40">
        <v>48400.0</v>
      </c>
      <c r="H641" s="46">
        <v>0.1344</v>
      </c>
      <c r="I641" s="40">
        <v>26489.53</v>
      </c>
      <c r="J641" s="33">
        <v>0.0</v>
      </c>
      <c r="K641" s="33" t="s">
        <v>182</v>
      </c>
    </row>
    <row r="642" ht="15.75" customHeight="1">
      <c r="A642" s="33" t="s">
        <v>3492</v>
      </c>
      <c r="B642" s="33" t="s">
        <v>501</v>
      </c>
      <c r="C642" s="33" t="s">
        <v>3493</v>
      </c>
      <c r="D642" s="33" t="s">
        <v>227</v>
      </c>
      <c r="E642" s="39">
        <v>46153.0</v>
      </c>
      <c r="F642" s="33" t="s">
        <v>241</v>
      </c>
      <c r="G642" s="40">
        <v>9810.0</v>
      </c>
      <c r="H642" s="46">
        <v>0.1601</v>
      </c>
      <c r="I642" s="40">
        <v>8223.47</v>
      </c>
      <c r="J642" s="33">
        <v>0.0</v>
      </c>
      <c r="K642" s="33" t="s">
        <v>182</v>
      </c>
    </row>
    <row r="643" ht="15.75" customHeight="1">
      <c r="A643" s="33" t="s">
        <v>3496</v>
      </c>
      <c r="B643" s="33" t="s">
        <v>1422</v>
      </c>
      <c r="C643" s="33" t="s">
        <v>3497</v>
      </c>
      <c r="D643" s="33" t="s">
        <v>247</v>
      </c>
      <c r="E643" s="39">
        <v>46097.0</v>
      </c>
      <c r="F643" s="33" t="s">
        <v>241</v>
      </c>
      <c r="G643" s="40">
        <v>12250.0</v>
      </c>
      <c r="H643" s="46">
        <v>0.2334</v>
      </c>
      <c r="I643" s="40">
        <v>9800.76</v>
      </c>
      <c r="J643" s="33">
        <v>64.0</v>
      </c>
      <c r="K643" s="33" t="s">
        <v>385</v>
      </c>
    </row>
    <row r="644" ht="15.75" customHeight="1">
      <c r="A644" s="33" t="s">
        <v>3500</v>
      </c>
      <c r="B644" s="33" t="s">
        <v>460</v>
      </c>
      <c r="C644" s="33" t="s">
        <v>3501</v>
      </c>
      <c r="D644" s="33" t="s">
        <v>247</v>
      </c>
      <c r="E644" s="39">
        <v>46037.0</v>
      </c>
      <c r="F644" s="33" t="s">
        <v>248</v>
      </c>
      <c r="G644" s="40">
        <v>26580.0</v>
      </c>
      <c r="H644" s="46">
        <v>0.1928</v>
      </c>
      <c r="I644" s="40">
        <v>21806.93</v>
      </c>
      <c r="J644" s="33">
        <v>0.0</v>
      </c>
      <c r="K644" s="33" t="s">
        <v>182</v>
      </c>
    </row>
    <row r="645" ht="15.75" customHeight="1">
      <c r="A645" s="33" t="s">
        <v>3503</v>
      </c>
      <c r="B645" s="33" t="s">
        <v>2375</v>
      </c>
      <c r="C645" s="33" t="s">
        <v>3504</v>
      </c>
      <c r="D645" s="33" t="s">
        <v>227</v>
      </c>
      <c r="E645" s="39">
        <v>46076.0</v>
      </c>
      <c r="F645" s="33" t="s">
        <v>241</v>
      </c>
      <c r="G645" s="40">
        <v>38690.0</v>
      </c>
      <c r="H645" s="46">
        <v>0.173</v>
      </c>
      <c r="I645" s="40">
        <v>26965.59</v>
      </c>
      <c r="J645" s="33">
        <v>0.0</v>
      </c>
      <c r="K645" s="33" t="s">
        <v>182</v>
      </c>
    </row>
    <row r="646" ht="15.75" customHeight="1">
      <c r="A646" s="33" t="s">
        <v>3506</v>
      </c>
      <c r="B646" s="33" t="s">
        <v>308</v>
      </c>
      <c r="C646" s="33" t="s">
        <v>3507</v>
      </c>
      <c r="D646" s="33" t="s">
        <v>247</v>
      </c>
      <c r="E646" s="39">
        <v>45677.0</v>
      </c>
      <c r="F646" s="33" t="s">
        <v>269</v>
      </c>
      <c r="G646" s="40">
        <v>4340.0</v>
      </c>
      <c r="H646" s="46">
        <v>0.2346</v>
      </c>
      <c r="I646" s="40">
        <v>823.73</v>
      </c>
      <c r="J646" s="33">
        <v>0.0</v>
      </c>
      <c r="K646" s="33" t="s">
        <v>182</v>
      </c>
    </row>
    <row r="647" ht="15.75" customHeight="1">
      <c r="A647" s="33" t="s">
        <v>3510</v>
      </c>
      <c r="B647" s="33" t="s">
        <v>195</v>
      </c>
      <c r="C647" s="33" t="s">
        <v>3511</v>
      </c>
      <c r="D647" s="33" t="s">
        <v>247</v>
      </c>
      <c r="E647" s="39">
        <v>45708.0</v>
      </c>
      <c r="F647" s="33" t="s">
        <v>230</v>
      </c>
      <c r="G647" s="40">
        <v>27270.0</v>
      </c>
      <c r="H647" s="46">
        <v>0.1272</v>
      </c>
      <c r="I647" s="40">
        <v>3360.47</v>
      </c>
      <c r="J647" s="33">
        <v>0.0</v>
      </c>
      <c r="K647" s="33" t="s">
        <v>182</v>
      </c>
    </row>
    <row r="648" ht="15.75" customHeight="1">
      <c r="A648" s="33" t="s">
        <v>3513</v>
      </c>
      <c r="B648" s="33" t="s">
        <v>2842</v>
      </c>
      <c r="C648" s="33" t="s">
        <v>3514</v>
      </c>
      <c r="D648" s="33" t="s">
        <v>227</v>
      </c>
      <c r="E648" s="39">
        <v>46222.0</v>
      </c>
      <c r="F648" s="33" t="s">
        <v>248</v>
      </c>
      <c r="G648" s="40">
        <v>28290.0</v>
      </c>
      <c r="H648" s="46">
        <v>0.1408</v>
      </c>
      <c r="I648" s="40">
        <v>25159.58</v>
      </c>
      <c r="J648" s="33">
        <v>0.0</v>
      </c>
      <c r="K648" s="33" t="s">
        <v>182</v>
      </c>
    </row>
    <row r="649" ht="15.75" customHeight="1">
      <c r="A649" s="33" t="s">
        <v>3515</v>
      </c>
      <c r="B649" s="33" t="s">
        <v>460</v>
      </c>
      <c r="C649" s="33" t="s">
        <v>3517</v>
      </c>
      <c r="D649" s="33" t="s">
        <v>247</v>
      </c>
      <c r="E649" s="39">
        <v>46259.0</v>
      </c>
      <c r="F649" s="33" t="s">
        <v>230</v>
      </c>
      <c r="G649" s="40">
        <v>38340.0</v>
      </c>
      <c r="H649" s="46">
        <v>0.2029</v>
      </c>
      <c r="I649" s="40">
        <v>37077.9</v>
      </c>
      <c r="J649" s="33">
        <v>0.0</v>
      </c>
      <c r="K649" s="33" t="s">
        <v>182</v>
      </c>
    </row>
    <row r="650" ht="15.75" customHeight="1">
      <c r="A650" s="33" t="s">
        <v>3519</v>
      </c>
      <c r="B650" s="33" t="s">
        <v>360</v>
      </c>
      <c r="C650" s="33" t="s">
        <v>3520</v>
      </c>
      <c r="D650" s="33" t="s">
        <v>235</v>
      </c>
      <c r="E650" s="39">
        <v>46213.0</v>
      </c>
      <c r="F650" s="33" t="s">
        <v>269</v>
      </c>
      <c r="G650" s="40">
        <v>5280.0</v>
      </c>
      <c r="H650" s="46">
        <v>0.1751</v>
      </c>
      <c r="I650" s="40">
        <v>5164.64</v>
      </c>
      <c r="J650" s="33">
        <v>0.0</v>
      </c>
      <c r="K650" s="33" t="s">
        <v>182</v>
      </c>
    </row>
    <row r="651" ht="15.75" customHeight="1">
      <c r="A651" s="33" t="s">
        <v>3522</v>
      </c>
      <c r="B651" s="33" t="s">
        <v>1909</v>
      </c>
      <c r="C651" s="33" t="s">
        <v>3524</v>
      </c>
      <c r="D651" s="33" t="s">
        <v>247</v>
      </c>
      <c r="E651" s="39">
        <v>46169.0</v>
      </c>
      <c r="F651" s="33" t="s">
        <v>241</v>
      </c>
      <c r="G651" s="40">
        <v>29500.0</v>
      </c>
      <c r="H651" s="46">
        <v>0.115</v>
      </c>
      <c r="I651" s="40">
        <v>26868.3</v>
      </c>
      <c r="J651" s="33">
        <v>0.0</v>
      </c>
      <c r="K651" s="33" t="s">
        <v>182</v>
      </c>
    </row>
    <row r="652" ht="15.75" customHeight="1">
      <c r="A652" s="33" t="s">
        <v>3526</v>
      </c>
      <c r="B652" s="33" t="s">
        <v>1247</v>
      </c>
      <c r="C652" s="33" t="s">
        <v>3528</v>
      </c>
      <c r="D652" s="33" t="s">
        <v>235</v>
      </c>
      <c r="E652" s="39">
        <v>45913.0</v>
      </c>
      <c r="F652" s="33" t="s">
        <v>241</v>
      </c>
      <c r="G652" s="40">
        <v>17620.0</v>
      </c>
      <c r="H652" s="46">
        <v>0.2002</v>
      </c>
      <c r="I652" s="40">
        <v>11132.03</v>
      </c>
      <c r="J652" s="33">
        <v>5.0</v>
      </c>
      <c r="K652" s="33" t="s">
        <v>182</v>
      </c>
    </row>
    <row r="653" ht="15.75" customHeight="1">
      <c r="A653" s="33" t="s">
        <v>3530</v>
      </c>
      <c r="B653" s="33" t="s">
        <v>2259</v>
      </c>
      <c r="C653" s="33" t="s">
        <v>3531</v>
      </c>
      <c r="D653" s="33" t="s">
        <v>247</v>
      </c>
      <c r="E653" s="39">
        <v>45838.0</v>
      </c>
      <c r="F653" s="33" t="s">
        <v>248</v>
      </c>
      <c r="G653" s="40">
        <v>35310.0</v>
      </c>
      <c r="H653" s="46">
        <v>0.1228</v>
      </c>
      <c r="I653" s="40">
        <v>16233.43</v>
      </c>
      <c r="J653" s="33">
        <v>66.0</v>
      </c>
      <c r="K653" s="33" t="s">
        <v>385</v>
      </c>
    </row>
    <row r="654" ht="15.75" customHeight="1">
      <c r="A654" s="33" t="s">
        <v>3533</v>
      </c>
      <c r="B654" s="33" t="s">
        <v>3535</v>
      </c>
      <c r="C654" s="33" t="s">
        <v>3536</v>
      </c>
      <c r="D654" s="33" t="s">
        <v>227</v>
      </c>
      <c r="E654" s="39">
        <v>46139.0</v>
      </c>
      <c r="F654" s="33" t="s">
        <v>248</v>
      </c>
      <c r="G654" s="40">
        <v>28940.0</v>
      </c>
      <c r="H654" s="46">
        <v>0.1694</v>
      </c>
      <c r="I654" s="40">
        <v>20614.96</v>
      </c>
      <c r="J654" s="33">
        <v>0.0</v>
      </c>
      <c r="K654" s="33" t="s">
        <v>182</v>
      </c>
    </row>
    <row r="655" ht="15.75" customHeight="1">
      <c r="A655" s="33" t="s">
        <v>3538</v>
      </c>
      <c r="B655" s="33" t="s">
        <v>984</v>
      </c>
      <c r="C655" s="33" t="s">
        <v>3539</v>
      </c>
      <c r="D655" s="33" t="s">
        <v>247</v>
      </c>
      <c r="E655" s="39">
        <v>45852.0</v>
      </c>
      <c r="F655" s="33" t="s">
        <v>230</v>
      </c>
      <c r="G655" s="40">
        <v>1530.0</v>
      </c>
      <c r="H655" s="46">
        <v>0.217</v>
      </c>
      <c r="I655" s="40">
        <v>560.14</v>
      </c>
      <c r="J655" s="33">
        <v>0.0</v>
      </c>
      <c r="K655" s="33" t="s">
        <v>182</v>
      </c>
    </row>
    <row r="656" ht="15.75" customHeight="1">
      <c r="A656" s="33" t="s">
        <v>3541</v>
      </c>
      <c r="B656" s="33" t="s">
        <v>953</v>
      </c>
      <c r="C656" s="33" t="s">
        <v>3543</v>
      </c>
      <c r="D656" s="33" t="s">
        <v>227</v>
      </c>
      <c r="E656" s="39">
        <v>46222.0</v>
      </c>
      <c r="F656" s="33" t="s">
        <v>230</v>
      </c>
      <c r="G656" s="40">
        <v>25620.0</v>
      </c>
      <c r="H656" s="46">
        <v>0.124</v>
      </c>
      <c r="I656" s="40">
        <v>22664.57</v>
      </c>
      <c r="J656" s="33">
        <v>0.0</v>
      </c>
      <c r="K656" s="33" t="s">
        <v>182</v>
      </c>
    </row>
    <row r="657" ht="15.75" customHeight="1">
      <c r="A657" s="33" t="s">
        <v>3545</v>
      </c>
      <c r="B657" s="33" t="s">
        <v>3547</v>
      </c>
      <c r="C657" s="33" t="s">
        <v>3548</v>
      </c>
      <c r="D657" s="33" t="s">
        <v>227</v>
      </c>
      <c r="E657" s="39">
        <v>46015.0</v>
      </c>
      <c r="F657" s="33" t="s">
        <v>241</v>
      </c>
      <c r="G657" s="40">
        <v>7590.0</v>
      </c>
      <c r="H657" s="46">
        <v>0.2018</v>
      </c>
      <c r="I657" s="40">
        <v>4864.25</v>
      </c>
      <c r="J657" s="33">
        <v>0.0</v>
      </c>
      <c r="K657" s="33" t="s">
        <v>182</v>
      </c>
    </row>
    <row r="658" ht="15.75" customHeight="1">
      <c r="A658" s="33" t="s">
        <v>3549</v>
      </c>
      <c r="B658" s="33" t="s">
        <v>3228</v>
      </c>
      <c r="C658" s="33" t="s">
        <v>3551</v>
      </c>
      <c r="D658" s="33" t="s">
        <v>247</v>
      </c>
      <c r="E658" s="39">
        <v>45692.0</v>
      </c>
      <c r="F658" s="33" t="s">
        <v>230</v>
      </c>
      <c r="G658" s="40">
        <v>14080.0</v>
      </c>
      <c r="H658" s="46">
        <v>0.2178</v>
      </c>
      <c r="I658" s="40">
        <v>0.0</v>
      </c>
      <c r="J658" s="33">
        <v>0.0</v>
      </c>
      <c r="K658" s="33" t="s">
        <v>198</v>
      </c>
    </row>
    <row r="659" ht="15.75" customHeight="1">
      <c r="A659" s="33" t="s">
        <v>3553</v>
      </c>
      <c r="B659" s="33" t="s">
        <v>1001</v>
      </c>
      <c r="C659" s="33" t="s">
        <v>3555</v>
      </c>
      <c r="D659" s="33" t="s">
        <v>227</v>
      </c>
      <c r="E659" s="39">
        <v>45741.0</v>
      </c>
      <c r="F659" s="33" t="s">
        <v>230</v>
      </c>
      <c r="G659" s="40">
        <v>4260.0</v>
      </c>
      <c r="H659" s="46">
        <v>0.1307</v>
      </c>
      <c r="I659" s="40">
        <v>1619.74</v>
      </c>
      <c r="J659" s="33">
        <v>0.0</v>
      </c>
      <c r="K659" s="33" t="s">
        <v>182</v>
      </c>
    </row>
    <row r="660" ht="15.75" customHeight="1">
      <c r="A660" s="33" t="s">
        <v>3558</v>
      </c>
      <c r="B660" s="33" t="s">
        <v>2002</v>
      </c>
      <c r="C660" s="33" t="s">
        <v>3559</v>
      </c>
      <c r="D660" s="33" t="s">
        <v>227</v>
      </c>
      <c r="E660" s="39">
        <v>45925.0</v>
      </c>
      <c r="F660" s="33" t="s">
        <v>269</v>
      </c>
      <c r="G660" s="40">
        <v>8720.0</v>
      </c>
      <c r="H660" s="46">
        <v>0.1115</v>
      </c>
      <c r="I660" s="40">
        <v>5195.91</v>
      </c>
      <c r="J660" s="33">
        <v>0.0</v>
      </c>
      <c r="K660" s="33" t="s">
        <v>182</v>
      </c>
    </row>
    <row r="661" ht="15.75" customHeight="1">
      <c r="A661" s="33" t="s">
        <v>3561</v>
      </c>
      <c r="B661" s="33" t="s">
        <v>1944</v>
      </c>
      <c r="C661" s="33" t="s">
        <v>3562</v>
      </c>
      <c r="D661" s="33" t="s">
        <v>247</v>
      </c>
      <c r="E661" s="39">
        <v>46202.0</v>
      </c>
      <c r="F661" s="33" t="s">
        <v>230</v>
      </c>
      <c r="G661" s="40">
        <v>20300.0</v>
      </c>
      <c r="H661" s="46">
        <v>0.2185</v>
      </c>
      <c r="I661" s="40">
        <v>17666.25</v>
      </c>
      <c r="J661" s="33">
        <v>0.0</v>
      </c>
      <c r="K661" s="33" t="s">
        <v>182</v>
      </c>
    </row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13.0"/>
    <col customWidth="1" min="3" max="4" width="18.0"/>
    <col customWidth="1" min="5" max="5" width="12.0"/>
    <col customWidth="1" min="6" max="6" width="17.0"/>
    <col customWidth="1" min="7" max="7" width="11.0"/>
  </cols>
  <sheetData>
    <row r="1">
      <c r="A1" s="38" t="s">
        <v>413</v>
      </c>
      <c r="B1" s="38" t="s">
        <v>160</v>
      </c>
      <c r="C1" s="38" t="s">
        <v>416</v>
      </c>
      <c r="D1" s="38" t="s">
        <v>418</v>
      </c>
      <c r="E1" s="38" t="s">
        <v>419</v>
      </c>
      <c r="F1" s="38" t="s">
        <v>420</v>
      </c>
      <c r="G1" s="38" t="s">
        <v>422</v>
      </c>
    </row>
    <row r="2">
      <c r="A2" s="33" t="s">
        <v>424</v>
      </c>
      <c r="B2" s="33" t="s">
        <v>426</v>
      </c>
      <c r="C2" s="39">
        <v>45824.0</v>
      </c>
      <c r="D2" s="33" t="s">
        <v>428</v>
      </c>
      <c r="E2" s="40">
        <v>7.52</v>
      </c>
      <c r="F2" s="40">
        <v>0.0</v>
      </c>
      <c r="G2" s="33" t="s">
        <v>431</v>
      </c>
    </row>
    <row r="3">
      <c r="A3" s="33" t="s">
        <v>433</v>
      </c>
      <c r="B3" s="33" t="s">
        <v>434</v>
      </c>
      <c r="C3" s="39">
        <v>45895.0</v>
      </c>
      <c r="D3" s="33" t="s">
        <v>435</v>
      </c>
      <c r="E3" s="40">
        <v>146.84</v>
      </c>
      <c r="F3" s="40">
        <v>0.0</v>
      </c>
      <c r="G3" s="33" t="s">
        <v>431</v>
      </c>
    </row>
    <row r="4">
      <c r="A4" s="33" t="s">
        <v>437</v>
      </c>
      <c r="B4" s="33" t="s">
        <v>284</v>
      </c>
      <c r="C4" s="39">
        <v>45774.0</v>
      </c>
      <c r="D4" s="33" t="s">
        <v>440</v>
      </c>
      <c r="E4" s="40">
        <v>31.76</v>
      </c>
      <c r="F4" s="40">
        <v>0.0</v>
      </c>
      <c r="G4" s="33" t="s">
        <v>442</v>
      </c>
    </row>
    <row r="5">
      <c r="A5" s="33" t="s">
        <v>443</v>
      </c>
      <c r="B5" s="33" t="s">
        <v>444</v>
      </c>
      <c r="C5" s="39">
        <v>45749.0</v>
      </c>
      <c r="D5" s="33" t="s">
        <v>440</v>
      </c>
      <c r="E5" s="40">
        <v>321.03</v>
      </c>
      <c r="F5" s="40">
        <v>0.0</v>
      </c>
      <c r="G5" s="33" t="s">
        <v>442</v>
      </c>
    </row>
    <row r="6">
      <c r="A6" s="33" t="s">
        <v>449</v>
      </c>
      <c r="B6" s="33" t="s">
        <v>311</v>
      </c>
      <c r="C6" s="39">
        <v>45813.0</v>
      </c>
      <c r="D6" s="33" t="s">
        <v>440</v>
      </c>
      <c r="E6" s="40">
        <v>22.94</v>
      </c>
      <c r="F6" s="40">
        <v>0.0</v>
      </c>
      <c r="G6" s="33" t="s">
        <v>450</v>
      </c>
    </row>
    <row r="7">
      <c r="A7" s="33" t="s">
        <v>454</v>
      </c>
      <c r="B7" s="33" t="s">
        <v>258</v>
      </c>
      <c r="C7" s="39">
        <v>45740.0</v>
      </c>
      <c r="D7" s="33" t="s">
        <v>440</v>
      </c>
      <c r="E7" s="40">
        <v>14.41</v>
      </c>
      <c r="F7" s="40">
        <v>0.0</v>
      </c>
      <c r="G7" s="33" t="s">
        <v>450</v>
      </c>
    </row>
    <row r="8">
      <c r="A8" s="33" t="s">
        <v>456</v>
      </c>
      <c r="B8" s="33" t="s">
        <v>458</v>
      </c>
      <c r="C8" s="39">
        <v>46102.0</v>
      </c>
      <c r="D8" s="33" t="s">
        <v>461</v>
      </c>
      <c r="E8" s="40">
        <v>148.92</v>
      </c>
      <c r="F8" s="40">
        <v>2.15</v>
      </c>
      <c r="G8" s="33" t="s">
        <v>450</v>
      </c>
    </row>
    <row r="9">
      <c r="A9" s="33" t="s">
        <v>463</v>
      </c>
      <c r="B9" s="33" t="s">
        <v>464</v>
      </c>
      <c r="C9" s="39">
        <v>46020.0</v>
      </c>
      <c r="D9" s="33" t="s">
        <v>428</v>
      </c>
      <c r="E9" s="40">
        <v>54.72</v>
      </c>
      <c r="F9" s="40">
        <v>0.0</v>
      </c>
      <c r="G9" s="33" t="s">
        <v>431</v>
      </c>
    </row>
    <row r="10">
      <c r="A10" s="33" t="s">
        <v>468</v>
      </c>
      <c r="B10" s="33" t="s">
        <v>469</v>
      </c>
      <c r="C10" s="39">
        <v>45894.0</v>
      </c>
      <c r="D10" s="33" t="s">
        <v>435</v>
      </c>
      <c r="E10" s="40">
        <v>52.12</v>
      </c>
      <c r="F10" s="40">
        <v>0.0</v>
      </c>
      <c r="G10" s="33" t="s">
        <v>450</v>
      </c>
    </row>
    <row r="11">
      <c r="A11" s="33" t="s">
        <v>472</v>
      </c>
      <c r="B11" s="33" t="s">
        <v>312</v>
      </c>
      <c r="C11" s="39">
        <v>45990.0</v>
      </c>
      <c r="D11" s="33" t="s">
        <v>440</v>
      </c>
      <c r="E11" s="40">
        <v>38.88</v>
      </c>
      <c r="F11" s="40">
        <v>0.0</v>
      </c>
      <c r="G11" s="33" t="s">
        <v>450</v>
      </c>
    </row>
    <row r="12">
      <c r="A12" s="33" t="s">
        <v>476</v>
      </c>
      <c r="B12" s="33" t="s">
        <v>478</v>
      </c>
      <c r="C12" s="39">
        <v>46024.0</v>
      </c>
      <c r="D12" s="33" t="s">
        <v>479</v>
      </c>
      <c r="E12" s="40">
        <v>44.82</v>
      </c>
      <c r="F12" s="40">
        <v>0.83</v>
      </c>
      <c r="G12" s="33" t="s">
        <v>450</v>
      </c>
    </row>
    <row r="13">
      <c r="A13" s="33" t="s">
        <v>482</v>
      </c>
      <c r="B13" s="33" t="s">
        <v>483</v>
      </c>
      <c r="C13" s="39">
        <v>45769.0</v>
      </c>
      <c r="D13" s="33" t="s">
        <v>440</v>
      </c>
      <c r="E13" s="40">
        <v>153.46</v>
      </c>
      <c r="F13" s="40">
        <v>0.0</v>
      </c>
      <c r="G13" s="33" t="s">
        <v>450</v>
      </c>
    </row>
    <row r="14">
      <c r="A14" s="33" t="s">
        <v>486</v>
      </c>
      <c r="B14" s="33" t="s">
        <v>487</v>
      </c>
      <c r="C14" s="39">
        <v>45838.0</v>
      </c>
      <c r="D14" s="33" t="s">
        <v>461</v>
      </c>
      <c r="E14" s="40">
        <v>32.83</v>
      </c>
      <c r="F14" s="40">
        <v>0.24</v>
      </c>
      <c r="G14" s="33" t="s">
        <v>450</v>
      </c>
    </row>
    <row r="15">
      <c r="A15" s="33" t="s">
        <v>491</v>
      </c>
      <c r="B15" s="33" t="s">
        <v>493</v>
      </c>
      <c r="C15" s="39">
        <v>46193.0</v>
      </c>
      <c r="D15" s="33" t="s">
        <v>440</v>
      </c>
      <c r="E15" s="40">
        <v>66.23</v>
      </c>
      <c r="F15" s="40">
        <v>0.0</v>
      </c>
      <c r="G15" s="33" t="s">
        <v>450</v>
      </c>
    </row>
    <row r="16">
      <c r="A16" s="33" t="s">
        <v>495</v>
      </c>
      <c r="B16" s="33" t="s">
        <v>497</v>
      </c>
      <c r="C16" s="39">
        <v>45665.0</v>
      </c>
      <c r="D16" s="33" t="s">
        <v>479</v>
      </c>
      <c r="E16" s="40">
        <v>29.74</v>
      </c>
      <c r="F16" s="40">
        <v>0.5</v>
      </c>
      <c r="G16" s="33" t="s">
        <v>450</v>
      </c>
    </row>
    <row r="17">
      <c r="A17" s="33" t="s">
        <v>500</v>
      </c>
      <c r="B17" s="33" t="s">
        <v>501</v>
      </c>
      <c r="C17" s="39">
        <v>46238.0</v>
      </c>
      <c r="D17" s="33" t="s">
        <v>479</v>
      </c>
      <c r="E17" s="40">
        <v>80.27</v>
      </c>
      <c r="F17" s="40">
        <v>0.95</v>
      </c>
      <c r="G17" s="33" t="s">
        <v>450</v>
      </c>
    </row>
    <row r="18">
      <c r="A18" s="33" t="s">
        <v>505</v>
      </c>
      <c r="B18" s="33" t="s">
        <v>404</v>
      </c>
      <c r="C18" s="39">
        <v>46243.0</v>
      </c>
      <c r="D18" s="33" t="s">
        <v>440</v>
      </c>
      <c r="E18" s="40">
        <v>51.41</v>
      </c>
      <c r="F18" s="40">
        <v>0.0</v>
      </c>
      <c r="G18" s="33" t="s">
        <v>450</v>
      </c>
    </row>
    <row r="19">
      <c r="A19" s="33" t="s">
        <v>508</v>
      </c>
      <c r="B19" s="33" t="s">
        <v>510</v>
      </c>
      <c r="C19" s="39">
        <v>45811.0</v>
      </c>
      <c r="D19" s="33" t="s">
        <v>461</v>
      </c>
      <c r="E19" s="40">
        <v>104.62</v>
      </c>
      <c r="F19" s="40">
        <v>1.18</v>
      </c>
      <c r="G19" s="33" t="s">
        <v>450</v>
      </c>
    </row>
    <row r="20">
      <c r="A20" s="33" t="s">
        <v>512</v>
      </c>
      <c r="B20" s="33" t="s">
        <v>514</v>
      </c>
      <c r="C20" s="39">
        <v>45852.0</v>
      </c>
      <c r="D20" s="33" t="s">
        <v>461</v>
      </c>
      <c r="E20" s="40">
        <v>114.71</v>
      </c>
      <c r="F20" s="40">
        <v>1.34</v>
      </c>
      <c r="G20" s="33" t="s">
        <v>450</v>
      </c>
    </row>
    <row r="21" ht="15.75" customHeight="1">
      <c r="A21" s="33" t="s">
        <v>517</v>
      </c>
      <c r="B21" s="33" t="s">
        <v>518</v>
      </c>
      <c r="C21" s="39">
        <v>45783.0</v>
      </c>
      <c r="D21" s="33" t="s">
        <v>479</v>
      </c>
      <c r="E21" s="40">
        <v>209.84</v>
      </c>
      <c r="F21" s="40">
        <v>3.34</v>
      </c>
      <c r="G21" s="33" t="s">
        <v>442</v>
      </c>
    </row>
    <row r="22" ht="15.75" customHeight="1">
      <c r="A22" s="33" t="s">
        <v>523</v>
      </c>
      <c r="B22" s="33" t="s">
        <v>524</v>
      </c>
      <c r="C22" s="39">
        <v>45998.0</v>
      </c>
      <c r="D22" s="33" t="s">
        <v>479</v>
      </c>
      <c r="E22" s="40">
        <v>307.35</v>
      </c>
      <c r="F22" s="40">
        <v>5.54</v>
      </c>
      <c r="G22" s="33" t="s">
        <v>431</v>
      </c>
    </row>
    <row r="23" ht="15.75" customHeight="1">
      <c r="A23" s="33" t="s">
        <v>525</v>
      </c>
      <c r="B23" s="33" t="s">
        <v>526</v>
      </c>
      <c r="C23" s="39">
        <v>45787.0</v>
      </c>
      <c r="D23" s="33" t="s">
        <v>428</v>
      </c>
      <c r="E23" s="40">
        <v>42.44</v>
      </c>
      <c r="F23" s="40">
        <v>0.0</v>
      </c>
      <c r="G23" s="33" t="s">
        <v>450</v>
      </c>
    </row>
    <row r="24" ht="15.75" customHeight="1">
      <c r="A24" s="33" t="s">
        <v>531</v>
      </c>
      <c r="B24" s="33" t="s">
        <v>533</v>
      </c>
      <c r="C24" s="39">
        <v>46137.0</v>
      </c>
      <c r="D24" s="33" t="s">
        <v>428</v>
      </c>
      <c r="E24" s="40">
        <v>124.31</v>
      </c>
      <c r="F24" s="40">
        <v>0.0</v>
      </c>
      <c r="G24" s="33" t="s">
        <v>450</v>
      </c>
    </row>
    <row r="25" ht="15.75" customHeight="1">
      <c r="A25" s="33" t="s">
        <v>537</v>
      </c>
      <c r="B25" s="33" t="s">
        <v>285</v>
      </c>
      <c r="C25" s="39">
        <v>45893.0</v>
      </c>
      <c r="D25" s="33" t="s">
        <v>428</v>
      </c>
      <c r="E25" s="40">
        <v>50.66</v>
      </c>
      <c r="F25" s="40">
        <v>0.0</v>
      </c>
      <c r="G25" s="33" t="s">
        <v>450</v>
      </c>
    </row>
    <row r="26" ht="15.75" customHeight="1">
      <c r="A26" s="33" t="s">
        <v>542</v>
      </c>
      <c r="B26" s="33" t="s">
        <v>543</v>
      </c>
      <c r="C26" s="39">
        <v>46245.0</v>
      </c>
      <c r="D26" s="33" t="s">
        <v>435</v>
      </c>
      <c r="E26" s="40">
        <v>112.31</v>
      </c>
      <c r="F26" s="40">
        <v>0.0</v>
      </c>
      <c r="G26" s="33" t="s">
        <v>450</v>
      </c>
    </row>
    <row r="27" ht="15.75" customHeight="1">
      <c r="A27" s="33" t="s">
        <v>547</v>
      </c>
      <c r="B27" s="33" t="s">
        <v>548</v>
      </c>
      <c r="C27" s="39">
        <v>46175.0</v>
      </c>
      <c r="D27" s="33" t="s">
        <v>428</v>
      </c>
      <c r="E27" s="40">
        <v>108.89</v>
      </c>
      <c r="F27" s="40">
        <v>0.0</v>
      </c>
      <c r="G27" s="33" t="s">
        <v>450</v>
      </c>
    </row>
    <row r="28" ht="15.75" customHeight="1">
      <c r="A28" s="33" t="s">
        <v>552</v>
      </c>
      <c r="B28" s="33" t="s">
        <v>553</v>
      </c>
      <c r="C28" s="39">
        <v>45901.0</v>
      </c>
      <c r="D28" s="33" t="s">
        <v>428</v>
      </c>
      <c r="E28" s="40">
        <v>106.45</v>
      </c>
      <c r="F28" s="40">
        <v>0.0</v>
      </c>
      <c r="G28" s="33" t="s">
        <v>450</v>
      </c>
    </row>
    <row r="29" ht="15.75" customHeight="1">
      <c r="A29" s="33" t="s">
        <v>557</v>
      </c>
      <c r="B29" s="33" t="s">
        <v>558</v>
      </c>
      <c r="C29" s="39">
        <v>46019.0</v>
      </c>
      <c r="D29" s="33" t="s">
        <v>428</v>
      </c>
      <c r="E29" s="40">
        <v>131.16</v>
      </c>
      <c r="F29" s="40">
        <v>0.0</v>
      </c>
      <c r="G29" s="33" t="s">
        <v>450</v>
      </c>
    </row>
    <row r="30" ht="15.75" customHeight="1">
      <c r="A30" s="33" t="s">
        <v>562</v>
      </c>
      <c r="B30" s="33" t="s">
        <v>534</v>
      </c>
      <c r="C30" s="39">
        <v>45672.0</v>
      </c>
      <c r="D30" s="33" t="s">
        <v>461</v>
      </c>
      <c r="E30" s="40">
        <v>84.19</v>
      </c>
      <c r="F30" s="40">
        <v>1.19</v>
      </c>
      <c r="G30" s="33" t="s">
        <v>431</v>
      </c>
    </row>
    <row r="31" ht="15.75" customHeight="1">
      <c r="A31" s="33" t="s">
        <v>564</v>
      </c>
      <c r="B31" s="33" t="s">
        <v>565</v>
      </c>
      <c r="C31" s="39">
        <v>45699.0</v>
      </c>
      <c r="D31" s="33" t="s">
        <v>440</v>
      </c>
      <c r="E31" s="40">
        <v>54.9</v>
      </c>
      <c r="F31" s="40">
        <v>0.0</v>
      </c>
      <c r="G31" s="33" t="s">
        <v>431</v>
      </c>
    </row>
    <row r="32" ht="15.75" customHeight="1">
      <c r="A32" s="33" t="s">
        <v>568</v>
      </c>
      <c r="B32" s="33" t="s">
        <v>569</v>
      </c>
      <c r="C32" s="39">
        <v>45965.0</v>
      </c>
      <c r="D32" s="33" t="s">
        <v>461</v>
      </c>
      <c r="E32" s="40">
        <v>80.98</v>
      </c>
      <c r="F32" s="40">
        <v>0.75</v>
      </c>
      <c r="G32" s="33" t="s">
        <v>431</v>
      </c>
    </row>
    <row r="33" ht="15.75" customHeight="1">
      <c r="A33" s="33" t="s">
        <v>570</v>
      </c>
      <c r="B33" s="33" t="s">
        <v>571</v>
      </c>
      <c r="C33" s="39">
        <v>45945.0</v>
      </c>
      <c r="D33" s="33" t="s">
        <v>479</v>
      </c>
      <c r="E33" s="40">
        <v>292.28</v>
      </c>
      <c r="F33" s="40">
        <v>1.89</v>
      </c>
      <c r="G33" s="33" t="s">
        <v>450</v>
      </c>
    </row>
    <row r="34" ht="15.75" customHeight="1">
      <c r="A34" s="33" t="s">
        <v>574</v>
      </c>
      <c r="B34" s="33" t="s">
        <v>575</v>
      </c>
      <c r="C34" s="39">
        <v>45899.0</v>
      </c>
      <c r="D34" s="33" t="s">
        <v>428</v>
      </c>
      <c r="E34" s="40">
        <v>46.64</v>
      </c>
      <c r="F34" s="40">
        <v>0.0</v>
      </c>
      <c r="G34" s="33" t="s">
        <v>442</v>
      </c>
    </row>
    <row r="35" ht="15.75" customHeight="1">
      <c r="A35" s="33" t="s">
        <v>578</v>
      </c>
      <c r="B35" s="33" t="s">
        <v>579</v>
      </c>
      <c r="C35" s="39">
        <v>45712.0</v>
      </c>
      <c r="D35" s="33" t="s">
        <v>440</v>
      </c>
      <c r="E35" s="40">
        <v>58.51</v>
      </c>
      <c r="F35" s="40">
        <v>0.0</v>
      </c>
      <c r="G35" s="33" t="s">
        <v>450</v>
      </c>
    </row>
    <row r="36" ht="15.75" customHeight="1">
      <c r="A36" s="33" t="s">
        <v>580</v>
      </c>
      <c r="B36" s="33" t="s">
        <v>581</v>
      </c>
      <c r="C36" s="39">
        <v>46167.0</v>
      </c>
      <c r="D36" s="33" t="s">
        <v>461</v>
      </c>
      <c r="E36" s="40">
        <v>39.67</v>
      </c>
      <c r="F36" s="40">
        <v>0.3</v>
      </c>
      <c r="G36" s="33" t="s">
        <v>442</v>
      </c>
    </row>
    <row r="37" ht="15.75" customHeight="1">
      <c r="A37" s="33" t="s">
        <v>586</v>
      </c>
      <c r="B37" s="33" t="s">
        <v>587</v>
      </c>
      <c r="C37" s="39">
        <v>45904.0</v>
      </c>
      <c r="D37" s="33" t="s">
        <v>461</v>
      </c>
      <c r="E37" s="40">
        <v>11.5</v>
      </c>
      <c r="F37" s="40">
        <v>0.1</v>
      </c>
      <c r="G37" s="33" t="s">
        <v>442</v>
      </c>
    </row>
    <row r="38" ht="15.75" customHeight="1">
      <c r="A38" s="33" t="s">
        <v>589</v>
      </c>
      <c r="B38" s="33" t="s">
        <v>590</v>
      </c>
      <c r="C38" s="39">
        <v>45943.0</v>
      </c>
      <c r="D38" s="33" t="s">
        <v>428</v>
      </c>
      <c r="E38" s="40">
        <v>70.99</v>
      </c>
      <c r="F38" s="40">
        <v>0.0</v>
      </c>
      <c r="G38" s="33" t="s">
        <v>442</v>
      </c>
    </row>
    <row r="39" ht="15.75" customHeight="1">
      <c r="A39" s="33" t="s">
        <v>593</v>
      </c>
      <c r="B39" s="33" t="s">
        <v>594</v>
      </c>
      <c r="C39" s="39">
        <v>45902.0</v>
      </c>
      <c r="D39" s="33" t="s">
        <v>435</v>
      </c>
      <c r="E39" s="40">
        <v>117.83</v>
      </c>
      <c r="F39" s="40">
        <v>0.0</v>
      </c>
      <c r="G39" s="33" t="s">
        <v>442</v>
      </c>
    </row>
    <row r="40" ht="15.75" customHeight="1">
      <c r="A40" s="33" t="s">
        <v>599</v>
      </c>
      <c r="B40" s="33" t="s">
        <v>600</v>
      </c>
      <c r="C40" s="39">
        <v>45959.0</v>
      </c>
      <c r="D40" s="33" t="s">
        <v>428</v>
      </c>
      <c r="E40" s="40">
        <v>34.16</v>
      </c>
      <c r="F40" s="40">
        <v>0.0</v>
      </c>
      <c r="G40" s="33" t="s">
        <v>450</v>
      </c>
    </row>
    <row r="41" ht="15.75" customHeight="1">
      <c r="A41" s="33" t="s">
        <v>604</v>
      </c>
      <c r="B41" s="33" t="s">
        <v>606</v>
      </c>
      <c r="C41" s="39">
        <v>46051.0</v>
      </c>
      <c r="D41" s="33" t="s">
        <v>440</v>
      </c>
      <c r="E41" s="40">
        <v>188.33</v>
      </c>
      <c r="F41" s="40">
        <v>0.0</v>
      </c>
      <c r="G41" s="33" t="s">
        <v>450</v>
      </c>
    </row>
    <row r="42" ht="15.75" customHeight="1">
      <c r="A42" s="33" t="s">
        <v>607</v>
      </c>
      <c r="B42" s="33" t="s">
        <v>608</v>
      </c>
      <c r="C42" s="39">
        <v>46121.0</v>
      </c>
      <c r="D42" s="33" t="s">
        <v>428</v>
      </c>
      <c r="E42" s="40">
        <v>102.32</v>
      </c>
      <c r="F42" s="40">
        <v>0.0</v>
      </c>
      <c r="G42" s="33" t="s">
        <v>450</v>
      </c>
    </row>
    <row r="43" ht="15.75" customHeight="1">
      <c r="A43" s="33" t="s">
        <v>613</v>
      </c>
      <c r="B43" s="33" t="s">
        <v>615</v>
      </c>
      <c r="C43" s="39">
        <v>45991.0</v>
      </c>
      <c r="D43" s="33" t="s">
        <v>435</v>
      </c>
      <c r="E43" s="40">
        <v>154.45</v>
      </c>
      <c r="F43" s="40">
        <v>0.0</v>
      </c>
      <c r="G43" s="33" t="s">
        <v>450</v>
      </c>
    </row>
    <row r="44" ht="15.75" customHeight="1">
      <c r="A44" s="33" t="s">
        <v>617</v>
      </c>
      <c r="B44" s="33" t="s">
        <v>620</v>
      </c>
      <c r="C44" s="39">
        <v>45758.0</v>
      </c>
      <c r="D44" s="33" t="s">
        <v>440</v>
      </c>
      <c r="E44" s="40">
        <v>95.37</v>
      </c>
      <c r="F44" s="40">
        <v>0.0</v>
      </c>
      <c r="G44" s="33" t="s">
        <v>450</v>
      </c>
    </row>
    <row r="45" ht="15.75" customHeight="1">
      <c r="A45" s="33" t="s">
        <v>624</v>
      </c>
      <c r="B45" s="33" t="s">
        <v>627</v>
      </c>
      <c r="C45" s="39">
        <v>46188.0</v>
      </c>
      <c r="D45" s="33" t="s">
        <v>461</v>
      </c>
      <c r="E45" s="40">
        <v>65.98</v>
      </c>
      <c r="F45" s="40">
        <v>0.36</v>
      </c>
      <c r="G45" s="33" t="s">
        <v>442</v>
      </c>
    </row>
    <row r="46" ht="15.75" customHeight="1">
      <c r="A46" s="33" t="s">
        <v>629</v>
      </c>
      <c r="B46" s="33" t="s">
        <v>630</v>
      </c>
      <c r="C46" s="39">
        <v>45830.0</v>
      </c>
      <c r="D46" s="33" t="s">
        <v>479</v>
      </c>
      <c r="E46" s="40">
        <v>55.95</v>
      </c>
      <c r="F46" s="40">
        <v>0.74</v>
      </c>
      <c r="G46" s="33" t="s">
        <v>450</v>
      </c>
    </row>
    <row r="47" ht="15.75" customHeight="1">
      <c r="A47" s="33" t="s">
        <v>632</v>
      </c>
      <c r="B47" s="33" t="s">
        <v>634</v>
      </c>
      <c r="C47" s="39">
        <v>45667.0</v>
      </c>
      <c r="D47" s="33" t="s">
        <v>461</v>
      </c>
      <c r="E47" s="40">
        <v>92.44</v>
      </c>
      <c r="F47" s="40">
        <v>0.88</v>
      </c>
      <c r="G47" s="33" t="s">
        <v>450</v>
      </c>
    </row>
    <row r="48" ht="15.75" customHeight="1">
      <c r="A48" s="33" t="s">
        <v>636</v>
      </c>
      <c r="B48" s="33" t="s">
        <v>637</v>
      </c>
      <c r="C48" s="39">
        <v>45681.0</v>
      </c>
      <c r="D48" s="33" t="s">
        <v>479</v>
      </c>
      <c r="E48" s="40">
        <v>98.68</v>
      </c>
      <c r="F48" s="40">
        <v>1.34</v>
      </c>
      <c r="G48" s="33" t="s">
        <v>442</v>
      </c>
    </row>
    <row r="49" ht="15.75" customHeight="1">
      <c r="A49" s="33" t="s">
        <v>641</v>
      </c>
      <c r="B49" s="33" t="s">
        <v>642</v>
      </c>
      <c r="C49" s="39">
        <v>46127.0</v>
      </c>
      <c r="D49" s="33" t="s">
        <v>435</v>
      </c>
      <c r="E49" s="40">
        <v>49.51</v>
      </c>
      <c r="F49" s="40">
        <v>0.0</v>
      </c>
      <c r="G49" s="33" t="s">
        <v>450</v>
      </c>
    </row>
    <row r="50" ht="15.75" customHeight="1">
      <c r="A50" s="33" t="s">
        <v>643</v>
      </c>
      <c r="B50" s="33" t="s">
        <v>513</v>
      </c>
      <c r="C50" s="39">
        <v>45892.0</v>
      </c>
      <c r="D50" s="33" t="s">
        <v>461</v>
      </c>
      <c r="E50" s="40">
        <v>64.68</v>
      </c>
      <c r="F50" s="40">
        <v>0.79</v>
      </c>
      <c r="G50" s="33" t="s">
        <v>450</v>
      </c>
    </row>
    <row r="51" ht="15.75" customHeight="1">
      <c r="A51" s="33" t="s">
        <v>648</v>
      </c>
      <c r="B51" s="33" t="s">
        <v>649</v>
      </c>
      <c r="C51" s="39">
        <v>45671.0</v>
      </c>
      <c r="D51" s="33" t="s">
        <v>479</v>
      </c>
      <c r="E51" s="40">
        <v>255.54</v>
      </c>
      <c r="F51" s="40">
        <v>2.02</v>
      </c>
      <c r="G51" s="33" t="s">
        <v>442</v>
      </c>
    </row>
    <row r="52" ht="15.75" customHeight="1">
      <c r="A52" s="33" t="s">
        <v>654</v>
      </c>
      <c r="B52" s="33" t="s">
        <v>655</v>
      </c>
      <c r="C52" s="39">
        <v>46150.0</v>
      </c>
      <c r="D52" s="33" t="s">
        <v>479</v>
      </c>
      <c r="E52" s="40">
        <v>82.11</v>
      </c>
      <c r="F52" s="40">
        <v>0.78</v>
      </c>
      <c r="G52" s="33" t="s">
        <v>450</v>
      </c>
    </row>
    <row r="53" ht="15.75" customHeight="1">
      <c r="A53" s="33" t="s">
        <v>657</v>
      </c>
      <c r="B53" s="33" t="s">
        <v>659</v>
      </c>
      <c r="C53" s="39">
        <v>45842.0</v>
      </c>
      <c r="D53" s="33" t="s">
        <v>440</v>
      </c>
      <c r="E53" s="40">
        <v>88.52</v>
      </c>
      <c r="F53" s="40">
        <v>0.0</v>
      </c>
      <c r="G53" s="33" t="s">
        <v>431</v>
      </c>
    </row>
    <row r="54" ht="15.75" customHeight="1">
      <c r="A54" s="33" t="s">
        <v>661</v>
      </c>
      <c r="B54" s="33" t="s">
        <v>662</v>
      </c>
      <c r="C54" s="39">
        <v>46251.0</v>
      </c>
      <c r="D54" s="33" t="s">
        <v>428</v>
      </c>
      <c r="E54" s="40">
        <v>215.2</v>
      </c>
      <c r="F54" s="40">
        <v>0.0</v>
      </c>
      <c r="G54" s="33" t="s">
        <v>450</v>
      </c>
    </row>
    <row r="55" ht="15.75" customHeight="1">
      <c r="A55" s="33" t="s">
        <v>667</v>
      </c>
      <c r="B55" s="33" t="s">
        <v>608</v>
      </c>
      <c r="C55" s="39">
        <v>46191.0</v>
      </c>
      <c r="D55" s="33" t="s">
        <v>461</v>
      </c>
      <c r="E55" s="40">
        <v>99.63</v>
      </c>
      <c r="F55" s="40">
        <v>1.12</v>
      </c>
      <c r="G55" s="33" t="s">
        <v>431</v>
      </c>
    </row>
    <row r="56" ht="15.75" customHeight="1">
      <c r="A56" s="33" t="s">
        <v>670</v>
      </c>
      <c r="B56" s="33" t="s">
        <v>672</v>
      </c>
      <c r="C56" s="39">
        <v>45687.0</v>
      </c>
      <c r="D56" s="33" t="s">
        <v>435</v>
      </c>
      <c r="E56" s="40">
        <v>74.45</v>
      </c>
      <c r="F56" s="40">
        <v>0.0</v>
      </c>
      <c r="G56" s="33" t="s">
        <v>450</v>
      </c>
    </row>
    <row r="57" ht="15.75" customHeight="1">
      <c r="A57" s="33" t="s">
        <v>674</v>
      </c>
      <c r="B57" s="33" t="s">
        <v>675</v>
      </c>
      <c r="C57" s="39">
        <v>46077.0</v>
      </c>
      <c r="D57" s="33" t="s">
        <v>435</v>
      </c>
      <c r="E57" s="40">
        <v>151.42</v>
      </c>
      <c r="F57" s="40">
        <v>0.0</v>
      </c>
      <c r="G57" s="33" t="s">
        <v>431</v>
      </c>
    </row>
    <row r="58" ht="15.75" customHeight="1">
      <c r="A58" s="33" t="s">
        <v>679</v>
      </c>
      <c r="B58" s="33" t="s">
        <v>255</v>
      </c>
      <c r="C58" s="39">
        <v>46024.0</v>
      </c>
      <c r="D58" s="33" t="s">
        <v>435</v>
      </c>
      <c r="E58" s="40">
        <v>128.48</v>
      </c>
      <c r="F58" s="40">
        <v>0.0</v>
      </c>
      <c r="G58" s="33" t="s">
        <v>450</v>
      </c>
    </row>
    <row r="59" ht="15.75" customHeight="1">
      <c r="A59" s="33" t="s">
        <v>683</v>
      </c>
      <c r="B59" s="33" t="s">
        <v>686</v>
      </c>
      <c r="C59" s="39">
        <v>45762.0</v>
      </c>
      <c r="D59" s="33" t="s">
        <v>435</v>
      </c>
      <c r="E59" s="40">
        <v>90.19</v>
      </c>
      <c r="F59" s="40">
        <v>0.0</v>
      </c>
      <c r="G59" s="33" t="s">
        <v>450</v>
      </c>
    </row>
    <row r="60" ht="15.75" customHeight="1">
      <c r="A60" s="33" t="s">
        <v>688</v>
      </c>
      <c r="B60" s="33" t="s">
        <v>689</v>
      </c>
      <c r="C60" s="39">
        <v>45866.0</v>
      </c>
      <c r="D60" s="33" t="s">
        <v>461</v>
      </c>
      <c r="E60" s="40">
        <v>95.99</v>
      </c>
      <c r="F60" s="40">
        <v>1.25</v>
      </c>
      <c r="G60" s="33" t="s">
        <v>450</v>
      </c>
    </row>
    <row r="61" ht="15.75" customHeight="1">
      <c r="A61" s="33" t="s">
        <v>694</v>
      </c>
      <c r="B61" s="33" t="s">
        <v>696</v>
      </c>
      <c r="C61" s="39">
        <v>45955.0</v>
      </c>
      <c r="D61" s="33" t="s">
        <v>461</v>
      </c>
      <c r="E61" s="40">
        <v>59.93</v>
      </c>
      <c r="F61" s="40">
        <v>1.19</v>
      </c>
      <c r="G61" s="33" t="s">
        <v>431</v>
      </c>
    </row>
    <row r="62" ht="15.75" customHeight="1">
      <c r="A62" s="33" t="s">
        <v>698</v>
      </c>
      <c r="B62" s="33" t="s">
        <v>700</v>
      </c>
      <c r="C62" s="39">
        <v>45746.0</v>
      </c>
      <c r="D62" s="33" t="s">
        <v>479</v>
      </c>
      <c r="E62" s="40">
        <v>27.77</v>
      </c>
      <c r="F62" s="40">
        <v>0.24</v>
      </c>
      <c r="G62" s="33" t="s">
        <v>450</v>
      </c>
    </row>
    <row r="63" ht="15.75" customHeight="1">
      <c r="A63" s="33" t="s">
        <v>703</v>
      </c>
      <c r="B63" s="33" t="s">
        <v>447</v>
      </c>
      <c r="C63" s="39">
        <v>46096.0</v>
      </c>
      <c r="D63" s="33" t="s">
        <v>479</v>
      </c>
      <c r="E63" s="40">
        <v>115.66</v>
      </c>
      <c r="F63" s="40">
        <v>1.87</v>
      </c>
      <c r="G63" s="33" t="s">
        <v>442</v>
      </c>
    </row>
    <row r="64" ht="15.75" customHeight="1">
      <c r="A64" s="33" t="s">
        <v>708</v>
      </c>
      <c r="B64" s="33" t="s">
        <v>600</v>
      </c>
      <c r="C64" s="39">
        <v>45826.0</v>
      </c>
      <c r="D64" s="33" t="s">
        <v>428</v>
      </c>
      <c r="E64" s="40">
        <v>18.29</v>
      </c>
      <c r="F64" s="40">
        <v>0.0</v>
      </c>
      <c r="G64" s="33" t="s">
        <v>450</v>
      </c>
    </row>
    <row r="65" ht="15.75" customHeight="1">
      <c r="A65" s="33" t="s">
        <v>710</v>
      </c>
      <c r="B65" s="33" t="s">
        <v>711</v>
      </c>
      <c r="C65" s="39">
        <v>46226.0</v>
      </c>
      <c r="D65" s="33" t="s">
        <v>428</v>
      </c>
      <c r="E65" s="40">
        <v>28.93</v>
      </c>
      <c r="F65" s="40">
        <v>0.0</v>
      </c>
      <c r="G65" s="33" t="s">
        <v>450</v>
      </c>
    </row>
    <row r="66" ht="15.75" customHeight="1">
      <c r="A66" s="33" t="s">
        <v>715</v>
      </c>
      <c r="B66" s="33" t="s">
        <v>716</v>
      </c>
      <c r="C66" s="39">
        <v>46144.0</v>
      </c>
      <c r="D66" s="33" t="s">
        <v>479</v>
      </c>
      <c r="E66" s="40">
        <v>64.0</v>
      </c>
      <c r="F66" s="40">
        <v>1.02</v>
      </c>
      <c r="G66" s="33" t="s">
        <v>450</v>
      </c>
    </row>
    <row r="67" ht="15.75" customHeight="1">
      <c r="A67" s="33" t="s">
        <v>720</v>
      </c>
      <c r="B67" s="33" t="s">
        <v>721</v>
      </c>
      <c r="C67" s="39">
        <v>46043.0</v>
      </c>
      <c r="D67" s="33" t="s">
        <v>479</v>
      </c>
      <c r="E67" s="40">
        <v>59.0</v>
      </c>
      <c r="F67" s="40">
        <v>1.14</v>
      </c>
      <c r="G67" s="33" t="s">
        <v>431</v>
      </c>
    </row>
    <row r="68" ht="15.75" customHeight="1">
      <c r="A68" s="33" t="s">
        <v>724</v>
      </c>
      <c r="B68" s="33" t="s">
        <v>686</v>
      </c>
      <c r="C68" s="39">
        <v>45730.0</v>
      </c>
      <c r="D68" s="33" t="s">
        <v>479</v>
      </c>
      <c r="E68" s="40">
        <v>124.62</v>
      </c>
      <c r="F68" s="40">
        <v>2.04</v>
      </c>
      <c r="G68" s="33" t="s">
        <v>450</v>
      </c>
    </row>
    <row r="69" ht="15.75" customHeight="1">
      <c r="A69" s="33" t="s">
        <v>727</v>
      </c>
      <c r="B69" s="33" t="s">
        <v>728</v>
      </c>
      <c r="C69" s="39">
        <v>45672.0</v>
      </c>
      <c r="D69" s="33" t="s">
        <v>428</v>
      </c>
      <c r="E69" s="40">
        <v>147.89</v>
      </c>
      <c r="F69" s="40">
        <v>0.0</v>
      </c>
      <c r="G69" s="33" t="s">
        <v>431</v>
      </c>
    </row>
    <row r="70" ht="15.75" customHeight="1">
      <c r="A70" s="33" t="s">
        <v>730</v>
      </c>
      <c r="B70" s="33" t="s">
        <v>731</v>
      </c>
      <c r="C70" s="39">
        <v>45746.0</v>
      </c>
      <c r="D70" s="33" t="s">
        <v>461</v>
      </c>
      <c r="E70" s="40">
        <v>279.69</v>
      </c>
      <c r="F70" s="40">
        <v>3.54</v>
      </c>
      <c r="G70" s="33" t="s">
        <v>450</v>
      </c>
    </row>
    <row r="71" ht="15.75" customHeight="1">
      <c r="A71" s="33" t="s">
        <v>735</v>
      </c>
      <c r="B71" s="33" t="s">
        <v>737</v>
      </c>
      <c r="C71" s="39">
        <v>45961.0</v>
      </c>
      <c r="D71" s="33" t="s">
        <v>440</v>
      </c>
      <c r="E71" s="40">
        <v>15.46</v>
      </c>
      <c r="F71" s="40">
        <v>0.0</v>
      </c>
      <c r="G71" s="33" t="s">
        <v>442</v>
      </c>
    </row>
    <row r="72" ht="15.75" customHeight="1">
      <c r="A72" s="33" t="s">
        <v>738</v>
      </c>
      <c r="B72" s="33" t="s">
        <v>740</v>
      </c>
      <c r="C72" s="39">
        <v>46132.0</v>
      </c>
      <c r="D72" s="33" t="s">
        <v>428</v>
      </c>
      <c r="E72" s="40">
        <v>106.05</v>
      </c>
      <c r="F72" s="40">
        <v>0.0</v>
      </c>
      <c r="G72" s="33" t="s">
        <v>450</v>
      </c>
    </row>
    <row r="73" ht="15.75" customHeight="1">
      <c r="A73" s="33" t="s">
        <v>744</v>
      </c>
      <c r="B73" s="33" t="s">
        <v>309</v>
      </c>
      <c r="C73" s="39">
        <v>45750.0</v>
      </c>
      <c r="D73" s="33" t="s">
        <v>440</v>
      </c>
      <c r="E73" s="40">
        <v>102.95</v>
      </c>
      <c r="F73" s="40">
        <v>0.0</v>
      </c>
      <c r="G73" s="33" t="s">
        <v>450</v>
      </c>
    </row>
    <row r="74" ht="15.75" customHeight="1">
      <c r="A74" s="33" t="s">
        <v>747</v>
      </c>
      <c r="B74" s="33" t="s">
        <v>749</v>
      </c>
      <c r="C74" s="39">
        <v>46087.0</v>
      </c>
      <c r="D74" s="33" t="s">
        <v>461</v>
      </c>
      <c r="E74" s="40">
        <v>93.8</v>
      </c>
      <c r="F74" s="40">
        <v>0.79</v>
      </c>
      <c r="G74" s="33" t="s">
        <v>442</v>
      </c>
    </row>
    <row r="75" ht="15.75" customHeight="1">
      <c r="A75" s="33" t="s">
        <v>751</v>
      </c>
      <c r="B75" s="33" t="s">
        <v>753</v>
      </c>
      <c r="C75" s="39">
        <v>45687.0</v>
      </c>
      <c r="D75" s="33" t="s">
        <v>428</v>
      </c>
      <c r="E75" s="40">
        <v>115.62</v>
      </c>
      <c r="F75" s="40">
        <v>0.0</v>
      </c>
      <c r="G75" s="33" t="s">
        <v>450</v>
      </c>
    </row>
    <row r="76" ht="15.75" customHeight="1">
      <c r="A76" s="33" t="s">
        <v>758</v>
      </c>
      <c r="B76" s="33" t="s">
        <v>759</v>
      </c>
      <c r="C76" s="39">
        <v>45819.0</v>
      </c>
      <c r="D76" s="33" t="s">
        <v>428</v>
      </c>
      <c r="E76" s="40">
        <v>133.28</v>
      </c>
      <c r="F76" s="40">
        <v>0.0</v>
      </c>
      <c r="G76" s="33" t="s">
        <v>450</v>
      </c>
    </row>
    <row r="77" ht="15.75" customHeight="1">
      <c r="A77" s="33" t="s">
        <v>761</v>
      </c>
      <c r="B77" s="33" t="s">
        <v>763</v>
      </c>
      <c r="C77" s="39">
        <v>46021.0</v>
      </c>
      <c r="D77" s="33" t="s">
        <v>435</v>
      </c>
      <c r="E77" s="40">
        <v>192.35</v>
      </c>
      <c r="F77" s="40">
        <v>0.0</v>
      </c>
      <c r="G77" s="33" t="s">
        <v>431</v>
      </c>
    </row>
    <row r="78" ht="15.75" customHeight="1">
      <c r="A78" s="33" t="s">
        <v>766</v>
      </c>
      <c r="B78" s="33" t="s">
        <v>767</v>
      </c>
      <c r="C78" s="39">
        <v>46160.0</v>
      </c>
      <c r="D78" s="33" t="s">
        <v>440</v>
      </c>
      <c r="E78" s="40">
        <v>95.88</v>
      </c>
      <c r="F78" s="40">
        <v>0.0</v>
      </c>
      <c r="G78" s="33" t="s">
        <v>450</v>
      </c>
    </row>
    <row r="79" ht="15.75" customHeight="1">
      <c r="A79" s="33" t="s">
        <v>772</v>
      </c>
      <c r="B79" s="33" t="s">
        <v>487</v>
      </c>
      <c r="C79" s="39">
        <v>46129.0</v>
      </c>
      <c r="D79" s="33" t="s">
        <v>461</v>
      </c>
      <c r="E79" s="40">
        <v>232.29</v>
      </c>
      <c r="F79" s="40">
        <v>1.83</v>
      </c>
      <c r="G79" s="33" t="s">
        <v>431</v>
      </c>
    </row>
    <row r="80" ht="15.75" customHeight="1">
      <c r="A80" s="33" t="s">
        <v>774</v>
      </c>
      <c r="B80" s="33" t="s">
        <v>458</v>
      </c>
      <c r="C80" s="39">
        <v>45981.0</v>
      </c>
      <c r="D80" s="33" t="s">
        <v>435</v>
      </c>
      <c r="E80" s="40">
        <v>96.4</v>
      </c>
      <c r="F80" s="40">
        <v>0.0</v>
      </c>
      <c r="G80" s="33" t="s">
        <v>450</v>
      </c>
    </row>
    <row r="81" ht="15.75" customHeight="1">
      <c r="A81" s="33" t="s">
        <v>775</v>
      </c>
      <c r="B81" s="33" t="s">
        <v>287</v>
      </c>
      <c r="C81" s="39">
        <v>45679.0</v>
      </c>
      <c r="D81" s="33" t="s">
        <v>435</v>
      </c>
      <c r="E81" s="40">
        <v>52.66</v>
      </c>
      <c r="F81" s="40">
        <v>0.0</v>
      </c>
      <c r="G81" s="33" t="s">
        <v>450</v>
      </c>
    </row>
    <row r="82" ht="15.75" customHeight="1">
      <c r="A82" s="33" t="s">
        <v>779</v>
      </c>
      <c r="B82" s="33" t="s">
        <v>750</v>
      </c>
      <c r="C82" s="39">
        <v>45836.0</v>
      </c>
      <c r="D82" s="33" t="s">
        <v>440</v>
      </c>
      <c r="E82" s="40">
        <v>90.12</v>
      </c>
      <c r="F82" s="40">
        <v>0.0</v>
      </c>
      <c r="G82" s="33" t="s">
        <v>450</v>
      </c>
    </row>
    <row r="83" ht="15.75" customHeight="1">
      <c r="A83" s="33" t="s">
        <v>780</v>
      </c>
      <c r="B83" s="33" t="s">
        <v>781</v>
      </c>
      <c r="C83" s="39">
        <v>46133.0</v>
      </c>
      <c r="D83" s="33" t="s">
        <v>479</v>
      </c>
      <c r="E83" s="40">
        <v>36.89</v>
      </c>
      <c r="F83" s="40">
        <v>0.31</v>
      </c>
      <c r="G83" s="33" t="s">
        <v>450</v>
      </c>
    </row>
    <row r="84" ht="15.75" customHeight="1">
      <c r="A84" s="33" t="s">
        <v>785</v>
      </c>
      <c r="B84" s="33" t="s">
        <v>786</v>
      </c>
      <c r="C84" s="39">
        <v>45707.0</v>
      </c>
      <c r="D84" s="33" t="s">
        <v>435</v>
      </c>
      <c r="E84" s="40">
        <v>38.59</v>
      </c>
      <c r="F84" s="40">
        <v>0.0</v>
      </c>
      <c r="G84" s="33" t="s">
        <v>431</v>
      </c>
    </row>
    <row r="85" ht="15.75" customHeight="1">
      <c r="A85" s="33" t="s">
        <v>787</v>
      </c>
      <c r="B85" s="33" t="s">
        <v>788</v>
      </c>
      <c r="C85" s="39">
        <v>46086.0</v>
      </c>
      <c r="D85" s="33" t="s">
        <v>435</v>
      </c>
      <c r="E85" s="40">
        <v>68.31</v>
      </c>
      <c r="F85" s="40">
        <v>0.0</v>
      </c>
      <c r="G85" s="33" t="s">
        <v>442</v>
      </c>
    </row>
    <row r="86" ht="15.75" customHeight="1">
      <c r="A86" s="33" t="s">
        <v>792</v>
      </c>
      <c r="B86" s="33" t="s">
        <v>793</v>
      </c>
      <c r="C86" s="39">
        <v>46085.0</v>
      </c>
      <c r="D86" s="33" t="s">
        <v>440</v>
      </c>
      <c r="E86" s="40">
        <v>60.92</v>
      </c>
      <c r="F86" s="40">
        <v>0.0</v>
      </c>
      <c r="G86" s="33" t="s">
        <v>442</v>
      </c>
    </row>
    <row r="87" ht="15.75" customHeight="1">
      <c r="A87" s="33" t="s">
        <v>795</v>
      </c>
      <c r="B87" s="33" t="s">
        <v>481</v>
      </c>
      <c r="C87" s="39">
        <v>46114.0</v>
      </c>
      <c r="D87" s="33" t="s">
        <v>479</v>
      </c>
      <c r="E87" s="40">
        <v>188.75</v>
      </c>
      <c r="F87" s="40">
        <v>2.76</v>
      </c>
      <c r="G87" s="33" t="s">
        <v>450</v>
      </c>
    </row>
    <row r="88" ht="15.75" customHeight="1">
      <c r="A88" s="33" t="s">
        <v>799</v>
      </c>
      <c r="B88" s="33" t="s">
        <v>539</v>
      </c>
      <c r="C88" s="39">
        <v>45789.0</v>
      </c>
      <c r="D88" s="33" t="s">
        <v>479</v>
      </c>
      <c r="E88" s="40">
        <v>67.64</v>
      </c>
      <c r="F88" s="40">
        <v>0.55</v>
      </c>
      <c r="G88" s="33" t="s">
        <v>450</v>
      </c>
    </row>
    <row r="89" ht="15.75" customHeight="1">
      <c r="A89" s="33" t="s">
        <v>802</v>
      </c>
      <c r="B89" s="33" t="s">
        <v>284</v>
      </c>
      <c r="C89" s="39">
        <v>45806.0</v>
      </c>
      <c r="D89" s="33" t="s">
        <v>461</v>
      </c>
      <c r="E89" s="40">
        <v>32.34</v>
      </c>
      <c r="F89" s="40">
        <v>0.5</v>
      </c>
      <c r="G89" s="33" t="s">
        <v>450</v>
      </c>
    </row>
    <row r="90" ht="15.75" customHeight="1">
      <c r="A90" s="33" t="s">
        <v>805</v>
      </c>
      <c r="B90" s="33" t="s">
        <v>806</v>
      </c>
      <c r="C90" s="39">
        <v>45778.0</v>
      </c>
      <c r="D90" s="33" t="s">
        <v>428</v>
      </c>
      <c r="E90" s="40">
        <v>78.05</v>
      </c>
      <c r="F90" s="40">
        <v>0.0</v>
      </c>
      <c r="G90" s="33" t="s">
        <v>450</v>
      </c>
    </row>
    <row r="91" ht="15.75" customHeight="1">
      <c r="A91" s="33" t="s">
        <v>810</v>
      </c>
      <c r="B91" s="33" t="s">
        <v>273</v>
      </c>
      <c r="C91" s="39">
        <v>45896.0</v>
      </c>
      <c r="D91" s="33" t="s">
        <v>435</v>
      </c>
      <c r="E91" s="40">
        <v>95.7</v>
      </c>
      <c r="F91" s="40">
        <v>0.0</v>
      </c>
      <c r="G91" s="33" t="s">
        <v>431</v>
      </c>
    </row>
    <row r="92" ht="15.75" customHeight="1">
      <c r="A92" s="33" t="s">
        <v>813</v>
      </c>
      <c r="B92" s="33" t="s">
        <v>815</v>
      </c>
      <c r="C92" s="39">
        <v>45976.0</v>
      </c>
      <c r="D92" s="33" t="s">
        <v>461</v>
      </c>
      <c r="E92" s="40">
        <v>84.46</v>
      </c>
      <c r="F92" s="40">
        <v>0.73</v>
      </c>
      <c r="G92" s="33" t="s">
        <v>442</v>
      </c>
    </row>
    <row r="93" ht="15.75" customHeight="1">
      <c r="A93" s="33" t="s">
        <v>816</v>
      </c>
      <c r="B93" s="33" t="s">
        <v>817</v>
      </c>
      <c r="C93" s="39">
        <v>45730.0</v>
      </c>
      <c r="D93" s="33" t="s">
        <v>435</v>
      </c>
      <c r="E93" s="40">
        <v>30.9</v>
      </c>
      <c r="F93" s="40">
        <v>0.0</v>
      </c>
      <c r="G93" s="33" t="s">
        <v>450</v>
      </c>
    </row>
    <row r="94" ht="15.75" customHeight="1">
      <c r="A94" s="33" t="s">
        <v>821</v>
      </c>
      <c r="B94" s="33" t="s">
        <v>822</v>
      </c>
      <c r="C94" s="39">
        <v>46002.0</v>
      </c>
      <c r="D94" s="33" t="s">
        <v>440</v>
      </c>
      <c r="E94" s="40">
        <v>202.68</v>
      </c>
      <c r="F94" s="40">
        <v>0.0</v>
      </c>
      <c r="G94" s="33" t="s">
        <v>450</v>
      </c>
    </row>
    <row r="95" ht="15.75" customHeight="1">
      <c r="A95" s="33" t="s">
        <v>823</v>
      </c>
      <c r="B95" s="33" t="s">
        <v>733</v>
      </c>
      <c r="C95" s="39">
        <v>45803.0</v>
      </c>
      <c r="D95" s="33" t="s">
        <v>440</v>
      </c>
      <c r="E95" s="40">
        <v>13.64</v>
      </c>
      <c r="F95" s="40">
        <v>0.0</v>
      </c>
      <c r="G95" s="33" t="s">
        <v>442</v>
      </c>
    </row>
    <row r="96" ht="15.75" customHeight="1">
      <c r="A96" s="33" t="s">
        <v>827</v>
      </c>
      <c r="B96" s="33" t="s">
        <v>828</v>
      </c>
      <c r="C96" s="39">
        <v>45999.0</v>
      </c>
      <c r="D96" s="33" t="s">
        <v>461</v>
      </c>
      <c r="E96" s="40">
        <v>83.5</v>
      </c>
      <c r="F96" s="40">
        <v>1.44</v>
      </c>
      <c r="G96" s="33" t="s">
        <v>450</v>
      </c>
    </row>
    <row r="97" ht="15.75" customHeight="1">
      <c r="A97" s="33" t="s">
        <v>830</v>
      </c>
      <c r="B97" s="33" t="s">
        <v>496</v>
      </c>
      <c r="C97" s="39">
        <v>45841.0</v>
      </c>
      <c r="D97" s="33" t="s">
        <v>440</v>
      </c>
      <c r="E97" s="40">
        <v>29.97</v>
      </c>
      <c r="F97" s="40">
        <v>0.0</v>
      </c>
      <c r="G97" s="33" t="s">
        <v>450</v>
      </c>
    </row>
    <row r="98" ht="15.75" customHeight="1">
      <c r="A98" s="33" t="s">
        <v>832</v>
      </c>
      <c r="B98" s="33" t="s">
        <v>833</v>
      </c>
      <c r="C98" s="39">
        <v>46237.0</v>
      </c>
      <c r="D98" s="33" t="s">
        <v>428</v>
      </c>
      <c r="E98" s="40">
        <v>157.5</v>
      </c>
      <c r="F98" s="40">
        <v>0.0</v>
      </c>
      <c r="G98" s="33" t="s">
        <v>442</v>
      </c>
    </row>
    <row r="99" ht="15.75" customHeight="1">
      <c r="A99" s="33" t="s">
        <v>837</v>
      </c>
      <c r="B99" s="33" t="s">
        <v>838</v>
      </c>
      <c r="C99" s="39">
        <v>45851.0</v>
      </c>
      <c r="D99" s="33" t="s">
        <v>440</v>
      </c>
      <c r="E99" s="40">
        <v>106.38</v>
      </c>
      <c r="F99" s="40">
        <v>0.0</v>
      </c>
      <c r="G99" s="33" t="s">
        <v>450</v>
      </c>
    </row>
    <row r="100" ht="15.75" customHeight="1">
      <c r="A100" s="33" t="s">
        <v>839</v>
      </c>
      <c r="B100" s="33" t="s">
        <v>458</v>
      </c>
      <c r="C100" s="39">
        <v>46186.0</v>
      </c>
      <c r="D100" s="33" t="s">
        <v>428</v>
      </c>
      <c r="E100" s="40">
        <v>95.69</v>
      </c>
      <c r="F100" s="40">
        <v>0.0</v>
      </c>
      <c r="G100" s="33" t="s">
        <v>450</v>
      </c>
    </row>
    <row r="101" ht="15.75" customHeight="1">
      <c r="A101" s="33" t="s">
        <v>843</v>
      </c>
      <c r="B101" s="33" t="s">
        <v>402</v>
      </c>
      <c r="C101" s="39">
        <v>45764.0</v>
      </c>
      <c r="D101" s="33" t="s">
        <v>428</v>
      </c>
      <c r="E101" s="40">
        <v>63.67</v>
      </c>
      <c r="F101" s="40">
        <v>0.0</v>
      </c>
      <c r="G101" s="33" t="s">
        <v>450</v>
      </c>
    </row>
    <row r="102" ht="15.75" customHeight="1">
      <c r="A102" s="33" t="s">
        <v>846</v>
      </c>
      <c r="B102" s="33" t="s">
        <v>700</v>
      </c>
      <c r="C102" s="39">
        <v>45709.0</v>
      </c>
      <c r="D102" s="33" t="s">
        <v>479</v>
      </c>
      <c r="E102" s="40">
        <v>190.85</v>
      </c>
      <c r="F102" s="40">
        <v>2.58</v>
      </c>
      <c r="G102" s="33" t="s">
        <v>450</v>
      </c>
    </row>
    <row r="103" ht="15.75" customHeight="1">
      <c r="A103" s="33" t="s">
        <v>849</v>
      </c>
      <c r="B103" s="33" t="s">
        <v>850</v>
      </c>
      <c r="C103" s="39">
        <v>45772.0</v>
      </c>
      <c r="D103" s="33" t="s">
        <v>435</v>
      </c>
      <c r="E103" s="40">
        <v>63.54</v>
      </c>
      <c r="F103" s="40">
        <v>0.0</v>
      </c>
      <c r="G103" s="33" t="s">
        <v>450</v>
      </c>
    </row>
    <row r="104" ht="15.75" customHeight="1">
      <c r="A104" s="33" t="s">
        <v>853</v>
      </c>
      <c r="B104" s="33" t="s">
        <v>855</v>
      </c>
      <c r="C104" s="39">
        <v>45912.0</v>
      </c>
      <c r="D104" s="33" t="s">
        <v>461</v>
      </c>
      <c r="E104" s="40">
        <v>246.08</v>
      </c>
      <c r="F104" s="40">
        <v>3.7</v>
      </c>
      <c r="G104" s="33" t="s">
        <v>431</v>
      </c>
    </row>
    <row r="105" ht="15.75" customHeight="1">
      <c r="A105" s="33" t="s">
        <v>856</v>
      </c>
      <c r="B105" s="33" t="s">
        <v>273</v>
      </c>
      <c r="C105" s="39">
        <v>46205.0</v>
      </c>
      <c r="D105" s="33" t="s">
        <v>479</v>
      </c>
      <c r="E105" s="40">
        <v>37.62</v>
      </c>
      <c r="F105" s="40">
        <v>0.23</v>
      </c>
      <c r="G105" s="33" t="s">
        <v>442</v>
      </c>
    </row>
    <row r="106" ht="15.75" customHeight="1">
      <c r="A106" s="33" t="s">
        <v>859</v>
      </c>
      <c r="B106" s="33" t="s">
        <v>861</v>
      </c>
      <c r="C106" s="39">
        <v>45764.0</v>
      </c>
      <c r="D106" s="33" t="s">
        <v>440</v>
      </c>
      <c r="E106" s="40">
        <v>78.46</v>
      </c>
      <c r="F106" s="40">
        <v>0.0</v>
      </c>
      <c r="G106" s="33" t="s">
        <v>442</v>
      </c>
    </row>
    <row r="107" ht="15.75" customHeight="1">
      <c r="A107" s="33" t="s">
        <v>862</v>
      </c>
      <c r="B107" s="33" t="s">
        <v>863</v>
      </c>
      <c r="C107" s="39">
        <v>46133.0</v>
      </c>
      <c r="D107" s="33" t="s">
        <v>479</v>
      </c>
      <c r="E107" s="40">
        <v>130.75</v>
      </c>
      <c r="F107" s="40">
        <v>2.14</v>
      </c>
      <c r="G107" s="33" t="s">
        <v>450</v>
      </c>
    </row>
    <row r="108" ht="15.75" customHeight="1">
      <c r="A108" s="33" t="s">
        <v>868</v>
      </c>
      <c r="B108" s="33" t="s">
        <v>314</v>
      </c>
      <c r="C108" s="39">
        <v>46081.0</v>
      </c>
      <c r="D108" s="33" t="s">
        <v>440</v>
      </c>
      <c r="E108" s="40">
        <v>111.7</v>
      </c>
      <c r="F108" s="40">
        <v>0.0</v>
      </c>
      <c r="G108" s="33" t="s">
        <v>431</v>
      </c>
    </row>
    <row r="109" ht="15.75" customHeight="1">
      <c r="A109" s="33" t="s">
        <v>869</v>
      </c>
      <c r="B109" s="33" t="s">
        <v>870</v>
      </c>
      <c r="C109" s="39">
        <v>45867.0</v>
      </c>
      <c r="D109" s="33" t="s">
        <v>440</v>
      </c>
      <c r="E109" s="40">
        <v>73.84</v>
      </c>
      <c r="F109" s="40">
        <v>0.0</v>
      </c>
      <c r="G109" s="33" t="s">
        <v>431</v>
      </c>
    </row>
    <row r="110" ht="15.75" customHeight="1">
      <c r="A110" s="33" t="s">
        <v>874</v>
      </c>
      <c r="B110" s="33" t="s">
        <v>875</v>
      </c>
      <c r="C110" s="39">
        <v>45862.0</v>
      </c>
      <c r="D110" s="33" t="s">
        <v>428</v>
      </c>
      <c r="E110" s="40">
        <v>15.73</v>
      </c>
      <c r="F110" s="40">
        <v>0.0</v>
      </c>
      <c r="G110" s="33" t="s">
        <v>442</v>
      </c>
    </row>
    <row r="111" ht="15.75" customHeight="1">
      <c r="A111" s="33" t="s">
        <v>877</v>
      </c>
      <c r="B111" s="33" t="s">
        <v>879</v>
      </c>
      <c r="C111" s="39">
        <v>46233.0</v>
      </c>
      <c r="D111" s="33" t="s">
        <v>440</v>
      </c>
      <c r="E111" s="40">
        <v>87.79</v>
      </c>
      <c r="F111" s="40">
        <v>0.0</v>
      </c>
      <c r="G111" s="33" t="s">
        <v>450</v>
      </c>
    </row>
    <row r="112" ht="15.75" customHeight="1">
      <c r="A112" s="33" t="s">
        <v>882</v>
      </c>
      <c r="B112" s="33" t="s">
        <v>887</v>
      </c>
      <c r="C112" s="39">
        <v>46091.0</v>
      </c>
      <c r="D112" s="33" t="s">
        <v>479</v>
      </c>
      <c r="E112" s="40">
        <v>57.62</v>
      </c>
      <c r="F112" s="40">
        <v>0.36</v>
      </c>
      <c r="G112" s="33" t="s">
        <v>450</v>
      </c>
    </row>
    <row r="113" ht="15.75" customHeight="1">
      <c r="A113" s="33" t="s">
        <v>893</v>
      </c>
      <c r="B113" s="33" t="s">
        <v>895</v>
      </c>
      <c r="C113" s="39">
        <v>45803.0</v>
      </c>
      <c r="D113" s="33" t="s">
        <v>461</v>
      </c>
      <c r="E113" s="40">
        <v>47.0</v>
      </c>
      <c r="F113" s="40">
        <v>0.68</v>
      </c>
      <c r="G113" s="33" t="s">
        <v>431</v>
      </c>
    </row>
    <row r="114" ht="15.75" customHeight="1">
      <c r="A114" s="33" t="s">
        <v>899</v>
      </c>
      <c r="B114" s="33" t="s">
        <v>620</v>
      </c>
      <c r="C114" s="39">
        <v>46211.0</v>
      </c>
      <c r="D114" s="33" t="s">
        <v>440</v>
      </c>
      <c r="E114" s="40">
        <v>136.19</v>
      </c>
      <c r="F114" s="40">
        <v>0.0</v>
      </c>
      <c r="G114" s="33" t="s">
        <v>450</v>
      </c>
    </row>
    <row r="115" ht="15.75" customHeight="1">
      <c r="A115" s="33" t="s">
        <v>904</v>
      </c>
      <c r="B115" s="33" t="s">
        <v>905</v>
      </c>
      <c r="C115" s="39">
        <v>45904.0</v>
      </c>
      <c r="D115" s="33" t="s">
        <v>461</v>
      </c>
      <c r="E115" s="40">
        <v>12.35</v>
      </c>
      <c r="F115" s="40">
        <v>0.06</v>
      </c>
      <c r="G115" s="33" t="s">
        <v>450</v>
      </c>
    </row>
    <row r="116" ht="15.75" customHeight="1">
      <c r="A116" s="33" t="s">
        <v>906</v>
      </c>
      <c r="B116" s="33" t="s">
        <v>790</v>
      </c>
      <c r="C116" s="39">
        <v>45706.0</v>
      </c>
      <c r="D116" s="33" t="s">
        <v>428</v>
      </c>
      <c r="E116" s="40">
        <v>75.93</v>
      </c>
      <c r="F116" s="40">
        <v>0.0</v>
      </c>
      <c r="G116" s="33" t="s">
        <v>442</v>
      </c>
    </row>
    <row r="117" ht="15.75" customHeight="1">
      <c r="A117" s="33" t="s">
        <v>910</v>
      </c>
      <c r="B117" s="33" t="s">
        <v>478</v>
      </c>
      <c r="C117" s="39">
        <v>46151.0</v>
      </c>
      <c r="D117" s="33" t="s">
        <v>428</v>
      </c>
      <c r="E117" s="40">
        <v>3.64</v>
      </c>
      <c r="F117" s="40">
        <v>0.0</v>
      </c>
      <c r="G117" s="33" t="s">
        <v>450</v>
      </c>
    </row>
    <row r="118" ht="15.75" customHeight="1">
      <c r="A118" s="33" t="s">
        <v>912</v>
      </c>
      <c r="B118" s="33" t="s">
        <v>493</v>
      </c>
      <c r="C118" s="39">
        <v>46185.0</v>
      </c>
      <c r="D118" s="33" t="s">
        <v>435</v>
      </c>
      <c r="E118" s="40">
        <v>112.32</v>
      </c>
      <c r="F118" s="40">
        <v>0.0</v>
      </c>
      <c r="G118" s="33" t="s">
        <v>442</v>
      </c>
    </row>
    <row r="119" ht="15.75" customHeight="1">
      <c r="A119" s="33" t="s">
        <v>915</v>
      </c>
      <c r="B119" s="33" t="s">
        <v>916</v>
      </c>
      <c r="C119" s="39">
        <v>45926.0</v>
      </c>
      <c r="D119" s="33" t="s">
        <v>479</v>
      </c>
      <c r="E119" s="40">
        <v>137.19</v>
      </c>
      <c r="F119" s="40">
        <v>0.72</v>
      </c>
      <c r="G119" s="33" t="s">
        <v>450</v>
      </c>
    </row>
    <row r="120" ht="15.75" customHeight="1">
      <c r="A120" s="33" t="s">
        <v>922</v>
      </c>
      <c r="B120" s="33" t="s">
        <v>923</v>
      </c>
      <c r="C120" s="39">
        <v>46085.0</v>
      </c>
      <c r="D120" s="33" t="s">
        <v>435</v>
      </c>
      <c r="E120" s="40">
        <v>86.87</v>
      </c>
      <c r="F120" s="40">
        <v>0.0</v>
      </c>
      <c r="G120" s="33" t="s">
        <v>450</v>
      </c>
    </row>
    <row r="121" ht="15.75" customHeight="1">
      <c r="A121" s="33" t="s">
        <v>924</v>
      </c>
      <c r="B121" s="33" t="s">
        <v>901</v>
      </c>
      <c r="C121" s="39">
        <v>45800.0</v>
      </c>
      <c r="D121" s="33" t="s">
        <v>461</v>
      </c>
      <c r="E121" s="40">
        <v>53.28</v>
      </c>
      <c r="F121" s="40">
        <v>1.02</v>
      </c>
      <c r="G121" s="33" t="s">
        <v>450</v>
      </c>
    </row>
    <row r="122" ht="15.75" customHeight="1">
      <c r="A122" s="33" t="s">
        <v>928</v>
      </c>
      <c r="B122" s="33" t="s">
        <v>929</v>
      </c>
      <c r="C122" s="39">
        <v>46174.0</v>
      </c>
      <c r="D122" s="33" t="s">
        <v>440</v>
      </c>
      <c r="E122" s="40">
        <v>188.96</v>
      </c>
      <c r="F122" s="40">
        <v>0.0</v>
      </c>
      <c r="G122" s="33" t="s">
        <v>450</v>
      </c>
    </row>
    <row r="123" ht="15.75" customHeight="1">
      <c r="A123" s="33" t="s">
        <v>932</v>
      </c>
      <c r="B123" s="33" t="s">
        <v>458</v>
      </c>
      <c r="C123" s="39">
        <v>45881.0</v>
      </c>
      <c r="D123" s="33" t="s">
        <v>428</v>
      </c>
      <c r="E123" s="40">
        <v>197.63</v>
      </c>
      <c r="F123" s="40">
        <v>0.0</v>
      </c>
      <c r="G123" s="33" t="s">
        <v>450</v>
      </c>
    </row>
    <row r="124" ht="15.75" customHeight="1">
      <c r="A124" s="33" t="s">
        <v>934</v>
      </c>
      <c r="B124" s="33" t="s">
        <v>872</v>
      </c>
      <c r="C124" s="39">
        <v>45820.0</v>
      </c>
      <c r="D124" s="33" t="s">
        <v>435</v>
      </c>
      <c r="E124" s="40">
        <v>99.36</v>
      </c>
      <c r="F124" s="40">
        <v>0.0</v>
      </c>
      <c r="G124" s="33" t="s">
        <v>450</v>
      </c>
    </row>
    <row r="125" ht="15.75" customHeight="1">
      <c r="A125" s="33" t="s">
        <v>938</v>
      </c>
      <c r="B125" s="33" t="s">
        <v>668</v>
      </c>
      <c r="C125" s="39">
        <v>45961.0</v>
      </c>
      <c r="D125" s="33" t="s">
        <v>428</v>
      </c>
      <c r="E125" s="40">
        <v>217.81</v>
      </c>
      <c r="F125" s="40">
        <v>0.0</v>
      </c>
      <c r="G125" s="33" t="s">
        <v>431</v>
      </c>
    </row>
    <row r="126" ht="15.75" customHeight="1">
      <c r="A126" s="33" t="s">
        <v>939</v>
      </c>
      <c r="B126" s="33" t="s">
        <v>510</v>
      </c>
      <c r="C126" s="39">
        <v>45820.0</v>
      </c>
      <c r="D126" s="33" t="s">
        <v>440</v>
      </c>
      <c r="E126" s="40">
        <v>37.55</v>
      </c>
      <c r="F126" s="40">
        <v>0.0</v>
      </c>
      <c r="G126" s="33" t="s">
        <v>450</v>
      </c>
    </row>
    <row r="127" ht="15.75" customHeight="1">
      <c r="A127" s="33" t="s">
        <v>943</v>
      </c>
      <c r="B127" s="33" t="s">
        <v>838</v>
      </c>
      <c r="C127" s="39">
        <v>46034.0</v>
      </c>
      <c r="D127" s="33" t="s">
        <v>428</v>
      </c>
      <c r="E127" s="40">
        <v>70.32</v>
      </c>
      <c r="F127" s="40">
        <v>0.0</v>
      </c>
      <c r="G127" s="33" t="s">
        <v>442</v>
      </c>
    </row>
    <row r="128" ht="15.75" customHeight="1">
      <c r="A128" s="33" t="s">
        <v>944</v>
      </c>
      <c r="B128" s="33" t="s">
        <v>945</v>
      </c>
      <c r="C128" s="39">
        <v>46111.0</v>
      </c>
      <c r="D128" s="33" t="s">
        <v>435</v>
      </c>
      <c r="E128" s="40">
        <v>6.5</v>
      </c>
      <c r="F128" s="40">
        <v>0.0</v>
      </c>
      <c r="G128" s="33" t="s">
        <v>450</v>
      </c>
    </row>
    <row r="129" ht="15.75" customHeight="1">
      <c r="A129" s="33" t="s">
        <v>951</v>
      </c>
      <c r="B129" s="33" t="s">
        <v>952</v>
      </c>
      <c r="C129" s="39">
        <v>45904.0</v>
      </c>
      <c r="D129" s="33" t="s">
        <v>440</v>
      </c>
      <c r="E129" s="40">
        <v>28.03</v>
      </c>
      <c r="F129" s="40">
        <v>0.0</v>
      </c>
      <c r="G129" s="33" t="s">
        <v>450</v>
      </c>
    </row>
    <row r="130" ht="15.75" customHeight="1">
      <c r="A130" s="33" t="s">
        <v>954</v>
      </c>
      <c r="B130" s="33" t="s">
        <v>955</v>
      </c>
      <c r="C130" s="39">
        <v>46133.0</v>
      </c>
      <c r="D130" s="33" t="s">
        <v>440</v>
      </c>
      <c r="E130" s="40">
        <v>25.73</v>
      </c>
      <c r="F130" s="40">
        <v>0.0</v>
      </c>
      <c r="G130" s="33" t="s">
        <v>450</v>
      </c>
    </row>
    <row r="131" ht="15.75" customHeight="1">
      <c r="A131" s="33" t="s">
        <v>958</v>
      </c>
      <c r="B131" s="33" t="s">
        <v>959</v>
      </c>
      <c r="C131" s="39">
        <v>45919.0</v>
      </c>
      <c r="D131" s="33" t="s">
        <v>428</v>
      </c>
      <c r="E131" s="40">
        <v>111.82</v>
      </c>
      <c r="F131" s="40">
        <v>0.0</v>
      </c>
      <c r="G131" s="33" t="s">
        <v>450</v>
      </c>
    </row>
    <row r="132" ht="15.75" customHeight="1">
      <c r="A132" s="33" t="s">
        <v>962</v>
      </c>
      <c r="B132" s="33" t="s">
        <v>620</v>
      </c>
      <c r="C132" s="39">
        <v>46246.0</v>
      </c>
      <c r="D132" s="33" t="s">
        <v>461</v>
      </c>
      <c r="E132" s="40">
        <v>29.88</v>
      </c>
      <c r="F132" s="40">
        <v>0.6</v>
      </c>
      <c r="G132" s="33" t="s">
        <v>431</v>
      </c>
    </row>
    <row r="133" ht="15.75" customHeight="1">
      <c r="A133" s="33" t="s">
        <v>966</v>
      </c>
      <c r="B133" s="33" t="s">
        <v>407</v>
      </c>
      <c r="C133" s="39">
        <v>45818.0</v>
      </c>
      <c r="D133" s="33" t="s">
        <v>428</v>
      </c>
      <c r="E133" s="40">
        <v>43.96</v>
      </c>
      <c r="F133" s="40">
        <v>0.0</v>
      </c>
      <c r="G133" s="33" t="s">
        <v>450</v>
      </c>
    </row>
    <row r="134" ht="15.75" customHeight="1">
      <c r="A134" s="33" t="s">
        <v>967</v>
      </c>
      <c r="B134" s="33" t="s">
        <v>548</v>
      </c>
      <c r="C134" s="39">
        <v>46085.0</v>
      </c>
      <c r="D134" s="33" t="s">
        <v>479</v>
      </c>
      <c r="E134" s="40">
        <v>48.82</v>
      </c>
      <c r="F134" s="40">
        <v>0.36</v>
      </c>
      <c r="G134" s="33" t="s">
        <v>450</v>
      </c>
    </row>
    <row r="135" ht="15.75" customHeight="1">
      <c r="A135" s="33" t="s">
        <v>972</v>
      </c>
      <c r="B135" s="33" t="s">
        <v>870</v>
      </c>
      <c r="C135" s="39">
        <v>45982.0</v>
      </c>
      <c r="D135" s="33" t="s">
        <v>461</v>
      </c>
      <c r="E135" s="40">
        <v>23.04</v>
      </c>
      <c r="F135" s="40">
        <v>0.33</v>
      </c>
      <c r="G135" s="33" t="s">
        <v>431</v>
      </c>
    </row>
    <row r="136" ht="15.75" customHeight="1">
      <c r="A136" s="33" t="s">
        <v>974</v>
      </c>
      <c r="B136" s="33" t="s">
        <v>895</v>
      </c>
      <c r="C136" s="39">
        <v>46230.0</v>
      </c>
      <c r="D136" s="33" t="s">
        <v>461</v>
      </c>
      <c r="E136" s="40">
        <v>81.94</v>
      </c>
      <c r="F136" s="40">
        <v>1.2</v>
      </c>
      <c r="G136" s="33" t="s">
        <v>431</v>
      </c>
    </row>
    <row r="137" ht="15.75" customHeight="1">
      <c r="A137" s="33" t="s">
        <v>977</v>
      </c>
      <c r="B137" s="33" t="s">
        <v>817</v>
      </c>
      <c r="C137" s="39">
        <v>45791.0</v>
      </c>
      <c r="D137" s="33" t="s">
        <v>461</v>
      </c>
      <c r="E137" s="40">
        <v>93.5</v>
      </c>
      <c r="F137" s="40">
        <v>1.27</v>
      </c>
      <c r="G137" s="33" t="s">
        <v>442</v>
      </c>
    </row>
    <row r="138" ht="15.75" customHeight="1">
      <c r="A138" s="33" t="s">
        <v>979</v>
      </c>
      <c r="B138" s="33" t="s">
        <v>981</v>
      </c>
      <c r="C138" s="39">
        <v>45777.0</v>
      </c>
      <c r="D138" s="33" t="s">
        <v>428</v>
      </c>
      <c r="E138" s="40">
        <v>17.73</v>
      </c>
      <c r="F138" s="40">
        <v>0.0</v>
      </c>
      <c r="G138" s="33" t="s">
        <v>450</v>
      </c>
    </row>
    <row r="139" ht="15.75" customHeight="1">
      <c r="A139" s="33" t="s">
        <v>982</v>
      </c>
      <c r="B139" s="33" t="s">
        <v>984</v>
      </c>
      <c r="C139" s="39">
        <v>46184.0</v>
      </c>
      <c r="D139" s="33" t="s">
        <v>428</v>
      </c>
      <c r="E139" s="40">
        <v>124.35</v>
      </c>
      <c r="F139" s="40">
        <v>0.0</v>
      </c>
      <c r="G139" s="33" t="s">
        <v>450</v>
      </c>
    </row>
    <row r="140" ht="15.75" customHeight="1">
      <c r="A140" s="33" t="s">
        <v>990</v>
      </c>
      <c r="B140" s="33" t="s">
        <v>992</v>
      </c>
      <c r="C140" s="39">
        <v>46204.0</v>
      </c>
      <c r="D140" s="33" t="s">
        <v>479</v>
      </c>
      <c r="E140" s="40">
        <v>35.27</v>
      </c>
      <c r="F140" s="40">
        <v>0.46</v>
      </c>
      <c r="G140" s="33" t="s">
        <v>450</v>
      </c>
    </row>
    <row r="141" ht="15.75" customHeight="1">
      <c r="A141" s="33" t="s">
        <v>994</v>
      </c>
      <c r="B141" s="33" t="s">
        <v>916</v>
      </c>
      <c r="C141" s="39">
        <v>46111.0</v>
      </c>
      <c r="D141" s="33" t="s">
        <v>479</v>
      </c>
      <c r="E141" s="40">
        <v>48.18</v>
      </c>
      <c r="F141" s="40">
        <v>0.92</v>
      </c>
      <c r="G141" s="33" t="s">
        <v>450</v>
      </c>
    </row>
    <row r="142" ht="15.75" customHeight="1">
      <c r="A142" s="33" t="s">
        <v>998</v>
      </c>
      <c r="B142" s="33" t="s">
        <v>999</v>
      </c>
      <c r="C142" s="39">
        <v>45946.0</v>
      </c>
      <c r="D142" s="33" t="s">
        <v>461</v>
      </c>
      <c r="E142" s="40">
        <v>106.99</v>
      </c>
      <c r="F142" s="40">
        <v>1.88</v>
      </c>
      <c r="G142" s="33" t="s">
        <v>431</v>
      </c>
    </row>
    <row r="143" ht="15.75" customHeight="1">
      <c r="A143" s="33" t="s">
        <v>1003</v>
      </c>
      <c r="B143" s="33" t="s">
        <v>879</v>
      </c>
      <c r="C143" s="39">
        <v>45907.0</v>
      </c>
      <c r="D143" s="33" t="s">
        <v>461</v>
      </c>
      <c r="E143" s="40">
        <v>48.54</v>
      </c>
      <c r="F143" s="40">
        <v>0.53</v>
      </c>
      <c r="G143" s="33" t="s">
        <v>450</v>
      </c>
    </row>
    <row r="144" ht="15.75" customHeight="1">
      <c r="A144" s="33" t="s">
        <v>1004</v>
      </c>
      <c r="B144" s="33" t="s">
        <v>861</v>
      </c>
      <c r="C144" s="39">
        <v>46062.0</v>
      </c>
      <c r="D144" s="33" t="s">
        <v>428</v>
      </c>
      <c r="E144" s="40">
        <v>28.44</v>
      </c>
      <c r="F144" s="40">
        <v>0.0</v>
      </c>
      <c r="G144" s="33" t="s">
        <v>450</v>
      </c>
    </row>
    <row r="145" ht="15.75" customHeight="1">
      <c r="A145" s="33" t="s">
        <v>1008</v>
      </c>
      <c r="B145" s="33" t="s">
        <v>204</v>
      </c>
      <c r="C145" s="39">
        <v>46111.0</v>
      </c>
      <c r="D145" s="33" t="s">
        <v>461</v>
      </c>
      <c r="E145" s="40">
        <v>78.35</v>
      </c>
      <c r="F145" s="40">
        <v>1.06</v>
      </c>
      <c r="G145" s="33" t="s">
        <v>450</v>
      </c>
    </row>
    <row r="146" ht="15.75" customHeight="1">
      <c r="A146" s="33" t="s">
        <v>1012</v>
      </c>
      <c r="B146" s="33" t="s">
        <v>863</v>
      </c>
      <c r="C146" s="39">
        <v>45825.0</v>
      </c>
      <c r="D146" s="33" t="s">
        <v>428</v>
      </c>
      <c r="E146" s="40">
        <v>158.77</v>
      </c>
      <c r="F146" s="40">
        <v>0.0</v>
      </c>
      <c r="G146" s="33" t="s">
        <v>450</v>
      </c>
    </row>
    <row r="147" ht="15.75" customHeight="1">
      <c r="A147" s="33" t="s">
        <v>1013</v>
      </c>
      <c r="B147" s="33" t="s">
        <v>1016</v>
      </c>
      <c r="C147" s="39">
        <v>45662.0</v>
      </c>
      <c r="D147" s="33" t="s">
        <v>461</v>
      </c>
      <c r="E147" s="40">
        <v>145.61</v>
      </c>
      <c r="F147" s="40">
        <v>0.85</v>
      </c>
      <c r="G147" s="33" t="s">
        <v>450</v>
      </c>
    </row>
    <row r="148" ht="15.75" customHeight="1">
      <c r="A148" s="33" t="s">
        <v>1018</v>
      </c>
      <c r="B148" s="33" t="s">
        <v>1019</v>
      </c>
      <c r="C148" s="39">
        <v>45702.0</v>
      </c>
      <c r="D148" s="33" t="s">
        <v>428</v>
      </c>
      <c r="E148" s="40">
        <v>44.76</v>
      </c>
      <c r="F148" s="40">
        <v>0.0</v>
      </c>
      <c r="G148" s="33" t="s">
        <v>450</v>
      </c>
    </row>
    <row r="149" ht="15.75" customHeight="1">
      <c r="A149" s="33" t="s">
        <v>1021</v>
      </c>
      <c r="B149" s="33" t="s">
        <v>1023</v>
      </c>
      <c r="C149" s="39">
        <v>45867.0</v>
      </c>
      <c r="D149" s="33" t="s">
        <v>461</v>
      </c>
      <c r="E149" s="40">
        <v>33.01</v>
      </c>
      <c r="F149" s="40">
        <v>0.53</v>
      </c>
      <c r="G149" s="33" t="s">
        <v>450</v>
      </c>
    </row>
    <row r="150" ht="15.75" customHeight="1">
      <c r="A150" s="33" t="s">
        <v>1024</v>
      </c>
      <c r="B150" s="33" t="s">
        <v>447</v>
      </c>
      <c r="C150" s="39">
        <v>46071.0</v>
      </c>
      <c r="D150" s="33" t="s">
        <v>428</v>
      </c>
      <c r="E150" s="40">
        <v>39.38</v>
      </c>
      <c r="F150" s="40">
        <v>0.0</v>
      </c>
      <c r="G150" s="33" t="s">
        <v>450</v>
      </c>
    </row>
    <row r="151" ht="15.75" customHeight="1">
      <c r="A151" s="33" t="s">
        <v>1030</v>
      </c>
      <c r="B151" s="33" t="s">
        <v>1031</v>
      </c>
      <c r="C151" s="39">
        <v>45925.0</v>
      </c>
      <c r="D151" s="33" t="s">
        <v>435</v>
      </c>
      <c r="E151" s="40">
        <v>146.7</v>
      </c>
      <c r="F151" s="40">
        <v>0.0</v>
      </c>
      <c r="G151" s="33" t="s">
        <v>431</v>
      </c>
    </row>
    <row r="152" ht="15.75" customHeight="1">
      <c r="A152" s="33" t="s">
        <v>1032</v>
      </c>
      <c r="B152" s="33" t="s">
        <v>659</v>
      </c>
      <c r="C152" s="39">
        <v>46033.0</v>
      </c>
      <c r="D152" s="33" t="s">
        <v>428</v>
      </c>
      <c r="E152" s="40">
        <v>38.81</v>
      </c>
      <c r="F152" s="40">
        <v>0.0</v>
      </c>
      <c r="G152" s="33" t="s">
        <v>450</v>
      </c>
    </row>
    <row r="153" ht="15.75" customHeight="1">
      <c r="A153" s="33" t="s">
        <v>1036</v>
      </c>
      <c r="B153" s="33" t="s">
        <v>1037</v>
      </c>
      <c r="C153" s="39">
        <v>45943.0</v>
      </c>
      <c r="D153" s="33" t="s">
        <v>440</v>
      </c>
      <c r="E153" s="40">
        <v>210.63</v>
      </c>
      <c r="F153" s="40">
        <v>0.0</v>
      </c>
      <c r="G153" s="33" t="s">
        <v>450</v>
      </c>
    </row>
    <row r="154" ht="15.75" customHeight="1">
      <c r="A154" s="33" t="s">
        <v>1042</v>
      </c>
      <c r="B154" s="33" t="s">
        <v>1043</v>
      </c>
      <c r="C154" s="39">
        <v>45810.0</v>
      </c>
      <c r="D154" s="33" t="s">
        <v>461</v>
      </c>
      <c r="E154" s="40">
        <v>106.01</v>
      </c>
      <c r="F154" s="40">
        <v>2.01</v>
      </c>
      <c r="G154" s="33" t="s">
        <v>450</v>
      </c>
    </row>
    <row r="155" ht="15.75" customHeight="1">
      <c r="A155" s="33" t="s">
        <v>1047</v>
      </c>
      <c r="B155" s="33" t="s">
        <v>483</v>
      </c>
      <c r="C155" s="39">
        <v>46112.0</v>
      </c>
      <c r="D155" s="33" t="s">
        <v>440</v>
      </c>
      <c r="E155" s="40">
        <v>71.63</v>
      </c>
      <c r="F155" s="40">
        <v>0.0</v>
      </c>
      <c r="G155" s="33" t="s">
        <v>431</v>
      </c>
    </row>
    <row r="156" ht="15.75" customHeight="1">
      <c r="A156" s="33" t="s">
        <v>1049</v>
      </c>
      <c r="B156" s="33" t="s">
        <v>1051</v>
      </c>
      <c r="C156" s="39">
        <v>46097.0</v>
      </c>
      <c r="D156" s="33" t="s">
        <v>479</v>
      </c>
      <c r="E156" s="40">
        <v>44.14</v>
      </c>
      <c r="F156" s="40">
        <v>0.83</v>
      </c>
      <c r="G156" s="33" t="s">
        <v>450</v>
      </c>
    </row>
    <row r="157" ht="15.75" customHeight="1">
      <c r="A157" s="33" t="s">
        <v>1053</v>
      </c>
      <c r="B157" s="33" t="s">
        <v>1054</v>
      </c>
      <c r="C157" s="39">
        <v>46242.0</v>
      </c>
      <c r="D157" s="33" t="s">
        <v>461</v>
      </c>
      <c r="E157" s="40">
        <v>79.17</v>
      </c>
      <c r="F157" s="40">
        <v>1.51</v>
      </c>
      <c r="G157" s="33" t="s">
        <v>442</v>
      </c>
    </row>
    <row r="158" ht="15.75" customHeight="1">
      <c r="A158" s="33" t="s">
        <v>1058</v>
      </c>
      <c r="B158" s="33" t="s">
        <v>1059</v>
      </c>
      <c r="C158" s="39">
        <v>46159.0</v>
      </c>
      <c r="D158" s="33" t="s">
        <v>479</v>
      </c>
      <c r="E158" s="40">
        <v>28.27</v>
      </c>
      <c r="F158" s="40">
        <v>0.41</v>
      </c>
      <c r="G158" s="33" t="s">
        <v>450</v>
      </c>
    </row>
    <row r="159" ht="15.75" customHeight="1">
      <c r="A159" s="33" t="s">
        <v>1061</v>
      </c>
      <c r="B159" s="33" t="s">
        <v>1062</v>
      </c>
      <c r="C159" s="39">
        <v>45888.0</v>
      </c>
      <c r="D159" s="33" t="s">
        <v>461</v>
      </c>
      <c r="E159" s="40">
        <v>18.33</v>
      </c>
      <c r="F159" s="40">
        <v>0.13</v>
      </c>
      <c r="G159" s="33" t="s">
        <v>450</v>
      </c>
    </row>
    <row r="160" ht="15.75" customHeight="1">
      <c r="A160" s="33" t="s">
        <v>1064</v>
      </c>
      <c r="B160" s="33" t="s">
        <v>1065</v>
      </c>
      <c r="C160" s="39">
        <v>46085.0</v>
      </c>
      <c r="D160" s="33" t="s">
        <v>435</v>
      </c>
      <c r="E160" s="40">
        <v>106.75</v>
      </c>
      <c r="F160" s="40">
        <v>0.0</v>
      </c>
      <c r="G160" s="33" t="s">
        <v>450</v>
      </c>
    </row>
    <row r="161" ht="15.75" customHeight="1">
      <c r="A161" s="33" t="s">
        <v>1070</v>
      </c>
      <c r="B161" s="33" t="s">
        <v>318</v>
      </c>
      <c r="C161" s="39">
        <v>45870.0</v>
      </c>
      <c r="D161" s="33" t="s">
        <v>428</v>
      </c>
      <c r="E161" s="40">
        <v>71.38</v>
      </c>
      <c r="F161" s="40">
        <v>0.0</v>
      </c>
      <c r="G161" s="33" t="s">
        <v>450</v>
      </c>
    </row>
    <row r="162" ht="15.75" customHeight="1">
      <c r="A162" s="33" t="s">
        <v>1073</v>
      </c>
      <c r="B162" s="33" t="s">
        <v>671</v>
      </c>
      <c r="C162" s="39">
        <v>46187.0</v>
      </c>
      <c r="D162" s="33" t="s">
        <v>479</v>
      </c>
      <c r="E162" s="40">
        <v>127.58</v>
      </c>
      <c r="F162" s="40">
        <v>2.05</v>
      </c>
      <c r="G162" s="33" t="s">
        <v>431</v>
      </c>
    </row>
    <row r="163" ht="15.75" customHeight="1">
      <c r="A163" s="33" t="s">
        <v>1075</v>
      </c>
      <c r="B163" s="33" t="s">
        <v>1077</v>
      </c>
      <c r="C163" s="39">
        <v>46028.0</v>
      </c>
      <c r="D163" s="33" t="s">
        <v>461</v>
      </c>
      <c r="E163" s="40">
        <v>91.26</v>
      </c>
      <c r="F163" s="40">
        <v>1.14</v>
      </c>
      <c r="G163" s="33" t="s">
        <v>450</v>
      </c>
    </row>
    <row r="164" ht="15.75" customHeight="1">
      <c r="A164" s="33" t="s">
        <v>1079</v>
      </c>
      <c r="B164" s="33" t="s">
        <v>1080</v>
      </c>
      <c r="C164" s="39">
        <v>46164.0</v>
      </c>
      <c r="D164" s="33" t="s">
        <v>440</v>
      </c>
      <c r="E164" s="40">
        <v>43.53</v>
      </c>
      <c r="F164" s="40">
        <v>0.0</v>
      </c>
      <c r="G164" s="33" t="s">
        <v>450</v>
      </c>
    </row>
    <row r="165" ht="15.75" customHeight="1">
      <c r="A165" s="33" t="s">
        <v>1086</v>
      </c>
      <c r="B165" s="33" t="s">
        <v>1087</v>
      </c>
      <c r="C165" s="39">
        <v>45828.0</v>
      </c>
      <c r="D165" s="33" t="s">
        <v>479</v>
      </c>
      <c r="E165" s="40">
        <v>145.49</v>
      </c>
      <c r="F165" s="40">
        <v>2.41</v>
      </c>
      <c r="G165" s="33" t="s">
        <v>442</v>
      </c>
    </row>
    <row r="166" ht="15.75" customHeight="1">
      <c r="A166" s="33" t="s">
        <v>1091</v>
      </c>
      <c r="B166" s="33" t="s">
        <v>1092</v>
      </c>
      <c r="C166" s="39">
        <v>45667.0</v>
      </c>
      <c r="D166" s="33" t="s">
        <v>479</v>
      </c>
      <c r="E166" s="40">
        <v>48.0</v>
      </c>
      <c r="F166" s="40">
        <v>0.39</v>
      </c>
      <c r="G166" s="33" t="s">
        <v>450</v>
      </c>
    </row>
    <row r="167" ht="15.75" customHeight="1">
      <c r="A167" s="33" t="s">
        <v>1098</v>
      </c>
      <c r="B167" s="33" t="s">
        <v>1099</v>
      </c>
      <c r="C167" s="39">
        <v>45743.0</v>
      </c>
      <c r="D167" s="33" t="s">
        <v>435</v>
      </c>
      <c r="E167" s="40">
        <v>174.39</v>
      </c>
      <c r="F167" s="40">
        <v>0.0</v>
      </c>
      <c r="G167" s="33" t="s">
        <v>450</v>
      </c>
    </row>
    <row r="168" ht="15.75" customHeight="1">
      <c r="A168" s="33" t="s">
        <v>1100</v>
      </c>
      <c r="B168" s="33" t="s">
        <v>1102</v>
      </c>
      <c r="C168" s="39">
        <v>45980.0</v>
      </c>
      <c r="D168" s="33" t="s">
        <v>479</v>
      </c>
      <c r="E168" s="40">
        <v>46.75</v>
      </c>
      <c r="F168" s="40">
        <v>0.73</v>
      </c>
      <c r="G168" s="33" t="s">
        <v>450</v>
      </c>
    </row>
    <row r="169" ht="15.75" customHeight="1">
      <c r="A169" s="33" t="s">
        <v>1105</v>
      </c>
      <c r="B169" s="33" t="s">
        <v>1065</v>
      </c>
      <c r="C169" s="39">
        <v>46241.0</v>
      </c>
      <c r="D169" s="33" t="s">
        <v>461</v>
      </c>
      <c r="E169" s="40">
        <v>21.55</v>
      </c>
      <c r="F169" s="40">
        <v>0.21</v>
      </c>
      <c r="G169" s="33" t="s">
        <v>431</v>
      </c>
    </row>
    <row r="170" ht="15.75" customHeight="1">
      <c r="A170" s="33" t="s">
        <v>1110</v>
      </c>
      <c r="B170" s="33" t="s">
        <v>342</v>
      </c>
      <c r="C170" s="39">
        <v>46038.0</v>
      </c>
      <c r="D170" s="33" t="s">
        <v>428</v>
      </c>
      <c r="E170" s="40">
        <v>196.07</v>
      </c>
      <c r="F170" s="40">
        <v>0.0</v>
      </c>
      <c r="G170" s="33" t="s">
        <v>442</v>
      </c>
    </row>
    <row r="171" ht="15.75" customHeight="1">
      <c r="A171" s="33" t="s">
        <v>1112</v>
      </c>
      <c r="B171" s="33" t="s">
        <v>887</v>
      </c>
      <c r="C171" s="39">
        <v>46149.0</v>
      </c>
      <c r="D171" s="33" t="s">
        <v>428</v>
      </c>
      <c r="E171" s="40">
        <v>45.42</v>
      </c>
      <c r="F171" s="40">
        <v>0.0</v>
      </c>
      <c r="G171" s="33" t="s">
        <v>442</v>
      </c>
    </row>
    <row r="172" ht="15.75" customHeight="1">
      <c r="A172" s="33" t="s">
        <v>1117</v>
      </c>
      <c r="B172" s="33" t="s">
        <v>362</v>
      </c>
      <c r="C172" s="39">
        <v>45942.0</v>
      </c>
      <c r="D172" s="33" t="s">
        <v>440</v>
      </c>
      <c r="E172" s="40">
        <v>48.16</v>
      </c>
      <c r="F172" s="40">
        <v>0.0</v>
      </c>
      <c r="G172" s="33" t="s">
        <v>450</v>
      </c>
    </row>
    <row r="173" ht="15.75" customHeight="1">
      <c r="A173" s="33" t="s">
        <v>1121</v>
      </c>
      <c r="B173" s="33" t="s">
        <v>945</v>
      </c>
      <c r="C173" s="39">
        <v>46239.0</v>
      </c>
      <c r="D173" s="33" t="s">
        <v>461</v>
      </c>
      <c r="E173" s="40">
        <v>22.51</v>
      </c>
      <c r="F173" s="40">
        <v>0.31</v>
      </c>
      <c r="G173" s="33" t="s">
        <v>450</v>
      </c>
    </row>
    <row r="174" ht="15.75" customHeight="1">
      <c r="A174" s="33" t="s">
        <v>1123</v>
      </c>
      <c r="B174" s="33" t="s">
        <v>255</v>
      </c>
      <c r="C174" s="39">
        <v>46229.0</v>
      </c>
      <c r="D174" s="33" t="s">
        <v>435</v>
      </c>
      <c r="E174" s="40">
        <v>66.9</v>
      </c>
      <c r="F174" s="40">
        <v>0.0</v>
      </c>
      <c r="G174" s="33" t="s">
        <v>431</v>
      </c>
    </row>
    <row r="175" ht="15.75" customHeight="1">
      <c r="A175" s="33" t="s">
        <v>1125</v>
      </c>
      <c r="B175" s="33" t="s">
        <v>1127</v>
      </c>
      <c r="C175" s="39">
        <v>45790.0</v>
      </c>
      <c r="D175" s="33" t="s">
        <v>428</v>
      </c>
      <c r="E175" s="40">
        <v>25.39</v>
      </c>
      <c r="F175" s="40">
        <v>0.0</v>
      </c>
      <c r="G175" s="33" t="s">
        <v>450</v>
      </c>
    </row>
    <row r="176" ht="15.75" customHeight="1">
      <c r="A176" s="33" t="s">
        <v>1129</v>
      </c>
      <c r="B176" s="33" t="s">
        <v>1130</v>
      </c>
      <c r="C176" s="39">
        <v>46181.0</v>
      </c>
      <c r="D176" s="33" t="s">
        <v>428</v>
      </c>
      <c r="E176" s="40">
        <v>188.34</v>
      </c>
      <c r="F176" s="40">
        <v>0.0</v>
      </c>
      <c r="G176" s="33" t="s">
        <v>442</v>
      </c>
    </row>
    <row r="177" ht="15.75" customHeight="1">
      <c r="A177" s="33" t="s">
        <v>1134</v>
      </c>
      <c r="B177" s="33" t="s">
        <v>1135</v>
      </c>
      <c r="C177" s="39">
        <v>45668.0</v>
      </c>
      <c r="D177" s="33" t="s">
        <v>428</v>
      </c>
      <c r="E177" s="40">
        <v>54.31</v>
      </c>
      <c r="F177" s="40">
        <v>0.0</v>
      </c>
      <c r="G177" s="33" t="s">
        <v>450</v>
      </c>
    </row>
    <row r="178" ht="15.75" customHeight="1">
      <c r="A178" s="33" t="s">
        <v>1139</v>
      </c>
      <c r="B178" s="33" t="s">
        <v>1141</v>
      </c>
      <c r="C178" s="39">
        <v>46017.0</v>
      </c>
      <c r="D178" s="33" t="s">
        <v>479</v>
      </c>
      <c r="E178" s="40">
        <v>33.59</v>
      </c>
      <c r="F178" s="40">
        <v>0.43</v>
      </c>
      <c r="G178" s="33" t="s">
        <v>442</v>
      </c>
    </row>
    <row r="179" ht="15.75" customHeight="1">
      <c r="A179" s="33" t="s">
        <v>1144</v>
      </c>
      <c r="B179" s="33" t="s">
        <v>1145</v>
      </c>
      <c r="C179" s="39">
        <v>45923.0</v>
      </c>
      <c r="D179" s="33" t="s">
        <v>440</v>
      </c>
      <c r="E179" s="40">
        <v>76.21</v>
      </c>
      <c r="F179" s="40">
        <v>0.0</v>
      </c>
      <c r="G179" s="33" t="s">
        <v>450</v>
      </c>
    </row>
    <row r="180" ht="15.75" customHeight="1">
      <c r="A180" s="33" t="s">
        <v>1149</v>
      </c>
      <c r="B180" s="33" t="s">
        <v>781</v>
      </c>
      <c r="C180" s="39">
        <v>45840.0</v>
      </c>
      <c r="D180" s="33" t="s">
        <v>461</v>
      </c>
      <c r="E180" s="40">
        <v>302.72</v>
      </c>
      <c r="F180" s="40">
        <v>4.07</v>
      </c>
      <c r="G180" s="33" t="s">
        <v>442</v>
      </c>
    </row>
    <row r="181" ht="15.75" customHeight="1">
      <c r="A181" s="33" t="s">
        <v>1154</v>
      </c>
      <c r="B181" s="33" t="s">
        <v>902</v>
      </c>
      <c r="C181" s="39">
        <v>46224.0</v>
      </c>
      <c r="D181" s="33" t="s">
        <v>461</v>
      </c>
      <c r="E181" s="40">
        <v>78.88</v>
      </c>
      <c r="F181" s="40">
        <v>1.31</v>
      </c>
      <c r="G181" s="33" t="s">
        <v>450</v>
      </c>
    </row>
    <row r="182" ht="15.75" customHeight="1">
      <c r="A182" s="33" t="s">
        <v>1155</v>
      </c>
      <c r="B182" s="33" t="s">
        <v>1157</v>
      </c>
      <c r="C182" s="39">
        <v>46060.0</v>
      </c>
      <c r="D182" s="33" t="s">
        <v>440</v>
      </c>
      <c r="E182" s="40">
        <v>60.53</v>
      </c>
      <c r="F182" s="40">
        <v>0.0</v>
      </c>
      <c r="G182" s="33" t="s">
        <v>431</v>
      </c>
    </row>
    <row r="183" ht="15.75" customHeight="1">
      <c r="A183" s="33" t="s">
        <v>1160</v>
      </c>
      <c r="B183" s="33" t="s">
        <v>553</v>
      </c>
      <c r="C183" s="39">
        <v>45741.0</v>
      </c>
      <c r="D183" s="33" t="s">
        <v>479</v>
      </c>
      <c r="E183" s="40">
        <v>74.83</v>
      </c>
      <c r="F183" s="40">
        <v>0.49</v>
      </c>
      <c r="G183" s="33" t="s">
        <v>431</v>
      </c>
    </row>
    <row r="184" ht="15.75" customHeight="1">
      <c r="A184" s="33" t="s">
        <v>1164</v>
      </c>
      <c r="B184" s="33" t="s">
        <v>955</v>
      </c>
      <c r="C184" s="39">
        <v>45742.0</v>
      </c>
      <c r="D184" s="33" t="s">
        <v>461</v>
      </c>
      <c r="E184" s="40">
        <v>132.15</v>
      </c>
      <c r="F184" s="40">
        <v>1.53</v>
      </c>
      <c r="G184" s="33" t="s">
        <v>442</v>
      </c>
    </row>
    <row r="185" ht="15.75" customHeight="1">
      <c r="A185" s="33" t="s">
        <v>1169</v>
      </c>
      <c r="B185" s="33" t="s">
        <v>407</v>
      </c>
      <c r="C185" s="39">
        <v>45729.0</v>
      </c>
      <c r="D185" s="33" t="s">
        <v>479</v>
      </c>
      <c r="E185" s="40">
        <v>123.81</v>
      </c>
      <c r="F185" s="40">
        <v>1.71</v>
      </c>
      <c r="G185" s="33" t="s">
        <v>450</v>
      </c>
    </row>
    <row r="186" ht="15.75" customHeight="1">
      <c r="A186" s="33" t="s">
        <v>1173</v>
      </c>
      <c r="B186" s="33" t="s">
        <v>1174</v>
      </c>
      <c r="C186" s="39">
        <v>45842.0</v>
      </c>
      <c r="D186" s="33" t="s">
        <v>440</v>
      </c>
      <c r="E186" s="40">
        <v>89.25</v>
      </c>
      <c r="F186" s="40">
        <v>0.0</v>
      </c>
      <c r="G186" s="33" t="s">
        <v>450</v>
      </c>
    </row>
    <row r="187" ht="15.75" customHeight="1">
      <c r="A187" s="33" t="s">
        <v>1177</v>
      </c>
      <c r="B187" s="33" t="s">
        <v>1069</v>
      </c>
      <c r="C187" s="39">
        <v>45699.0</v>
      </c>
      <c r="D187" s="33" t="s">
        <v>440</v>
      </c>
      <c r="E187" s="40">
        <v>149.67</v>
      </c>
      <c r="F187" s="40">
        <v>0.0</v>
      </c>
      <c r="G187" s="33" t="s">
        <v>450</v>
      </c>
    </row>
    <row r="188" ht="15.75" customHeight="1">
      <c r="A188" s="33" t="s">
        <v>1180</v>
      </c>
      <c r="B188" s="33" t="s">
        <v>1181</v>
      </c>
      <c r="C188" s="39">
        <v>45818.0</v>
      </c>
      <c r="D188" s="33" t="s">
        <v>479</v>
      </c>
      <c r="E188" s="40">
        <v>78.08</v>
      </c>
      <c r="F188" s="40">
        <v>0.66</v>
      </c>
      <c r="G188" s="33" t="s">
        <v>450</v>
      </c>
    </row>
    <row r="189" ht="15.75" customHeight="1">
      <c r="A189" s="33" t="s">
        <v>1187</v>
      </c>
      <c r="B189" s="33" t="s">
        <v>1188</v>
      </c>
      <c r="C189" s="39">
        <v>46122.0</v>
      </c>
      <c r="D189" s="33" t="s">
        <v>440</v>
      </c>
      <c r="E189" s="40">
        <v>64.6</v>
      </c>
      <c r="F189" s="40">
        <v>0.0</v>
      </c>
      <c r="G189" s="33" t="s">
        <v>442</v>
      </c>
    </row>
    <row r="190" ht="15.75" customHeight="1">
      <c r="A190" s="33" t="s">
        <v>1190</v>
      </c>
      <c r="B190" s="33" t="s">
        <v>1192</v>
      </c>
      <c r="C190" s="39">
        <v>46188.0</v>
      </c>
      <c r="D190" s="33" t="s">
        <v>440</v>
      </c>
      <c r="E190" s="40">
        <v>76.78</v>
      </c>
      <c r="F190" s="40">
        <v>0.0</v>
      </c>
      <c r="G190" s="33" t="s">
        <v>431</v>
      </c>
    </row>
    <row r="191" ht="15.75" customHeight="1">
      <c r="A191" s="33" t="s">
        <v>1193</v>
      </c>
      <c r="B191" s="33" t="s">
        <v>300</v>
      </c>
      <c r="C191" s="39">
        <v>46135.0</v>
      </c>
      <c r="D191" s="33" t="s">
        <v>435</v>
      </c>
      <c r="E191" s="40">
        <v>46.99</v>
      </c>
      <c r="F191" s="40">
        <v>0.0</v>
      </c>
      <c r="G191" s="33" t="s">
        <v>442</v>
      </c>
    </row>
    <row r="192" ht="15.75" customHeight="1">
      <c r="A192" s="33" t="s">
        <v>1196</v>
      </c>
      <c r="B192" s="33" t="s">
        <v>1198</v>
      </c>
      <c r="C192" s="39">
        <v>45959.0</v>
      </c>
      <c r="D192" s="33" t="s">
        <v>440</v>
      </c>
      <c r="E192" s="40">
        <v>134.13</v>
      </c>
      <c r="F192" s="40">
        <v>0.0</v>
      </c>
      <c r="G192" s="33" t="s">
        <v>431</v>
      </c>
    </row>
    <row r="193" ht="15.75" customHeight="1">
      <c r="A193" s="33" t="s">
        <v>1202</v>
      </c>
      <c r="B193" s="33" t="s">
        <v>959</v>
      </c>
      <c r="C193" s="39">
        <v>46080.0</v>
      </c>
      <c r="D193" s="33" t="s">
        <v>461</v>
      </c>
      <c r="E193" s="40">
        <v>45.11</v>
      </c>
      <c r="F193" s="40">
        <v>0.31</v>
      </c>
      <c r="G193" s="33" t="s">
        <v>450</v>
      </c>
    </row>
    <row r="194" ht="15.75" customHeight="1">
      <c r="A194" s="33" t="s">
        <v>1203</v>
      </c>
      <c r="B194" s="33" t="s">
        <v>1095</v>
      </c>
      <c r="C194" s="39">
        <v>46230.0</v>
      </c>
      <c r="D194" s="33" t="s">
        <v>440</v>
      </c>
      <c r="E194" s="40">
        <v>9.78</v>
      </c>
      <c r="F194" s="40">
        <v>0.0</v>
      </c>
      <c r="G194" s="33" t="s">
        <v>442</v>
      </c>
    </row>
    <row r="195" ht="15.75" customHeight="1">
      <c r="A195" s="33" t="s">
        <v>1208</v>
      </c>
      <c r="B195" s="33" t="s">
        <v>364</v>
      </c>
      <c r="C195" s="39">
        <v>45690.0</v>
      </c>
      <c r="D195" s="33" t="s">
        <v>435</v>
      </c>
      <c r="E195" s="40">
        <v>18.22</v>
      </c>
      <c r="F195" s="40">
        <v>0.0</v>
      </c>
      <c r="G195" s="33" t="s">
        <v>450</v>
      </c>
    </row>
    <row r="196" ht="15.75" customHeight="1">
      <c r="A196" s="33" t="s">
        <v>1211</v>
      </c>
      <c r="B196" s="33" t="s">
        <v>819</v>
      </c>
      <c r="C196" s="39">
        <v>46207.0</v>
      </c>
      <c r="D196" s="33" t="s">
        <v>428</v>
      </c>
      <c r="E196" s="40">
        <v>96.0</v>
      </c>
      <c r="F196" s="40">
        <v>0.0</v>
      </c>
      <c r="G196" s="33" t="s">
        <v>450</v>
      </c>
    </row>
    <row r="197" ht="15.75" customHeight="1">
      <c r="A197" s="33" t="s">
        <v>1214</v>
      </c>
      <c r="B197" s="33" t="s">
        <v>1216</v>
      </c>
      <c r="C197" s="39">
        <v>46097.0</v>
      </c>
      <c r="D197" s="33" t="s">
        <v>479</v>
      </c>
      <c r="E197" s="40">
        <v>39.01</v>
      </c>
      <c r="F197" s="40">
        <v>0.3</v>
      </c>
      <c r="G197" s="33" t="s">
        <v>442</v>
      </c>
    </row>
    <row r="198" ht="15.75" customHeight="1">
      <c r="A198" s="33" t="s">
        <v>1221</v>
      </c>
      <c r="B198" s="33" t="s">
        <v>1222</v>
      </c>
      <c r="C198" s="39">
        <v>45892.0</v>
      </c>
      <c r="D198" s="33" t="s">
        <v>479</v>
      </c>
      <c r="E198" s="40">
        <v>125.87</v>
      </c>
      <c r="F198" s="40">
        <v>2.13</v>
      </c>
      <c r="G198" s="33" t="s">
        <v>431</v>
      </c>
    </row>
    <row r="199" ht="15.75" customHeight="1">
      <c r="A199" s="33" t="s">
        <v>1226</v>
      </c>
      <c r="B199" s="33" t="s">
        <v>1227</v>
      </c>
      <c r="C199" s="39">
        <v>45930.0</v>
      </c>
      <c r="D199" s="33" t="s">
        <v>479</v>
      </c>
      <c r="E199" s="40">
        <v>71.9</v>
      </c>
      <c r="F199" s="40">
        <v>0.69</v>
      </c>
      <c r="G199" s="33" t="s">
        <v>450</v>
      </c>
    </row>
    <row r="200" ht="15.75" customHeight="1">
      <c r="A200" s="33" t="s">
        <v>1231</v>
      </c>
      <c r="B200" s="33" t="s">
        <v>1232</v>
      </c>
      <c r="C200" s="39">
        <v>45924.0</v>
      </c>
      <c r="D200" s="33" t="s">
        <v>479</v>
      </c>
      <c r="E200" s="40">
        <v>133.43</v>
      </c>
      <c r="F200" s="40">
        <v>0.76</v>
      </c>
      <c r="G200" s="33" t="s">
        <v>450</v>
      </c>
    </row>
    <row r="201" ht="15.75" customHeight="1">
      <c r="A201" s="33" t="s">
        <v>1234</v>
      </c>
      <c r="B201" s="33" t="s">
        <v>1237</v>
      </c>
      <c r="C201" s="39">
        <v>45753.0</v>
      </c>
      <c r="D201" s="33" t="s">
        <v>479</v>
      </c>
      <c r="E201" s="40">
        <v>10.92</v>
      </c>
      <c r="F201" s="40">
        <v>0.22</v>
      </c>
      <c r="G201" s="33" t="s">
        <v>450</v>
      </c>
    </row>
    <row r="202" ht="15.75" customHeight="1">
      <c r="A202" s="33" t="s">
        <v>1238</v>
      </c>
      <c r="B202" s="33" t="s">
        <v>1239</v>
      </c>
      <c r="C202" s="39">
        <v>45797.0</v>
      </c>
      <c r="D202" s="33" t="s">
        <v>461</v>
      </c>
      <c r="E202" s="40">
        <v>44.82</v>
      </c>
      <c r="F202" s="40">
        <v>0.43</v>
      </c>
      <c r="G202" s="33" t="s">
        <v>442</v>
      </c>
    </row>
    <row r="203" ht="15.75" customHeight="1">
      <c r="A203" s="33" t="s">
        <v>1242</v>
      </c>
      <c r="B203" s="33" t="s">
        <v>1244</v>
      </c>
      <c r="C203" s="39">
        <v>45837.0</v>
      </c>
      <c r="D203" s="33" t="s">
        <v>428</v>
      </c>
      <c r="E203" s="40">
        <v>32.61</v>
      </c>
      <c r="F203" s="40">
        <v>0.0</v>
      </c>
      <c r="G203" s="33" t="s">
        <v>442</v>
      </c>
    </row>
    <row r="204" ht="15.75" customHeight="1">
      <c r="A204" s="33" t="s">
        <v>1250</v>
      </c>
      <c r="B204" s="33" t="s">
        <v>1251</v>
      </c>
      <c r="C204" s="39">
        <v>45661.0</v>
      </c>
      <c r="D204" s="33" t="s">
        <v>428</v>
      </c>
      <c r="E204" s="40">
        <v>342.3</v>
      </c>
      <c r="F204" s="40">
        <v>0.0</v>
      </c>
      <c r="G204" s="33" t="s">
        <v>450</v>
      </c>
    </row>
    <row r="205" ht="15.75" customHeight="1">
      <c r="A205" s="33" t="s">
        <v>1255</v>
      </c>
      <c r="B205" s="33" t="s">
        <v>1256</v>
      </c>
      <c r="C205" s="39">
        <v>45962.0</v>
      </c>
      <c r="D205" s="33" t="s">
        <v>479</v>
      </c>
      <c r="E205" s="40">
        <v>51.33</v>
      </c>
      <c r="F205" s="40">
        <v>0.59</v>
      </c>
      <c r="G205" s="33" t="s">
        <v>442</v>
      </c>
    </row>
    <row r="206" ht="15.75" customHeight="1">
      <c r="A206" s="33" t="s">
        <v>1258</v>
      </c>
      <c r="B206" s="33" t="s">
        <v>1259</v>
      </c>
      <c r="C206" s="39">
        <v>45947.0</v>
      </c>
      <c r="D206" s="33" t="s">
        <v>440</v>
      </c>
      <c r="E206" s="40">
        <v>17.94</v>
      </c>
      <c r="F206" s="40">
        <v>0.0</v>
      </c>
      <c r="G206" s="33" t="s">
        <v>442</v>
      </c>
    </row>
    <row r="207" ht="15.75" customHeight="1">
      <c r="A207" s="33" t="s">
        <v>1260</v>
      </c>
      <c r="B207" s="33" t="s">
        <v>948</v>
      </c>
      <c r="C207" s="39">
        <v>45858.0</v>
      </c>
      <c r="D207" s="33" t="s">
        <v>435</v>
      </c>
      <c r="E207" s="40">
        <v>94.68</v>
      </c>
      <c r="F207" s="40">
        <v>0.0</v>
      </c>
      <c r="G207" s="33" t="s">
        <v>450</v>
      </c>
    </row>
    <row r="208" ht="15.75" customHeight="1">
      <c r="A208" s="33" t="s">
        <v>1264</v>
      </c>
      <c r="B208" s="33" t="s">
        <v>850</v>
      </c>
      <c r="C208" s="39">
        <v>45765.0</v>
      </c>
      <c r="D208" s="33" t="s">
        <v>479</v>
      </c>
      <c r="E208" s="40">
        <v>30.1</v>
      </c>
      <c r="F208" s="40">
        <v>0.37</v>
      </c>
      <c r="G208" s="33" t="s">
        <v>450</v>
      </c>
    </row>
    <row r="209" ht="15.75" customHeight="1">
      <c r="A209" s="33" t="s">
        <v>1267</v>
      </c>
      <c r="B209" s="33" t="s">
        <v>318</v>
      </c>
      <c r="C209" s="39">
        <v>46246.0</v>
      </c>
      <c r="D209" s="33" t="s">
        <v>428</v>
      </c>
      <c r="E209" s="40">
        <v>143.22</v>
      </c>
      <c r="F209" s="40">
        <v>0.0</v>
      </c>
      <c r="G209" s="33" t="s">
        <v>450</v>
      </c>
    </row>
    <row r="210" ht="15.75" customHeight="1">
      <c r="A210" s="33" t="s">
        <v>1272</v>
      </c>
      <c r="B210" s="33" t="s">
        <v>838</v>
      </c>
      <c r="C210" s="39">
        <v>46069.0</v>
      </c>
      <c r="D210" s="33" t="s">
        <v>440</v>
      </c>
      <c r="E210" s="40">
        <v>160.06</v>
      </c>
      <c r="F210" s="40">
        <v>0.0</v>
      </c>
      <c r="G210" s="33" t="s">
        <v>442</v>
      </c>
    </row>
    <row r="211" ht="15.75" customHeight="1">
      <c r="A211" s="33" t="s">
        <v>1274</v>
      </c>
      <c r="B211" s="33" t="s">
        <v>430</v>
      </c>
      <c r="C211" s="39">
        <v>45946.0</v>
      </c>
      <c r="D211" s="33" t="s">
        <v>428</v>
      </c>
      <c r="E211" s="40">
        <v>32.9</v>
      </c>
      <c r="F211" s="40">
        <v>0.0</v>
      </c>
      <c r="G211" s="33" t="s">
        <v>442</v>
      </c>
    </row>
    <row r="212" ht="15.75" customHeight="1">
      <c r="A212" s="33" t="s">
        <v>1278</v>
      </c>
      <c r="B212" s="33" t="s">
        <v>1280</v>
      </c>
      <c r="C212" s="39">
        <v>46096.0</v>
      </c>
      <c r="D212" s="33" t="s">
        <v>461</v>
      </c>
      <c r="E212" s="40">
        <v>40.01</v>
      </c>
      <c r="F212" s="40">
        <v>0.32</v>
      </c>
      <c r="G212" s="33" t="s">
        <v>450</v>
      </c>
    </row>
    <row r="213" ht="15.75" customHeight="1">
      <c r="A213" s="33" t="s">
        <v>1282</v>
      </c>
      <c r="B213" s="33" t="s">
        <v>1080</v>
      </c>
      <c r="C213" s="39">
        <v>45883.0</v>
      </c>
      <c r="D213" s="33" t="s">
        <v>461</v>
      </c>
      <c r="E213" s="40">
        <v>88.29</v>
      </c>
      <c r="F213" s="40">
        <v>1.16</v>
      </c>
      <c r="G213" s="33" t="s">
        <v>450</v>
      </c>
    </row>
    <row r="214" ht="15.75" customHeight="1">
      <c r="A214" s="33" t="s">
        <v>1284</v>
      </c>
      <c r="B214" s="33" t="s">
        <v>1285</v>
      </c>
      <c r="C214" s="39">
        <v>45788.0</v>
      </c>
      <c r="D214" s="33" t="s">
        <v>479</v>
      </c>
      <c r="E214" s="40">
        <v>146.17</v>
      </c>
      <c r="F214" s="40">
        <v>1.54</v>
      </c>
      <c r="G214" s="33" t="s">
        <v>450</v>
      </c>
    </row>
    <row r="215" ht="15.75" customHeight="1">
      <c r="A215" s="33" t="s">
        <v>1287</v>
      </c>
      <c r="B215" s="33" t="s">
        <v>662</v>
      </c>
      <c r="C215" s="39">
        <v>46066.0</v>
      </c>
      <c r="D215" s="33" t="s">
        <v>461</v>
      </c>
      <c r="E215" s="40">
        <v>95.95</v>
      </c>
      <c r="F215" s="40">
        <v>0.55</v>
      </c>
      <c r="G215" s="33" t="s">
        <v>431</v>
      </c>
    </row>
    <row r="216" ht="15.75" customHeight="1">
      <c r="A216" s="33" t="s">
        <v>1291</v>
      </c>
      <c r="B216" s="33" t="s">
        <v>287</v>
      </c>
      <c r="C216" s="39">
        <v>46125.0</v>
      </c>
      <c r="D216" s="33" t="s">
        <v>435</v>
      </c>
      <c r="E216" s="40">
        <v>51.4</v>
      </c>
      <c r="F216" s="40">
        <v>0.0</v>
      </c>
      <c r="G216" s="33" t="s">
        <v>431</v>
      </c>
    </row>
    <row r="217" ht="15.75" customHeight="1">
      <c r="A217" s="33" t="s">
        <v>1292</v>
      </c>
      <c r="B217" s="33" t="s">
        <v>492</v>
      </c>
      <c r="C217" s="39">
        <v>46052.0</v>
      </c>
      <c r="D217" s="33" t="s">
        <v>435</v>
      </c>
      <c r="E217" s="40">
        <v>21.69</v>
      </c>
      <c r="F217" s="40">
        <v>0.0</v>
      </c>
      <c r="G217" s="33" t="s">
        <v>450</v>
      </c>
    </row>
    <row r="218" ht="15.75" customHeight="1">
      <c r="A218" s="33" t="s">
        <v>1296</v>
      </c>
      <c r="B218" s="33" t="s">
        <v>1297</v>
      </c>
      <c r="C218" s="39">
        <v>46001.0</v>
      </c>
      <c r="D218" s="33" t="s">
        <v>435</v>
      </c>
      <c r="E218" s="40">
        <v>223.48</v>
      </c>
      <c r="F218" s="40">
        <v>0.0</v>
      </c>
      <c r="G218" s="33" t="s">
        <v>450</v>
      </c>
    </row>
    <row r="219" ht="15.75" customHeight="1">
      <c r="A219" s="33" t="s">
        <v>1299</v>
      </c>
      <c r="B219" s="33" t="s">
        <v>1216</v>
      </c>
      <c r="C219" s="39">
        <v>45659.0</v>
      </c>
      <c r="D219" s="33" t="s">
        <v>461</v>
      </c>
      <c r="E219" s="40">
        <v>97.65</v>
      </c>
      <c r="F219" s="40">
        <v>0.81</v>
      </c>
      <c r="G219" s="33" t="s">
        <v>442</v>
      </c>
    </row>
    <row r="220" ht="15.75" customHeight="1">
      <c r="A220" s="33" t="s">
        <v>1302</v>
      </c>
      <c r="B220" s="33" t="s">
        <v>1303</v>
      </c>
      <c r="C220" s="39">
        <v>46045.0</v>
      </c>
      <c r="D220" s="33" t="s">
        <v>479</v>
      </c>
      <c r="E220" s="40">
        <v>255.63</v>
      </c>
      <c r="F220" s="40">
        <v>4.89</v>
      </c>
      <c r="G220" s="33" t="s">
        <v>450</v>
      </c>
    </row>
    <row r="221" ht="15.75" customHeight="1">
      <c r="A221" s="33" t="s">
        <v>1307</v>
      </c>
      <c r="B221" s="33" t="s">
        <v>511</v>
      </c>
      <c r="C221" s="39">
        <v>46033.0</v>
      </c>
      <c r="D221" s="33" t="s">
        <v>440</v>
      </c>
      <c r="E221" s="40">
        <v>108.01</v>
      </c>
      <c r="F221" s="40">
        <v>0.0</v>
      </c>
      <c r="G221" s="33" t="s">
        <v>431</v>
      </c>
    </row>
    <row r="222" ht="15.75" customHeight="1">
      <c r="A222" s="33" t="s">
        <v>1313</v>
      </c>
      <c r="B222" s="33" t="s">
        <v>1314</v>
      </c>
      <c r="C222" s="39">
        <v>45908.0</v>
      </c>
      <c r="D222" s="33" t="s">
        <v>435</v>
      </c>
      <c r="E222" s="40">
        <v>233.56</v>
      </c>
      <c r="F222" s="40">
        <v>0.0</v>
      </c>
      <c r="G222" s="33" t="s">
        <v>450</v>
      </c>
    </row>
    <row r="223" ht="15.75" customHeight="1">
      <c r="A223" s="33" t="s">
        <v>1316</v>
      </c>
      <c r="B223" s="33" t="s">
        <v>225</v>
      </c>
      <c r="C223" s="39">
        <v>45805.0</v>
      </c>
      <c r="D223" s="33" t="s">
        <v>479</v>
      </c>
      <c r="E223" s="40">
        <v>36.88</v>
      </c>
      <c r="F223" s="40">
        <v>0.67</v>
      </c>
      <c r="G223" s="33" t="s">
        <v>450</v>
      </c>
    </row>
    <row r="224" ht="15.75" customHeight="1">
      <c r="A224" s="33" t="s">
        <v>1319</v>
      </c>
      <c r="B224" s="33" t="s">
        <v>536</v>
      </c>
      <c r="C224" s="39">
        <v>46252.0</v>
      </c>
      <c r="D224" s="33" t="s">
        <v>440</v>
      </c>
      <c r="E224" s="40">
        <v>39.34</v>
      </c>
      <c r="F224" s="40">
        <v>0.0</v>
      </c>
      <c r="G224" s="33" t="s">
        <v>431</v>
      </c>
    </row>
    <row r="225" ht="15.75" customHeight="1">
      <c r="A225" s="33" t="s">
        <v>1323</v>
      </c>
      <c r="B225" s="33" t="s">
        <v>1179</v>
      </c>
      <c r="C225" s="39">
        <v>45885.0</v>
      </c>
      <c r="D225" s="33" t="s">
        <v>435</v>
      </c>
      <c r="E225" s="40">
        <v>62.65</v>
      </c>
      <c r="F225" s="40">
        <v>0.0</v>
      </c>
      <c r="G225" s="33" t="s">
        <v>442</v>
      </c>
    </row>
    <row r="226" ht="15.75" customHeight="1">
      <c r="A226" s="33" t="s">
        <v>1326</v>
      </c>
      <c r="B226" s="33" t="s">
        <v>689</v>
      </c>
      <c r="C226" s="39">
        <v>45823.0</v>
      </c>
      <c r="D226" s="33" t="s">
        <v>435</v>
      </c>
      <c r="E226" s="40">
        <v>34.32</v>
      </c>
      <c r="F226" s="40">
        <v>0.0</v>
      </c>
      <c r="G226" s="33" t="s">
        <v>450</v>
      </c>
    </row>
    <row r="227" ht="15.75" customHeight="1">
      <c r="A227" s="33" t="s">
        <v>1330</v>
      </c>
      <c r="B227" s="33" t="s">
        <v>1331</v>
      </c>
      <c r="C227" s="39">
        <v>46086.0</v>
      </c>
      <c r="D227" s="33" t="s">
        <v>461</v>
      </c>
      <c r="E227" s="40">
        <v>15.07</v>
      </c>
      <c r="F227" s="40">
        <v>0.12</v>
      </c>
      <c r="G227" s="33" t="s">
        <v>450</v>
      </c>
    </row>
    <row r="228" ht="15.75" customHeight="1">
      <c r="A228" s="33" t="s">
        <v>1333</v>
      </c>
      <c r="B228" s="33" t="s">
        <v>763</v>
      </c>
      <c r="C228" s="39">
        <v>45950.0</v>
      </c>
      <c r="D228" s="33" t="s">
        <v>461</v>
      </c>
      <c r="E228" s="40">
        <v>42.99</v>
      </c>
      <c r="F228" s="40">
        <v>0.36</v>
      </c>
      <c r="G228" s="33" t="s">
        <v>431</v>
      </c>
    </row>
    <row r="229" ht="15.75" customHeight="1">
      <c r="A229" s="33" t="s">
        <v>1337</v>
      </c>
      <c r="B229" s="33" t="s">
        <v>1099</v>
      </c>
      <c r="C229" s="39">
        <v>45996.0</v>
      </c>
      <c r="D229" s="33" t="s">
        <v>440</v>
      </c>
      <c r="E229" s="40">
        <v>106.91</v>
      </c>
      <c r="F229" s="40">
        <v>0.0</v>
      </c>
      <c r="G229" s="33" t="s">
        <v>442</v>
      </c>
    </row>
    <row r="230" ht="15.75" customHeight="1">
      <c r="A230" s="33" t="s">
        <v>1339</v>
      </c>
      <c r="B230" s="33" t="s">
        <v>1340</v>
      </c>
      <c r="C230" s="39">
        <v>46051.0</v>
      </c>
      <c r="D230" s="33" t="s">
        <v>479</v>
      </c>
      <c r="E230" s="40">
        <v>24.35</v>
      </c>
      <c r="F230" s="40">
        <v>0.26</v>
      </c>
      <c r="G230" s="33" t="s">
        <v>431</v>
      </c>
    </row>
    <row r="231" ht="15.75" customHeight="1">
      <c r="A231" s="33" t="s">
        <v>1345</v>
      </c>
      <c r="B231" s="33" t="s">
        <v>1346</v>
      </c>
      <c r="C231" s="39">
        <v>45881.0</v>
      </c>
      <c r="D231" s="33" t="s">
        <v>440</v>
      </c>
      <c r="E231" s="40">
        <v>27.06</v>
      </c>
      <c r="F231" s="40">
        <v>0.0</v>
      </c>
      <c r="G231" s="33" t="s">
        <v>431</v>
      </c>
    </row>
    <row r="232" ht="15.75" customHeight="1">
      <c r="A232" s="33" t="s">
        <v>1349</v>
      </c>
      <c r="B232" s="33" t="s">
        <v>711</v>
      </c>
      <c r="C232" s="39">
        <v>45750.0</v>
      </c>
      <c r="D232" s="33" t="s">
        <v>479</v>
      </c>
      <c r="E232" s="40">
        <v>45.38</v>
      </c>
      <c r="F232" s="40">
        <v>0.43</v>
      </c>
      <c r="G232" s="33" t="s">
        <v>442</v>
      </c>
    </row>
    <row r="233" ht="15.75" customHeight="1">
      <c r="A233" s="33" t="s">
        <v>1351</v>
      </c>
      <c r="B233" s="33" t="s">
        <v>1127</v>
      </c>
      <c r="C233" s="39">
        <v>45759.0</v>
      </c>
      <c r="D233" s="33" t="s">
        <v>435</v>
      </c>
      <c r="E233" s="40">
        <v>30.95</v>
      </c>
      <c r="F233" s="40">
        <v>0.0</v>
      </c>
      <c r="G233" s="33" t="s">
        <v>431</v>
      </c>
    </row>
    <row r="234" ht="15.75" customHeight="1">
      <c r="A234" s="33" t="s">
        <v>1355</v>
      </c>
      <c r="B234" s="33" t="s">
        <v>492</v>
      </c>
      <c r="C234" s="39">
        <v>46228.0</v>
      </c>
      <c r="D234" s="33" t="s">
        <v>428</v>
      </c>
      <c r="E234" s="40">
        <v>47.58</v>
      </c>
      <c r="F234" s="40">
        <v>0.0</v>
      </c>
      <c r="G234" s="33" t="s">
        <v>431</v>
      </c>
    </row>
    <row r="235" ht="15.75" customHeight="1">
      <c r="A235" s="33" t="s">
        <v>1357</v>
      </c>
      <c r="B235" s="33" t="s">
        <v>1359</v>
      </c>
      <c r="C235" s="39">
        <v>45964.0</v>
      </c>
      <c r="D235" s="33" t="s">
        <v>461</v>
      </c>
      <c r="E235" s="40">
        <v>66.39</v>
      </c>
      <c r="F235" s="40">
        <v>0.6</v>
      </c>
      <c r="G235" s="33" t="s">
        <v>450</v>
      </c>
    </row>
    <row r="236" ht="15.75" customHeight="1">
      <c r="A236" s="33" t="s">
        <v>1362</v>
      </c>
      <c r="B236" s="33" t="s">
        <v>790</v>
      </c>
      <c r="C236" s="39">
        <v>45911.0</v>
      </c>
      <c r="D236" s="33" t="s">
        <v>428</v>
      </c>
      <c r="E236" s="40">
        <v>26.0</v>
      </c>
      <c r="F236" s="40">
        <v>0.0</v>
      </c>
      <c r="G236" s="33" t="s">
        <v>442</v>
      </c>
    </row>
    <row r="237" ht="15.75" customHeight="1">
      <c r="A237" s="33" t="s">
        <v>1365</v>
      </c>
      <c r="B237" s="33" t="s">
        <v>812</v>
      </c>
      <c r="C237" s="39">
        <v>45851.0</v>
      </c>
      <c r="D237" s="33" t="s">
        <v>440</v>
      </c>
      <c r="E237" s="40">
        <v>46.27</v>
      </c>
      <c r="F237" s="40">
        <v>0.0</v>
      </c>
      <c r="G237" s="33" t="s">
        <v>431</v>
      </c>
    </row>
    <row r="238" ht="15.75" customHeight="1">
      <c r="A238" s="33" t="s">
        <v>1367</v>
      </c>
      <c r="B238" s="33" t="s">
        <v>1368</v>
      </c>
      <c r="C238" s="39">
        <v>46096.0</v>
      </c>
      <c r="D238" s="33" t="s">
        <v>428</v>
      </c>
      <c r="E238" s="40">
        <v>71.15</v>
      </c>
      <c r="F238" s="40">
        <v>0.0</v>
      </c>
      <c r="G238" s="33" t="s">
        <v>431</v>
      </c>
    </row>
    <row r="239" ht="15.75" customHeight="1">
      <c r="A239" s="33" t="s">
        <v>1371</v>
      </c>
      <c r="B239" s="33" t="s">
        <v>1372</v>
      </c>
      <c r="C239" s="39">
        <v>46212.0</v>
      </c>
      <c r="D239" s="33" t="s">
        <v>479</v>
      </c>
      <c r="E239" s="40">
        <v>35.56</v>
      </c>
      <c r="F239" s="40">
        <v>0.49</v>
      </c>
      <c r="G239" s="33" t="s">
        <v>431</v>
      </c>
    </row>
    <row r="240" ht="15.75" customHeight="1">
      <c r="A240" s="33" t="s">
        <v>1373</v>
      </c>
      <c r="B240" s="33" t="s">
        <v>1374</v>
      </c>
      <c r="C240" s="39">
        <v>46124.0</v>
      </c>
      <c r="D240" s="33" t="s">
        <v>435</v>
      </c>
      <c r="E240" s="40">
        <v>21.68</v>
      </c>
      <c r="F240" s="40">
        <v>0.0</v>
      </c>
      <c r="G240" s="33" t="s">
        <v>431</v>
      </c>
    </row>
    <row r="241" ht="15.75" customHeight="1">
      <c r="A241" s="33" t="s">
        <v>1376</v>
      </c>
      <c r="B241" s="33" t="s">
        <v>1174</v>
      </c>
      <c r="C241" s="39">
        <v>45982.0</v>
      </c>
      <c r="D241" s="33" t="s">
        <v>440</v>
      </c>
      <c r="E241" s="40">
        <v>37.93</v>
      </c>
      <c r="F241" s="40">
        <v>0.0</v>
      </c>
      <c r="G241" s="33" t="s">
        <v>450</v>
      </c>
    </row>
    <row r="242" ht="15.75" customHeight="1">
      <c r="A242" s="33" t="s">
        <v>1379</v>
      </c>
      <c r="B242" s="33" t="s">
        <v>234</v>
      </c>
      <c r="C242" s="39">
        <v>45946.0</v>
      </c>
      <c r="D242" s="33" t="s">
        <v>428</v>
      </c>
      <c r="E242" s="40">
        <v>53.82</v>
      </c>
      <c r="F242" s="40">
        <v>0.0</v>
      </c>
      <c r="G242" s="33" t="s">
        <v>450</v>
      </c>
    </row>
    <row r="243" ht="15.75" customHeight="1">
      <c r="A243" s="33" t="s">
        <v>1381</v>
      </c>
      <c r="B243" s="33" t="s">
        <v>1382</v>
      </c>
      <c r="C243" s="39">
        <v>46183.0</v>
      </c>
      <c r="D243" s="33" t="s">
        <v>461</v>
      </c>
      <c r="E243" s="40">
        <v>14.21</v>
      </c>
      <c r="F243" s="40">
        <v>0.22</v>
      </c>
      <c r="G243" s="33" t="s">
        <v>431</v>
      </c>
    </row>
    <row r="244" ht="15.75" customHeight="1">
      <c r="A244" s="33" t="s">
        <v>1385</v>
      </c>
      <c r="B244" s="33" t="s">
        <v>749</v>
      </c>
      <c r="C244" s="39">
        <v>46177.0</v>
      </c>
      <c r="D244" s="33" t="s">
        <v>461</v>
      </c>
      <c r="E244" s="40">
        <v>108.09</v>
      </c>
      <c r="F244" s="40">
        <v>0.89</v>
      </c>
      <c r="G244" s="33" t="s">
        <v>450</v>
      </c>
    </row>
    <row r="245" ht="15.75" customHeight="1">
      <c r="A245" s="33" t="s">
        <v>1387</v>
      </c>
      <c r="B245" s="33" t="s">
        <v>322</v>
      </c>
      <c r="C245" s="39">
        <v>45894.0</v>
      </c>
      <c r="D245" s="33" t="s">
        <v>440</v>
      </c>
      <c r="E245" s="40">
        <v>56.2</v>
      </c>
      <c r="F245" s="40">
        <v>0.0</v>
      </c>
      <c r="G245" s="33" t="s">
        <v>450</v>
      </c>
    </row>
    <row r="246" ht="15.75" customHeight="1">
      <c r="A246" s="33" t="s">
        <v>1391</v>
      </c>
      <c r="B246" s="33" t="s">
        <v>1393</v>
      </c>
      <c r="C246" s="39">
        <v>46243.0</v>
      </c>
      <c r="D246" s="33" t="s">
        <v>461</v>
      </c>
      <c r="E246" s="40">
        <v>38.12</v>
      </c>
      <c r="F246" s="40">
        <v>0.49</v>
      </c>
      <c r="G246" s="33" t="s">
        <v>442</v>
      </c>
    </row>
    <row r="247" ht="15.75" customHeight="1">
      <c r="A247" s="33" t="s">
        <v>1394</v>
      </c>
      <c r="B247" s="33" t="s">
        <v>539</v>
      </c>
      <c r="C247" s="39">
        <v>46160.0</v>
      </c>
      <c r="D247" s="33" t="s">
        <v>428</v>
      </c>
      <c r="E247" s="40">
        <v>16.79</v>
      </c>
      <c r="F247" s="40">
        <v>0.0</v>
      </c>
      <c r="G247" s="33" t="s">
        <v>431</v>
      </c>
    </row>
    <row r="248" ht="15.75" customHeight="1">
      <c r="A248" s="33" t="s">
        <v>1398</v>
      </c>
      <c r="B248" s="33" t="s">
        <v>1399</v>
      </c>
      <c r="C248" s="39">
        <v>46171.0</v>
      </c>
      <c r="D248" s="33" t="s">
        <v>435</v>
      </c>
      <c r="E248" s="40">
        <v>98.32</v>
      </c>
      <c r="F248" s="40">
        <v>0.0</v>
      </c>
      <c r="G248" s="33" t="s">
        <v>450</v>
      </c>
    </row>
    <row r="249" ht="15.75" customHeight="1">
      <c r="A249" s="33" t="s">
        <v>1404</v>
      </c>
      <c r="B249" s="33" t="s">
        <v>1405</v>
      </c>
      <c r="C249" s="39">
        <v>45692.0</v>
      </c>
      <c r="D249" s="33" t="s">
        <v>440</v>
      </c>
      <c r="E249" s="40">
        <v>161.16</v>
      </c>
      <c r="F249" s="40">
        <v>0.0</v>
      </c>
      <c r="G249" s="33" t="s">
        <v>431</v>
      </c>
    </row>
    <row r="250" ht="15.75" customHeight="1">
      <c r="A250" s="33" t="s">
        <v>1406</v>
      </c>
      <c r="B250" s="33" t="s">
        <v>1375</v>
      </c>
      <c r="C250" s="39">
        <v>45736.0</v>
      </c>
      <c r="D250" s="33" t="s">
        <v>435</v>
      </c>
      <c r="E250" s="40">
        <v>44.53</v>
      </c>
      <c r="F250" s="40">
        <v>0.0</v>
      </c>
      <c r="G250" s="33" t="s">
        <v>450</v>
      </c>
    </row>
    <row r="251" ht="15.75" customHeight="1">
      <c r="A251" s="33" t="s">
        <v>1411</v>
      </c>
      <c r="B251" s="33" t="s">
        <v>1340</v>
      </c>
      <c r="C251" s="39">
        <v>45838.0</v>
      </c>
      <c r="D251" s="33" t="s">
        <v>435</v>
      </c>
      <c r="E251" s="40">
        <v>240.82</v>
      </c>
      <c r="F251" s="40">
        <v>0.0</v>
      </c>
      <c r="G251" s="33" t="s">
        <v>450</v>
      </c>
    </row>
    <row r="252" ht="15.75" customHeight="1">
      <c r="A252" s="33" t="s">
        <v>1412</v>
      </c>
      <c r="B252" s="33" t="s">
        <v>426</v>
      </c>
      <c r="C252" s="39">
        <v>46120.0</v>
      </c>
      <c r="D252" s="33" t="s">
        <v>428</v>
      </c>
      <c r="E252" s="40">
        <v>68.58</v>
      </c>
      <c r="F252" s="40">
        <v>0.0</v>
      </c>
      <c r="G252" s="33" t="s">
        <v>431</v>
      </c>
    </row>
    <row r="253" ht="15.75" customHeight="1">
      <c r="A253" s="33" t="s">
        <v>1415</v>
      </c>
      <c r="B253" s="33" t="s">
        <v>1416</v>
      </c>
      <c r="C253" s="39">
        <v>45705.0</v>
      </c>
      <c r="D253" s="33" t="s">
        <v>440</v>
      </c>
      <c r="E253" s="40">
        <v>70.55</v>
      </c>
      <c r="F253" s="40">
        <v>0.0</v>
      </c>
      <c r="G253" s="33" t="s">
        <v>450</v>
      </c>
    </row>
    <row r="254" ht="15.75" customHeight="1">
      <c r="A254" s="33" t="s">
        <v>1420</v>
      </c>
      <c r="B254" s="33" t="s">
        <v>1421</v>
      </c>
      <c r="C254" s="39">
        <v>45708.0</v>
      </c>
      <c r="D254" s="33" t="s">
        <v>435</v>
      </c>
      <c r="E254" s="40">
        <v>130.09</v>
      </c>
      <c r="F254" s="40">
        <v>0.0</v>
      </c>
      <c r="G254" s="33" t="s">
        <v>431</v>
      </c>
    </row>
    <row r="255" ht="15.75" customHeight="1">
      <c r="A255" s="33" t="s">
        <v>1423</v>
      </c>
      <c r="B255" s="33" t="s">
        <v>1424</v>
      </c>
      <c r="C255" s="39">
        <v>45677.0</v>
      </c>
      <c r="D255" s="33" t="s">
        <v>435</v>
      </c>
      <c r="E255" s="40">
        <v>102.09</v>
      </c>
      <c r="F255" s="40">
        <v>0.0</v>
      </c>
      <c r="G255" s="33" t="s">
        <v>431</v>
      </c>
    </row>
    <row r="256" ht="15.75" customHeight="1">
      <c r="A256" s="33" t="s">
        <v>1426</v>
      </c>
      <c r="B256" s="33" t="s">
        <v>783</v>
      </c>
      <c r="C256" s="39">
        <v>45774.0</v>
      </c>
      <c r="D256" s="33" t="s">
        <v>428</v>
      </c>
      <c r="E256" s="40">
        <v>24.19</v>
      </c>
      <c r="F256" s="40">
        <v>0.0</v>
      </c>
      <c r="G256" s="33" t="s">
        <v>442</v>
      </c>
    </row>
    <row r="257" ht="15.75" customHeight="1">
      <c r="A257" s="33" t="s">
        <v>1429</v>
      </c>
      <c r="B257" s="33" t="s">
        <v>250</v>
      </c>
      <c r="C257" s="39">
        <v>46215.0</v>
      </c>
      <c r="D257" s="33" t="s">
        <v>479</v>
      </c>
      <c r="E257" s="40">
        <v>43.12</v>
      </c>
      <c r="F257" s="40">
        <v>0.67</v>
      </c>
      <c r="G257" s="33" t="s">
        <v>450</v>
      </c>
    </row>
    <row r="258" ht="15.75" customHeight="1">
      <c r="A258" s="33" t="s">
        <v>1433</v>
      </c>
      <c r="B258" s="33" t="s">
        <v>902</v>
      </c>
      <c r="C258" s="39">
        <v>46095.0</v>
      </c>
      <c r="D258" s="33" t="s">
        <v>461</v>
      </c>
      <c r="E258" s="40">
        <v>145.86</v>
      </c>
      <c r="F258" s="40">
        <v>2.38</v>
      </c>
      <c r="G258" s="33" t="s">
        <v>431</v>
      </c>
    </row>
    <row r="259" ht="15.75" customHeight="1">
      <c r="A259" s="33" t="s">
        <v>1434</v>
      </c>
      <c r="B259" s="33" t="s">
        <v>1217</v>
      </c>
      <c r="C259" s="39">
        <v>46093.0</v>
      </c>
      <c r="D259" s="33" t="s">
        <v>440</v>
      </c>
      <c r="E259" s="40">
        <v>103.58</v>
      </c>
      <c r="F259" s="40">
        <v>0.0</v>
      </c>
      <c r="G259" s="33" t="s">
        <v>450</v>
      </c>
    </row>
    <row r="260" ht="15.75" customHeight="1">
      <c r="A260" s="33" t="s">
        <v>1439</v>
      </c>
      <c r="B260" s="33" t="s">
        <v>220</v>
      </c>
      <c r="C260" s="39">
        <v>45835.0</v>
      </c>
      <c r="D260" s="33" t="s">
        <v>461</v>
      </c>
      <c r="E260" s="40">
        <v>242.29</v>
      </c>
      <c r="F260" s="40">
        <v>2.74</v>
      </c>
      <c r="G260" s="33" t="s">
        <v>450</v>
      </c>
    </row>
    <row r="261" ht="15.75" customHeight="1">
      <c r="A261" s="33" t="s">
        <v>1441</v>
      </c>
      <c r="B261" s="33" t="s">
        <v>931</v>
      </c>
      <c r="C261" s="39">
        <v>46037.0</v>
      </c>
      <c r="D261" s="33" t="s">
        <v>428</v>
      </c>
      <c r="E261" s="40">
        <v>92.31</v>
      </c>
      <c r="F261" s="40">
        <v>0.0</v>
      </c>
      <c r="G261" s="33" t="s">
        <v>450</v>
      </c>
    </row>
    <row r="262" ht="15.75" customHeight="1">
      <c r="A262" s="33" t="s">
        <v>1446</v>
      </c>
      <c r="B262" s="33" t="s">
        <v>1247</v>
      </c>
      <c r="C262" s="39">
        <v>46130.0</v>
      </c>
      <c r="D262" s="33" t="s">
        <v>461</v>
      </c>
      <c r="E262" s="40">
        <v>106.14</v>
      </c>
      <c r="F262" s="40">
        <v>1.79</v>
      </c>
      <c r="G262" s="33" t="s">
        <v>450</v>
      </c>
    </row>
    <row r="263" ht="15.75" customHeight="1">
      <c r="A263" s="33" t="s">
        <v>1450</v>
      </c>
      <c r="B263" s="33" t="s">
        <v>1451</v>
      </c>
      <c r="C263" s="39">
        <v>45981.0</v>
      </c>
      <c r="D263" s="33" t="s">
        <v>479</v>
      </c>
      <c r="E263" s="40">
        <v>37.82</v>
      </c>
      <c r="F263" s="40">
        <v>0.68</v>
      </c>
      <c r="G263" s="33" t="s">
        <v>450</v>
      </c>
    </row>
    <row r="264" ht="15.75" customHeight="1">
      <c r="A264" s="33" t="s">
        <v>1453</v>
      </c>
      <c r="B264" s="33" t="s">
        <v>913</v>
      </c>
      <c r="C264" s="39">
        <v>46177.0</v>
      </c>
      <c r="D264" s="33" t="s">
        <v>440</v>
      </c>
      <c r="E264" s="40">
        <v>159.46</v>
      </c>
      <c r="F264" s="40">
        <v>0.0</v>
      </c>
      <c r="G264" s="33" t="s">
        <v>442</v>
      </c>
    </row>
    <row r="265" ht="15.75" customHeight="1">
      <c r="A265" s="33" t="s">
        <v>1455</v>
      </c>
      <c r="B265" s="33" t="s">
        <v>855</v>
      </c>
      <c r="C265" s="39">
        <v>46003.0</v>
      </c>
      <c r="D265" s="33" t="s">
        <v>440</v>
      </c>
      <c r="E265" s="40">
        <v>6.39</v>
      </c>
      <c r="F265" s="40">
        <v>0.0</v>
      </c>
      <c r="G265" s="33" t="s">
        <v>450</v>
      </c>
    </row>
    <row r="266" ht="15.75" customHeight="1">
      <c r="A266" s="33" t="s">
        <v>1457</v>
      </c>
      <c r="B266" s="33" t="s">
        <v>464</v>
      </c>
      <c r="C266" s="39">
        <v>45855.0</v>
      </c>
      <c r="D266" s="33" t="s">
        <v>479</v>
      </c>
      <c r="E266" s="40">
        <v>80.15</v>
      </c>
      <c r="F266" s="40">
        <v>1.16</v>
      </c>
      <c r="G266" s="33" t="s">
        <v>442</v>
      </c>
    </row>
    <row r="267" ht="15.75" customHeight="1">
      <c r="A267" s="33" t="s">
        <v>1461</v>
      </c>
      <c r="B267" s="33" t="s">
        <v>1463</v>
      </c>
      <c r="C267" s="39">
        <v>46045.0</v>
      </c>
      <c r="D267" s="33" t="s">
        <v>479</v>
      </c>
      <c r="E267" s="40">
        <v>108.44</v>
      </c>
      <c r="F267" s="40">
        <v>1.4</v>
      </c>
      <c r="G267" s="33" t="s">
        <v>450</v>
      </c>
    </row>
    <row r="268" ht="15.75" customHeight="1">
      <c r="A268" s="33" t="s">
        <v>1465</v>
      </c>
      <c r="B268" s="33" t="s">
        <v>1467</v>
      </c>
      <c r="C268" s="39">
        <v>46230.0</v>
      </c>
      <c r="D268" s="33" t="s">
        <v>435</v>
      </c>
      <c r="E268" s="40">
        <v>87.86</v>
      </c>
      <c r="F268" s="40">
        <v>0.0</v>
      </c>
      <c r="G268" s="33" t="s">
        <v>442</v>
      </c>
    </row>
    <row r="269" ht="15.75" customHeight="1">
      <c r="A269" s="33" t="s">
        <v>1468</v>
      </c>
      <c r="B269" s="33" t="s">
        <v>1470</v>
      </c>
      <c r="C269" s="39">
        <v>46159.0</v>
      </c>
      <c r="D269" s="33" t="s">
        <v>435</v>
      </c>
      <c r="E269" s="40">
        <v>69.03</v>
      </c>
      <c r="F269" s="40">
        <v>0.0</v>
      </c>
      <c r="G269" s="33" t="s">
        <v>431</v>
      </c>
    </row>
    <row r="270" ht="15.75" customHeight="1">
      <c r="A270" s="33" t="s">
        <v>1472</v>
      </c>
      <c r="B270" s="33" t="s">
        <v>1473</v>
      </c>
      <c r="C270" s="39">
        <v>45960.0</v>
      </c>
      <c r="D270" s="33" t="s">
        <v>479</v>
      </c>
      <c r="E270" s="40">
        <v>63.14</v>
      </c>
      <c r="F270" s="40">
        <v>0.43</v>
      </c>
      <c r="G270" s="33" t="s">
        <v>450</v>
      </c>
    </row>
    <row r="271" ht="15.75" customHeight="1">
      <c r="A271" s="33" t="s">
        <v>1478</v>
      </c>
      <c r="B271" s="33" t="s">
        <v>931</v>
      </c>
      <c r="C271" s="39">
        <v>46020.0</v>
      </c>
      <c r="D271" s="33" t="s">
        <v>435</v>
      </c>
      <c r="E271" s="40">
        <v>71.25</v>
      </c>
      <c r="F271" s="40">
        <v>0.0</v>
      </c>
      <c r="G271" s="33" t="s">
        <v>431</v>
      </c>
    </row>
    <row r="272" ht="15.75" customHeight="1">
      <c r="A272" s="33" t="s">
        <v>1480</v>
      </c>
      <c r="B272" s="33" t="s">
        <v>1421</v>
      </c>
      <c r="C272" s="39">
        <v>46250.0</v>
      </c>
      <c r="D272" s="33" t="s">
        <v>479</v>
      </c>
      <c r="E272" s="40">
        <v>27.95</v>
      </c>
      <c r="F272" s="40">
        <v>0.55</v>
      </c>
      <c r="G272" s="33" t="s">
        <v>450</v>
      </c>
    </row>
    <row r="273" ht="15.75" customHeight="1">
      <c r="A273" s="33" t="s">
        <v>1484</v>
      </c>
      <c r="B273" s="33" t="s">
        <v>1485</v>
      </c>
      <c r="C273" s="39">
        <v>46112.0</v>
      </c>
      <c r="D273" s="33" t="s">
        <v>440</v>
      </c>
      <c r="E273" s="40">
        <v>87.52</v>
      </c>
      <c r="F273" s="40">
        <v>0.0</v>
      </c>
      <c r="G273" s="33" t="s">
        <v>431</v>
      </c>
    </row>
    <row r="274" ht="15.75" customHeight="1">
      <c r="A274" s="33" t="s">
        <v>1487</v>
      </c>
      <c r="B274" s="33" t="s">
        <v>1488</v>
      </c>
      <c r="C274" s="39">
        <v>45963.0</v>
      </c>
      <c r="D274" s="33" t="s">
        <v>440</v>
      </c>
      <c r="E274" s="40">
        <v>38.2</v>
      </c>
      <c r="F274" s="40">
        <v>0.0</v>
      </c>
      <c r="G274" s="33" t="s">
        <v>450</v>
      </c>
    </row>
    <row r="275" ht="15.75" customHeight="1">
      <c r="A275" s="33" t="s">
        <v>1491</v>
      </c>
      <c r="B275" s="33" t="s">
        <v>309</v>
      </c>
      <c r="C275" s="39">
        <v>45828.0</v>
      </c>
      <c r="D275" s="33" t="s">
        <v>435</v>
      </c>
      <c r="E275" s="40">
        <v>44.56</v>
      </c>
      <c r="F275" s="40">
        <v>0.0</v>
      </c>
      <c r="G275" s="33" t="s">
        <v>450</v>
      </c>
    </row>
    <row r="276" ht="15.75" customHeight="1">
      <c r="A276" s="33" t="s">
        <v>1493</v>
      </c>
      <c r="B276" s="33" t="s">
        <v>1495</v>
      </c>
      <c r="C276" s="39">
        <v>46207.0</v>
      </c>
      <c r="D276" s="33" t="s">
        <v>479</v>
      </c>
      <c r="E276" s="40">
        <v>25.04</v>
      </c>
      <c r="F276" s="40">
        <v>0.3</v>
      </c>
      <c r="G276" s="33" t="s">
        <v>450</v>
      </c>
    </row>
    <row r="277" ht="15.75" customHeight="1">
      <c r="A277" s="33" t="s">
        <v>1496</v>
      </c>
      <c r="B277" s="33" t="s">
        <v>1289</v>
      </c>
      <c r="C277" s="39">
        <v>46250.0</v>
      </c>
      <c r="D277" s="33" t="s">
        <v>435</v>
      </c>
      <c r="E277" s="40">
        <v>392.09</v>
      </c>
      <c r="F277" s="40">
        <v>0.0</v>
      </c>
      <c r="G277" s="33" t="s">
        <v>442</v>
      </c>
    </row>
    <row r="278" ht="15.75" customHeight="1">
      <c r="A278" s="33" t="s">
        <v>1498</v>
      </c>
      <c r="B278" s="33" t="s">
        <v>539</v>
      </c>
      <c r="C278" s="39">
        <v>45700.0</v>
      </c>
      <c r="D278" s="33" t="s">
        <v>461</v>
      </c>
      <c r="E278" s="40">
        <v>83.03</v>
      </c>
      <c r="F278" s="40">
        <v>0.61</v>
      </c>
      <c r="G278" s="33" t="s">
        <v>442</v>
      </c>
    </row>
    <row r="279" ht="15.75" customHeight="1">
      <c r="A279" s="33" t="s">
        <v>1501</v>
      </c>
      <c r="B279" s="33" t="s">
        <v>1503</v>
      </c>
      <c r="C279" s="39">
        <v>45677.0</v>
      </c>
      <c r="D279" s="33" t="s">
        <v>428</v>
      </c>
      <c r="E279" s="40">
        <v>20.25</v>
      </c>
      <c r="F279" s="40">
        <v>0.0</v>
      </c>
      <c r="G279" s="33" t="s">
        <v>450</v>
      </c>
    </row>
    <row r="280" ht="15.75" customHeight="1">
      <c r="A280" s="33" t="s">
        <v>1507</v>
      </c>
      <c r="B280" s="33" t="s">
        <v>1360</v>
      </c>
      <c r="C280" s="39">
        <v>45727.0</v>
      </c>
      <c r="D280" s="33" t="s">
        <v>428</v>
      </c>
      <c r="E280" s="40">
        <v>76.68</v>
      </c>
      <c r="F280" s="40">
        <v>0.0</v>
      </c>
      <c r="G280" s="33" t="s">
        <v>450</v>
      </c>
    </row>
    <row r="281" ht="15.75" customHeight="1">
      <c r="A281" s="33" t="s">
        <v>1508</v>
      </c>
      <c r="B281" s="33" t="s">
        <v>1510</v>
      </c>
      <c r="C281" s="39">
        <v>45892.0</v>
      </c>
      <c r="D281" s="33" t="s">
        <v>461</v>
      </c>
      <c r="E281" s="40">
        <v>158.24</v>
      </c>
      <c r="F281" s="40">
        <v>1.14</v>
      </c>
      <c r="G281" s="33" t="s">
        <v>442</v>
      </c>
    </row>
    <row r="282" ht="15.75" customHeight="1">
      <c r="A282" s="33" t="s">
        <v>1512</v>
      </c>
      <c r="B282" s="33" t="s">
        <v>548</v>
      </c>
      <c r="C282" s="39">
        <v>45755.0</v>
      </c>
      <c r="D282" s="33" t="s">
        <v>428</v>
      </c>
      <c r="E282" s="40">
        <v>86.81</v>
      </c>
      <c r="F282" s="40">
        <v>0.0</v>
      </c>
      <c r="G282" s="33" t="s">
        <v>442</v>
      </c>
    </row>
    <row r="283" ht="15.75" customHeight="1">
      <c r="A283" s="33" t="s">
        <v>1515</v>
      </c>
      <c r="B283" s="33" t="s">
        <v>697</v>
      </c>
      <c r="C283" s="39">
        <v>46193.0</v>
      </c>
      <c r="D283" s="33" t="s">
        <v>428</v>
      </c>
      <c r="E283" s="40">
        <v>67.62</v>
      </c>
      <c r="F283" s="40">
        <v>0.0</v>
      </c>
      <c r="G283" s="33" t="s">
        <v>431</v>
      </c>
    </row>
    <row r="284" ht="15.75" customHeight="1">
      <c r="A284" s="33" t="s">
        <v>1518</v>
      </c>
      <c r="B284" s="33" t="s">
        <v>1510</v>
      </c>
      <c r="C284" s="39">
        <v>46212.0</v>
      </c>
      <c r="D284" s="33" t="s">
        <v>461</v>
      </c>
      <c r="E284" s="40">
        <v>35.5</v>
      </c>
      <c r="F284" s="40">
        <v>0.24</v>
      </c>
      <c r="G284" s="33" t="s">
        <v>431</v>
      </c>
    </row>
    <row r="285" ht="15.75" customHeight="1">
      <c r="A285" s="33" t="s">
        <v>1520</v>
      </c>
      <c r="B285" s="33" t="s">
        <v>320</v>
      </c>
      <c r="C285" s="39">
        <v>45767.0</v>
      </c>
      <c r="D285" s="33" t="s">
        <v>440</v>
      </c>
      <c r="E285" s="40">
        <v>86.91</v>
      </c>
      <c r="F285" s="40">
        <v>0.0</v>
      </c>
      <c r="G285" s="33" t="s">
        <v>450</v>
      </c>
    </row>
    <row r="286" ht="15.75" customHeight="1">
      <c r="A286" s="33" t="s">
        <v>1522</v>
      </c>
      <c r="B286" s="33" t="s">
        <v>1524</v>
      </c>
      <c r="C286" s="39">
        <v>46161.0</v>
      </c>
      <c r="D286" s="33" t="s">
        <v>479</v>
      </c>
      <c r="E286" s="40">
        <v>120.71</v>
      </c>
      <c r="F286" s="40">
        <v>0.81</v>
      </c>
      <c r="G286" s="33" t="s">
        <v>450</v>
      </c>
    </row>
    <row r="287" ht="15.75" customHeight="1">
      <c r="A287" s="33" t="s">
        <v>1526</v>
      </c>
      <c r="B287" s="33" t="s">
        <v>1527</v>
      </c>
      <c r="C287" s="39">
        <v>45743.0</v>
      </c>
      <c r="D287" s="33" t="s">
        <v>428</v>
      </c>
      <c r="E287" s="40">
        <v>121.64</v>
      </c>
      <c r="F287" s="40">
        <v>0.0</v>
      </c>
      <c r="G287" s="33" t="s">
        <v>431</v>
      </c>
    </row>
    <row r="288" ht="15.75" customHeight="1">
      <c r="A288" s="33" t="s">
        <v>1531</v>
      </c>
      <c r="B288" s="33" t="s">
        <v>1533</v>
      </c>
      <c r="C288" s="39">
        <v>46135.0</v>
      </c>
      <c r="D288" s="33" t="s">
        <v>461</v>
      </c>
      <c r="E288" s="40">
        <v>80.94</v>
      </c>
      <c r="F288" s="40">
        <v>1.51</v>
      </c>
      <c r="G288" s="33" t="s">
        <v>450</v>
      </c>
    </row>
    <row r="289" ht="15.75" customHeight="1">
      <c r="A289" s="33" t="s">
        <v>1535</v>
      </c>
      <c r="B289" s="33" t="s">
        <v>1247</v>
      </c>
      <c r="C289" s="39">
        <v>45879.0</v>
      </c>
      <c r="D289" s="33" t="s">
        <v>440</v>
      </c>
      <c r="E289" s="40">
        <v>80.75</v>
      </c>
      <c r="F289" s="40">
        <v>0.0</v>
      </c>
      <c r="G289" s="33" t="s">
        <v>431</v>
      </c>
    </row>
    <row r="290" ht="15.75" customHeight="1">
      <c r="A290" s="33" t="s">
        <v>1540</v>
      </c>
      <c r="B290" s="33" t="s">
        <v>1541</v>
      </c>
      <c r="C290" s="39">
        <v>45682.0</v>
      </c>
      <c r="D290" s="33" t="s">
        <v>435</v>
      </c>
      <c r="E290" s="40">
        <v>176.35</v>
      </c>
      <c r="F290" s="40">
        <v>0.0</v>
      </c>
      <c r="G290" s="33" t="s">
        <v>450</v>
      </c>
    </row>
    <row r="291" ht="15.75" customHeight="1">
      <c r="A291" s="33" t="s">
        <v>1542</v>
      </c>
      <c r="B291" s="33" t="s">
        <v>1488</v>
      </c>
      <c r="C291" s="39">
        <v>45917.0</v>
      </c>
      <c r="D291" s="33" t="s">
        <v>435</v>
      </c>
      <c r="E291" s="40">
        <v>163.9</v>
      </c>
      <c r="F291" s="40">
        <v>0.0</v>
      </c>
      <c r="G291" s="33" t="s">
        <v>450</v>
      </c>
    </row>
    <row r="292" ht="15.75" customHeight="1">
      <c r="A292" s="33" t="s">
        <v>1546</v>
      </c>
      <c r="B292" s="33" t="s">
        <v>576</v>
      </c>
      <c r="C292" s="39">
        <v>46157.0</v>
      </c>
      <c r="D292" s="33" t="s">
        <v>440</v>
      </c>
      <c r="E292" s="40">
        <v>60.35</v>
      </c>
      <c r="F292" s="40">
        <v>0.0</v>
      </c>
      <c r="G292" s="33" t="s">
        <v>450</v>
      </c>
    </row>
    <row r="293" ht="15.75" customHeight="1">
      <c r="A293" s="33" t="s">
        <v>1550</v>
      </c>
      <c r="B293" s="33" t="s">
        <v>701</v>
      </c>
      <c r="C293" s="39">
        <v>46224.0</v>
      </c>
      <c r="D293" s="33" t="s">
        <v>428</v>
      </c>
      <c r="E293" s="40">
        <v>228.51</v>
      </c>
      <c r="F293" s="40">
        <v>0.0</v>
      </c>
      <c r="G293" s="33" t="s">
        <v>431</v>
      </c>
    </row>
    <row r="294" ht="15.75" customHeight="1">
      <c r="A294" s="33" t="s">
        <v>1553</v>
      </c>
      <c r="B294" s="33" t="s">
        <v>1554</v>
      </c>
      <c r="C294" s="39">
        <v>45731.0</v>
      </c>
      <c r="D294" s="33" t="s">
        <v>479</v>
      </c>
      <c r="E294" s="40">
        <v>20.62</v>
      </c>
      <c r="F294" s="40">
        <v>0.33</v>
      </c>
      <c r="G294" s="33" t="s">
        <v>450</v>
      </c>
    </row>
    <row r="295" ht="15.75" customHeight="1">
      <c r="A295" s="33" t="s">
        <v>1559</v>
      </c>
      <c r="B295" s="33" t="s">
        <v>493</v>
      </c>
      <c r="C295" s="39">
        <v>46165.0</v>
      </c>
      <c r="D295" s="33" t="s">
        <v>435</v>
      </c>
      <c r="E295" s="40">
        <v>83.67</v>
      </c>
      <c r="F295" s="40">
        <v>0.0</v>
      </c>
      <c r="G295" s="33" t="s">
        <v>431</v>
      </c>
    </row>
    <row r="296" ht="15.75" customHeight="1">
      <c r="A296" s="33" t="s">
        <v>1563</v>
      </c>
      <c r="B296" s="33" t="s">
        <v>514</v>
      </c>
      <c r="C296" s="39">
        <v>45836.0</v>
      </c>
      <c r="D296" s="33" t="s">
        <v>428</v>
      </c>
      <c r="E296" s="40">
        <v>90.02</v>
      </c>
      <c r="F296" s="40">
        <v>0.0</v>
      </c>
      <c r="G296" s="33" t="s">
        <v>450</v>
      </c>
    </row>
    <row r="297" ht="15.75" customHeight="1">
      <c r="A297" s="33" t="s">
        <v>1565</v>
      </c>
      <c r="B297" s="33" t="s">
        <v>1188</v>
      </c>
      <c r="C297" s="39">
        <v>45939.0</v>
      </c>
      <c r="D297" s="33" t="s">
        <v>479</v>
      </c>
      <c r="E297" s="40">
        <v>33.68</v>
      </c>
      <c r="F297" s="40">
        <v>0.64</v>
      </c>
      <c r="G297" s="33" t="s">
        <v>450</v>
      </c>
    </row>
    <row r="298" ht="15.75" customHeight="1">
      <c r="A298" s="33" t="s">
        <v>1568</v>
      </c>
      <c r="B298" s="33" t="s">
        <v>408</v>
      </c>
      <c r="C298" s="39">
        <v>45724.0</v>
      </c>
      <c r="D298" s="33" t="s">
        <v>440</v>
      </c>
      <c r="E298" s="40">
        <v>16.43</v>
      </c>
      <c r="F298" s="40">
        <v>0.0</v>
      </c>
      <c r="G298" s="33" t="s">
        <v>450</v>
      </c>
    </row>
    <row r="299" ht="15.75" customHeight="1">
      <c r="A299" s="33" t="s">
        <v>1569</v>
      </c>
      <c r="B299" s="33" t="s">
        <v>1571</v>
      </c>
      <c r="C299" s="39">
        <v>46248.0</v>
      </c>
      <c r="D299" s="33" t="s">
        <v>428</v>
      </c>
      <c r="E299" s="40">
        <v>34.36</v>
      </c>
      <c r="F299" s="40">
        <v>0.0</v>
      </c>
      <c r="G299" s="33" t="s">
        <v>450</v>
      </c>
    </row>
    <row r="300" ht="15.75" customHeight="1">
      <c r="A300" s="33" t="s">
        <v>1573</v>
      </c>
      <c r="B300" s="33" t="s">
        <v>731</v>
      </c>
      <c r="C300" s="39">
        <v>46137.0</v>
      </c>
      <c r="D300" s="33" t="s">
        <v>440</v>
      </c>
      <c r="E300" s="40">
        <v>138.02</v>
      </c>
      <c r="F300" s="40">
        <v>0.0</v>
      </c>
      <c r="G300" s="33" t="s">
        <v>450</v>
      </c>
    </row>
    <row r="301" ht="15.75" customHeight="1">
      <c r="A301" s="33" t="s">
        <v>1578</v>
      </c>
      <c r="B301" s="33" t="s">
        <v>777</v>
      </c>
      <c r="C301" s="39">
        <v>46047.0</v>
      </c>
      <c r="D301" s="33" t="s">
        <v>461</v>
      </c>
      <c r="E301" s="40">
        <v>140.85</v>
      </c>
      <c r="F301" s="40">
        <v>1.61</v>
      </c>
      <c r="G301" s="33" t="s">
        <v>442</v>
      </c>
    </row>
    <row r="302" ht="15.75" customHeight="1">
      <c r="A302" s="33" t="s">
        <v>1580</v>
      </c>
      <c r="B302" s="33" t="s">
        <v>371</v>
      </c>
      <c r="C302" s="39">
        <v>46099.0</v>
      </c>
      <c r="D302" s="33" t="s">
        <v>428</v>
      </c>
      <c r="E302" s="40">
        <v>116.09</v>
      </c>
      <c r="F302" s="40">
        <v>0.0</v>
      </c>
      <c r="G302" s="33" t="s">
        <v>450</v>
      </c>
    </row>
    <row r="303" ht="15.75" customHeight="1">
      <c r="A303" s="33" t="s">
        <v>1583</v>
      </c>
      <c r="B303" s="33" t="s">
        <v>1256</v>
      </c>
      <c r="C303" s="39">
        <v>46188.0</v>
      </c>
      <c r="D303" s="33" t="s">
        <v>479</v>
      </c>
      <c r="E303" s="40">
        <v>38.79</v>
      </c>
      <c r="F303" s="40">
        <v>0.41</v>
      </c>
      <c r="G303" s="33" t="s">
        <v>442</v>
      </c>
    </row>
    <row r="304" ht="15.75" customHeight="1">
      <c r="A304" s="33" t="s">
        <v>1587</v>
      </c>
      <c r="B304" s="33" t="s">
        <v>462</v>
      </c>
      <c r="C304" s="39">
        <v>45745.0</v>
      </c>
      <c r="D304" s="33" t="s">
        <v>461</v>
      </c>
      <c r="E304" s="40">
        <v>142.07</v>
      </c>
      <c r="F304" s="40">
        <v>1.16</v>
      </c>
      <c r="G304" s="33" t="s">
        <v>450</v>
      </c>
    </row>
    <row r="305" ht="15.75" customHeight="1">
      <c r="A305" s="33" t="s">
        <v>1589</v>
      </c>
      <c r="B305" s="33" t="s">
        <v>750</v>
      </c>
      <c r="C305" s="39">
        <v>45807.0</v>
      </c>
      <c r="D305" s="33" t="s">
        <v>440</v>
      </c>
      <c r="E305" s="40">
        <v>41.17</v>
      </c>
      <c r="F305" s="40">
        <v>0.0</v>
      </c>
      <c r="G305" s="33" t="s">
        <v>450</v>
      </c>
    </row>
    <row r="306" ht="15.75" customHeight="1">
      <c r="A306" s="33" t="s">
        <v>1592</v>
      </c>
      <c r="B306" s="33" t="s">
        <v>407</v>
      </c>
      <c r="C306" s="39">
        <v>45680.0</v>
      </c>
      <c r="D306" s="33" t="s">
        <v>428</v>
      </c>
      <c r="E306" s="40">
        <v>87.5</v>
      </c>
      <c r="F306" s="40">
        <v>0.0</v>
      </c>
      <c r="G306" s="33" t="s">
        <v>450</v>
      </c>
    </row>
    <row r="307" ht="15.75" customHeight="1">
      <c r="A307" s="33" t="s">
        <v>1594</v>
      </c>
      <c r="B307" s="33" t="s">
        <v>533</v>
      </c>
      <c r="C307" s="39">
        <v>45954.0</v>
      </c>
      <c r="D307" s="33" t="s">
        <v>435</v>
      </c>
      <c r="E307" s="40">
        <v>70.91</v>
      </c>
      <c r="F307" s="40">
        <v>0.0</v>
      </c>
      <c r="G307" s="33" t="s">
        <v>450</v>
      </c>
    </row>
    <row r="308" ht="15.75" customHeight="1">
      <c r="A308" s="33" t="s">
        <v>1597</v>
      </c>
      <c r="B308" s="33" t="s">
        <v>1598</v>
      </c>
      <c r="C308" s="39">
        <v>45957.0</v>
      </c>
      <c r="D308" s="33" t="s">
        <v>440</v>
      </c>
      <c r="E308" s="40">
        <v>52.03</v>
      </c>
      <c r="F308" s="40">
        <v>0.0</v>
      </c>
      <c r="G308" s="33" t="s">
        <v>450</v>
      </c>
    </row>
    <row r="309" ht="15.75" customHeight="1">
      <c r="A309" s="33" t="s">
        <v>1602</v>
      </c>
      <c r="B309" s="33" t="s">
        <v>1179</v>
      </c>
      <c r="C309" s="39">
        <v>45676.0</v>
      </c>
      <c r="D309" s="33" t="s">
        <v>428</v>
      </c>
      <c r="E309" s="40">
        <v>112.05</v>
      </c>
      <c r="F309" s="40">
        <v>0.0</v>
      </c>
      <c r="G309" s="33" t="s">
        <v>450</v>
      </c>
    </row>
    <row r="310" ht="15.75" customHeight="1">
      <c r="A310" s="33" t="s">
        <v>1606</v>
      </c>
      <c r="B310" s="33" t="s">
        <v>866</v>
      </c>
      <c r="C310" s="39">
        <v>46059.0</v>
      </c>
      <c r="D310" s="33" t="s">
        <v>479</v>
      </c>
      <c r="E310" s="40">
        <v>128.21</v>
      </c>
      <c r="F310" s="40">
        <v>1.52</v>
      </c>
      <c r="G310" s="33" t="s">
        <v>450</v>
      </c>
    </row>
    <row r="311" ht="15.75" customHeight="1">
      <c r="A311" s="33" t="s">
        <v>1608</v>
      </c>
      <c r="B311" s="33" t="s">
        <v>402</v>
      </c>
      <c r="C311" s="39">
        <v>45663.0</v>
      </c>
      <c r="D311" s="33" t="s">
        <v>435</v>
      </c>
      <c r="E311" s="40">
        <v>36.79</v>
      </c>
      <c r="F311" s="40">
        <v>0.0</v>
      </c>
      <c r="G311" s="33" t="s">
        <v>450</v>
      </c>
    </row>
    <row r="312" ht="15.75" customHeight="1">
      <c r="A312" s="33" t="s">
        <v>1612</v>
      </c>
      <c r="B312" s="33" t="s">
        <v>1014</v>
      </c>
      <c r="C312" s="39">
        <v>46139.0</v>
      </c>
      <c r="D312" s="33" t="s">
        <v>479</v>
      </c>
      <c r="E312" s="40">
        <v>74.16</v>
      </c>
      <c r="F312" s="40">
        <v>1.03</v>
      </c>
      <c r="G312" s="33" t="s">
        <v>442</v>
      </c>
    </row>
    <row r="313" ht="15.75" customHeight="1">
      <c r="A313" s="33" t="s">
        <v>1613</v>
      </c>
      <c r="B313" s="33" t="s">
        <v>1615</v>
      </c>
      <c r="C313" s="39">
        <v>46086.0</v>
      </c>
      <c r="D313" s="33" t="s">
        <v>440</v>
      </c>
      <c r="E313" s="40">
        <v>123.55</v>
      </c>
      <c r="F313" s="40">
        <v>0.0</v>
      </c>
      <c r="G313" s="33" t="s">
        <v>450</v>
      </c>
    </row>
    <row r="314" ht="15.75" customHeight="1">
      <c r="A314" s="33" t="s">
        <v>1619</v>
      </c>
      <c r="B314" s="33" t="s">
        <v>1620</v>
      </c>
      <c r="C314" s="39">
        <v>46152.0</v>
      </c>
      <c r="D314" s="33" t="s">
        <v>479</v>
      </c>
      <c r="E314" s="40">
        <v>3.08</v>
      </c>
      <c r="F314" s="40">
        <v>0.05</v>
      </c>
      <c r="G314" s="33" t="s">
        <v>442</v>
      </c>
    </row>
    <row r="315" ht="15.75" customHeight="1">
      <c r="A315" s="33" t="s">
        <v>1623</v>
      </c>
      <c r="B315" s="33" t="s">
        <v>1145</v>
      </c>
      <c r="C315" s="39">
        <v>45729.0</v>
      </c>
      <c r="D315" s="33" t="s">
        <v>440</v>
      </c>
      <c r="E315" s="40">
        <v>96.23</v>
      </c>
      <c r="F315" s="40">
        <v>0.0</v>
      </c>
      <c r="G315" s="33" t="s">
        <v>450</v>
      </c>
    </row>
    <row r="316" ht="15.75" customHeight="1">
      <c r="A316" s="33" t="s">
        <v>1624</v>
      </c>
      <c r="B316" s="33" t="s">
        <v>1311</v>
      </c>
      <c r="C316" s="39">
        <v>46186.0</v>
      </c>
      <c r="D316" s="33" t="s">
        <v>440</v>
      </c>
      <c r="E316" s="40">
        <v>125.37</v>
      </c>
      <c r="F316" s="40">
        <v>0.0</v>
      </c>
      <c r="G316" s="33" t="s">
        <v>431</v>
      </c>
    </row>
    <row r="317" ht="15.75" customHeight="1">
      <c r="A317" s="33" t="s">
        <v>1626</v>
      </c>
      <c r="B317" s="33" t="s">
        <v>1092</v>
      </c>
      <c r="C317" s="39">
        <v>45990.0</v>
      </c>
      <c r="D317" s="33" t="s">
        <v>428</v>
      </c>
      <c r="E317" s="40">
        <v>99.4</v>
      </c>
      <c r="F317" s="40">
        <v>0.0</v>
      </c>
      <c r="G317" s="33" t="s">
        <v>431</v>
      </c>
    </row>
    <row r="318" ht="15.75" customHeight="1">
      <c r="A318" s="33" t="s">
        <v>1628</v>
      </c>
      <c r="B318" s="33" t="s">
        <v>740</v>
      </c>
      <c r="C318" s="39">
        <v>46182.0</v>
      </c>
      <c r="D318" s="33" t="s">
        <v>435</v>
      </c>
      <c r="E318" s="40">
        <v>102.88</v>
      </c>
      <c r="F318" s="40">
        <v>0.0</v>
      </c>
      <c r="G318" s="33" t="s">
        <v>450</v>
      </c>
    </row>
    <row r="319" ht="15.75" customHeight="1">
      <c r="A319" s="33" t="s">
        <v>1631</v>
      </c>
      <c r="B319" s="33" t="s">
        <v>314</v>
      </c>
      <c r="C319" s="39">
        <v>46080.0</v>
      </c>
      <c r="D319" s="33" t="s">
        <v>461</v>
      </c>
      <c r="E319" s="40">
        <v>66.99</v>
      </c>
      <c r="F319" s="40">
        <v>1.0</v>
      </c>
      <c r="G319" s="33" t="s">
        <v>450</v>
      </c>
    </row>
    <row r="320" ht="15.75" customHeight="1">
      <c r="A320" s="33" t="s">
        <v>1633</v>
      </c>
      <c r="B320" s="33" t="s">
        <v>597</v>
      </c>
      <c r="C320" s="39">
        <v>46056.0</v>
      </c>
      <c r="D320" s="33" t="s">
        <v>435</v>
      </c>
      <c r="E320" s="40">
        <v>119.38</v>
      </c>
      <c r="F320" s="40">
        <v>0.0</v>
      </c>
      <c r="G320" s="33" t="s">
        <v>450</v>
      </c>
    </row>
    <row r="321" ht="15.75" customHeight="1">
      <c r="A321" s="33" t="s">
        <v>1636</v>
      </c>
      <c r="B321" s="33" t="s">
        <v>1637</v>
      </c>
      <c r="C321" s="39">
        <v>45677.0</v>
      </c>
      <c r="D321" s="33" t="s">
        <v>479</v>
      </c>
      <c r="E321" s="40">
        <v>23.53</v>
      </c>
      <c r="F321" s="40">
        <v>0.34</v>
      </c>
      <c r="G321" s="33" t="s">
        <v>442</v>
      </c>
    </row>
    <row r="322" ht="15.75" customHeight="1">
      <c r="A322" s="33" t="s">
        <v>1639</v>
      </c>
      <c r="B322" s="33" t="s">
        <v>1382</v>
      </c>
      <c r="C322" s="39">
        <v>46078.0</v>
      </c>
      <c r="D322" s="33" t="s">
        <v>461</v>
      </c>
      <c r="E322" s="40">
        <v>34.53</v>
      </c>
      <c r="F322" s="40">
        <v>0.41</v>
      </c>
      <c r="G322" s="33" t="s">
        <v>450</v>
      </c>
    </row>
    <row r="323" ht="15.75" customHeight="1">
      <c r="A323" s="33" t="s">
        <v>1644</v>
      </c>
      <c r="B323" s="33" t="s">
        <v>1645</v>
      </c>
      <c r="C323" s="39">
        <v>45930.0</v>
      </c>
      <c r="D323" s="33" t="s">
        <v>428</v>
      </c>
      <c r="E323" s="40">
        <v>101.6</v>
      </c>
      <c r="F323" s="40">
        <v>0.0</v>
      </c>
      <c r="G323" s="33" t="s">
        <v>442</v>
      </c>
    </row>
    <row r="324" ht="15.75" customHeight="1">
      <c r="A324" s="33" t="s">
        <v>1650</v>
      </c>
      <c r="B324" s="33" t="s">
        <v>1651</v>
      </c>
      <c r="C324" s="39">
        <v>46173.0</v>
      </c>
      <c r="D324" s="33" t="s">
        <v>440</v>
      </c>
      <c r="E324" s="40">
        <v>119.65</v>
      </c>
      <c r="F324" s="40">
        <v>0.0</v>
      </c>
      <c r="G324" s="33" t="s">
        <v>431</v>
      </c>
    </row>
    <row r="325" ht="15.75" customHeight="1">
      <c r="A325" s="33" t="s">
        <v>1653</v>
      </c>
      <c r="B325" s="33" t="s">
        <v>861</v>
      </c>
      <c r="C325" s="39">
        <v>46073.0</v>
      </c>
      <c r="D325" s="33" t="s">
        <v>435</v>
      </c>
      <c r="E325" s="40">
        <v>158.94</v>
      </c>
      <c r="F325" s="40">
        <v>0.0</v>
      </c>
      <c r="G325" s="33" t="s">
        <v>431</v>
      </c>
    </row>
    <row r="326" ht="15.75" customHeight="1">
      <c r="A326" s="33" t="s">
        <v>1657</v>
      </c>
      <c r="B326" s="33" t="s">
        <v>1660</v>
      </c>
      <c r="C326" s="39">
        <v>45703.0</v>
      </c>
      <c r="D326" s="33" t="s">
        <v>461</v>
      </c>
      <c r="E326" s="40">
        <v>206.2</v>
      </c>
      <c r="F326" s="40">
        <v>3.91</v>
      </c>
      <c r="G326" s="33" t="s">
        <v>450</v>
      </c>
    </row>
    <row r="327" ht="15.75" customHeight="1">
      <c r="A327" s="33" t="s">
        <v>1664</v>
      </c>
      <c r="B327" s="33" t="s">
        <v>206</v>
      </c>
      <c r="C327" s="39">
        <v>46198.0</v>
      </c>
      <c r="D327" s="33" t="s">
        <v>428</v>
      </c>
      <c r="E327" s="40">
        <v>39.25</v>
      </c>
      <c r="F327" s="40">
        <v>0.0</v>
      </c>
      <c r="G327" s="33" t="s">
        <v>431</v>
      </c>
    </row>
    <row r="328" ht="15.75" customHeight="1">
      <c r="A328" s="33" t="s">
        <v>1666</v>
      </c>
      <c r="B328" s="33" t="s">
        <v>732</v>
      </c>
      <c r="C328" s="39">
        <v>45696.0</v>
      </c>
      <c r="D328" s="33" t="s">
        <v>479</v>
      </c>
      <c r="E328" s="40">
        <v>27.47</v>
      </c>
      <c r="F328" s="40">
        <v>0.35</v>
      </c>
      <c r="G328" s="33" t="s">
        <v>450</v>
      </c>
    </row>
    <row r="329" ht="15.75" customHeight="1">
      <c r="A329" s="33" t="s">
        <v>1670</v>
      </c>
      <c r="B329" s="33" t="s">
        <v>955</v>
      </c>
      <c r="C329" s="39">
        <v>45839.0</v>
      </c>
      <c r="D329" s="33" t="s">
        <v>435</v>
      </c>
      <c r="E329" s="40">
        <v>135.83</v>
      </c>
      <c r="F329" s="40">
        <v>0.0</v>
      </c>
      <c r="G329" s="33" t="s">
        <v>431</v>
      </c>
    </row>
    <row r="330" ht="15.75" customHeight="1">
      <c r="A330" s="33" t="s">
        <v>1673</v>
      </c>
      <c r="B330" s="33" t="s">
        <v>1444</v>
      </c>
      <c r="C330" s="39">
        <v>45789.0</v>
      </c>
      <c r="D330" s="33" t="s">
        <v>479</v>
      </c>
      <c r="E330" s="40">
        <v>50.18</v>
      </c>
      <c r="F330" s="40">
        <v>0.28</v>
      </c>
      <c r="G330" s="33" t="s">
        <v>450</v>
      </c>
    </row>
    <row r="331" ht="15.75" customHeight="1">
      <c r="A331" s="33" t="s">
        <v>1677</v>
      </c>
      <c r="B331" s="33" t="s">
        <v>765</v>
      </c>
      <c r="C331" s="39">
        <v>46249.0</v>
      </c>
      <c r="D331" s="33" t="s">
        <v>440</v>
      </c>
      <c r="E331" s="40">
        <v>69.11</v>
      </c>
      <c r="F331" s="40">
        <v>0.0</v>
      </c>
      <c r="G331" s="33" t="s">
        <v>450</v>
      </c>
    </row>
    <row r="332" ht="15.75" customHeight="1">
      <c r="A332" s="33" t="s">
        <v>1680</v>
      </c>
      <c r="B332" s="33" t="s">
        <v>929</v>
      </c>
      <c r="C332" s="39">
        <v>45750.0</v>
      </c>
      <c r="D332" s="33" t="s">
        <v>479</v>
      </c>
      <c r="E332" s="40">
        <v>126.38</v>
      </c>
      <c r="F332" s="40">
        <v>2.49</v>
      </c>
      <c r="G332" s="33" t="s">
        <v>442</v>
      </c>
    </row>
    <row r="333" ht="15.75" customHeight="1">
      <c r="A333" s="33" t="s">
        <v>1682</v>
      </c>
      <c r="B333" s="33" t="s">
        <v>382</v>
      </c>
      <c r="C333" s="39">
        <v>46170.0</v>
      </c>
      <c r="D333" s="33" t="s">
        <v>435</v>
      </c>
      <c r="E333" s="40">
        <v>83.54</v>
      </c>
      <c r="F333" s="40">
        <v>0.0</v>
      </c>
      <c r="G333" s="33" t="s">
        <v>450</v>
      </c>
    </row>
    <row r="334" ht="15.75" customHeight="1">
      <c r="A334" s="33" t="s">
        <v>1684</v>
      </c>
      <c r="B334" s="33" t="s">
        <v>534</v>
      </c>
      <c r="C334" s="39">
        <v>45792.0</v>
      </c>
      <c r="D334" s="33" t="s">
        <v>440</v>
      </c>
      <c r="E334" s="40">
        <v>116.74</v>
      </c>
      <c r="F334" s="40">
        <v>0.0</v>
      </c>
      <c r="G334" s="33" t="s">
        <v>450</v>
      </c>
    </row>
    <row r="335" ht="15.75" customHeight="1">
      <c r="A335" s="33" t="s">
        <v>1687</v>
      </c>
      <c r="B335" s="33" t="s">
        <v>1179</v>
      </c>
      <c r="C335" s="39">
        <v>46052.0</v>
      </c>
      <c r="D335" s="33" t="s">
        <v>428</v>
      </c>
      <c r="E335" s="40">
        <v>36.07</v>
      </c>
      <c r="F335" s="40">
        <v>0.0</v>
      </c>
      <c r="G335" s="33" t="s">
        <v>450</v>
      </c>
    </row>
    <row r="336" ht="15.75" customHeight="1">
      <c r="A336" s="33" t="s">
        <v>1689</v>
      </c>
      <c r="B336" s="33" t="s">
        <v>404</v>
      </c>
      <c r="C336" s="39">
        <v>45712.0</v>
      </c>
      <c r="D336" s="33" t="s">
        <v>435</v>
      </c>
      <c r="E336" s="40">
        <v>90.84</v>
      </c>
      <c r="F336" s="40">
        <v>0.0</v>
      </c>
      <c r="G336" s="33" t="s">
        <v>431</v>
      </c>
    </row>
    <row r="337" ht="15.75" customHeight="1">
      <c r="A337" s="33" t="s">
        <v>1692</v>
      </c>
      <c r="B337" s="33" t="s">
        <v>1693</v>
      </c>
      <c r="C337" s="39">
        <v>45895.0</v>
      </c>
      <c r="D337" s="33" t="s">
        <v>428</v>
      </c>
      <c r="E337" s="40">
        <v>89.45</v>
      </c>
      <c r="F337" s="40">
        <v>0.0</v>
      </c>
      <c r="G337" s="33" t="s">
        <v>450</v>
      </c>
    </row>
    <row r="338" ht="15.75" customHeight="1">
      <c r="A338" s="33" t="s">
        <v>1696</v>
      </c>
      <c r="B338" s="33" t="s">
        <v>501</v>
      </c>
      <c r="C338" s="39">
        <v>46036.0</v>
      </c>
      <c r="D338" s="33" t="s">
        <v>479</v>
      </c>
      <c r="E338" s="40">
        <v>157.03</v>
      </c>
      <c r="F338" s="40">
        <v>2.43</v>
      </c>
      <c r="G338" s="33" t="s">
        <v>450</v>
      </c>
    </row>
    <row r="339" ht="15.75" customHeight="1">
      <c r="A339" s="33" t="s">
        <v>1699</v>
      </c>
      <c r="B339" s="33" t="s">
        <v>1700</v>
      </c>
      <c r="C339" s="39">
        <v>46089.0</v>
      </c>
      <c r="D339" s="33" t="s">
        <v>479</v>
      </c>
      <c r="E339" s="40">
        <v>181.31</v>
      </c>
      <c r="F339" s="40">
        <v>0.94</v>
      </c>
      <c r="G339" s="33" t="s">
        <v>450</v>
      </c>
    </row>
    <row r="340" ht="15.75" customHeight="1">
      <c r="A340" s="33" t="s">
        <v>1702</v>
      </c>
      <c r="B340" s="33" t="s">
        <v>1703</v>
      </c>
      <c r="C340" s="39">
        <v>46187.0</v>
      </c>
      <c r="D340" s="33" t="s">
        <v>428</v>
      </c>
      <c r="E340" s="40">
        <v>49.27</v>
      </c>
      <c r="F340" s="40">
        <v>0.0</v>
      </c>
      <c r="G340" s="33" t="s">
        <v>450</v>
      </c>
    </row>
    <row r="341" ht="15.75" customHeight="1">
      <c r="A341" s="33" t="s">
        <v>1708</v>
      </c>
      <c r="B341" s="33" t="s">
        <v>1581</v>
      </c>
      <c r="C341" s="39">
        <v>46153.0</v>
      </c>
      <c r="D341" s="33" t="s">
        <v>440</v>
      </c>
      <c r="E341" s="40">
        <v>30.57</v>
      </c>
      <c r="F341" s="40">
        <v>0.0</v>
      </c>
      <c r="G341" s="33" t="s">
        <v>450</v>
      </c>
    </row>
    <row r="342" ht="15.75" customHeight="1">
      <c r="A342" s="33" t="s">
        <v>1710</v>
      </c>
      <c r="B342" s="33" t="s">
        <v>329</v>
      </c>
      <c r="C342" s="39">
        <v>45972.0</v>
      </c>
      <c r="D342" s="33" t="s">
        <v>428</v>
      </c>
      <c r="E342" s="40">
        <v>121.64</v>
      </c>
      <c r="F342" s="40">
        <v>0.0</v>
      </c>
      <c r="G342" s="33" t="s">
        <v>450</v>
      </c>
    </row>
    <row r="343" ht="15.75" customHeight="1">
      <c r="A343" s="33" t="s">
        <v>1713</v>
      </c>
      <c r="B343" s="33" t="s">
        <v>1541</v>
      </c>
      <c r="C343" s="39">
        <v>45842.0</v>
      </c>
      <c r="D343" s="33" t="s">
        <v>440</v>
      </c>
      <c r="E343" s="40">
        <v>14.81</v>
      </c>
      <c r="F343" s="40">
        <v>0.0</v>
      </c>
      <c r="G343" s="33" t="s">
        <v>450</v>
      </c>
    </row>
    <row r="344" ht="15.75" customHeight="1">
      <c r="A344" s="33" t="s">
        <v>1718</v>
      </c>
      <c r="B344" s="33" t="s">
        <v>481</v>
      </c>
      <c r="C344" s="39">
        <v>45816.0</v>
      </c>
      <c r="D344" s="33" t="s">
        <v>440</v>
      </c>
      <c r="E344" s="40">
        <v>127.68</v>
      </c>
      <c r="F344" s="40">
        <v>0.0</v>
      </c>
      <c r="G344" s="33" t="s">
        <v>450</v>
      </c>
    </row>
    <row r="345" ht="15.75" customHeight="1">
      <c r="A345" s="33" t="s">
        <v>1719</v>
      </c>
      <c r="B345" s="33" t="s">
        <v>1722</v>
      </c>
      <c r="C345" s="39">
        <v>46260.0</v>
      </c>
      <c r="D345" s="33" t="s">
        <v>479</v>
      </c>
      <c r="E345" s="40">
        <v>134.67</v>
      </c>
      <c r="F345" s="40">
        <v>1.94</v>
      </c>
      <c r="G345" s="33" t="s">
        <v>450</v>
      </c>
    </row>
    <row r="346" ht="15.75" customHeight="1">
      <c r="A346" s="33" t="s">
        <v>1724</v>
      </c>
      <c r="B346" s="33" t="s">
        <v>1725</v>
      </c>
      <c r="C346" s="39">
        <v>46027.0</v>
      </c>
      <c r="D346" s="33" t="s">
        <v>461</v>
      </c>
      <c r="E346" s="40">
        <v>46.07</v>
      </c>
      <c r="F346" s="40">
        <v>0.53</v>
      </c>
      <c r="G346" s="33" t="s">
        <v>450</v>
      </c>
    </row>
    <row r="347" ht="15.75" customHeight="1">
      <c r="A347" s="33" t="s">
        <v>1728</v>
      </c>
      <c r="B347" s="33" t="s">
        <v>876</v>
      </c>
      <c r="C347" s="39">
        <v>46209.0</v>
      </c>
      <c r="D347" s="33" t="s">
        <v>440</v>
      </c>
      <c r="E347" s="40">
        <v>4.28</v>
      </c>
      <c r="F347" s="40">
        <v>0.0</v>
      </c>
      <c r="G347" s="33" t="s">
        <v>450</v>
      </c>
    </row>
    <row r="348" ht="15.75" customHeight="1">
      <c r="A348" s="33" t="s">
        <v>1731</v>
      </c>
      <c r="B348" s="33" t="s">
        <v>1059</v>
      </c>
      <c r="C348" s="39">
        <v>45921.0</v>
      </c>
      <c r="D348" s="33" t="s">
        <v>461</v>
      </c>
      <c r="E348" s="40">
        <v>144.68</v>
      </c>
      <c r="F348" s="40">
        <v>2.51</v>
      </c>
      <c r="G348" s="33" t="s">
        <v>450</v>
      </c>
    </row>
    <row r="349" ht="15.75" customHeight="1">
      <c r="A349" s="33" t="s">
        <v>1734</v>
      </c>
      <c r="B349" s="33" t="s">
        <v>1735</v>
      </c>
      <c r="C349" s="39">
        <v>45952.0</v>
      </c>
      <c r="D349" s="33" t="s">
        <v>435</v>
      </c>
      <c r="E349" s="40">
        <v>189.94</v>
      </c>
      <c r="F349" s="40">
        <v>0.0</v>
      </c>
      <c r="G349" s="33" t="s">
        <v>431</v>
      </c>
    </row>
    <row r="350" ht="15.75" customHeight="1">
      <c r="A350" s="33" t="s">
        <v>1738</v>
      </c>
      <c r="B350" s="33" t="s">
        <v>848</v>
      </c>
      <c r="C350" s="39">
        <v>46159.0</v>
      </c>
      <c r="D350" s="33" t="s">
        <v>461</v>
      </c>
      <c r="E350" s="40">
        <v>181.28</v>
      </c>
      <c r="F350" s="40">
        <v>2.59</v>
      </c>
      <c r="G350" s="33" t="s">
        <v>450</v>
      </c>
    </row>
    <row r="351" ht="15.75" customHeight="1">
      <c r="A351" s="33" t="s">
        <v>1741</v>
      </c>
      <c r="B351" s="33" t="s">
        <v>1742</v>
      </c>
      <c r="C351" s="39">
        <v>46096.0</v>
      </c>
      <c r="D351" s="33" t="s">
        <v>461</v>
      </c>
      <c r="E351" s="40">
        <v>185.28</v>
      </c>
      <c r="F351" s="40">
        <v>2.62</v>
      </c>
      <c r="G351" s="33" t="s">
        <v>450</v>
      </c>
    </row>
    <row r="352" ht="15.75" customHeight="1">
      <c r="A352" s="33" t="s">
        <v>1744</v>
      </c>
      <c r="B352" s="33" t="s">
        <v>668</v>
      </c>
      <c r="C352" s="39">
        <v>45779.0</v>
      </c>
      <c r="D352" s="33" t="s">
        <v>479</v>
      </c>
      <c r="E352" s="40">
        <v>21.82</v>
      </c>
      <c r="F352" s="40">
        <v>0.13</v>
      </c>
      <c r="G352" s="33" t="s">
        <v>450</v>
      </c>
    </row>
    <row r="353" ht="15.75" customHeight="1">
      <c r="A353" s="33" t="s">
        <v>1748</v>
      </c>
      <c r="B353" s="33" t="s">
        <v>1749</v>
      </c>
      <c r="C353" s="39">
        <v>45976.0</v>
      </c>
      <c r="D353" s="33" t="s">
        <v>461</v>
      </c>
      <c r="E353" s="40">
        <v>75.86</v>
      </c>
      <c r="F353" s="40">
        <v>1.51</v>
      </c>
      <c r="G353" s="33" t="s">
        <v>450</v>
      </c>
    </row>
    <row r="354" ht="15.75" customHeight="1">
      <c r="A354" s="33" t="s">
        <v>1752</v>
      </c>
      <c r="B354" s="33" t="s">
        <v>1721</v>
      </c>
      <c r="C354" s="39">
        <v>45787.0</v>
      </c>
      <c r="D354" s="33" t="s">
        <v>461</v>
      </c>
      <c r="E354" s="40">
        <v>89.03</v>
      </c>
      <c r="F354" s="40">
        <v>1.04</v>
      </c>
      <c r="G354" s="33" t="s">
        <v>442</v>
      </c>
    </row>
    <row r="355" ht="15.75" customHeight="1">
      <c r="A355" s="33" t="s">
        <v>1754</v>
      </c>
      <c r="B355" s="33" t="s">
        <v>754</v>
      </c>
      <c r="C355" s="39">
        <v>46119.0</v>
      </c>
      <c r="D355" s="33" t="s">
        <v>428</v>
      </c>
      <c r="E355" s="40">
        <v>79.35</v>
      </c>
      <c r="F355" s="40">
        <v>0.0</v>
      </c>
      <c r="G355" s="33" t="s">
        <v>450</v>
      </c>
    </row>
    <row r="356" ht="15.75" customHeight="1">
      <c r="A356" s="33" t="s">
        <v>1756</v>
      </c>
      <c r="B356" s="33" t="s">
        <v>1758</v>
      </c>
      <c r="C356" s="39">
        <v>45676.0</v>
      </c>
      <c r="D356" s="33" t="s">
        <v>440</v>
      </c>
      <c r="E356" s="40">
        <v>117.6</v>
      </c>
      <c r="F356" s="40">
        <v>0.0</v>
      </c>
      <c r="G356" s="33" t="s">
        <v>450</v>
      </c>
    </row>
    <row r="357" ht="15.75" customHeight="1">
      <c r="A357" s="33" t="s">
        <v>1761</v>
      </c>
      <c r="B357" s="33" t="s">
        <v>733</v>
      </c>
      <c r="C357" s="39">
        <v>46159.0</v>
      </c>
      <c r="D357" s="33" t="s">
        <v>479</v>
      </c>
      <c r="E357" s="40">
        <v>28.81</v>
      </c>
      <c r="F357" s="40">
        <v>0.4</v>
      </c>
      <c r="G357" s="33" t="s">
        <v>450</v>
      </c>
    </row>
    <row r="358" ht="15.75" customHeight="1">
      <c r="A358" s="33" t="s">
        <v>1765</v>
      </c>
      <c r="B358" s="33" t="s">
        <v>1130</v>
      </c>
      <c r="C358" s="39">
        <v>46221.0</v>
      </c>
      <c r="D358" s="33" t="s">
        <v>479</v>
      </c>
      <c r="E358" s="40">
        <v>14.35</v>
      </c>
      <c r="F358" s="40">
        <v>0.07</v>
      </c>
      <c r="G358" s="33" t="s">
        <v>450</v>
      </c>
    </row>
    <row r="359" ht="15.75" customHeight="1">
      <c r="A359" s="33" t="s">
        <v>1767</v>
      </c>
      <c r="B359" s="33" t="s">
        <v>1067</v>
      </c>
      <c r="C359" s="39">
        <v>45672.0</v>
      </c>
      <c r="D359" s="33" t="s">
        <v>440</v>
      </c>
      <c r="E359" s="40">
        <v>9.75</v>
      </c>
      <c r="F359" s="40">
        <v>0.0</v>
      </c>
      <c r="G359" s="33" t="s">
        <v>431</v>
      </c>
    </row>
    <row r="360" ht="15.75" customHeight="1">
      <c r="A360" s="33" t="s">
        <v>1770</v>
      </c>
      <c r="B360" s="33" t="s">
        <v>700</v>
      </c>
      <c r="C360" s="39">
        <v>46040.0</v>
      </c>
      <c r="D360" s="33" t="s">
        <v>428</v>
      </c>
      <c r="E360" s="40">
        <v>146.81</v>
      </c>
      <c r="F360" s="40">
        <v>0.0</v>
      </c>
      <c r="G360" s="33" t="s">
        <v>450</v>
      </c>
    </row>
    <row r="361" ht="15.75" customHeight="1">
      <c r="A361" s="33" t="s">
        <v>1772</v>
      </c>
      <c r="B361" s="33" t="s">
        <v>1344</v>
      </c>
      <c r="C361" s="39">
        <v>45706.0</v>
      </c>
      <c r="D361" s="33" t="s">
        <v>479</v>
      </c>
      <c r="E361" s="40">
        <v>21.57</v>
      </c>
      <c r="F361" s="40">
        <v>0.33</v>
      </c>
      <c r="G361" s="33" t="s">
        <v>450</v>
      </c>
    </row>
    <row r="362" ht="15.75" customHeight="1">
      <c r="A362" s="33" t="s">
        <v>1778</v>
      </c>
      <c r="B362" s="33" t="s">
        <v>1297</v>
      </c>
      <c r="C362" s="39">
        <v>45876.0</v>
      </c>
      <c r="D362" s="33" t="s">
        <v>479</v>
      </c>
      <c r="E362" s="40">
        <v>78.96</v>
      </c>
      <c r="F362" s="40">
        <v>0.77</v>
      </c>
      <c r="G362" s="33" t="s">
        <v>450</v>
      </c>
    </row>
    <row r="363" ht="15.75" customHeight="1">
      <c r="A363" s="33" t="s">
        <v>1780</v>
      </c>
      <c r="B363" s="33" t="s">
        <v>1227</v>
      </c>
      <c r="C363" s="39">
        <v>45862.0</v>
      </c>
      <c r="D363" s="33" t="s">
        <v>435</v>
      </c>
      <c r="E363" s="40">
        <v>44.28</v>
      </c>
      <c r="F363" s="40">
        <v>0.0</v>
      </c>
      <c r="G363" s="33" t="s">
        <v>450</v>
      </c>
    </row>
    <row r="364" ht="15.75" customHeight="1">
      <c r="A364" s="33" t="s">
        <v>1782</v>
      </c>
      <c r="B364" s="33" t="s">
        <v>327</v>
      </c>
      <c r="C364" s="39">
        <v>45973.0</v>
      </c>
      <c r="D364" s="33" t="s">
        <v>479</v>
      </c>
      <c r="E364" s="40">
        <v>46.02</v>
      </c>
      <c r="F364" s="40">
        <v>0.38</v>
      </c>
      <c r="G364" s="33" t="s">
        <v>442</v>
      </c>
    </row>
    <row r="365" ht="15.75" customHeight="1">
      <c r="A365" s="33" t="s">
        <v>1783</v>
      </c>
      <c r="B365" s="33" t="s">
        <v>1256</v>
      </c>
      <c r="C365" s="39">
        <v>46214.0</v>
      </c>
      <c r="D365" s="33" t="s">
        <v>461</v>
      </c>
      <c r="E365" s="40">
        <v>61.9</v>
      </c>
      <c r="F365" s="40">
        <v>0.58</v>
      </c>
      <c r="G365" s="33" t="s">
        <v>442</v>
      </c>
    </row>
    <row r="366" ht="15.75" customHeight="1">
      <c r="A366" s="33" t="s">
        <v>1788</v>
      </c>
      <c r="B366" s="33" t="s">
        <v>1789</v>
      </c>
      <c r="C366" s="39">
        <v>45938.0</v>
      </c>
      <c r="D366" s="33" t="s">
        <v>479</v>
      </c>
      <c r="E366" s="40">
        <v>47.73</v>
      </c>
      <c r="F366" s="40">
        <v>0.73</v>
      </c>
      <c r="G366" s="33" t="s">
        <v>431</v>
      </c>
    </row>
    <row r="367" ht="15.75" customHeight="1">
      <c r="A367" s="33" t="s">
        <v>1790</v>
      </c>
      <c r="B367" s="33" t="s">
        <v>590</v>
      </c>
      <c r="C367" s="39">
        <v>45899.0</v>
      </c>
      <c r="D367" s="33" t="s">
        <v>461</v>
      </c>
      <c r="E367" s="40">
        <v>14.39</v>
      </c>
      <c r="F367" s="40">
        <v>0.14</v>
      </c>
      <c r="G367" s="33" t="s">
        <v>450</v>
      </c>
    </row>
    <row r="368" ht="15.75" customHeight="1">
      <c r="A368" s="33" t="s">
        <v>1795</v>
      </c>
      <c r="B368" s="33" t="s">
        <v>245</v>
      </c>
      <c r="C368" s="39">
        <v>45714.0</v>
      </c>
      <c r="D368" s="33" t="s">
        <v>435</v>
      </c>
      <c r="E368" s="40">
        <v>61.94</v>
      </c>
      <c r="F368" s="40">
        <v>0.0</v>
      </c>
      <c r="G368" s="33" t="s">
        <v>431</v>
      </c>
    </row>
    <row r="369" ht="15.75" customHeight="1">
      <c r="A369" s="33" t="s">
        <v>1798</v>
      </c>
      <c r="B369" s="33" t="s">
        <v>255</v>
      </c>
      <c r="C369" s="39">
        <v>46196.0</v>
      </c>
      <c r="D369" s="33" t="s">
        <v>435</v>
      </c>
      <c r="E369" s="40">
        <v>36.77</v>
      </c>
      <c r="F369" s="40">
        <v>0.0</v>
      </c>
      <c r="G369" s="33" t="s">
        <v>450</v>
      </c>
    </row>
    <row r="370" ht="15.75" customHeight="1">
      <c r="A370" s="33" t="s">
        <v>1801</v>
      </c>
      <c r="B370" s="33" t="s">
        <v>1802</v>
      </c>
      <c r="C370" s="39">
        <v>45849.0</v>
      </c>
      <c r="D370" s="33" t="s">
        <v>440</v>
      </c>
      <c r="E370" s="40">
        <v>35.16</v>
      </c>
      <c r="F370" s="40">
        <v>0.0</v>
      </c>
      <c r="G370" s="33" t="s">
        <v>450</v>
      </c>
    </row>
    <row r="371" ht="15.75" customHeight="1">
      <c r="A371" s="33" t="s">
        <v>1803</v>
      </c>
      <c r="B371" s="33" t="s">
        <v>434</v>
      </c>
      <c r="C371" s="39">
        <v>45938.0</v>
      </c>
      <c r="D371" s="33" t="s">
        <v>440</v>
      </c>
      <c r="E371" s="40">
        <v>226.98</v>
      </c>
      <c r="F371" s="40">
        <v>0.0</v>
      </c>
      <c r="G371" s="33" t="s">
        <v>450</v>
      </c>
    </row>
    <row r="372" ht="15.75" customHeight="1">
      <c r="A372" s="33" t="s">
        <v>1808</v>
      </c>
      <c r="B372" s="33" t="s">
        <v>1485</v>
      </c>
      <c r="C372" s="39">
        <v>45714.0</v>
      </c>
      <c r="D372" s="33" t="s">
        <v>428</v>
      </c>
      <c r="E372" s="40">
        <v>18.28</v>
      </c>
      <c r="F372" s="40">
        <v>0.0</v>
      </c>
      <c r="G372" s="33" t="s">
        <v>450</v>
      </c>
    </row>
    <row r="373" ht="15.75" customHeight="1">
      <c r="A373" s="33" t="s">
        <v>1809</v>
      </c>
      <c r="B373" s="33" t="s">
        <v>1062</v>
      </c>
      <c r="C373" s="39">
        <v>45833.0</v>
      </c>
      <c r="D373" s="33" t="s">
        <v>428</v>
      </c>
      <c r="E373" s="40">
        <v>59.61</v>
      </c>
      <c r="F373" s="40">
        <v>0.0</v>
      </c>
      <c r="G373" s="33" t="s">
        <v>450</v>
      </c>
    </row>
    <row r="374" ht="15.75" customHeight="1">
      <c r="A374" s="33" t="s">
        <v>1815</v>
      </c>
      <c r="B374" s="33" t="s">
        <v>1816</v>
      </c>
      <c r="C374" s="39">
        <v>45993.0</v>
      </c>
      <c r="D374" s="33" t="s">
        <v>479</v>
      </c>
      <c r="E374" s="40">
        <v>84.18</v>
      </c>
      <c r="F374" s="40">
        <v>1.23</v>
      </c>
      <c r="G374" s="33" t="s">
        <v>450</v>
      </c>
    </row>
    <row r="375" ht="15.75" customHeight="1">
      <c r="A375" s="33" t="s">
        <v>1818</v>
      </c>
      <c r="B375" s="33" t="s">
        <v>1819</v>
      </c>
      <c r="C375" s="39">
        <v>46204.0</v>
      </c>
      <c r="D375" s="33" t="s">
        <v>479</v>
      </c>
      <c r="E375" s="40">
        <v>227.15</v>
      </c>
      <c r="F375" s="40">
        <v>1.18</v>
      </c>
      <c r="G375" s="33" t="s">
        <v>450</v>
      </c>
    </row>
    <row r="376" ht="15.75" customHeight="1">
      <c r="A376" s="33" t="s">
        <v>1822</v>
      </c>
      <c r="B376" s="33" t="s">
        <v>1344</v>
      </c>
      <c r="C376" s="39">
        <v>45857.0</v>
      </c>
      <c r="D376" s="33" t="s">
        <v>440</v>
      </c>
      <c r="E376" s="40">
        <v>26.0</v>
      </c>
      <c r="F376" s="40">
        <v>0.0</v>
      </c>
      <c r="G376" s="33" t="s">
        <v>442</v>
      </c>
    </row>
    <row r="377" ht="15.75" customHeight="1">
      <c r="A377" s="33" t="s">
        <v>1824</v>
      </c>
      <c r="B377" s="33" t="s">
        <v>1825</v>
      </c>
      <c r="C377" s="39">
        <v>45998.0</v>
      </c>
      <c r="D377" s="33" t="s">
        <v>479</v>
      </c>
      <c r="E377" s="40">
        <v>174.9</v>
      </c>
      <c r="F377" s="40">
        <v>1.52</v>
      </c>
      <c r="G377" s="33" t="s">
        <v>442</v>
      </c>
    </row>
    <row r="378" ht="15.75" customHeight="1">
      <c r="A378" s="33" t="s">
        <v>1827</v>
      </c>
      <c r="B378" s="33" t="s">
        <v>1828</v>
      </c>
      <c r="C378" s="39">
        <v>46189.0</v>
      </c>
      <c r="D378" s="33" t="s">
        <v>461</v>
      </c>
      <c r="E378" s="40">
        <v>61.58</v>
      </c>
      <c r="F378" s="40">
        <v>1.07</v>
      </c>
      <c r="G378" s="33" t="s">
        <v>450</v>
      </c>
    </row>
    <row r="379" ht="15.75" customHeight="1">
      <c r="A379" s="33" t="s">
        <v>1831</v>
      </c>
      <c r="B379" s="33" t="s">
        <v>1162</v>
      </c>
      <c r="C379" s="39">
        <v>45876.0</v>
      </c>
      <c r="D379" s="33" t="s">
        <v>461</v>
      </c>
      <c r="E379" s="40">
        <v>63.39</v>
      </c>
      <c r="F379" s="40">
        <v>0.58</v>
      </c>
      <c r="G379" s="33" t="s">
        <v>450</v>
      </c>
    </row>
    <row r="380" ht="15.75" customHeight="1">
      <c r="A380" s="33" t="s">
        <v>1836</v>
      </c>
      <c r="B380" s="33" t="s">
        <v>1693</v>
      </c>
      <c r="C380" s="39">
        <v>45836.0</v>
      </c>
      <c r="D380" s="33" t="s">
        <v>428</v>
      </c>
      <c r="E380" s="40">
        <v>112.73</v>
      </c>
      <c r="F380" s="40">
        <v>0.0</v>
      </c>
      <c r="G380" s="33" t="s">
        <v>450</v>
      </c>
    </row>
    <row r="381" ht="15.75" customHeight="1">
      <c r="A381" s="33" t="s">
        <v>1841</v>
      </c>
      <c r="B381" s="33" t="s">
        <v>1842</v>
      </c>
      <c r="C381" s="39">
        <v>45684.0</v>
      </c>
      <c r="D381" s="33" t="s">
        <v>479</v>
      </c>
      <c r="E381" s="40">
        <v>193.73</v>
      </c>
      <c r="F381" s="40">
        <v>2.53</v>
      </c>
      <c r="G381" s="33" t="s">
        <v>450</v>
      </c>
    </row>
    <row r="382" ht="15.75" customHeight="1">
      <c r="A382" s="33" t="s">
        <v>1844</v>
      </c>
      <c r="B382" s="33" t="s">
        <v>1495</v>
      </c>
      <c r="C382" s="39">
        <v>46209.0</v>
      </c>
      <c r="D382" s="33" t="s">
        <v>440</v>
      </c>
      <c r="E382" s="40">
        <v>47.42</v>
      </c>
      <c r="F382" s="40">
        <v>0.0</v>
      </c>
      <c r="G382" s="33" t="s">
        <v>431</v>
      </c>
    </row>
    <row r="383" ht="15.75" customHeight="1">
      <c r="A383" s="33" t="s">
        <v>1848</v>
      </c>
      <c r="B383" s="33" t="s">
        <v>1850</v>
      </c>
      <c r="C383" s="39">
        <v>45725.0</v>
      </c>
      <c r="D383" s="33" t="s">
        <v>435</v>
      </c>
      <c r="E383" s="40">
        <v>88.92</v>
      </c>
      <c r="F383" s="40">
        <v>0.0</v>
      </c>
      <c r="G383" s="33" t="s">
        <v>450</v>
      </c>
    </row>
    <row r="384" ht="15.75" customHeight="1">
      <c r="A384" s="33" t="s">
        <v>1851</v>
      </c>
      <c r="B384" s="33" t="s">
        <v>870</v>
      </c>
      <c r="C384" s="39">
        <v>45788.0</v>
      </c>
      <c r="D384" s="33" t="s">
        <v>461</v>
      </c>
      <c r="E384" s="40">
        <v>80.07</v>
      </c>
      <c r="F384" s="40">
        <v>0.87</v>
      </c>
      <c r="G384" s="33" t="s">
        <v>450</v>
      </c>
    </row>
    <row r="385" ht="15.75" customHeight="1">
      <c r="A385" s="33" t="s">
        <v>1853</v>
      </c>
      <c r="B385" s="33" t="s">
        <v>195</v>
      </c>
      <c r="C385" s="39">
        <v>45742.0</v>
      </c>
      <c r="D385" s="33" t="s">
        <v>428</v>
      </c>
      <c r="E385" s="40">
        <v>77.18</v>
      </c>
      <c r="F385" s="40">
        <v>0.0</v>
      </c>
      <c r="G385" s="33" t="s">
        <v>450</v>
      </c>
    </row>
    <row r="386" ht="15.75" customHeight="1">
      <c r="A386" s="33" t="s">
        <v>1855</v>
      </c>
      <c r="B386" s="33" t="s">
        <v>1856</v>
      </c>
      <c r="C386" s="39">
        <v>46087.0</v>
      </c>
      <c r="D386" s="33" t="s">
        <v>479</v>
      </c>
      <c r="E386" s="40">
        <v>126.78</v>
      </c>
      <c r="F386" s="40">
        <v>1.79</v>
      </c>
      <c r="G386" s="33" t="s">
        <v>450</v>
      </c>
    </row>
    <row r="387" ht="15.75" customHeight="1">
      <c r="A387" s="33" t="s">
        <v>1859</v>
      </c>
      <c r="B387" s="33" t="s">
        <v>530</v>
      </c>
      <c r="C387" s="39">
        <v>45879.0</v>
      </c>
      <c r="D387" s="33" t="s">
        <v>428</v>
      </c>
      <c r="E387" s="40">
        <v>39.08</v>
      </c>
      <c r="F387" s="40">
        <v>0.0</v>
      </c>
      <c r="G387" s="33" t="s">
        <v>450</v>
      </c>
    </row>
    <row r="388" ht="15.75" customHeight="1">
      <c r="A388" s="33" t="s">
        <v>1860</v>
      </c>
      <c r="B388" s="33" t="s">
        <v>1019</v>
      </c>
      <c r="C388" s="39">
        <v>46085.0</v>
      </c>
      <c r="D388" s="33" t="s">
        <v>440</v>
      </c>
      <c r="E388" s="40">
        <v>53.03</v>
      </c>
      <c r="F388" s="40">
        <v>0.0</v>
      </c>
      <c r="G388" s="33" t="s">
        <v>450</v>
      </c>
    </row>
    <row r="389" ht="15.75" customHeight="1">
      <c r="A389" s="33" t="s">
        <v>1864</v>
      </c>
      <c r="B389" s="33" t="s">
        <v>1405</v>
      </c>
      <c r="C389" s="39">
        <v>46026.0</v>
      </c>
      <c r="D389" s="33" t="s">
        <v>435</v>
      </c>
      <c r="E389" s="40">
        <v>14.84</v>
      </c>
      <c r="F389" s="40">
        <v>0.0</v>
      </c>
      <c r="G389" s="33" t="s">
        <v>431</v>
      </c>
    </row>
    <row r="390" ht="15.75" customHeight="1">
      <c r="A390" s="33" t="s">
        <v>1865</v>
      </c>
      <c r="B390" s="33" t="s">
        <v>314</v>
      </c>
      <c r="C390" s="39">
        <v>45667.0</v>
      </c>
      <c r="D390" s="33" t="s">
        <v>461</v>
      </c>
      <c r="E390" s="40">
        <v>106.43</v>
      </c>
      <c r="F390" s="40">
        <v>1.32</v>
      </c>
      <c r="G390" s="33" t="s">
        <v>431</v>
      </c>
    </row>
    <row r="391" ht="15.75" customHeight="1">
      <c r="A391" s="33" t="s">
        <v>1867</v>
      </c>
      <c r="B391" s="33" t="s">
        <v>838</v>
      </c>
      <c r="C391" s="39">
        <v>45844.0</v>
      </c>
      <c r="D391" s="33" t="s">
        <v>435</v>
      </c>
      <c r="E391" s="40">
        <v>74.48</v>
      </c>
      <c r="F391" s="40">
        <v>0.0</v>
      </c>
      <c r="G391" s="33" t="s">
        <v>442</v>
      </c>
    </row>
    <row r="392" ht="15.75" customHeight="1">
      <c r="A392" s="33" t="s">
        <v>1871</v>
      </c>
      <c r="B392" s="33" t="s">
        <v>1533</v>
      </c>
      <c r="C392" s="39">
        <v>45660.0</v>
      </c>
      <c r="D392" s="33" t="s">
        <v>435</v>
      </c>
      <c r="E392" s="40">
        <v>190.48</v>
      </c>
      <c r="F392" s="40">
        <v>0.0</v>
      </c>
      <c r="G392" s="33" t="s">
        <v>450</v>
      </c>
    </row>
    <row r="393" ht="15.75" customHeight="1">
      <c r="A393" s="33" t="s">
        <v>1874</v>
      </c>
      <c r="B393" s="33" t="s">
        <v>1045</v>
      </c>
      <c r="C393" s="39">
        <v>45697.0</v>
      </c>
      <c r="D393" s="33" t="s">
        <v>461</v>
      </c>
      <c r="E393" s="40">
        <v>25.45</v>
      </c>
      <c r="F393" s="40">
        <v>0.39</v>
      </c>
      <c r="G393" s="33" t="s">
        <v>431</v>
      </c>
    </row>
    <row r="394" ht="15.75" customHeight="1">
      <c r="A394" s="33" t="s">
        <v>1877</v>
      </c>
      <c r="B394" s="33" t="s">
        <v>579</v>
      </c>
      <c r="C394" s="39">
        <v>45945.0</v>
      </c>
      <c r="D394" s="33" t="s">
        <v>479</v>
      </c>
      <c r="E394" s="40">
        <v>246.27</v>
      </c>
      <c r="F394" s="40">
        <v>1.84</v>
      </c>
      <c r="G394" s="33" t="s">
        <v>450</v>
      </c>
    </row>
    <row r="395" ht="15.75" customHeight="1">
      <c r="A395" s="33" t="s">
        <v>1880</v>
      </c>
      <c r="B395" s="33" t="s">
        <v>1881</v>
      </c>
      <c r="C395" s="39">
        <v>45818.0</v>
      </c>
      <c r="D395" s="33" t="s">
        <v>461</v>
      </c>
      <c r="E395" s="40">
        <v>119.46</v>
      </c>
      <c r="F395" s="40">
        <v>1.42</v>
      </c>
      <c r="G395" s="33" t="s">
        <v>450</v>
      </c>
    </row>
    <row r="396" ht="15.75" customHeight="1">
      <c r="A396" s="33" t="s">
        <v>1886</v>
      </c>
      <c r="B396" s="33" t="s">
        <v>1887</v>
      </c>
      <c r="C396" s="39">
        <v>45712.0</v>
      </c>
      <c r="D396" s="33" t="s">
        <v>461</v>
      </c>
      <c r="E396" s="40">
        <v>115.8</v>
      </c>
      <c r="F396" s="40">
        <v>1.55</v>
      </c>
      <c r="G396" s="33" t="s">
        <v>450</v>
      </c>
    </row>
    <row r="397" ht="15.75" customHeight="1">
      <c r="A397" s="33" t="s">
        <v>1889</v>
      </c>
      <c r="B397" s="33" t="s">
        <v>597</v>
      </c>
      <c r="C397" s="39">
        <v>45906.0</v>
      </c>
      <c r="D397" s="33" t="s">
        <v>440</v>
      </c>
      <c r="E397" s="40">
        <v>43.36</v>
      </c>
      <c r="F397" s="40">
        <v>0.0</v>
      </c>
      <c r="G397" s="33" t="s">
        <v>450</v>
      </c>
    </row>
    <row r="398" ht="15.75" customHeight="1">
      <c r="A398" s="33" t="s">
        <v>1892</v>
      </c>
      <c r="B398" s="33" t="s">
        <v>1893</v>
      </c>
      <c r="C398" s="39">
        <v>45932.0</v>
      </c>
      <c r="D398" s="33" t="s">
        <v>461</v>
      </c>
      <c r="E398" s="40">
        <v>57.49</v>
      </c>
      <c r="F398" s="40">
        <v>0.92</v>
      </c>
      <c r="G398" s="33" t="s">
        <v>442</v>
      </c>
    </row>
    <row r="399" ht="15.75" customHeight="1">
      <c r="A399" s="33" t="s">
        <v>1894</v>
      </c>
      <c r="B399" s="33" t="s">
        <v>299</v>
      </c>
      <c r="C399" s="39">
        <v>46260.0</v>
      </c>
      <c r="D399" s="33" t="s">
        <v>479</v>
      </c>
      <c r="E399" s="40">
        <v>49.95</v>
      </c>
      <c r="F399" s="40">
        <v>0.74</v>
      </c>
      <c r="G399" s="33" t="s">
        <v>450</v>
      </c>
    </row>
    <row r="400" ht="15.75" customHeight="1">
      <c r="A400" s="33" t="s">
        <v>1899</v>
      </c>
      <c r="B400" s="33" t="s">
        <v>964</v>
      </c>
      <c r="C400" s="39">
        <v>46059.0</v>
      </c>
      <c r="D400" s="33" t="s">
        <v>479</v>
      </c>
      <c r="E400" s="40">
        <v>167.63</v>
      </c>
      <c r="F400" s="40">
        <v>1.43</v>
      </c>
      <c r="G400" s="33" t="s">
        <v>431</v>
      </c>
    </row>
    <row r="401" ht="15.75" customHeight="1">
      <c r="A401" s="33" t="s">
        <v>1903</v>
      </c>
      <c r="B401" s="33" t="s">
        <v>1451</v>
      </c>
      <c r="C401" s="39">
        <v>45896.0</v>
      </c>
      <c r="D401" s="33" t="s">
        <v>461</v>
      </c>
      <c r="E401" s="40">
        <v>12.37</v>
      </c>
      <c r="F401" s="40">
        <v>0.25</v>
      </c>
      <c r="G401" s="33" t="s">
        <v>450</v>
      </c>
    </row>
    <row r="402" ht="15.75" customHeight="1">
      <c r="A402" s="33" t="s">
        <v>1907</v>
      </c>
      <c r="B402" s="33" t="s">
        <v>1908</v>
      </c>
      <c r="C402" s="39">
        <v>45945.0</v>
      </c>
      <c r="D402" s="33" t="s">
        <v>440</v>
      </c>
      <c r="E402" s="40">
        <v>64.39</v>
      </c>
      <c r="F402" s="40">
        <v>0.0</v>
      </c>
      <c r="G402" s="33" t="s">
        <v>442</v>
      </c>
    </row>
    <row r="403" ht="15.75" customHeight="1">
      <c r="A403" s="33" t="s">
        <v>1910</v>
      </c>
      <c r="B403" s="33" t="s">
        <v>1911</v>
      </c>
      <c r="C403" s="39">
        <v>45712.0</v>
      </c>
      <c r="D403" s="33" t="s">
        <v>479</v>
      </c>
      <c r="E403" s="40">
        <v>68.72</v>
      </c>
      <c r="F403" s="40">
        <v>0.62</v>
      </c>
      <c r="G403" s="33" t="s">
        <v>450</v>
      </c>
    </row>
    <row r="404" ht="15.75" customHeight="1">
      <c r="A404" s="33" t="s">
        <v>1915</v>
      </c>
      <c r="B404" s="33" t="s">
        <v>1118</v>
      </c>
      <c r="C404" s="39">
        <v>45892.0</v>
      </c>
      <c r="D404" s="33" t="s">
        <v>479</v>
      </c>
      <c r="E404" s="40">
        <v>48.49</v>
      </c>
      <c r="F404" s="40">
        <v>0.56</v>
      </c>
      <c r="G404" s="33" t="s">
        <v>450</v>
      </c>
    </row>
    <row r="405" ht="15.75" customHeight="1">
      <c r="A405" s="33" t="s">
        <v>1919</v>
      </c>
      <c r="B405" s="33" t="s">
        <v>1920</v>
      </c>
      <c r="C405" s="39">
        <v>46010.0</v>
      </c>
      <c r="D405" s="33" t="s">
        <v>435</v>
      </c>
      <c r="E405" s="40">
        <v>31.84</v>
      </c>
      <c r="F405" s="40">
        <v>0.0</v>
      </c>
      <c r="G405" s="33" t="s">
        <v>450</v>
      </c>
    </row>
    <row r="406" ht="15.75" customHeight="1">
      <c r="A406" s="33" t="s">
        <v>1921</v>
      </c>
      <c r="B406" s="33" t="s">
        <v>356</v>
      </c>
      <c r="C406" s="39">
        <v>45670.0</v>
      </c>
      <c r="D406" s="33" t="s">
        <v>440</v>
      </c>
      <c r="E406" s="40">
        <v>5.89</v>
      </c>
      <c r="F406" s="40">
        <v>0.0</v>
      </c>
      <c r="G406" s="33" t="s">
        <v>450</v>
      </c>
    </row>
    <row r="407" ht="15.75" customHeight="1">
      <c r="A407" s="33" t="s">
        <v>1924</v>
      </c>
      <c r="B407" s="33" t="s">
        <v>786</v>
      </c>
      <c r="C407" s="39">
        <v>46216.0</v>
      </c>
      <c r="D407" s="33" t="s">
        <v>435</v>
      </c>
      <c r="E407" s="40">
        <v>65.23</v>
      </c>
      <c r="F407" s="40">
        <v>0.0</v>
      </c>
      <c r="G407" s="33" t="s">
        <v>431</v>
      </c>
    </row>
    <row r="408" ht="15.75" customHeight="1">
      <c r="A408" s="33" t="s">
        <v>1927</v>
      </c>
      <c r="B408" s="33" t="s">
        <v>1232</v>
      </c>
      <c r="C408" s="39">
        <v>45970.0</v>
      </c>
      <c r="D408" s="33" t="s">
        <v>435</v>
      </c>
      <c r="E408" s="40">
        <v>106.23</v>
      </c>
      <c r="F408" s="40">
        <v>0.0</v>
      </c>
      <c r="G408" s="33" t="s">
        <v>442</v>
      </c>
    </row>
    <row r="409" ht="15.75" customHeight="1">
      <c r="A409" s="33" t="s">
        <v>1930</v>
      </c>
      <c r="B409" s="33" t="s">
        <v>1610</v>
      </c>
      <c r="C409" s="39">
        <v>46135.0</v>
      </c>
      <c r="D409" s="33" t="s">
        <v>479</v>
      </c>
      <c r="E409" s="40">
        <v>74.55</v>
      </c>
      <c r="F409" s="40">
        <v>1.18</v>
      </c>
      <c r="G409" s="33" t="s">
        <v>431</v>
      </c>
    </row>
    <row r="410" ht="15.75" customHeight="1">
      <c r="A410" s="33" t="s">
        <v>1934</v>
      </c>
      <c r="B410" s="33" t="s">
        <v>959</v>
      </c>
      <c r="C410" s="39">
        <v>45825.0</v>
      </c>
      <c r="D410" s="33" t="s">
        <v>428</v>
      </c>
      <c r="E410" s="40">
        <v>31.87</v>
      </c>
      <c r="F410" s="40">
        <v>0.0</v>
      </c>
      <c r="G410" s="33" t="s">
        <v>450</v>
      </c>
    </row>
    <row r="411" ht="15.75" customHeight="1">
      <c r="A411" s="33" t="s">
        <v>1937</v>
      </c>
      <c r="B411" s="33" t="s">
        <v>273</v>
      </c>
      <c r="C411" s="39">
        <v>46165.0</v>
      </c>
      <c r="D411" s="33" t="s">
        <v>428</v>
      </c>
      <c r="E411" s="40">
        <v>69.28</v>
      </c>
      <c r="F411" s="40">
        <v>0.0</v>
      </c>
      <c r="G411" s="33" t="s">
        <v>450</v>
      </c>
    </row>
    <row r="412" ht="15.75" customHeight="1">
      <c r="A412" s="33" t="s">
        <v>1940</v>
      </c>
      <c r="B412" s="33" t="s">
        <v>1941</v>
      </c>
      <c r="C412" s="39">
        <v>45880.0</v>
      </c>
      <c r="D412" s="33" t="s">
        <v>461</v>
      </c>
      <c r="E412" s="40">
        <v>192.03</v>
      </c>
      <c r="F412" s="40">
        <v>3.03</v>
      </c>
      <c r="G412" s="33" t="s">
        <v>450</v>
      </c>
    </row>
    <row r="413" ht="15.75" customHeight="1">
      <c r="A413" s="33" t="s">
        <v>1946</v>
      </c>
      <c r="B413" s="33" t="s">
        <v>303</v>
      </c>
      <c r="C413" s="39">
        <v>46221.0</v>
      </c>
      <c r="D413" s="33" t="s">
        <v>479</v>
      </c>
      <c r="E413" s="40">
        <v>40.6</v>
      </c>
      <c r="F413" s="40">
        <v>0.22</v>
      </c>
      <c r="G413" s="33" t="s">
        <v>450</v>
      </c>
    </row>
    <row r="414" ht="15.75" customHeight="1">
      <c r="A414" s="33" t="s">
        <v>1948</v>
      </c>
      <c r="B414" s="33" t="s">
        <v>514</v>
      </c>
      <c r="C414" s="39">
        <v>45974.0</v>
      </c>
      <c r="D414" s="33" t="s">
        <v>440</v>
      </c>
      <c r="E414" s="40">
        <v>83.0</v>
      </c>
      <c r="F414" s="40">
        <v>0.0</v>
      </c>
      <c r="G414" s="33" t="s">
        <v>450</v>
      </c>
    </row>
    <row r="415" ht="15.75" customHeight="1">
      <c r="A415" s="33" t="s">
        <v>1952</v>
      </c>
      <c r="B415" s="33" t="s">
        <v>901</v>
      </c>
      <c r="C415" s="39">
        <v>46044.0</v>
      </c>
      <c r="D415" s="33" t="s">
        <v>440</v>
      </c>
      <c r="E415" s="40">
        <v>91.92</v>
      </c>
      <c r="F415" s="40">
        <v>0.0</v>
      </c>
      <c r="G415" s="33" t="s">
        <v>450</v>
      </c>
    </row>
    <row r="416" ht="15.75" customHeight="1">
      <c r="A416" s="33" t="s">
        <v>1954</v>
      </c>
      <c r="B416" s="33" t="s">
        <v>1957</v>
      </c>
      <c r="C416" s="39">
        <v>45781.0</v>
      </c>
      <c r="D416" s="33" t="s">
        <v>461</v>
      </c>
      <c r="E416" s="40">
        <v>19.75</v>
      </c>
      <c r="F416" s="40">
        <v>0.13</v>
      </c>
      <c r="G416" s="33" t="s">
        <v>450</v>
      </c>
    </row>
    <row r="417" ht="15.75" customHeight="1">
      <c r="A417" s="33" t="s">
        <v>1959</v>
      </c>
      <c r="B417" s="33" t="s">
        <v>533</v>
      </c>
      <c r="C417" s="39">
        <v>46261.0</v>
      </c>
      <c r="D417" s="33" t="s">
        <v>428</v>
      </c>
      <c r="E417" s="40">
        <v>55.32</v>
      </c>
      <c r="F417" s="40">
        <v>0.0</v>
      </c>
      <c r="G417" s="33" t="s">
        <v>442</v>
      </c>
    </row>
    <row r="418" ht="15.75" customHeight="1">
      <c r="A418" s="33" t="s">
        <v>1961</v>
      </c>
      <c r="B418" s="33" t="s">
        <v>1235</v>
      </c>
      <c r="C418" s="39">
        <v>45774.0</v>
      </c>
      <c r="D418" s="33" t="s">
        <v>428</v>
      </c>
      <c r="E418" s="40">
        <v>55.86</v>
      </c>
      <c r="F418" s="40">
        <v>0.0</v>
      </c>
      <c r="G418" s="33" t="s">
        <v>431</v>
      </c>
    </row>
    <row r="419" ht="15.75" customHeight="1">
      <c r="A419" s="33" t="s">
        <v>1963</v>
      </c>
      <c r="B419" s="33" t="s">
        <v>1966</v>
      </c>
      <c r="C419" s="39">
        <v>45678.0</v>
      </c>
      <c r="D419" s="33" t="s">
        <v>440</v>
      </c>
      <c r="E419" s="40">
        <v>72.31</v>
      </c>
      <c r="F419" s="40">
        <v>0.0</v>
      </c>
      <c r="G419" s="33" t="s">
        <v>450</v>
      </c>
    </row>
    <row r="420" ht="15.75" customHeight="1">
      <c r="A420" s="33" t="s">
        <v>1967</v>
      </c>
      <c r="B420" s="33" t="s">
        <v>697</v>
      </c>
      <c r="C420" s="39">
        <v>45924.0</v>
      </c>
      <c r="D420" s="33" t="s">
        <v>479</v>
      </c>
      <c r="E420" s="40">
        <v>163.8</v>
      </c>
      <c r="F420" s="40">
        <v>1.15</v>
      </c>
      <c r="G420" s="33" t="s">
        <v>431</v>
      </c>
    </row>
    <row r="421" ht="15.75" customHeight="1">
      <c r="A421" s="33" t="s">
        <v>1971</v>
      </c>
      <c r="B421" s="33" t="s">
        <v>1972</v>
      </c>
      <c r="C421" s="39">
        <v>46164.0</v>
      </c>
      <c r="D421" s="33" t="s">
        <v>479</v>
      </c>
      <c r="E421" s="40">
        <v>24.56</v>
      </c>
      <c r="F421" s="40">
        <v>0.18</v>
      </c>
      <c r="G421" s="33" t="s">
        <v>442</v>
      </c>
    </row>
    <row r="422" ht="15.75" customHeight="1">
      <c r="A422" s="33" t="s">
        <v>1973</v>
      </c>
      <c r="B422" s="33" t="s">
        <v>767</v>
      </c>
      <c r="C422" s="39">
        <v>46217.0</v>
      </c>
      <c r="D422" s="33" t="s">
        <v>435</v>
      </c>
      <c r="E422" s="40">
        <v>170.82</v>
      </c>
      <c r="F422" s="40">
        <v>0.0</v>
      </c>
      <c r="G422" s="33" t="s">
        <v>450</v>
      </c>
    </row>
    <row r="423" ht="15.75" customHeight="1">
      <c r="A423" s="33" t="s">
        <v>1975</v>
      </c>
      <c r="B423" s="33" t="s">
        <v>905</v>
      </c>
      <c r="C423" s="39">
        <v>46178.0</v>
      </c>
      <c r="D423" s="33" t="s">
        <v>435</v>
      </c>
      <c r="E423" s="40">
        <v>112.04</v>
      </c>
      <c r="F423" s="40">
        <v>0.0</v>
      </c>
      <c r="G423" s="33" t="s">
        <v>450</v>
      </c>
    </row>
    <row r="424" ht="15.75" customHeight="1">
      <c r="A424" s="33" t="s">
        <v>1978</v>
      </c>
      <c r="B424" s="33" t="s">
        <v>1979</v>
      </c>
      <c r="C424" s="39">
        <v>45993.0</v>
      </c>
      <c r="D424" s="33" t="s">
        <v>435</v>
      </c>
      <c r="E424" s="40">
        <v>250.82</v>
      </c>
      <c r="F424" s="40">
        <v>0.0</v>
      </c>
      <c r="G424" s="33" t="s">
        <v>450</v>
      </c>
    </row>
    <row r="425" ht="15.75" customHeight="1">
      <c r="A425" s="33" t="s">
        <v>1983</v>
      </c>
      <c r="B425" s="33" t="s">
        <v>1495</v>
      </c>
      <c r="C425" s="39">
        <v>46214.0</v>
      </c>
      <c r="D425" s="33" t="s">
        <v>461</v>
      </c>
      <c r="E425" s="40">
        <v>8.56</v>
      </c>
      <c r="F425" s="40">
        <v>0.05</v>
      </c>
      <c r="G425" s="33" t="s">
        <v>442</v>
      </c>
    </row>
    <row r="426" ht="15.75" customHeight="1">
      <c r="A426" s="33" t="s">
        <v>1984</v>
      </c>
      <c r="B426" s="33" t="s">
        <v>696</v>
      </c>
      <c r="C426" s="39">
        <v>45956.0</v>
      </c>
      <c r="D426" s="33" t="s">
        <v>440</v>
      </c>
      <c r="E426" s="40">
        <v>343.45</v>
      </c>
      <c r="F426" s="40">
        <v>0.0</v>
      </c>
      <c r="G426" s="33" t="s">
        <v>442</v>
      </c>
    </row>
    <row r="427" ht="15.75" customHeight="1">
      <c r="A427" s="33" t="s">
        <v>1989</v>
      </c>
      <c r="B427" s="33" t="s">
        <v>642</v>
      </c>
      <c r="C427" s="39">
        <v>45948.0</v>
      </c>
      <c r="D427" s="33" t="s">
        <v>461</v>
      </c>
      <c r="E427" s="40">
        <v>18.87</v>
      </c>
      <c r="F427" s="40">
        <v>0.22</v>
      </c>
      <c r="G427" s="33" t="s">
        <v>431</v>
      </c>
    </row>
    <row r="428" ht="15.75" customHeight="1">
      <c r="A428" s="33" t="s">
        <v>1993</v>
      </c>
      <c r="B428" s="33" t="s">
        <v>1994</v>
      </c>
      <c r="C428" s="39">
        <v>45767.0</v>
      </c>
      <c r="D428" s="33" t="s">
        <v>440</v>
      </c>
      <c r="E428" s="40">
        <v>34.0</v>
      </c>
      <c r="F428" s="40">
        <v>0.0</v>
      </c>
      <c r="G428" s="33" t="s">
        <v>450</v>
      </c>
    </row>
    <row r="429" ht="15.75" customHeight="1">
      <c r="A429" s="33" t="s">
        <v>1997</v>
      </c>
      <c r="B429" s="33" t="s">
        <v>1998</v>
      </c>
      <c r="C429" s="39">
        <v>46136.0</v>
      </c>
      <c r="D429" s="33" t="s">
        <v>461</v>
      </c>
      <c r="E429" s="40">
        <v>34.28</v>
      </c>
      <c r="F429" s="40">
        <v>0.45</v>
      </c>
      <c r="G429" s="33" t="s">
        <v>450</v>
      </c>
    </row>
    <row r="430" ht="15.75" customHeight="1">
      <c r="A430" s="33" t="s">
        <v>2000</v>
      </c>
      <c r="B430" s="33" t="s">
        <v>949</v>
      </c>
      <c r="C430" s="39">
        <v>45849.0</v>
      </c>
      <c r="D430" s="33" t="s">
        <v>435</v>
      </c>
      <c r="E430" s="40">
        <v>108.23</v>
      </c>
      <c r="F430" s="40">
        <v>0.0</v>
      </c>
      <c r="G430" s="33" t="s">
        <v>431</v>
      </c>
    </row>
    <row r="431" ht="15.75" customHeight="1">
      <c r="A431" s="33" t="s">
        <v>2005</v>
      </c>
      <c r="B431" s="33" t="s">
        <v>571</v>
      </c>
      <c r="C431" s="39">
        <v>45776.0</v>
      </c>
      <c r="D431" s="33" t="s">
        <v>440</v>
      </c>
      <c r="E431" s="40">
        <v>59.24</v>
      </c>
      <c r="F431" s="40">
        <v>0.0</v>
      </c>
      <c r="G431" s="33" t="s">
        <v>431</v>
      </c>
    </row>
    <row r="432" ht="15.75" customHeight="1">
      <c r="A432" s="33" t="s">
        <v>2006</v>
      </c>
      <c r="B432" s="33" t="s">
        <v>474</v>
      </c>
      <c r="C432" s="39">
        <v>45882.0</v>
      </c>
      <c r="D432" s="33" t="s">
        <v>440</v>
      </c>
      <c r="E432" s="40">
        <v>38.91</v>
      </c>
      <c r="F432" s="40">
        <v>0.0</v>
      </c>
      <c r="G432" s="33" t="s">
        <v>442</v>
      </c>
    </row>
    <row r="433" ht="15.75" customHeight="1">
      <c r="A433" s="33" t="s">
        <v>2010</v>
      </c>
      <c r="B433" s="33" t="s">
        <v>984</v>
      </c>
      <c r="C433" s="39">
        <v>46024.0</v>
      </c>
      <c r="D433" s="33" t="s">
        <v>479</v>
      </c>
      <c r="E433" s="40">
        <v>220.86</v>
      </c>
      <c r="F433" s="40">
        <v>3.83</v>
      </c>
      <c r="G433" s="33" t="s">
        <v>431</v>
      </c>
    </row>
    <row r="434" ht="15.75" customHeight="1">
      <c r="A434" s="33" t="s">
        <v>2013</v>
      </c>
      <c r="B434" s="33" t="s">
        <v>511</v>
      </c>
      <c r="C434" s="39">
        <v>45821.0</v>
      </c>
      <c r="D434" s="33" t="s">
        <v>479</v>
      </c>
      <c r="E434" s="40">
        <v>6.84</v>
      </c>
      <c r="F434" s="40">
        <v>0.05</v>
      </c>
      <c r="G434" s="33" t="s">
        <v>450</v>
      </c>
    </row>
    <row r="435" ht="15.75" customHeight="1">
      <c r="A435" s="33" t="s">
        <v>2017</v>
      </c>
      <c r="B435" s="33" t="s">
        <v>2018</v>
      </c>
      <c r="C435" s="39">
        <v>45875.0</v>
      </c>
      <c r="D435" s="33" t="s">
        <v>435</v>
      </c>
      <c r="E435" s="40">
        <v>142.84</v>
      </c>
      <c r="F435" s="40">
        <v>0.0</v>
      </c>
      <c r="G435" s="33" t="s">
        <v>450</v>
      </c>
    </row>
    <row r="436" ht="15.75" customHeight="1">
      <c r="A436" s="33" t="s">
        <v>2020</v>
      </c>
      <c r="B436" s="33" t="s">
        <v>2021</v>
      </c>
      <c r="C436" s="39">
        <v>45858.0</v>
      </c>
      <c r="D436" s="33" t="s">
        <v>461</v>
      </c>
      <c r="E436" s="40">
        <v>67.48</v>
      </c>
      <c r="F436" s="40">
        <v>0.93</v>
      </c>
      <c r="G436" s="33" t="s">
        <v>450</v>
      </c>
    </row>
    <row r="437" ht="15.75" customHeight="1">
      <c r="A437" s="33" t="s">
        <v>2025</v>
      </c>
      <c r="B437" s="33" t="s">
        <v>1610</v>
      </c>
      <c r="C437" s="39">
        <v>46019.0</v>
      </c>
      <c r="D437" s="33" t="s">
        <v>428</v>
      </c>
      <c r="E437" s="40">
        <v>38.3</v>
      </c>
      <c r="F437" s="40">
        <v>0.0</v>
      </c>
      <c r="G437" s="33" t="s">
        <v>450</v>
      </c>
    </row>
    <row r="438" ht="15.75" customHeight="1">
      <c r="A438" s="33" t="s">
        <v>2028</v>
      </c>
      <c r="B438" s="33" t="s">
        <v>258</v>
      </c>
      <c r="C438" s="39">
        <v>46091.0</v>
      </c>
      <c r="D438" s="33" t="s">
        <v>435</v>
      </c>
      <c r="E438" s="40">
        <v>42.51</v>
      </c>
      <c r="F438" s="40">
        <v>0.0</v>
      </c>
      <c r="G438" s="33" t="s">
        <v>431</v>
      </c>
    </row>
    <row r="439" ht="15.75" customHeight="1">
      <c r="A439" s="33" t="s">
        <v>2030</v>
      </c>
      <c r="B439" s="33" t="s">
        <v>627</v>
      </c>
      <c r="C439" s="39">
        <v>46068.0</v>
      </c>
      <c r="D439" s="33" t="s">
        <v>435</v>
      </c>
      <c r="E439" s="40">
        <v>54.49</v>
      </c>
      <c r="F439" s="40">
        <v>0.0</v>
      </c>
      <c r="G439" s="33" t="s">
        <v>450</v>
      </c>
    </row>
    <row r="440" ht="15.75" customHeight="1">
      <c r="A440" s="33" t="s">
        <v>2032</v>
      </c>
      <c r="B440" s="33" t="s">
        <v>713</v>
      </c>
      <c r="C440" s="39">
        <v>45743.0</v>
      </c>
      <c r="D440" s="33" t="s">
        <v>428</v>
      </c>
      <c r="E440" s="40">
        <v>34.7</v>
      </c>
      <c r="F440" s="40">
        <v>0.0</v>
      </c>
      <c r="G440" s="33" t="s">
        <v>431</v>
      </c>
    </row>
    <row r="441" ht="15.75" customHeight="1">
      <c r="A441" s="33" t="s">
        <v>2035</v>
      </c>
      <c r="B441" s="33" t="s">
        <v>790</v>
      </c>
      <c r="C441" s="39">
        <v>45868.0</v>
      </c>
      <c r="D441" s="33" t="s">
        <v>461</v>
      </c>
      <c r="E441" s="40">
        <v>127.39</v>
      </c>
      <c r="F441" s="40">
        <v>2.51</v>
      </c>
      <c r="G441" s="33" t="s">
        <v>450</v>
      </c>
    </row>
    <row r="442" ht="15.75" customHeight="1">
      <c r="A442" s="33" t="s">
        <v>2036</v>
      </c>
      <c r="B442" s="33" t="s">
        <v>1705</v>
      </c>
      <c r="C442" s="39">
        <v>46051.0</v>
      </c>
      <c r="D442" s="33" t="s">
        <v>428</v>
      </c>
      <c r="E442" s="40">
        <v>50.8</v>
      </c>
      <c r="F442" s="40">
        <v>0.0</v>
      </c>
      <c r="G442" s="33" t="s">
        <v>450</v>
      </c>
    </row>
    <row r="443" ht="15.75" customHeight="1">
      <c r="A443" s="33" t="s">
        <v>2039</v>
      </c>
      <c r="B443" s="33" t="s">
        <v>2040</v>
      </c>
      <c r="C443" s="39">
        <v>45789.0</v>
      </c>
      <c r="D443" s="33" t="s">
        <v>461</v>
      </c>
      <c r="E443" s="40">
        <v>114.71</v>
      </c>
      <c r="F443" s="40">
        <v>2.19</v>
      </c>
      <c r="G443" s="33" t="s">
        <v>431</v>
      </c>
    </row>
    <row r="444" ht="15.75" customHeight="1">
      <c r="A444" s="33" t="s">
        <v>2042</v>
      </c>
      <c r="B444" s="33" t="s">
        <v>492</v>
      </c>
      <c r="C444" s="39">
        <v>45700.0</v>
      </c>
      <c r="D444" s="33" t="s">
        <v>461</v>
      </c>
      <c r="E444" s="40">
        <v>43.1</v>
      </c>
      <c r="F444" s="40">
        <v>0.35</v>
      </c>
      <c r="G444" s="33" t="s">
        <v>450</v>
      </c>
    </row>
    <row r="445" ht="15.75" customHeight="1">
      <c r="A445" s="33" t="s">
        <v>2044</v>
      </c>
      <c r="B445" s="33" t="s">
        <v>337</v>
      </c>
      <c r="C445" s="39">
        <v>45853.0</v>
      </c>
      <c r="D445" s="33" t="s">
        <v>435</v>
      </c>
      <c r="E445" s="40">
        <v>81.91</v>
      </c>
      <c r="F445" s="40">
        <v>0.0</v>
      </c>
      <c r="G445" s="33" t="s">
        <v>450</v>
      </c>
    </row>
    <row r="446" ht="15.75" customHeight="1">
      <c r="A446" s="33" t="s">
        <v>2047</v>
      </c>
      <c r="B446" s="33" t="s">
        <v>2048</v>
      </c>
      <c r="C446" s="39">
        <v>46069.0</v>
      </c>
      <c r="D446" s="33" t="s">
        <v>479</v>
      </c>
      <c r="E446" s="40">
        <v>81.88</v>
      </c>
      <c r="F446" s="40">
        <v>1.06</v>
      </c>
      <c r="G446" s="33" t="s">
        <v>442</v>
      </c>
    </row>
    <row r="447" ht="15.75" customHeight="1">
      <c r="A447" s="33" t="s">
        <v>2049</v>
      </c>
      <c r="B447" s="33" t="s">
        <v>220</v>
      </c>
      <c r="C447" s="39">
        <v>46061.0</v>
      </c>
      <c r="D447" s="33" t="s">
        <v>440</v>
      </c>
      <c r="E447" s="40">
        <v>71.75</v>
      </c>
      <c r="F447" s="40">
        <v>0.0</v>
      </c>
      <c r="G447" s="33" t="s">
        <v>442</v>
      </c>
    </row>
    <row r="448" ht="15.75" customHeight="1">
      <c r="A448" s="33" t="s">
        <v>2054</v>
      </c>
      <c r="B448" s="33" t="s">
        <v>273</v>
      </c>
      <c r="C448" s="39">
        <v>45736.0</v>
      </c>
      <c r="D448" s="33" t="s">
        <v>428</v>
      </c>
      <c r="E448" s="40">
        <v>174.53</v>
      </c>
      <c r="F448" s="40">
        <v>0.0</v>
      </c>
      <c r="G448" s="33" t="s">
        <v>442</v>
      </c>
    </row>
    <row r="449" ht="15.75" customHeight="1">
      <c r="A449" s="33" t="s">
        <v>2055</v>
      </c>
      <c r="B449" s="33" t="s">
        <v>1400</v>
      </c>
      <c r="C449" s="39">
        <v>46068.0</v>
      </c>
      <c r="D449" s="33" t="s">
        <v>435</v>
      </c>
      <c r="E449" s="40">
        <v>186.57</v>
      </c>
      <c r="F449" s="40">
        <v>0.0</v>
      </c>
      <c r="G449" s="33" t="s">
        <v>442</v>
      </c>
    </row>
    <row r="450" ht="15.75" customHeight="1">
      <c r="A450" s="33" t="s">
        <v>2059</v>
      </c>
      <c r="B450" s="33" t="s">
        <v>658</v>
      </c>
      <c r="C450" s="39">
        <v>45776.0</v>
      </c>
      <c r="D450" s="33" t="s">
        <v>435</v>
      </c>
      <c r="E450" s="40">
        <v>122.68</v>
      </c>
      <c r="F450" s="40">
        <v>0.0</v>
      </c>
      <c r="G450" s="33" t="s">
        <v>450</v>
      </c>
    </row>
    <row r="451" ht="15.75" customHeight="1">
      <c r="A451" s="33" t="s">
        <v>2062</v>
      </c>
      <c r="B451" s="33" t="s">
        <v>2063</v>
      </c>
      <c r="C451" s="39">
        <v>46107.0</v>
      </c>
      <c r="D451" s="33" t="s">
        <v>479</v>
      </c>
      <c r="E451" s="40">
        <v>151.14</v>
      </c>
      <c r="F451" s="40">
        <v>2.68</v>
      </c>
      <c r="G451" s="33" t="s">
        <v>450</v>
      </c>
    </row>
    <row r="452" ht="15.75" customHeight="1">
      <c r="A452" s="33" t="s">
        <v>2067</v>
      </c>
      <c r="B452" s="33" t="s">
        <v>804</v>
      </c>
      <c r="C452" s="39">
        <v>46001.0</v>
      </c>
      <c r="D452" s="33" t="s">
        <v>428</v>
      </c>
      <c r="E452" s="40">
        <v>117.97</v>
      </c>
      <c r="F452" s="40">
        <v>0.0</v>
      </c>
      <c r="G452" s="33" t="s">
        <v>442</v>
      </c>
    </row>
    <row r="453" ht="15.75" customHeight="1">
      <c r="A453" s="33" t="s">
        <v>2069</v>
      </c>
      <c r="B453" s="33" t="s">
        <v>401</v>
      </c>
      <c r="C453" s="39">
        <v>45734.0</v>
      </c>
      <c r="D453" s="33" t="s">
        <v>428</v>
      </c>
      <c r="E453" s="40">
        <v>47.81</v>
      </c>
      <c r="F453" s="40">
        <v>0.0</v>
      </c>
      <c r="G453" s="33" t="s">
        <v>450</v>
      </c>
    </row>
    <row r="454" ht="15.75" customHeight="1">
      <c r="A454" s="33" t="s">
        <v>2072</v>
      </c>
      <c r="B454" s="33" t="s">
        <v>2073</v>
      </c>
      <c r="C454" s="39">
        <v>45870.0</v>
      </c>
      <c r="D454" s="33" t="s">
        <v>479</v>
      </c>
      <c r="E454" s="40">
        <v>63.22</v>
      </c>
      <c r="F454" s="40">
        <v>0.9</v>
      </c>
      <c r="G454" s="33" t="s">
        <v>450</v>
      </c>
    </row>
    <row r="455" ht="15.75" customHeight="1">
      <c r="A455" s="33" t="s">
        <v>2077</v>
      </c>
      <c r="B455" s="33" t="s">
        <v>1473</v>
      </c>
      <c r="C455" s="39">
        <v>46154.0</v>
      </c>
      <c r="D455" s="33" t="s">
        <v>479</v>
      </c>
      <c r="E455" s="40">
        <v>8.64</v>
      </c>
      <c r="F455" s="40">
        <v>0.11</v>
      </c>
      <c r="G455" s="33" t="s">
        <v>431</v>
      </c>
    </row>
    <row r="456" ht="15.75" customHeight="1">
      <c r="A456" s="33" t="s">
        <v>2079</v>
      </c>
      <c r="B456" s="33" t="s">
        <v>2080</v>
      </c>
      <c r="C456" s="39">
        <v>45920.0</v>
      </c>
      <c r="D456" s="33" t="s">
        <v>440</v>
      </c>
      <c r="E456" s="40">
        <v>29.79</v>
      </c>
      <c r="F456" s="40">
        <v>0.0</v>
      </c>
      <c r="G456" s="33" t="s">
        <v>450</v>
      </c>
    </row>
    <row r="457" ht="15.75" customHeight="1">
      <c r="A457" s="33" t="s">
        <v>2083</v>
      </c>
      <c r="B457" s="33" t="s">
        <v>731</v>
      </c>
      <c r="C457" s="39">
        <v>46075.0</v>
      </c>
      <c r="D457" s="33" t="s">
        <v>428</v>
      </c>
      <c r="E457" s="40">
        <v>19.01</v>
      </c>
      <c r="F457" s="40">
        <v>0.0</v>
      </c>
      <c r="G457" s="33" t="s">
        <v>450</v>
      </c>
    </row>
    <row r="458" ht="15.75" customHeight="1">
      <c r="A458" s="33" t="s">
        <v>2084</v>
      </c>
      <c r="B458" s="33" t="s">
        <v>2086</v>
      </c>
      <c r="C458" s="39">
        <v>46112.0</v>
      </c>
      <c r="D458" s="33" t="s">
        <v>435</v>
      </c>
      <c r="E458" s="40">
        <v>38.0</v>
      </c>
      <c r="F458" s="40">
        <v>0.0</v>
      </c>
      <c r="G458" s="33" t="s">
        <v>450</v>
      </c>
    </row>
    <row r="459" ht="15.75" customHeight="1">
      <c r="A459" s="33" t="s">
        <v>2091</v>
      </c>
      <c r="B459" s="33" t="s">
        <v>441</v>
      </c>
      <c r="C459" s="39">
        <v>45676.0</v>
      </c>
      <c r="D459" s="33" t="s">
        <v>435</v>
      </c>
      <c r="E459" s="40">
        <v>86.87</v>
      </c>
      <c r="F459" s="40">
        <v>0.0</v>
      </c>
      <c r="G459" s="33" t="s">
        <v>450</v>
      </c>
    </row>
    <row r="460" ht="15.75" customHeight="1">
      <c r="A460" s="33" t="s">
        <v>2093</v>
      </c>
      <c r="B460" s="33" t="s">
        <v>676</v>
      </c>
      <c r="C460" s="39">
        <v>46223.0</v>
      </c>
      <c r="D460" s="33" t="s">
        <v>479</v>
      </c>
      <c r="E460" s="40">
        <v>46.34</v>
      </c>
      <c r="F460" s="40">
        <v>0.69</v>
      </c>
      <c r="G460" s="33" t="s">
        <v>450</v>
      </c>
    </row>
    <row r="461" ht="15.75" customHeight="1">
      <c r="A461" s="33" t="s">
        <v>2096</v>
      </c>
      <c r="B461" s="33" t="s">
        <v>1637</v>
      </c>
      <c r="C461" s="39">
        <v>45861.0</v>
      </c>
      <c r="D461" s="33" t="s">
        <v>440</v>
      </c>
      <c r="E461" s="40">
        <v>131.74</v>
      </c>
      <c r="F461" s="40">
        <v>0.0</v>
      </c>
      <c r="G461" s="33" t="s">
        <v>431</v>
      </c>
    </row>
    <row r="462" ht="15.75" customHeight="1">
      <c r="A462" s="33" t="s">
        <v>2099</v>
      </c>
      <c r="B462" s="33" t="s">
        <v>441</v>
      </c>
      <c r="C462" s="39">
        <v>46139.0</v>
      </c>
      <c r="D462" s="33" t="s">
        <v>479</v>
      </c>
      <c r="E462" s="40">
        <v>30.9</v>
      </c>
      <c r="F462" s="40">
        <v>0.47</v>
      </c>
      <c r="G462" s="33" t="s">
        <v>431</v>
      </c>
    </row>
    <row r="463" ht="15.75" customHeight="1">
      <c r="A463" s="33" t="s">
        <v>2101</v>
      </c>
      <c r="B463" s="33" t="s">
        <v>1452</v>
      </c>
      <c r="C463" s="39">
        <v>45941.0</v>
      </c>
      <c r="D463" s="33" t="s">
        <v>428</v>
      </c>
      <c r="E463" s="40">
        <v>110.89</v>
      </c>
      <c r="F463" s="40">
        <v>0.0</v>
      </c>
      <c r="G463" s="33" t="s">
        <v>450</v>
      </c>
    </row>
    <row r="464" ht="15.75" customHeight="1">
      <c r="A464" s="33" t="s">
        <v>2103</v>
      </c>
      <c r="B464" s="33" t="s">
        <v>1344</v>
      </c>
      <c r="C464" s="39">
        <v>46008.0</v>
      </c>
      <c r="D464" s="33" t="s">
        <v>440</v>
      </c>
      <c r="E464" s="40">
        <v>28.39</v>
      </c>
      <c r="F464" s="40">
        <v>0.0</v>
      </c>
      <c r="G464" s="33" t="s">
        <v>450</v>
      </c>
    </row>
    <row r="465" ht="15.75" customHeight="1">
      <c r="A465" s="33" t="s">
        <v>2109</v>
      </c>
      <c r="B465" s="33" t="s">
        <v>291</v>
      </c>
      <c r="C465" s="39">
        <v>45876.0</v>
      </c>
      <c r="D465" s="33" t="s">
        <v>428</v>
      </c>
      <c r="E465" s="40">
        <v>166.14</v>
      </c>
      <c r="F465" s="40">
        <v>0.0</v>
      </c>
      <c r="G465" s="33" t="s">
        <v>431</v>
      </c>
    </row>
    <row r="466" ht="15.75" customHeight="1">
      <c r="A466" s="33" t="s">
        <v>2112</v>
      </c>
      <c r="B466" s="33" t="s">
        <v>733</v>
      </c>
      <c r="C466" s="39">
        <v>46175.0</v>
      </c>
      <c r="D466" s="33" t="s">
        <v>440</v>
      </c>
      <c r="E466" s="40">
        <v>30.84</v>
      </c>
      <c r="F466" s="40">
        <v>0.0</v>
      </c>
      <c r="G466" s="33" t="s">
        <v>450</v>
      </c>
    </row>
    <row r="467" ht="15.75" customHeight="1">
      <c r="A467" s="33" t="s">
        <v>2114</v>
      </c>
      <c r="B467" s="33" t="s">
        <v>1887</v>
      </c>
      <c r="C467" s="39">
        <v>45729.0</v>
      </c>
      <c r="D467" s="33" t="s">
        <v>440</v>
      </c>
      <c r="E467" s="40">
        <v>99.39</v>
      </c>
      <c r="F467" s="40">
        <v>0.0</v>
      </c>
      <c r="G467" s="33" t="s">
        <v>450</v>
      </c>
    </row>
    <row r="468" ht="15.75" customHeight="1">
      <c r="A468" s="33" t="s">
        <v>2118</v>
      </c>
      <c r="B468" s="33" t="s">
        <v>497</v>
      </c>
      <c r="C468" s="39">
        <v>46201.0</v>
      </c>
      <c r="D468" s="33" t="s">
        <v>435</v>
      </c>
      <c r="E468" s="40">
        <v>38.97</v>
      </c>
      <c r="F468" s="40">
        <v>0.0</v>
      </c>
      <c r="G468" s="33" t="s">
        <v>450</v>
      </c>
    </row>
    <row r="469" ht="15.75" customHeight="1">
      <c r="A469" s="33" t="s">
        <v>2120</v>
      </c>
      <c r="B469" s="33" t="s">
        <v>546</v>
      </c>
      <c r="C469" s="39">
        <v>45783.0</v>
      </c>
      <c r="D469" s="33" t="s">
        <v>461</v>
      </c>
      <c r="E469" s="40">
        <v>205.83</v>
      </c>
      <c r="F469" s="40">
        <v>2.01</v>
      </c>
      <c r="G469" s="33" t="s">
        <v>442</v>
      </c>
    </row>
    <row r="470" ht="15.75" customHeight="1">
      <c r="A470" s="33" t="s">
        <v>2122</v>
      </c>
      <c r="B470" s="33" t="s">
        <v>1561</v>
      </c>
      <c r="C470" s="39">
        <v>46194.0</v>
      </c>
      <c r="D470" s="33" t="s">
        <v>428</v>
      </c>
      <c r="E470" s="40">
        <v>200.06</v>
      </c>
      <c r="F470" s="40">
        <v>0.0</v>
      </c>
      <c r="G470" s="33" t="s">
        <v>450</v>
      </c>
    </row>
    <row r="471" ht="15.75" customHeight="1">
      <c r="A471" s="33" t="s">
        <v>2125</v>
      </c>
      <c r="B471" s="33" t="s">
        <v>597</v>
      </c>
      <c r="C471" s="39">
        <v>45672.0</v>
      </c>
      <c r="D471" s="33" t="s">
        <v>428</v>
      </c>
      <c r="E471" s="40">
        <v>96.94</v>
      </c>
      <c r="F471" s="40">
        <v>0.0</v>
      </c>
      <c r="G471" s="33" t="s">
        <v>442</v>
      </c>
    </row>
    <row r="472" ht="15.75" customHeight="1">
      <c r="A472" s="33" t="s">
        <v>2128</v>
      </c>
      <c r="B472" s="33" t="s">
        <v>2129</v>
      </c>
      <c r="C472" s="39">
        <v>45666.0</v>
      </c>
      <c r="D472" s="33" t="s">
        <v>435</v>
      </c>
      <c r="E472" s="40">
        <v>95.53</v>
      </c>
      <c r="F472" s="40">
        <v>0.0</v>
      </c>
      <c r="G472" s="33" t="s">
        <v>442</v>
      </c>
    </row>
    <row r="473" ht="15.75" customHeight="1">
      <c r="A473" s="33" t="s">
        <v>2136</v>
      </c>
      <c r="B473" s="33" t="s">
        <v>1285</v>
      </c>
      <c r="C473" s="39">
        <v>45714.0</v>
      </c>
      <c r="D473" s="33" t="s">
        <v>461</v>
      </c>
      <c r="E473" s="40">
        <v>124.94</v>
      </c>
      <c r="F473" s="40">
        <v>2.43</v>
      </c>
      <c r="G473" s="33" t="s">
        <v>450</v>
      </c>
    </row>
    <row r="474" ht="15.75" customHeight="1">
      <c r="A474" s="33" t="s">
        <v>2138</v>
      </c>
      <c r="B474" s="33" t="s">
        <v>2139</v>
      </c>
      <c r="C474" s="39">
        <v>45990.0</v>
      </c>
      <c r="D474" s="33" t="s">
        <v>435</v>
      </c>
      <c r="E474" s="40">
        <v>109.55</v>
      </c>
      <c r="F474" s="40">
        <v>0.0</v>
      </c>
      <c r="G474" s="33" t="s">
        <v>431</v>
      </c>
    </row>
    <row r="475" ht="15.75" customHeight="1">
      <c r="A475" s="33" t="s">
        <v>2142</v>
      </c>
      <c r="B475" s="33" t="s">
        <v>737</v>
      </c>
      <c r="C475" s="39">
        <v>45819.0</v>
      </c>
      <c r="D475" s="33" t="s">
        <v>461</v>
      </c>
      <c r="E475" s="40">
        <v>136.98</v>
      </c>
      <c r="F475" s="40">
        <v>2.6</v>
      </c>
      <c r="G475" s="33" t="s">
        <v>450</v>
      </c>
    </row>
    <row r="476" ht="15.75" customHeight="1">
      <c r="A476" s="33" t="s">
        <v>2147</v>
      </c>
      <c r="B476" s="33" t="s">
        <v>697</v>
      </c>
      <c r="C476" s="39">
        <v>46020.0</v>
      </c>
      <c r="D476" s="33" t="s">
        <v>461</v>
      </c>
      <c r="E476" s="40">
        <v>30.18</v>
      </c>
      <c r="F476" s="40">
        <v>0.43</v>
      </c>
      <c r="G476" s="33" t="s">
        <v>450</v>
      </c>
    </row>
    <row r="477" ht="15.75" customHeight="1">
      <c r="A477" s="33" t="s">
        <v>2150</v>
      </c>
      <c r="B477" s="33" t="s">
        <v>1200</v>
      </c>
      <c r="C477" s="39">
        <v>46155.0</v>
      </c>
      <c r="D477" s="33" t="s">
        <v>435</v>
      </c>
      <c r="E477" s="40">
        <v>71.77</v>
      </c>
      <c r="F477" s="40">
        <v>0.0</v>
      </c>
      <c r="G477" s="33" t="s">
        <v>450</v>
      </c>
    </row>
    <row r="478" ht="15.75" customHeight="1">
      <c r="A478" s="33" t="s">
        <v>2152</v>
      </c>
      <c r="B478" s="33" t="s">
        <v>2153</v>
      </c>
      <c r="C478" s="39">
        <v>45674.0</v>
      </c>
      <c r="D478" s="33" t="s">
        <v>435</v>
      </c>
      <c r="E478" s="40">
        <v>41.56</v>
      </c>
      <c r="F478" s="40">
        <v>0.0</v>
      </c>
      <c r="G478" s="33" t="s">
        <v>450</v>
      </c>
    </row>
    <row r="479" ht="15.75" customHeight="1">
      <c r="A479" s="33" t="s">
        <v>2157</v>
      </c>
      <c r="B479" s="33" t="s">
        <v>1368</v>
      </c>
      <c r="C479" s="39">
        <v>45977.0</v>
      </c>
      <c r="D479" s="33" t="s">
        <v>435</v>
      </c>
      <c r="E479" s="40">
        <v>197.99</v>
      </c>
      <c r="F479" s="40">
        <v>0.0</v>
      </c>
      <c r="G479" s="33" t="s">
        <v>442</v>
      </c>
    </row>
    <row r="480" ht="15.75" customHeight="1">
      <c r="A480" s="33" t="s">
        <v>2159</v>
      </c>
      <c r="B480" s="33" t="s">
        <v>294</v>
      </c>
      <c r="C480" s="39">
        <v>46106.0</v>
      </c>
      <c r="D480" s="33" t="s">
        <v>461</v>
      </c>
      <c r="E480" s="40">
        <v>22.34</v>
      </c>
      <c r="F480" s="40">
        <v>0.28</v>
      </c>
      <c r="G480" s="33" t="s">
        <v>450</v>
      </c>
    </row>
    <row r="481" ht="15.75" customHeight="1">
      <c r="A481" s="33" t="s">
        <v>2162</v>
      </c>
      <c r="B481" s="33" t="s">
        <v>1051</v>
      </c>
      <c r="C481" s="39">
        <v>45915.0</v>
      </c>
      <c r="D481" s="33" t="s">
        <v>461</v>
      </c>
      <c r="E481" s="40">
        <v>221.87</v>
      </c>
      <c r="F481" s="40">
        <v>3.47</v>
      </c>
      <c r="G481" s="33" t="s">
        <v>450</v>
      </c>
    </row>
    <row r="482" ht="15.75" customHeight="1">
      <c r="A482" s="33" t="s">
        <v>2164</v>
      </c>
      <c r="B482" s="33" t="s">
        <v>2165</v>
      </c>
      <c r="C482" s="39">
        <v>46219.0</v>
      </c>
      <c r="D482" s="33" t="s">
        <v>435</v>
      </c>
      <c r="E482" s="40">
        <v>72.77</v>
      </c>
      <c r="F482" s="40">
        <v>0.0</v>
      </c>
      <c r="G482" s="33" t="s">
        <v>431</v>
      </c>
    </row>
    <row r="483" ht="15.75" customHeight="1">
      <c r="A483" s="33" t="s">
        <v>2171</v>
      </c>
      <c r="B483" s="33" t="s">
        <v>349</v>
      </c>
      <c r="C483" s="39">
        <v>46059.0</v>
      </c>
      <c r="D483" s="33" t="s">
        <v>479</v>
      </c>
      <c r="E483" s="40">
        <v>138.46</v>
      </c>
      <c r="F483" s="40">
        <v>1.52</v>
      </c>
      <c r="G483" s="33" t="s">
        <v>450</v>
      </c>
    </row>
    <row r="484" ht="15.75" customHeight="1">
      <c r="A484" s="33" t="s">
        <v>2174</v>
      </c>
      <c r="B484" s="33" t="s">
        <v>350</v>
      </c>
      <c r="C484" s="39">
        <v>45678.0</v>
      </c>
      <c r="D484" s="33" t="s">
        <v>461</v>
      </c>
      <c r="E484" s="40">
        <v>46.0</v>
      </c>
      <c r="F484" s="40">
        <v>0.81</v>
      </c>
      <c r="G484" s="33" t="s">
        <v>431</v>
      </c>
    </row>
    <row r="485" ht="15.75" customHeight="1">
      <c r="A485" s="33" t="s">
        <v>2178</v>
      </c>
      <c r="B485" s="33" t="s">
        <v>733</v>
      </c>
      <c r="C485" s="39">
        <v>45986.0</v>
      </c>
      <c r="D485" s="33" t="s">
        <v>440</v>
      </c>
      <c r="E485" s="40">
        <v>20.47</v>
      </c>
      <c r="F485" s="40">
        <v>0.0</v>
      </c>
      <c r="G485" s="33" t="s">
        <v>450</v>
      </c>
    </row>
    <row r="486" ht="15.75" customHeight="1">
      <c r="A486" s="33" t="s">
        <v>2182</v>
      </c>
      <c r="B486" s="33" t="s">
        <v>350</v>
      </c>
      <c r="C486" s="39">
        <v>45891.0</v>
      </c>
      <c r="D486" s="33" t="s">
        <v>461</v>
      </c>
      <c r="E486" s="40">
        <v>192.68</v>
      </c>
      <c r="F486" s="40">
        <v>1.9</v>
      </c>
      <c r="G486" s="33" t="s">
        <v>442</v>
      </c>
    </row>
    <row r="487" ht="15.75" customHeight="1">
      <c r="A487" s="33" t="s">
        <v>2186</v>
      </c>
      <c r="B487" s="33" t="s">
        <v>2188</v>
      </c>
      <c r="C487" s="39">
        <v>45737.0</v>
      </c>
      <c r="D487" s="33" t="s">
        <v>440</v>
      </c>
      <c r="E487" s="40">
        <v>103.39</v>
      </c>
      <c r="F487" s="40">
        <v>0.0</v>
      </c>
      <c r="G487" s="33" t="s">
        <v>431</v>
      </c>
    </row>
    <row r="488" ht="15.75" customHeight="1">
      <c r="A488" s="33" t="s">
        <v>2190</v>
      </c>
      <c r="B488" s="33" t="s">
        <v>876</v>
      </c>
      <c r="C488" s="39">
        <v>46234.0</v>
      </c>
      <c r="D488" s="33" t="s">
        <v>440</v>
      </c>
      <c r="E488" s="40">
        <v>24.43</v>
      </c>
      <c r="F488" s="40">
        <v>0.0</v>
      </c>
      <c r="G488" s="33" t="s">
        <v>450</v>
      </c>
    </row>
    <row r="489" ht="15.75" customHeight="1">
      <c r="A489" s="33" t="s">
        <v>2192</v>
      </c>
      <c r="B489" s="33" t="s">
        <v>1374</v>
      </c>
      <c r="C489" s="39">
        <v>45793.0</v>
      </c>
      <c r="D489" s="33" t="s">
        <v>440</v>
      </c>
      <c r="E489" s="40">
        <v>65.46</v>
      </c>
      <c r="F489" s="40">
        <v>0.0</v>
      </c>
      <c r="G489" s="33" t="s">
        <v>450</v>
      </c>
    </row>
    <row r="490" ht="15.75" customHeight="1">
      <c r="A490" s="33" t="s">
        <v>2196</v>
      </c>
      <c r="B490" s="33" t="s">
        <v>675</v>
      </c>
      <c r="C490" s="39">
        <v>45708.0</v>
      </c>
      <c r="D490" s="33" t="s">
        <v>440</v>
      </c>
      <c r="E490" s="40">
        <v>61.58</v>
      </c>
      <c r="F490" s="40">
        <v>0.0</v>
      </c>
      <c r="G490" s="33" t="s">
        <v>442</v>
      </c>
    </row>
    <row r="491" ht="15.75" customHeight="1">
      <c r="A491" s="33" t="s">
        <v>2198</v>
      </c>
      <c r="B491" s="33" t="s">
        <v>2199</v>
      </c>
      <c r="C491" s="39">
        <v>45793.0</v>
      </c>
      <c r="D491" s="33" t="s">
        <v>479</v>
      </c>
      <c r="E491" s="40">
        <v>100.78</v>
      </c>
      <c r="F491" s="40">
        <v>1.19</v>
      </c>
      <c r="G491" s="33" t="s">
        <v>442</v>
      </c>
    </row>
    <row r="492" ht="15.75" customHeight="1">
      <c r="A492" s="33" t="s">
        <v>2203</v>
      </c>
      <c r="B492" s="33" t="s">
        <v>1758</v>
      </c>
      <c r="C492" s="39">
        <v>46157.0</v>
      </c>
      <c r="D492" s="33" t="s">
        <v>440</v>
      </c>
      <c r="E492" s="40">
        <v>30.06</v>
      </c>
      <c r="F492" s="40">
        <v>0.0</v>
      </c>
      <c r="G492" s="33" t="s">
        <v>450</v>
      </c>
    </row>
    <row r="493" ht="15.75" customHeight="1">
      <c r="A493" s="33" t="s">
        <v>2206</v>
      </c>
      <c r="B493" s="33" t="s">
        <v>1181</v>
      </c>
      <c r="C493" s="39">
        <v>46022.0</v>
      </c>
      <c r="D493" s="33" t="s">
        <v>440</v>
      </c>
      <c r="E493" s="40">
        <v>23.88</v>
      </c>
      <c r="F493" s="40">
        <v>0.0</v>
      </c>
      <c r="G493" s="33" t="s">
        <v>431</v>
      </c>
    </row>
    <row r="494" ht="15.75" customHeight="1">
      <c r="A494" s="33" t="s">
        <v>2209</v>
      </c>
      <c r="B494" s="33" t="s">
        <v>2212</v>
      </c>
      <c r="C494" s="39">
        <v>46155.0</v>
      </c>
      <c r="D494" s="33" t="s">
        <v>461</v>
      </c>
      <c r="E494" s="40">
        <v>79.44</v>
      </c>
      <c r="F494" s="40">
        <v>1.34</v>
      </c>
      <c r="G494" s="33" t="s">
        <v>442</v>
      </c>
    </row>
    <row r="495" ht="15.75" customHeight="1">
      <c r="A495" s="33" t="s">
        <v>2214</v>
      </c>
      <c r="B495" s="33" t="s">
        <v>349</v>
      </c>
      <c r="C495" s="39">
        <v>45938.0</v>
      </c>
      <c r="D495" s="33" t="s">
        <v>440</v>
      </c>
      <c r="E495" s="40">
        <v>31.74</v>
      </c>
      <c r="F495" s="40">
        <v>0.0</v>
      </c>
      <c r="G495" s="33" t="s">
        <v>450</v>
      </c>
    </row>
    <row r="496" ht="15.75" customHeight="1">
      <c r="A496" s="33" t="s">
        <v>2219</v>
      </c>
      <c r="B496" s="33" t="s">
        <v>356</v>
      </c>
      <c r="C496" s="39">
        <v>45729.0</v>
      </c>
      <c r="D496" s="33" t="s">
        <v>461</v>
      </c>
      <c r="E496" s="40">
        <v>196.8</v>
      </c>
      <c r="F496" s="40">
        <v>3.64</v>
      </c>
      <c r="G496" s="33" t="s">
        <v>450</v>
      </c>
    </row>
    <row r="497" ht="15.75" customHeight="1">
      <c r="A497" s="33" t="s">
        <v>2222</v>
      </c>
      <c r="B497" s="33" t="s">
        <v>819</v>
      </c>
      <c r="C497" s="39">
        <v>45893.0</v>
      </c>
      <c r="D497" s="33" t="s">
        <v>435</v>
      </c>
      <c r="E497" s="40">
        <v>129.25</v>
      </c>
      <c r="F497" s="40">
        <v>0.0</v>
      </c>
      <c r="G497" s="33" t="s">
        <v>431</v>
      </c>
    </row>
    <row r="498" ht="15.75" customHeight="1">
      <c r="A498" s="33" t="s">
        <v>2225</v>
      </c>
      <c r="B498" s="33" t="s">
        <v>258</v>
      </c>
      <c r="C498" s="39">
        <v>45779.0</v>
      </c>
      <c r="D498" s="33" t="s">
        <v>435</v>
      </c>
      <c r="E498" s="40">
        <v>126.57</v>
      </c>
      <c r="F498" s="40">
        <v>0.0</v>
      </c>
      <c r="G498" s="33" t="s">
        <v>450</v>
      </c>
    </row>
    <row r="499" ht="15.75" customHeight="1">
      <c r="A499" s="33" t="s">
        <v>2228</v>
      </c>
      <c r="B499" s="33" t="s">
        <v>615</v>
      </c>
      <c r="C499" s="39">
        <v>45995.0</v>
      </c>
      <c r="D499" s="33" t="s">
        <v>428</v>
      </c>
      <c r="E499" s="40">
        <v>8.38</v>
      </c>
      <c r="F499" s="40">
        <v>0.0</v>
      </c>
      <c r="G499" s="33" t="s">
        <v>450</v>
      </c>
    </row>
    <row r="500" ht="15.75" customHeight="1">
      <c r="A500" s="33" t="s">
        <v>2233</v>
      </c>
      <c r="B500" s="33" t="s">
        <v>2234</v>
      </c>
      <c r="C500" s="39">
        <v>45821.0</v>
      </c>
      <c r="D500" s="33" t="s">
        <v>479</v>
      </c>
      <c r="E500" s="40">
        <v>47.6</v>
      </c>
      <c r="F500" s="40">
        <v>0.35</v>
      </c>
      <c r="G500" s="33" t="s">
        <v>450</v>
      </c>
    </row>
    <row r="501" ht="15.75" customHeight="1">
      <c r="A501" s="33" t="s">
        <v>2236</v>
      </c>
      <c r="B501" s="33" t="s">
        <v>825</v>
      </c>
      <c r="C501" s="39">
        <v>46246.0</v>
      </c>
      <c r="D501" s="33" t="s">
        <v>461</v>
      </c>
      <c r="E501" s="40">
        <v>56.21</v>
      </c>
      <c r="F501" s="40">
        <v>1.12</v>
      </c>
      <c r="G501" s="33" t="s">
        <v>442</v>
      </c>
    </row>
    <row r="502" ht="15.75" customHeight="1">
      <c r="A502" s="33" t="s">
        <v>2238</v>
      </c>
      <c r="B502" s="33" t="s">
        <v>2239</v>
      </c>
      <c r="C502" s="39">
        <v>45886.0</v>
      </c>
      <c r="D502" s="33" t="s">
        <v>461</v>
      </c>
      <c r="E502" s="40">
        <v>27.19</v>
      </c>
      <c r="F502" s="40">
        <v>0.39</v>
      </c>
      <c r="G502" s="33" t="s">
        <v>431</v>
      </c>
    </row>
    <row r="503" ht="15.75" customHeight="1">
      <c r="A503" s="33" t="s">
        <v>2243</v>
      </c>
      <c r="B503" s="33" t="s">
        <v>945</v>
      </c>
      <c r="C503" s="39">
        <v>45848.0</v>
      </c>
      <c r="D503" s="33" t="s">
        <v>435</v>
      </c>
      <c r="E503" s="40">
        <v>109.84</v>
      </c>
      <c r="F503" s="40">
        <v>0.0</v>
      </c>
      <c r="G503" s="33" t="s">
        <v>442</v>
      </c>
    </row>
    <row r="504" ht="15.75" customHeight="1">
      <c r="A504" s="33" t="s">
        <v>2247</v>
      </c>
      <c r="B504" s="33" t="s">
        <v>1901</v>
      </c>
      <c r="C504" s="39">
        <v>46255.0</v>
      </c>
      <c r="D504" s="33" t="s">
        <v>428</v>
      </c>
      <c r="E504" s="40">
        <v>99.37</v>
      </c>
      <c r="F504" s="40">
        <v>0.0</v>
      </c>
      <c r="G504" s="33" t="s">
        <v>450</v>
      </c>
    </row>
    <row r="505" ht="15.75" customHeight="1">
      <c r="A505" s="33" t="s">
        <v>2249</v>
      </c>
      <c r="B505" s="33" t="s">
        <v>1475</v>
      </c>
      <c r="C505" s="39">
        <v>45973.0</v>
      </c>
      <c r="D505" s="33" t="s">
        <v>479</v>
      </c>
      <c r="E505" s="40">
        <v>122.95</v>
      </c>
      <c r="F505" s="40">
        <v>1.33</v>
      </c>
      <c r="G505" s="33" t="s">
        <v>450</v>
      </c>
    </row>
    <row r="506" ht="15.75" customHeight="1">
      <c r="A506" s="33" t="s">
        <v>2254</v>
      </c>
      <c r="B506" s="33" t="s">
        <v>264</v>
      </c>
      <c r="C506" s="39">
        <v>45761.0</v>
      </c>
      <c r="D506" s="33" t="s">
        <v>428</v>
      </c>
      <c r="E506" s="40">
        <v>149.06</v>
      </c>
      <c r="F506" s="40">
        <v>0.0</v>
      </c>
      <c r="G506" s="33" t="s">
        <v>450</v>
      </c>
    </row>
    <row r="507" ht="15.75" customHeight="1">
      <c r="A507" s="33" t="s">
        <v>2258</v>
      </c>
      <c r="B507" s="33" t="s">
        <v>2259</v>
      </c>
      <c r="C507" s="39">
        <v>45949.0</v>
      </c>
      <c r="D507" s="33" t="s">
        <v>479</v>
      </c>
      <c r="E507" s="40">
        <v>143.84</v>
      </c>
      <c r="F507" s="40">
        <v>2.53</v>
      </c>
      <c r="G507" s="33" t="s">
        <v>450</v>
      </c>
    </row>
    <row r="508" ht="15.75" customHeight="1">
      <c r="A508" s="33" t="s">
        <v>2260</v>
      </c>
      <c r="B508" s="33" t="s">
        <v>1076</v>
      </c>
      <c r="C508" s="39">
        <v>45812.0</v>
      </c>
      <c r="D508" s="33" t="s">
        <v>479</v>
      </c>
      <c r="E508" s="40">
        <v>362.7</v>
      </c>
      <c r="F508" s="40">
        <v>6.56</v>
      </c>
      <c r="G508" s="33" t="s">
        <v>450</v>
      </c>
    </row>
    <row r="509" ht="15.75" customHeight="1">
      <c r="A509" s="33" t="s">
        <v>2263</v>
      </c>
      <c r="B509" s="33" t="s">
        <v>2264</v>
      </c>
      <c r="C509" s="39">
        <v>46093.0</v>
      </c>
      <c r="D509" s="33" t="s">
        <v>461</v>
      </c>
      <c r="E509" s="40">
        <v>69.96</v>
      </c>
      <c r="F509" s="40">
        <v>0.64</v>
      </c>
      <c r="G509" s="33" t="s">
        <v>442</v>
      </c>
    </row>
    <row r="510" ht="15.75" customHeight="1">
      <c r="A510" s="33" t="s">
        <v>2266</v>
      </c>
      <c r="B510" s="33" t="s">
        <v>2268</v>
      </c>
      <c r="C510" s="39">
        <v>46006.0</v>
      </c>
      <c r="D510" s="33" t="s">
        <v>435</v>
      </c>
      <c r="E510" s="40">
        <v>60.83</v>
      </c>
      <c r="F510" s="40">
        <v>0.0</v>
      </c>
      <c r="G510" s="33" t="s">
        <v>431</v>
      </c>
    </row>
    <row r="511" ht="15.75" customHeight="1">
      <c r="A511" s="33" t="s">
        <v>2271</v>
      </c>
      <c r="B511" s="33" t="s">
        <v>430</v>
      </c>
      <c r="C511" s="39">
        <v>46101.0</v>
      </c>
      <c r="D511" s="33" t="s">
        <v>461</v>
      </c>
      <c r="E511" s="40">
        <v>108.81</v>
      </c>
      <c r="F511" s="40">
        <v>1.18</v>
      </c>
      <c r="G511" s="33" t="s">
        <v>450</v>
      </c>
    </row>
    <row r="512" ht="15.75" customHeight="1">
      <c r="A512" s="33" t="s">
        <v>2273</v>
      </c>
      <c r="B512" s="33" t="s">
        <v>2144</v>
      </c>
      <c r="C512" s="39">
        <v>46228.0</v>
      </c>
      <c r="D512" s="33" t="s">
        <v>428</v>
      </c>
      <c r="E512" s="40">
        <v>167.77</v>
      </c>
      <c r="F512" s="40">
        <v>0.0</v>
      </c>
      <c r="G512" s="33" t="s">
        <v>450</v>
      </c>
    </row>
    <row r="513" ht="15.75" customHeight="1">
      <c r="A513" s="33" t="s">
        <v>2275</v>
      </c>
      <c r="B513" s="33" t="s">
        <v>2276</v>
      </c>
      <c r="C513" s="39">
        <v>46100.0</v>
      </c>
      <c r="D513" s="33" t="s">
        <v>461</v>
      </c>
      <c r="E513" s="40">
        <v>14.52</v>
      </c>
      <c r="F513" s="40">
        <v>0.19</v>
      </c>
      <c r="G513" s="33" t="s">
        <v>450</v>
      </c>
    </row>
    <row r="514" ht="15.75" customHeight="1">
      <c r="A514" s="33" t="s">
        <v>2278</v>
      </c>
      <c r="B514" s="33" t="s">
        <v>1235</v>
      </c>
      <c r="C514" s="39">
        <v>45864.0</v>
      </c>
      <c r="D514" s="33" t="s">
        <v>435</v>
      </c>
      <c r="E514" s="40">
        <v>35.93</v>
      </c>
      <c r="F514" s="40">
        <v>0.0</v>
      </c>
      <c r="G514" s="33" t="s">
        <v>450</v>
      </c>
    </row>
    <row r="515" ht="15.75" customHeight="1">
      <c r="A515" s="33" t="s">
        <v>2281</v>
      </c>
      <c r="B515" s="33" t="s">
        <v>2283</v>
      </c>
      <c r="C515" s="39">
        <v>45780.0</v>
      </c>
      <c r="D515" s="33" t="s">
        <v>461</v>
      </c>
      <c r="E515" s="40">
        <v>43.74</v>
      </c>
      <c r="F515" s="40">
        <v>0.56</v>
      </c>
      <c r="G515" s="33" t="s">
        <v>442</v>
      </c>
    </row>
    <row r="516" ht="15.75" customHeight="1">
      <c r="A516" s="33" t="s">
        <v>2284</v>
      </c>
      <c r="B516" s="33" t="s">
        <v>183</v>
      </c>
      <c r="C516" s="39">
        <v>45979.0</v>
      </c>
      <c r="D516" s="33" t="s">
        <v>435</v>
      </c>
      <c r="E516" s="40">
        <v>75.59</v>
      </c>
      <c r="F516" s="40">
        <v>0.0</v>
      </c>
      <c r="G516" s="33" t="s">
        <v>450</v>
      </c>
    </row>
    <row r="517" ht="15.75" customHeight="1">
      <c r="A517" s="33" t="s">
        <v>2288</v>
      </c>
      <c r="B517" s="33" t="s">
        <v>848</v>
      </c>
      <c r="C517" s="39">
        <v>45930.0</v>
      </c>
      <c r="D517" s="33" t="s">
        <v>435</v>
      </c>
      <c r="E517" s="40">
        <v>47.84</v>
      </c>
      <c r="F517" s="40">
        <v>0.0</v>
      </c>
      <c r="G517" s="33" t="s">
        <v>450</v>
      </c>
    </row>
    <row r="518" ht="15.75" customHeight="1">
      <c r="A518" s="33" t="s">
        <v>2290</v>
      </c>
      <c r="B518" s="33" t="s">
        <v>312</v>
      </c>
      <c r="C518" s="39">
        <v>45848.0</v>
      </c>
      <c r="D518" s="33" t="s">
        <v>440</v>
      </c>
      <c r="E518" s="40">
        <v>150.7</v>
      </c>
      <c r="F518" s="40">
        <v>0.0</v>
      </c>
      <c r="G518" s="33" t="s">
        <v>450</v>
      </c>
    </row>
    <row r="519" ht="15.75" customHeight="1">
      <c r="A519" s="33" t="s">
        <v>2294</v>
      </c>
      <c r="B519" s="33" t="s">
        <v>1227</v>
      </c>
      <c r="C519" s="39">
        <v>46150.0</v>
      </c>
      <c r="D519" s="33" t="s">
        <v>440</v>
      </c>
      <c r="E519" s="40">
        <v>83.92</v>
      </c>
      <c r="F519" s="40">
        <v>0.0</v>
      </c>
      <c r="G519" s="33" t="s">
        <v>450</v>
      </c>
    </row>
    <row r="520" ht="15.75" customHeight="1">
      <c r="A520" s="33" t="s">
        <v>2298</v>
      </c>
      <c r="B520" s="33" t="s">
        <v>2299</v>
      </c>
      <c r="C520" s="39">
        <v>46209.0</v>
      </c>
      <c r="D520" s="33" t="s">
        <v>435</v>
      </c>
      <c r="E520" s="40">
        <v>64.85</v>
      </c>
      <c r="F520" s="40">
        <v>0.0</v>
      </c>
      <c r="G520" s="33" t="s">
        <v>442</v>
      </c>
    </row>
    <row r="521" ht="15.75" customHeight="1">
      <c r="A521" s="33" t="s">
        <v>2301</v>
      </c>
      <c r="B521" s="33" t="s">
        <v>308</v>
      </c>
      <c r="C521" s="39">
        <v>45889.0</v>
      </c>
      <c r="D521" s="33" t="s">
        <v>435</v>
      </c>
      <c r="E521" s="40">
        <v>100.03</v>
      </c>
      <c r="F521" s="40">
        <v>0.0</v>
      </c>
      <c r="G521" s="33" t="s">
        <v>450</v>
      </c>
    </row>
    <row r="522" ht="15.75" customHeight="1">
      <c r="A522" s="33" t="s">
        <v>2305</v>
      </c>
      <c r="B522" s="33" t="s">
        <v>1620</v>
      </c>
      <c r="C522" s="39">
        <v>46071.0</v>
      </c>
      <c r="D522" s="33" t="s">
        <v>461</v>
      </c>
      <c r="E522" s="40">
        <v>10.09</v>
      </c>
      <c r="F522" s="40">
        <v>0.09</v>
      </c>
      <c r="G522" s="33" t="s">
        <v>442</v>
      </c>
    </row>
    <row r="523" ht="15.75" customHeight="1">
      <c r="A523" s="33" t="s">
        <v>2307</v>
      </c>
      <c r="B523" s="33" t="s">
        <v>287</v>
      </c>
      <c r="C523" s="39">
        <v>46255.0</v>
      </c>
      <c r="D523" s="33" t="s">
        <v>479</v>
      </c>
      <c r="E523" s="40">
        <v>96.48</v>
      </c>
      <c r="F523" s="40">
        <v>1.5</v>
      </c>
      <c r="G523" s="33" t="s">
        <v>450</v>
      </c>
    </row>
    <row r="524" ht="15.75" customHeight="1">
      <c r="A524" s="33" t="s">
        <v>2310</v>
      </c>
      <c r="B524" s="33" t="s">
        <v>302</v>
      </c>
      <c r="C524" s="39">
        <v>45665.0</v>
      </c>
      <c r="D524" s="33" t="s">
        <v>435</v>
      </c>
      <c r="E524" s="40">
        <v>32.6</v>
      </c>
      <c r="F524" s="40">
        <v>0.0</v>
      </c>
      <c r="G524" s="33" t="s">
        <v>431</v>
      </c>
    </row>
    <row r="525" ht="15.75" customHeight="1">
      <c r="A525" s="33" t="s">
        <v>2313</v>
      </c>
      <c r="B525" s="33" t="s">
        <v>2234</v>
      </c>
      <c r="C525" s="39">
        <v>45879.0</v>
      </c>
      <c r="D525" s="33" t="s">
        <v>479</v>
      </c>
      <c r="E525" s="40">
        <v>132.27</v>
      </c>
      <c r="F525" s="40">
        <v>2.13</v>
      </c>
      <c r="G525" s="33" t="s">
        <v>450</v>
      </c>
    </row>
    <row r="526" ht="15.75" customHeight="1">
      <c r="A526" s="33" t="s">
        <v>2318</v>
      </c>
      <c r="B526" s="33" t="s">
        <v>759</v>
      </c>
      <c r="C526" s="39">
        <v>46105.0</v>
      </c>
      <c r="D526" s="33" t="s">
        <v>461</v>
      </c>
      <c r="E526" s="40">
        <v>12.27</v>
      </c>
      <c r="F526" s="40">
        <v>0.07</v>
      </c>
      <c r="G526" s="33" t="s">
        <v>442</v>
      </c>
    </row>
    <row r="527" ht="15.75" customHeight="1">
      <c r="A527" s="33" t="s">
        <v>2321</v>
      </c>
      <c r="B527" s="33" t="s">
        <v>753</v>
      </c>
      <c r="C527" s="39">
        <v>45960.0</v>
      </c>
      <c r="D527" s="33" t="s">
        <v>461</v>
      </c>
      <c r="E527" s="40">
        <v>104.95</v>
      </c>
      <c r="F527" s="40">
        <v>1.48</v>
      </c>
      <c r="G527" s="33" t="s">
        <v>450</v>
      </c>
    </row>
    <row r="528" ht="15.75" customHeight="1">
      <c r="A528" s="33" t="s">
        <v>2324</v>
      </c>
      <c r="B528" s="33" t="s">
        <v>1300</v>
      </c>
      <c r="C528" s="39">
        <v>46138.0</v>
      </c>
      <c r="D528" s="33" t="s">
        <v>440</v>
      </c>
      <c r="E528" s="40">
        <v>33.43</v>
      </c>
      <c r="F528" s="40">
        <v>0.0</v>
      </c>
      <c r="G528" s="33" t="s">
        <v>442</v>
      </c>
    </row>
    <row r="529" ht="15.75" customHeight="1">
      <c r="A529" s="33" t="s">
        <v>2326</v>
      </c>
      <c r="B529" s="33" t="s">
        <v>2327</v>
      </c>
      <c r="C529" s="39">
        <v>45946.0</v>
      </c>
      <c r="D529" s="33" t="s">
        <v>435</v>
      </c>
      <c r="E529" s="40">
        <v>170.1</v>
      </c>
      <c r="F529" s="40">
        <v>0.0</v>
      </c>
      <c r="G529" s="33" t="s">
        <v>450</v>
      </c>
    </row>
    <row r="530" ht="15.75" customHeight="1">
      <c r="A530" s="33" t="s">
        <v>2329</v>
      </c>
      <c r="B530" s="33" t="s">
        <v>620</v>
      </c>
      <c r="C530" s="39">
        <v>45697.0</v>
      </c>
      <c r="D530" s="33" t="s">
        <v>428</v>
      </c>
      <c r="E530" s="40">
        <v>15.89</v>
      </c>
      <c r="F530" s="40">
        <v>0.0</v>
      </c>
      <c r="G530" s="33" t="s">
        <v>450</v>
      </c>
    </row>
    <row r="531" ht="15.75" customHeight="1">
      <c r="A531" s="33" t="s">
        <v>2333</v>
      </c>
      <c r="B531" s="33" t="s">
        <v>2334</v>
      </c>
      <c r="C531" s="39">
        <v>45921.0</v>
      </c>
      <c r="D531" s="33" t="s">
        <v>461</v>
      </c>
      <c r="E531" s="40">
        <v>73.46</v>
      </c>
      <c r="F531" s="40">
        <v>0.5</v>
      </c>
      <c r="G531" s="33" t="s">
        <v>450</v>
      </c>
    </row>
    <row r="532" ht="15.75" customHeight="1">
      <c r="A532" s="33" t="s">
        <v>2336</v>
      </c>
      <c r="B532" s="33" t="s">
        <v>470</v>
      </c>
      <c r="C532" s="39">
        <v>45903.0</v>
      </c>
      <c r="D532" s="33" t="s">
        <v>428</v>
      </c>
      <c r="E532" s="40">
        <v>118.89</v>
      </c>
      <c r="F532" s="40">
        <v>0.0</v>
      </c>
      <c r="G532" s="33" t="s">
        <v>442</v>
      </c>
    </row>
    <row r="533" ht="15.75" customHeight="1">
      <c r="A533" s="33" t="s">
        <v>2338</v>
      </c>
      <c r="B533" s="33" t="s">
        <v>2340</v>
      </c>
      <c r="C533" s="39">
        <v>46171.0</v>
      </c>
      <c r="D533" s="33" t="s">
        <v>440</v>
      </c>
      <c r="E533" s="40">
        <v>92.39</v>
      </c>
      <c r="F533" s="40">
        <v>0.0</v>
      </c>
      <c r="G533" s="33" t="s">
        <v>431</v>
      </c>
    </row>
    <row r="534" ht="15.75" customHeight="1">
      <c r="A534" s="33" t="s">
        <v>2342</v>
      </c>
      <c r="B534" s="33" t="s">
        <v>637</v>
      </c>
      <c r="C534" s="39">
        <v>45747.0</v>
      </c>
      <c r="D534" s="33" t="s">
        <v>435</v>
      </c>
      <c r="E534" s="40">
        <v>91.94</v>
      </c>
      <c r="F534" s="40">
        <v>0.0</v>
      </c>
      <c r="G534" s="33" t="s">
        <v>431</v>
      </c>
    </row>
    <row r="535" ht="15.75" customHeight="1">
      <c r="A535" s="33" t="s">
        <v>2345</v>
      </c>
      <c r="B535" s="33" t="s">
        <v>1045</v>
      </c>
      <c r="C535" s="39">
        <v>45752.0</v>
      </c>
      <c r="D535" s="33" t="s">
        <v>440</v>
      </c>
      <c r="E535" s="40">
        <v>22.16</v>
      </c>
      <c r="F535" s="40">
        <v>0.0</v>
      </c>
      <c r="G535" s="33" t="s">
        <v>431</v>
      </c>
    </row>
    <row r="536" ht="15.75" customHeight="1">
      <c r="A536" s="33" t="s">
        <v>2350</v>
      </c>
      <c r="B536" s="33" t="s">
        <v>931</v>
      </c>
      <c r="C536" s="39">
        <v>45743.0</v>
      </c>
      <c r="D536" s="33" t="s">
        <v>440</v>
      </c>
      <c r="E536" s="40">
        <v>20.71</v>
      </c>
      <c r="F536" s="40">
        <v>0.0</v>
      </c>
      <c r="G536" s="33" t="s">
        <v>442</v>
      </c>
    </row>
    <row r="537" ht="15.75" customHeight="1">
      <c r="A537" s="33" t="s">
        <v>2353</v>
      </c>
      <c r="B537" s="33" t="s">
        <v>876</v>
      </c>
      <c r="C537" s="39">
        <v>46002.0</v>
      </c>
      <c r="D537" s="33" t="s">
        <v>461</v>
      </c>
      <c r="E537" s="40">
        <v>89.32</v>
      </c>
      <c r="F537" s="40">
        <v>0.49</v>
      </c>
      <c r="G537" s="33" t="s">
        <v>450</v>
      </c>
    </row>
    <row r="538" ht="15.75" customHeight="1">
      <c r="A538" s="33" t="s">
        <v>2357</v>
      </c>
      <c r="B538" s="33" t="s">
        <v>999</v>
      </c>
      <c r="C538" s="39">
        <v>46262.0</v>
      </c>
      <c r="D538" s="33" t="s">
        <v>461</v>
      </c>
      <c r="E538" s="40">
        <v>79.3</v>
      </c>
      <c r="F538" s="40">
        <v>1.4</v>
      </c>
      <c r="G538" s="33" t="s">
        <v>450</v>
      </c>
    </row>
    <row r="539" ht="15.75" customHeight="1">
      <c r="A539" s="33" t="s">
        <v>2359</v>
      </c>
      <c r="B539" s="33" t="s">
        <v>444</v>
      </c>
      <c r="C539" s="39">
        <v>46033.0</v>
      </c>
      <c r="D539" s="33" t="s">
        <v>435</v>
      </c>
      <c r="E539" s="40">
        <v>28.45</v>
      </c>
      <c r="F539" s="40">
        <v>0.0</v>
      </c>
      <c r="G539" s="33" t="s">
        <v>450</v>
      </c>
    </row>
    <row r="540" ht="15.75" customHeight="1">
      <c r="A540" s="33" t="s">
        <v>2363</v>
      </c>
      <c r="B540" s="33" t="s">
        <v>329</v>
      </c>
      <c r="C540" s="39">
        <v>46153.0</v>
      </c>
      <c r="D540" s="33" t="s">
        <v>479</v>
      </c>
      <c r="E540" s="40">
        <v>26.92</v>
      </c>
      <c r="F540" s="40">
        <v>0.28</v>
      </c>
      <c r="G540" s="33" t="s">
        <v>450</v>
      </c>
    </row>
    <row r="541" ht="15.75" customHeight="1">
      <c r="A541" s="33" t="s">
        <v>2367</v>
      </c>
      <c r="B541" s="33" t="s">
        <v>177</v>
      </c>
      <c r="C541" s="39">
        <v>46174.0</v>
      </c>
      <c r="D541" s="33" t="s">
        <v>440</v>
      </c>
      <c r="E541" s="40">
        <v>65.66</v>
      </c>
      <c r="F541" s="40">
        <v>0.0</v>
      </c>
      <c r="G541" s="33" t="s">
        <v>450</v>
      </c>
    </row>
    <row r="542" ht="15.75" customHeight="1">
      <c r="A542" s="33" t="s">
        <v>2372</v>
      </c>
      <c r="B542" s="33" t="s">
        <v>1640</v>
      </c>
      <c r="C542" s="39">
        <v>46022.0</v>
      </c>
      <c r="D542" s="33" t="s">
        <v>461</v>
      </c>
      <c r="E542" s="40">
        <v>52.07</v>
      </c>
      <c r="F542" s="40">
        <v>0.97</v>
      </c>
      <c r="G542" s="33" t="s">
        <v>442</v>
      </c>
    </row>
    <row r="543" ht="15.75" customHeight="1">
      <c r="A543" s="33" t="s">
        <v>2376</v>
      </c>
      <c r="B543" s="33" t="s">
        <v>360</v>
      </c>
      <c r="C543" s="39">
        <v>46027.0</v>
      </c>
      <c r="D543" s="33" t="s">
        <v>440</v>
      </c>
      <c r="E543" s="40">
        <v>244.97</v>
      </c>
      <c r="F543" s="40">
        <v>0.0</v>
      </c>
      <c r="G543" s="33" t="s">
        <v>450</v>
      </c>
    </row>
    <row r="544" ht="15.75" customHeight="1">
      <c r="A544" s="33" t="s">
        <v>2380</v>
      </c>
      <c r="B544" s="33" t="s">
        <v>1043</v>
      </c>
      <c r="C544" s="39">
        <v>45805.0</v>
      </c>
      <c r="D544" s="33" t="s">
        <v>479</v>
      </c>
      <c r="E544" s="40">
        <v>177.11</v>
      </c>
      <c r="F544" s="40">
        <v>2.47</v>
      </c>
      <c r="G544" s="33" t="s">
        <v>431</v>
      </c>
    </row>
    <row r="545" ht="15.75" customHeight="1">
      <c r="A545" s="33" t="s">
        <v>2382</v>
      </c>
      <c r="B545" s="33" t="s">
        <v>1941</v>
      </c>
      <c r="C545" s="39">
        <v>46240.0</v>
      </c>
      <c r="D545" s="33" t="s">
        <v>461</v>
      </c>
      <c r="E545" s="40">
        <v>128.87</v>
      </c>
      <c r="F545" s="40">
        <v>1.49</v>
      </c>
      <c r="G545" s="33" t="s">
        <v>442</v>
      </c>
    </row>
    <row r="546" ht="15.75" customHeight="1">
      <c r="A546" s="33" t="s">
        <v>2384</v>
      </c>
      <c r="B546" s="33" t="s">
        <v>876</v>
      </c>
      <c r="C546" s="39">
        <v>46136.0</v>
      </c>
      <c r="D546" s="33" t="s">
        <v>440</v>
      </c>
      <c r="E546" s="40">
        <v>192.19</v>
      </c>
      <c r="F546" s="40">
        <v>0.0</v>
      </c>
      <c r="G546" s="33" t="s">
        <v>442</v>
      </c>
    </row>
    <row r="547" ht="15.75" customHeight="1">
      <c r="A547" s="33" t="s">
        <v>2388</v>
      </c>
      <c r="B547" s="33" t="s">
        <v>2129</v>
      </c>
      <c r="C547" s="39">
        <v>46187.0</v>
      </c>
      <c r="D547" s="33" t="s">
        <v>435</v>
      </c>
      <c r="E547" s="40">
        <v>41.02</v>
      </c>
      <c r="F547" s="40">
        <v>0.0</v>
      </c>
      <c r="G547" s="33" t="s">
        <v>450</v>
      </c>
    </row>
    <row r="548" ht="15.75" customHeight="1">
      <c r="A548" s="33" t="s">
        <v>2389</v>
      </c>
      <c r="B548" s="33" t="s">
        <v>675</v>
      </c>
      <c r="C548" s="39">
        <v>46255.0</v>
      </c>
      <c r="D548" s="33" t="s">
        <v>461</v>
      </c>
      <c r="E548" s="40">
        <v>46.51</v>
      </c>
      <c r="F548" s="40">
        <v>0.52</v>
      </c>
      <c r="G548" s="33" t="s">
        <v>450</v>
      </c>
    </row>
    <row r="549" ht="15.75" customHeight="1">
      <c r="A549" s="33" t="s">
        <v>2392</v>
      </c>
      <c r="B549" s="33" t="s">
        <v>2154</v>
      </c>
      <c r="C549" s="39">
        <v>45869.0</v>
      </c>
      <c r="D549" s="33" t="s">
        <v>428</v>
      </c>
      <c r="E549" s="40">
        <v>159.73</v>
      </c>
      <c r="F549" s="40">
        <v>0.0</v>
      </c>
      <c r="G549" s="33" t="s">
        <v>450</v>
      </c>
    </row>
    <row r="550" ht="15.75" customHeight="1">
      <c r="A550" s="33" t="s">
        <v>2396</v>
      </c>
      <c r="B550" s="33" t="s">
        <v>1557</v>
      </c>
      <c r="C550" s="39">
        <v>45745.0</v>
      </c>
      <c r="D550" s="33" t="s">
        <v>479</v>
      </c>
      <c r="E550" s="40">
        <v>73.29</v>
      </c>
      <c r="F550" s="40">
        <v>0.47</v>
      </c>
      <c r="G550" s="33" t="s">
        <v>442</v>
      </c>
    </row>
    <row r="551" ht="15.75" customHeight="1">
      <c r="A551" s="33" t="s">
        <v>2401</v>
      </c>
      <c r="B551" s="33" t="s">
        <v>349</v>
      </c>
      <c r="C551" s="39">
        <v>46179.0</v>
      </c>
      <c r="D551" s="33" t="s">
        <v>428</v>
      </c>
      <c r="E551" s="40">
        <v>76.8</v>
      </c>
      <c r="F551" s="40">
        <v>0.0</v>
      </c>
      <c r="G551" s="33" t="s">
        <v>431</v>
      </c>
    </row>
    <row r="552" ht="15.75" customHeight="1">
      <c r="A552" s="33" t="s">
        <v>2404</v>
      </c>
      <c r="B552" s="33" t="s">
        <v>1087</v>
      </c>
      <c r="C552" s="39">
        <v>45945.0</v>
      </c>
      <c r="D552" s="33" t="s">
        <v>435</v>
      </c>
      <c r="E552" s="40">
        <v>25.2</v>
      </c>
      <c r="F552" s="40">
        <v>0.0</v>
      </c>
      <c r="G552" s="33" t="s">
        <v>442</v>
      </c>
    </row>
    <row r="553" ht="15.75" customHeight="1">
      <c r="A553" s="33" t="s">
        <v>2405</v>
      </c>
      <c r="B553" s="33" t="s">
        <v>1893</v>
      </c>
      <c r="C553" s="39">
        <v>46239.0</v>
      </c>
      <c r="D553" s="33" t="s">
        <v>428</v>
      </c>
      <c r="E553" s="40">
        <v>154.69</v>
      </c>
      <c r="F553" s="40">
        <v>0.0</v>
      </c>
      <c r="G553" s="33" t="s">
        <v>431</v>
      </c>
    </row>
    <row r="554" ht="15.75" customHeight="1">
      <c r="A554" s="33" t="s">
        <v>2409</v>
      </c>
      <c r="B554" s="33" t="s">
        <v>866</v>
      </c>
      <c r="C554" s="39">
        <v>46079.0</v>
      </c>
      <c r="D554" s="33" t="s">
        <v>428</v>
      </c>
      <c r="E554" s="40">
        <v>108.64</v>
      </c>
      <c r="F554" s="40">
        <v>0.0</v>
      </c>
      <c r="G554" s="33" t="s">
        <v>450</v>
      </c>
    </row>
    <row r="555" ht="15.75" customHeight="1">
      <c r="A555" s="33" t="s">
        <v>2413</v>
      </c>
      <c r="B555" s="33" t="s">
        <v>1743</v>
      </c>
      <c r="C555" s="39">
        <v>45814.0</v>
      </c>
      <c r="D555" s="33" t="s">
        <v>440</v>
      </c>
      <c r="E555" s="40">
        <v>57.14</v>
      </c>
      <c r="F555" s="40">
        <v>0.0</v>
      </c>
      <c r="G555" s="33" t="s">
        <v>450</v>
      </c>
    </row>
    <row r="556" ht="15.75" customHeight="1">
      <c r="A556" s="33" t="s">
        <v>2416</v>
      </c>
      <c r="B556" s="33" t="s">
        <v>1651</v>
      </c>
      <c r="C556" s="39">
        <v>45873.0</v>
      </c>
      <c r="D556" s="33" t="s">
        <v>435</v>
      </c>
      <c r="E556" s="40">
        <v>46.81</v>
      </c>
      <c r="F556" s="40">
        <v>0.0</v>
      </c>
      <c r="G556" s="33" t="s">
        <v>442</v>
      </c>
    </row>
    <row r="557" ht="15.75" customHeight="1">
      <c r="A557" s="33" t="s">
        <v>2421</v>
      </c>
      <c r="B557" s="33" t="s">
        <v>195</v>
      </c>
      <c r="C557" s="39">
        <v>46028.0</v>
      </c>
      <c r="D557" s="33" t="s">
        <v>461</v>
      </c>
      <c r="E557" s="40">
        <v>172.15</v>
      </c>
      <c r="F557" s="40">
        <v>3.31</v>
      </c>
      <c r="G557" s="33" t="s">
        <v>442</v>
      </c>
    </row>
    <row r="558" ht="15.75" customHeight="1">
      <c r="A558" s="33" t="s">
        <v>2425</v>
      </c>
      <c r="B558" s="33" t="s">
        <v>1581</v>
      </c>
      <c r="C558" s="39">
        <v>45897.0</v>
      </c>
      <c r="D558" s="33" t="s">
        <v>428</v>
      </c>
      <c r="E558" s="40">
        <v>41.46</v>
      </c>
      <c r="F558" s="40">
        <v>0.0</v>
      </c>
      <c r="G558" s="33" t="s">
        <v>450</v>
      </c>
    </row>
    <row r="559" ht="15.75" customHeight="1">
      <c r="A559" s="33" t="s">
        <v>2428</v>
      </c>
      <c r="B559" s="33" t="s">
        <v>539</v>
      </c>
      <c r="C559" s="39">
        <v>45829.0</v>
      </c>
      <c r="D559" s="33" t="s">
        <v>435</v>
      </c>
      <c r="E559" s="40">
        <v>17.98</v>
      </c>
      <c r="F559" s="40">
        <v>0.0</v>
      </c>
      <c r="G559" s="33" t="s">
        <v>450</v>
      </c>
    </row>
    <row r="560" ht="15.75" customHeight="1">
      <c r="A560" s="33" t="s">
        <v>2434</v>
      </c>
      <c r="B560" s="33" t="s">
        <v>303</v>
      </c>
      <c r="C560" s="39">
        <v>45785.0</v>
      </c>
      <c r="D560" s="33" t="s">
        <v>461</v>
      </c>
      <c r="E560" s="40">
        <v>178.86</v>
      </c>
      <c r="F560" s="40">
        <v>1.19</v>
      </c>
      <c r="G560" s="33" t="s">
        <v>450</v>
      </c>
    </row>
    <row r="561" ht="15.75" customHeight="1">
      <c r="A561" s="33" t="s">
        <v>2437</v>
      </c>
      <c r="B561" s="33" t="s">
        <v>733</v>
      </c>
      <c r="C561" s="39">
        <v>46052.0</v>
      </c>
      <c r="D561" s="33" t="s">
        <v>428</v>
      </c>
      <c r="E561" s="40">
        <v>181.33</v>
      </c>
      <c r="F561" s="40">
        <v>0.0</v>
      </c>
      <c r="G561" s="33" t="s">
        <v>442</v>
      </c>
    </row>
    <row r="562" ht="15.75" customHeight="1">
      <c r="A562" s="33" t="s">
        <v>2440</v>
      </c>
      <c r="B562" s="33" t="s">
        <v>664</v>
      </c>
      <c r="C562" s="39">
        <v>45679.0</v>
      </c>
      <c r="D562" s="33" t="s">
        <v>435</v>
      </c>
      <c r="E562" s="40">
        <v>41.32</v>
      </c>
      <c r="F562" s="40">
        <v>0.0</v>
      </c>
      <c r="G562" s="33" t="s">
        <v>450</v>
      </c>
    </row>
    <row r="563" ht="15.75" customHeight="1">
      <c r="A563" s="33" t="s">
        <v>2445</v>
      </c>
      <c r="B563" s="33" t="s">
        <v>543</v>
      </c>
      <c r="C563" s="39">
        <v>45714.0</v>
      </c>
      <c r="D563" s="33" t="s">
        <v>479</v>
      </c>
      <c r="E563" s="40">
        <v>277.05</v>
      </c>
      <c r="F563" s="40">
        <v>2.23</v>
      </c>
      <c r="G563" s="33" t="s">
        <v>450</v>
      </c>
    </row>
    <row r="564" ht="15.75" customHeight="1">
      <c r="A564" s="33" t="s">
        <v>2448</v>
      </c>
      <c r="B564" s="33" t="s">
        <v>1705</v>
      </c>
      <c r="C564" s="39">
        <v>45683.0</v>
      </c>
      <c r="D564" s="33" t="s">
        <v>435</v>
      </c>
      <c r="E564" s="40">
        <v>66.94</v>
      </c>
      <c r="F564" s="40">
        <v>0.0</v>
      </c>
      <c r="G564" s="33" t="s">
        <v>431</v>
      </c>
    </row>
    <row r="565" ht="15.75" customHeight="1">
      <c r="A565" s="33" t="s">
        <v>2451</v>
      </c>
      <c r="B565" s="33" t="s">
        <v>1080</v>
      </c>
      <c r="C565" s="39">
        <v>46103.0</v>
      </c>
      <c r="D565" s="33" t="s">
        <v>435</v>
      </c>
      <c r="E565" s="40">
        <v>41.72</v>
      </c>
      <c r="F565" s="40">
        <v>0.0</v>
      </c>
      <c r="G565" s="33" t="s">
        <v>450</v>
      </c>
    </row>
    <row r="566" ht="15.75" customHeight="1">
      <c r="A566" s="33" t="s">
        <v>2455</v>
      </c>
      <c r="B566" s="33" t="s">
        <v>447</v>
      </c>
      <c r="C566" s="39">
        <v>45675.0</v>
      </c>
      <c r="D566" s="33" t="s">
        <v>479</v>
      </c>
      <c r="E566" s="40">
        <v>106.08</v>
      </c>
      <c r="F566" s="40">
        <v>1.46</v>
      </c>
      <c r="G566" s="33" t="s">
        <v>450</v>
      </c>
    </row>
    <row r="567" ht="15.75" customHeight="1">
      <c r="A567" s="33" t="s">
        <v>2459</v>
      </c>
      <c r="B567" s="33" t="s">
        <v>1981</v>
      </c>
      <c r="C567" s="39">
        <v>45912.0</v>
      </c>
      <c r="D567" s="33" t="s">
        <v>440</v>
      </c>
      <c r="E567" s="40">
        <v>21.59</v>
      </c>
      <c r="F567" s="40">
        <v>0.0</v>
      </c>
      <c r="G567" s="33" t="s">
        <v>450</v>
      </c>
    </row>
    <row r="568" ht="15.75" customHeight="1">
      <c r="A568" s="33" t="s">
        <v>2463</v>
      </c>
      <c r="B568" s="33" t="s">
        <v>504</v>
      </c>
      <c r="C568" s="39">
        <v>45731.0</v>
      </c>
      <c r="D568" s="33" t="s">
        <v>435</v>
      </c>
      <c r="E568" s="40">
        <v>31.54</v>
      </c>
      <c r="F568" s="40">
        <v>0.0</v>
      </c>
      <c r="G568" s="33" t="s">
        <v>431</v>
      </c>
    </row>
    <row r="569" ht="15.75" customHeight="1">
      <c r="A569" s="33" t="s">
        <v>2467</v>
      </c>
      <c r="B569" s="33" t="s">
        <v>959</v>
      </c>
      <c r="C569" s="39">
        <v>46014.0</v>
      </c>
      <c r="D569" s="33" t="s">
        <v>428</v>
      </c>
      <c r="E569" s="40">
        <v>89.74</v>
      </c>
      <c r="F569" s="40">
        <v>0.0</v>
      </c>
      <c r="G569" s="33" t="s">
        <v>450</v>
      </c>
    </row>
    <row r="570" ht="15.75" customHeight="1">
      <c r="A570" s="33" t="s">
        <v>2471</v>
      </c>
      <c r="B570" s="33" t="s">
        <v>1868</v>
      </c>
      <c r="C570" s="39">
        <v>45678.0</v>
      </c>
      <c r="D570" s="33" t="s">
        <v>440</v>
      </c>
      <c r="E570" s="40">
        <v>78.14</v>
      </c>
      <c r="F570" s="40">
        <v>0.0</v>
      </c>
      <c r="G570" s="33" t="s">
        <v>442</v>
      </c>
    </row>
    <row r="571" ht="15.75" customHeight="1">
      <c r="A571" s="33" t="s">
        <v>2473</v>
      </c>
      <c r="B571" s="33" t="s">
        <v>1183</v>
      </c>
      <c r="C571" s="39">
        <v>45673.0</v>
      </c>
      <c r="D571" s="33" t="s">
        <v>428</v>
      </c>
      <c r="E571" s="40">
        <v>138.06</v>
      </c>
      <c r="F571" s="40">
        <v>0.0</v>
      </c>
      <c r="G571" s="33" t="s">
        <v>450</v>
      </c>
    </row>
    <row r="572" ht="15.75" customHeight="1">
      <c r="A572" s="33" t="s">
        <v>2477</v>
      </c>
      <c r="B572" s="33" t="s">
        <v>2478</v>
      </c>
      <c r="C572" s="39">
        <v>45907.0</v>
      </c>
      <c r="D572" s="33" t="s">
        <v>435</v>
      </c>
      <c r="E572" s="40">
        <v>24.92</v>
      </c>
      <c r="F572" s="40">
        <v>0.0</v>
      </c>
      <c r="G572" s="33" t="s">
        <v>442</v>
      </c>
    </row>
    <row r="573" ht="15.75" customHeight="1">
      <c r="A573" s="33" t="s">
        <v>2479</v>
      </c>
      <c r="B573" s="33" t="s">
        <v>1294</v>
      </c>
      <c r="C573" s="39">
        <v>46080.0</v>
      </c>
      <c r="D573" s="33" t="s">
        <v>479</v>
      </c>
      <c r="E573" s="40">
        <v>246.11</v>
      </c>
      <c r="F573" s="40">
        <v>3.4</v>
      </c>
      <c r="G573" s="33" t="s">
        <v>442</v>
      </c>
    </row>
    <row r="574" ht="15.75" customHeight="1">
      <c r="A574" s="33" t="s">
        <v>2483</v>
      </c>
      <c r="B574" s="33" t="s">
        <v>1605</v>
      </c>
      <c r="C574" s="39">
        <v>45724.0</v>
      </c>
      <c r="D574" s="33" t="s">
        <v>461</v>
      </c>
      <c r="E574" s="40">
        <v>51.24</v>
      </c>
      <c r="F574" s="40">
        <v>0.46</v>
      </c>
      <c r="G574" s="33" t="s">
        <v>450</v>
      </c>
    </row>
    <row r="575" ht="15.75" customHeight="1">
      <c r="A575" s="33" t="s">
        <v>2486</v>
      </c>
      <c r="B575" s="33" t="s">
        <v>888</v>
      </c>
      <c r="C575" s="39">
        <v>45959.0</v>
      </c>
      <c r="D575" s="33" t="s">
        <v>479</v>
      </c>
      <c r="E575" s="40">
        <v>76.0</v>
      </c>
      <c r="F575" s="40">
        <v>1.05</v>
      </c>
      <c r="G575" s="33" t="s">
        <v>450</v>
      </c>
    </row>
    <row r="576" ht="15.75" customHeight="1">
      <c r="A576" s="33" t="s">
        <v>2490</v>
      </c>
      <c r="B576" s="33" t="s">
        <v>2080</v>
      </c>
      <c r="C576" s="39">
        <v>46149.0</v>
      </c>
      <c r="D576" s="33" t="s">
        <v>479</v>
      </c>
      <c r="E576" s="40">
        <v>49.31</v>
      </c>
      <c r="F576" s="40">
        <v>0.28</v>
      </c>
      <c r="G576" s="33" t="s">
        <v>442</v>
      </c>
    </row>
    <row r="577" ht="15.75" customHeight="1">
      <c r="A577" s="33" t="s">
        <v>2495</v>
      </c>
      <c r="B577" s="33" t="s">
        <v>1443</v>
      </c>
      <c r="C577" s="39">
        <v>46037.0</v>
      </c>
      <c r="D577" s="33" t="s">
        <v>461</v>
      </c>
      <c r="E577" s="40">
        <v>21.41</v>
      </c>
      <c r="F577" s="40">
        <v>0.17</v>
      </c>
      <c r="G577" s="33" t="s">
        <v>431</v>
      </c>
    </row>
    <row r="578" ht="15.75" customHeight="1">
      <c r="A578" s="33" t="s">
        <v>2499</v>
      </c>
      <c r="B578" s="33" t="s">
        <v>278</v>
      </c>
      <c r="C578" s="39">
        <v>46113.0</v>
      </c>
      <c r="D578" s="33" t="s">
        <v>435</v>
      </c>
      <c r="E578" s="40">
        <v>69.78</v>
      </c>
      <c r="F578" s="40">
        <v>0.0</v>
      </c>
      <c r="G578" s="33" t="s">
        <v>431</v>
      </c>
    </row>
    <row r="579" ht="15.75" customHeight="1">
      <c r="A579" s="33" t="s">
        <v>2502</v>
      </c>
      <c r="B579" s="33" t="s">
        <v>1400</v>
      </c>
      <c r="C579" s="39">
        <v>45849.0</v>
      </c>
      <c r="D579" s="33" t="s">
        <v>428</v>
      </c>
      <c r="E579" s="40">
        <v>117.74</v>
      </c>
      <c r="F579" s="40">
        <v>0.0</v>
      </c>
      <c r="G579" s="33" t="s">
        <v>450</v>
      </c>
    </row>
    <row r="580" ht="15.75" customHeight="1">
      <c r="A580" s="33" t="s">
        <v>2505</v>
      </c>
      <c r="B580" s="33" t="s">
        <v>633</v>
      </c>
      <c r="C580" s="39">
        <v>46229.0</v>
      </c>
      <c r="D580" s="33" t="s">
        <v>461</v>
      </c>
      <c r="E580" s="40">
        <v>61.8</v>
      </c>
      <c r="F580" s="40">
        <v>0.52</v>
      </c>
      <c r="G580" s="33" t="s">
        <v>450</v>
      </c>
    </row>
    <row r="581" ht="15.75" customHeight="1">
      <c r="A581" s="33" t="s">
        <v>2510</v>
      </c>
      <c r="B581" s="33" t="s">
        <v>2511</v>
      </c>
      <c r="C581" s="39">
        <v>45746.0</v>
      </c>
      <c r="D581" s="33" t="s">
        <v>461</v>
      </c>
      <c r="E581" s="40">
        <v>34.84</v>
      </c>
      <c r="F581" s="40">
        <v>0.25</v>
      </c>
      <c r="G581" s="33" t="s">
        <v>431</v>
      </c>
    </row>
    <row r="582" ht="15.75" customHeight="1">
      <c r="A582" s="33" t="s">
        <v>2517</v>
      </c>
      <c r="B582" s="33" t="s">
        <v>1147</v>
      </c>
      <c r="C582" s="39">
        <v>46025.0</v>
      </c>
      <c r="D582" s="33" t="s">
        <v>479</v>
      </c>
      <c r="E582" s="40">
        <v>141.3</v>
      </c>
      <c r="F582" s="40">
        <v>1.44</v>
      </c>
      <c r="G582" s="33" t="s">
        <v>442</v>
      </c>
    </row>
    <row r="583" ht="15.75" customHeight="1">
      <c r="A583" s="33" t="s">
        <v>2523</v>
      </c>
      <c r="B583" s="33" t="s">
        <v>852</v>
      </c>
      <c r="C583" s="39">
        <v>45922.0</v>
      </c>
      <c r="D583" s="33" t="s">
        <v>440</v>
      </c>
      <c r="E583" s="40">
        <v>145.06</v>
      </c>
      <c r="F583" s="40">
        <v>0.0</v>
      </c>
      <c r="G583" s="33" t="s">
        <v>450</v>
      </c>
    </row>
    <row r="584" ht="15.75" customHeight="1">
      <c r="A584" s="33" t="s">
        <v>2527</v>
      </c>
      <c r="B584" s="33" t="s">
        <v>665</v>
      </c>
      <c r="C584" s="39">
        <v>45677.0</v>
      </c>
      <c r="D584" s="33" t="s">
        <v>479</v>
      </c>
      <c r="E584" s="40">
        <v>59.24</v>
      </c>
      <c r="F584" s="40">
        <v>1.14</v>
      </c>
      <c r="G584" s="33" t="s">
        <v>442</v>
      </c>
    </row>
    <row r="585" ht="15.75" customHeight="1">
      <c r="A585" s="33" t="s">
        <v>2531</v>
      </c>
      <c r="B585" s="33" t="s">
        <v>1179</v>
      </c>
      <c r="C585" s="39">
        <v>46230.0</v>
      </c>
      <c r="D585" s="33" t="s">
        <v>461</v>
      </c>
      <c r="E585" s="40">
        <v>93.92</v>
      </c>
      <c r="F585" s="40">
        <v>0.7</v>
      </c>
      <c r="G585" s="33" t="s">
        <v>450</v>
      </c>
    </row>
    <row r="586" ht="15.75" customHeight="1">
      <c r="A586" s="33" t="s">
        <v>2533</v>
      </c>
      <c r="B586" s="33" t="s">
        <v>314</v>
      </c>
      <c r="C586" s="39">
        <v>46084.0</v>
      </c>
      <c r="D586" s="33" t="s">
        <v>428</v>
      </c>
      <c r="E586" s="40">
        <v>140.57</v>
      </c>
      <c r="F586" s="40">
        <v>0.0</v>
      </c>
      <c r="G586" s="33" t="s">
        <v>450</v>
      </c>
    </row>
    <row r="587" ht="15.75" customHeight="1">
      <c r="A587" s="33" t="s">
        <v>2536</v>
      </c>
      <c r="B587" s="33" t="s">
        <v>597</v>
      </c>
      <c r="C587" s="39">
        <v>45796.0</v>
      </c>
      <c r="D587" s="33" t="s">
        <v>428</v>
      </c>
      <c r="E587" s="40">
        <v>116.79</v>
      </c>
      <c r="F587" s="40">
        <v>0.0</v>
      </c>
      <c r="G587" s="33" t="s">
        <v>450</v>
      </c>
    </row>
    <row r="588" ht="15.75" customHeight="1">
      <c r="A588" s="33" t="s">
        <v>2541</v>
      </c>
      <c r="B588" s="33" t="s">
        <v>879</v>
      </c>
      <c r="C588" s="39">
        <v>45689.0</v>
      </c>
      <c r="D588" s="33" t="s">
        <v>435</v>
      </c>
      <c r="E588" s="40">
        <v>91.97</v>
      </c>
      <c r="F588" s="40">
        <v>0.0</v>
      </c>
      <c r="G588" s="33" t="s">
        <v>450</v>
      </c>
    </row>
    <row r="589" ht="15.75" customHeight="1">
      <c r="A589" s="33" t="s">
        <v>2547</v>
      </c>
      <c r="B589" s="33" t="s">
        <v>1806</v>
      </c>
      <c r="C589" s="39">
        <v>46068.0</v>
      </c>
      <c r="D589" s="33" t="s">
        <v>435</v>
      </c>
      <c r="E589" s="40">
        <v>113.37</v>
      </c>
      <c r="F589" s="40">
        <v>0.0</v>
      </c>
      <c r="G589" s="33" t="s">
        <v>450</v>
      </c>
    </row>
    <row r="590" ht="15.75" customHeight="1">
      <c r="A590" s="33" t="s">
        <v>2550</v>
      </c>
      <c r="B590" s="33" t="s">
        <v>299</v>
      </c>
      <c r="C590" s="39">
        <v>45988.0</v>
      </c>
      <c r="D590" s="33" t="s">
        <v>428</v>
      </c>
      <c r="E590" s="40">
        <v>98.72</v>
      </c>
      <c r="F590" s="40">
        <v>0.0</v>
      </c>
      <c r="G590" s="33" t="s">
        <v>442</v>
      </c>
    </row>
    <row r="591" ht="15.75" customHeight="1">
      <c r="A591" s="33" t="s">
        <v>2553</v>
      </c>
      <c r="B591" s="33" t="s">
        <v>1467</v>
      </c>
      <c r="C591" s="39">
        <v>45688.0</v>
      </c>
      <c r="D591" s="33" t="s">
        <v>440</v>
      </c>
      <c r="E591" s="40">
        <v>72.91</v>
      </c>
      <c r="F591" s="40">
        <v>0.0</v>
      </c>
      <c r="G591" s="33" t="s">
        <v>450</v>
      </c>
    </row>
    <row r="592" ht="15.75" customHeight="1">
      <c r="A592" s="33" t="s">
        <v>2557</v>
      </c>
      <c r="B592" s="33" t="s">
        <v>320</v>
      </c>
      <c r="C592" s="39">
        <v>46256.0</v>
      </c>
      <c r="D592" s="33" t="s">
        <v>479</v>
      </c>
      <c r="E592" s="40">
        <v>24.43</v>
      </c>
      <c r="F592" s="40">
        <v>0.22</v>
      </c>
      <c r="G592" s="33" t="s">
        <v>450</v>
      </c>
    </row>
    <row r="593" ht="15.75" customHeight="1">
      <c r="A593" s="33" t="s">
        <v>2561</v>
      </c>
      <c r="B593" s="33" t="s">
        <v>2562</v>
      </c>
      <c r="C593" s="39">
        <v>46093.0</v>
      </c>
      <c r="D593" s="33" t="s">
        <v>435</v>
      </c>
      <c r="E593" s="40">
        <v>30.35</v>
      </c>
      <c r="F593" s="40">
        <v>0.0</v>
      </c>
      <c r="G593" s="33" t="s">
        <v>442</v>
      </c>
    </row>
    <row r="594" ht="15.75" customHeight="1">
      <c r="A594" s="33" t="s">
        <v>2565</v>
      </c>
      <c r="B594" s="33" t="s">
        <v>2366</v>
      </c>
      <c r="C594" s="39">
        <v>45938.0</v>
      </c>
      <c r="D594" s="33" t="s">
        <v>435</v>
      </c>
      <c r="E594" s="40">
        <v>101.86</v>
      </c>
      <c r="F594" s="40">
        <v>0.0</v>
      </c>
      <c r="G594" s="33" t="s">
        <v>450</v>
      </c>
    </row>
    <row r="595" ht="15.75" customHeight="1">
      <c r="A595" s="33" t="s">
        <v>2571</v>
      </c>
      <c r="B595" s="33" t="s">
        <v>1359</v>
      </c>
      <c r="C595" s="39">
        <v>45802.0</v>
      </c>
      <c r="D595" s="33" t="s">
        <v>479</v>
      </c>
      <c r="E595" s="40">
        <v>48.9</v>
      </c>
      <c r="F595" s="40">
        <v>0.38</v>
      </c>
      <c r="G595" s="33" t="s">
        <v>450</v>
      </c>
    </row>
    <row r="596" ht="15.75" customHeight="1">
      <c r="A596" s="33" t="s">
        <v>2575</v>
      </c>
      <c r="B596" s="33" t="s">
        <v>1737</v>
      </c>
      <c r="C596" s="39">
        <v>45822.0</v>
      </c>
      <c r="D596" s="33" t="s">
        <v>461</v>
      </c>
      <c r="E596" s="40">
        <v>99.2</v>
      </c>
      <c r="F596" s="40">
        <v>1.09</v>
      </c>
      <c r="G596" s="33" t="s">
        <v>450</v>
      </c>
    </row>
    <row r="597" ht="15.75" customHeight="1">
      <c r="A597" s="33" t="s">
        <v>2578</v>
      </c>
      <c r="B597" s="33" t="s">
        <v>2104</v>
      </c>
      <c r="C597" s="39">
        <v>45932.0</v>
      </c>
      <c r="D597" s="33" t="s">
        <v>461</v>
      </c>
      <c r="E597" s="40">
        <v>23.81</v>
      </c>
      <c r="F597" s="40">
        <v>0.3</v>
      </c>
      <c r="G597" s="33" t="s">
        <v>450</v>
      </c>
    </row>
    <row r="598" ht="15.75" customHeight="1">
      <c r="A598" s="33" t="s">
        <v>2582</v>
      </c>
      <c r="B598" s="33" t="s">
        <v>1725</v>
      </c>
      <c r="C598" s="39">
        <v>45692.0</v>
      </c>
      <c r="D598" s="33" t="s">
        <v>428</v>
      </c>
      <c r="E598" s="40">
        <v>37.78</v>
      </c>
      <c r="F598" s="40">
        <v>0.0</v>
      </c>
      <c r="G598" s="33" t="s">
        <v>450</v>
      </c>
    </row>
    <row r="599" ht="15.75" customHeight="1">
      <c r="A599" s="33" t="s">
        <v>2586</v>
      </c>
      <c r="B599" s="33" t="s">
        <v>2040</v>
      </c>
      <c r="C599" s="39">
        <v>45881.0</v>
      </c>
      <c r="D599" s="33" t="s">
        <v>435</v>
      </c>
      <c r="E599" s="40">
        <v>61.79</v>
      </c>
      <c r="F599" s="40">
        <v>0.0</v>
      </c>
      <c r="G599" s="33" t="s">
        <v>450</v>
      </c>
    </row>
    <row r="600" ht="15.75" customHeight="1">
      <c r="A600" s="33" t="s">
        <v>2588</v>
      </c>
      <c r="B600" s="33" t="s">
        <v>1054</v>
      </c>
      <c r="C600" s="39">
        <v>45789.0</v>
      </c>
      <c r="D600" s="33" t="s">
        <v>440</v>
      </c>
      <c r="E600" s="40">
        <v>6.41</v>
      </c>
      <c r="F600" s="40">
        <v>0.0</v>
      </c>
      <c r="G600" s="33" t="s">
        <v>450</v>
      </c>
    </row>
    <row r="601" ht="15.75" customHeight="1">
      <c r="A601" s="33" t="s">
        <v>2592</v>
      </c>
      <c r="B601" s="33" t="s">
        <v>1725</v>
      </c>
      <c r="C601" s="39">
        <v>45726.0</v>
      </c>
      <c r="D601" s="33" t="s">
        <v>479</v>
      </c>
      <c r="E601" s="40">
        <v>33.53</v>
      </c>
      <c r="F601" s="40">
        <v>0.45</v>
      </c>
      <c r="G601" s="33" t="s">
        <v>442</v>
      </c>
    </row>
    <row r="602" ht="15.75" customHeight="1">
      <c r="A602" s="33" t="s">
        <v>2596</v>
      </c>
      <c r="B602" s="33" t="s">
        <v>923</v>
      </c>
      <c r="C602" s="39">
        <v>45734.0</v>
      </c>
      <c r="D602" s="33" t="s">
        <v>479</v>
      </c>
      <c r="E602" s="40">
        <v>42.18</v>
      </c>
      <c r="F602" s="40">
        <v>0.35</v>
      </c>
      <c r="G602" s="33" t="s">
        <v>450</v>
      </c>
    </row>
    <row r="603" ht="15.75" customHeight="1">
      <c r="A603" s="33" t="s">
        <v>2599</v>
      </c>
      <c r="B603" s="33" t="s">
        <v>2252</v>
      </c>
      <c r="C603" s="39">
        <v>45867.0</v>
      </c>
      <c r="D603" s="33" t="s">
        <v>435</v>
      </c>
      <c r="E603" s="40">
        <v>82.48</v>
      </c>
      <c r="F603" s="40">
        <v>0.0</v>
      </c>
      <c r="G603" s="33" t="s">
        <v>450</v>
      </c>
    </row>
    <row r="604" ht="15.75" customHeight="1">
      <c r="A604" s="33" t="s">
        <v>2603</v>
      </c>
      <c r="B604" s="33" t="s">
        <v>627</v>
      </c>
      <c r="C604" s="39">
        <v>45890.0</v>
      </c>
      <c r="D604" s="33" t="s">
        <v>479</v>
      </c>
      <c r="E604" s="40">
        <v>58.83</v>
      </c>
      <c r="F604" s="40">
        <v>1.03</v>
      </c>
      <c r="G604" s="33" t="s">
        <v>450</v>
      </c>
    </row>
    <row r="605" ht="15.75" customHeight="1">
      <c r="A605" s="33" t="s">
        <v>2605</v>
      </c>
      <c r="B605" s="33" t="s">
        <v>1085</v>
      </c>
      <c r="C605" s="39">
        <v>45870.0</v>
      </c>
      <c r="D605" s="33" t="s">
        <v>428</v>
      </c>
      <c r="E605" s="40">
        <v>85.8</v>
      </c>
      <c r="F605" s="40">
        <v>0.0</v>
      </c>
      <c r="G605" s="33" t="s">
        <v>450</v>
      </c>
    </row>
    <row r="606" ht="15.75" customHeight="1">
      <c r="A606" s="33" t="s">
        <v>2609</v>
      </c>
      <c r="B606" s="33" t="s">
        <v>1482</v>
      </c>
      <c r="C606" s="39">
        <v>46076.0</v>
      </c>
      <c r="D606" s="33" t="s">
        <v>435</v>
      </c>
      <c r="E606" s="40">
        <v>74.92</v>
      </c>
      <c r="F606" s="40">
        <v>0.0</v>
      </c>
      <c r="G606" s="33" t="s">
        <v>450</v>
      </c>
    </row>
    <row r="607" ht="15.75" customHeight="1">
      <c r="A607" s="33" t="s">
        <v>2612</v>
      </c>
      <c r="B607" s="33" t="s">
        <v>2221</v>
      </c>
      <c r="C607" s="39">
        <v>45974.0</v>
      </c>
      <c r="D607" s="33" t="s">
        <v>428</v>
      </c>
      <c r="E607" s="40">
        <v>56.92</v>
      </c>
      <c r="F607" s="40">
        <v>0.0</v>
      </c>
      <c r="G607" s="33" t="s">
        <v>450</v>
      </c>
    </row>
    <row r="608" ht="15.75" customHeight="1">
      <c r="A608" s="33" t="s">
        <v>2616</v>
      </c>
      <c r="B608" s="33" t="s">
        <v>1987</v>
      </c>
      <c r="C608" s="39">
        <v>45774.0</v>
      </c>
      <c r="D608" s="33" t="s">
        <v>479</v>
      </c>
      <c r="E608" s="40">
        <v>42.43</v>
      </c>
      <c r="F608" s="40">
        <v>0.37</v>
      </c>
      <c r="G608" s="33" t="s">
        <v>450</v>
      </c>
    </row>
    <row r="609" ht="15.75" customHeight="1">
      <c r="A609" s="33" t="s">
        <v>2620</v>
      </c>
      <c r="B609" s="33" t="s">
        <v>1711</v>
      </c>
      <c r="C609" s="39">
        <v>46248.0</v>
      </c>
      <c r="D609" s="33" t="s">
        <v>479</v>
      </c>
      <c r="E609" s="40">
        <v>76.86</v>
      </c>
      <c r="F609" s="40">
        <v>1.11</v>
      </c>
      <c r="G609" s="33" t="s">
        <v>442</v>
      </c>
    </row>
    <row r="610" ht="15.75" customHeight="1">
      <c r="A610" s="33" t="s">
        <v>2624</v>
      </c>
      <c r="B610" s="33" t="s">
        <v>2625</v>
      </c>
      <c r="C610" s="39">
        <v>46101.0</v>
      </c>
      <c r="D610" s="33" t="s">
        <v>461</v>
      </c>
      <c r="E610" s="40">
        <v>167.96</v>
      </c>
      <c r="F610" s="40">
        <v>2.01</v>
      </c>
      <c r="G610" s="33" t="s">
        <v>450</v>
      </c>
    </row>
    <row r="611" ht="15.75" customHeight="1">
      <c r="A611" s="33" t="s">
        <v>2629</v>
      </c>
      <c r="B611" s="33" t="s">
        <v>1297</v>
      </c>
      <c r="C611" s="39">
        <v>45943.0</v>
      </c>
      <c r="D611" s="33" t="s">
        <v>461</v>
      </c>
      <c r="E611" s="40">
        <v>42.21</v>
      </c>
      <c r="F611" s="40">
        <v>0.52</v>
      </c>
      <c r="G611" s="33" t="s">
        <v>442</v>
      </c>
    </row>
    <row r="612" ht="15.75" customHeight="1">
      <c r="A612" s="33" t="s">
        <v>2633</v>
      </c>
      <c r="B612" s="33" t="s">
        <v>1528</v>
      </c>
      <c r="C612" s="39">
        <v>45687.0</v>
      </c>
      <c r="D612" s="33" t="s">
        <v>461</v>
      </c>
      <c r="E612" s="40">
        <v>239.46</v>
      </c>
      <c r="F612" s="40">
        <v>3.18</v>
      </c>
      <c r="G612" s="33" t="s">
        <v>450</v>
      </c>
    </row>
    <row r="613" ht="15.75" customHeight="1">
      <c r="A613" s="33" t="s">
        <v>2639</v>
      </c>
      <c r="B613" s="33" t="s">
        <v>605</v>
      </c>
      <c r="C613" s="39">
        <v>46213.0</v>
      </c>
      <c r="D613" s="33" t="s">
        <v>435</v>
      </c>
      <c r="E613" s="40">
        <v>77.96</v>
      </c>
      <c r="F613" s="40">
        <v>0.0</v>
      </c>
      <c r="G613" s="33" t="s">
        <v>450</v>
      </c>
    </row>
    <row r="614" ht="15.75" customHeight="1">
      <c r="A614" s="33" t="s">
        <v>2643</v>
      </c>
      <c r="B614" s="33" t="s">
        <v>264</v>
      </c>
      <c r="C614" s="39">
        <v>46109.0</v>
      </c>
      <c r="D614" s="33" t="s">
        <v>440</v>
      </c>
      <c r="E614" s="40">
        <v>133.22</v>
      </c>
      <c r="F614" s="40">
        <v>0.0</v>
      </c>
      <c r="G614" s="33" t="s">
        <v>431</v>
      </c>
    </row>
    <row r="615" ht="15.75" customHeight="1">
      <c r="A615" s="33" t="s">
        <v>2646</v>
      </c>
      <c r="B615" s="33" t="s">
        <v>2570</v>
      </c>
      <c r="C615" s="39">
        <v>45938.0</v>
      </c>
      <c r="D615" s="33" t="s">
        <v>428</v>
      </c>
      <c r="E615" s="40">
        <v>94.7</v>
      </c>
      <c r="F615" s="40">
        <v>0.0</v>
      </c>
      <c r="G615" s="33" t="s">
        <v>450</v>
      </c>
    </row>
    <row r="616" ht="15.75" customHeight="1">
      <c r="A616" s="33" t="s">
        <v>2649</v>
      </c>
      <c r="B616" s="33" t="s">
        <v>2650</v>
      </c>
      <c r="C616" s="39">
        <v>45756.0</v>
      </c>
      <c r="D616" s="33" t="s">
        <v>435</v>
      </c>
      <c r="E616" s="40">
        <v>105.01</v>
      </c>
      <c r="F616" s="40">
        <v>0.0</v>
      </c>
      <c r="G616" s="33" t="s">
        <v>431</v>
      </c>
    </row>
    <row r="617" ht="15.75" customHeight="1">
      <c r="A617" s="33" t="s">
        <v>2652</v>
      </c>
      <c r="B617" s="33" t="s">
        <v>312</v>
      </c>
      <c r="C617" s="39">
        <v>45723.0</v>
      </c>
      <c r="D617" s="33" t="s">
        <v>461</v>
      </c>
      <c r="E617" s="40">
        <v>33.3</v>
      </c>
      <c r="F617" s="40">
        <v>0.41</v>
      </c>
      <c r="G617" s="33" t="s">
        <v>450</v>
      </c>
    </row>
    <row r="618" ht="15.75" customHeight="1">
      <c r="A618" s="33" t="s">
        <v>2654</v>
      </c>
      <c r="B618" s="33" t="s">
        <v>389</v>
      </c>
      <c r="C618" s="39">
        <v>45833.0</v>
      </c>
      <c r="D618" s="33" t="s">
        <v>479</v>
      </c>
      <c r="E618" s="40">
        <v>48.54</v>
      </c>
      <c r="F618" s="40">
        <v>0.73</v>
      </c>
      <c r="G618" s="33" t="s">
        <v>450</v>
      </c>
    </row>
    <row r="619" ht="15.75" customHeight="1">
      <c r="A619" s="33" t="s">
        <v>2657</v>
      </c>
      <c r="B619" s="33" t="s">
        <v>186</v>
      </c>
      <c r="C619" s="39">
        <v>45797.0</v>
      </c>
      <c r="D619" s="33" t="s">
        <v>435</v>
      </c>
      <c r="E619" s="40">
        <v>14.15</v>
      </c>
      <c r="F619" s="40">
        <v>0.0</v>
      </c>
      <c r="G619" s="33" t="s">
        <v>450</v>
      </c>
    </row>
    <row r="620" ht="15.75" customHeight="1">
      <c r="A620" s="33" t="s">
        <v>2661</v>
      </c>
      <c r="B620" s="33" t="s">
        <v>1023</v>
      </c>
      <c r="C620" s="39">
        <v>45785.0</v>
      </c>
      <c r="D620" s="33" t="s">
        <v>435</v>
      </c>
      <c r="E620" s="40">
        <v>60.69</v>
      </c>
      <c r="F620" s="40">
        <v>0.0</v>
      </c>
      <c r="G620" s="33" t="s">
        <v>450</v>
      </c>
    </row>
    <row r="621" ht="15.75" customHeight="1">
      <c r="A621" s="33" t="s">
        <v>2666</v>
      </c>
      <c r="B621" s="33" t="s">
        <v>2669</v>
      </c>
      <c r="C621" s="39">
        <v>45905.0</v>
      </c>
      <c r="D621" s="33" t="s">
        <v>428</v>
      </c>
      <c r="E621" s="40">
        <v>112.14</v>
      </c>
      <c r="F621" s="40">
        <v>0.0</v>
      </c>
      <c r="G621" s="33" t="s">
        <v>442</v>
      </c>
    </row>
    <row r="622" ht="15.75" customHeight="1">
      <c r="A622" s="33" t="s">
        <v>2672</v>
      </c>
      <c r="B622" s="33" t="s">
        <v>1140</v>
      </c>
      <c r="C622" s="39">
        <v>45686.0</v>
      </c>
      <c r="D622" s="33" t="s">
        <v>435</v>
      </c>
      <c r="E622" s="40">
        <v>61.04</v>
      </c>
      <c r="F622" s="40">
        <v>0.0</v>
      </c>
      <c r="G622" s="33" t="s">
        <v>450</v>
      </c>
    </row>
    <row r="623" ht="15.75" customHeight="1">
      <c r="A623" s="33" t="s">
        <v>2675</v>
      </c>
      <c r="B623" s="33" t="s">
        <v>320</v>
      </c>
      <c r="C623" s="39">
        <v>45855.0</v>
      </c>
      <c r="D623" s="33" t="s">
        <v>435</v>
      </c>
      <c r="E623" s="40">
        <v>138.36</v>
      </c>
      <c r="F623" s="40">
        <v>0.0</v>
      </c>
      <c r="G623" s="33" t="s">
        <v>442</v>
      </c>
    </row>
    <row r="624" ht="15.75" customHeight="1">
      <c r="A624" s="33" t="s">
        <v>2680</v>
      </c>
      <c r="B624" s="33" t="s">
        <v>195</v>
      </c>
      <c r="C624" s="39">
        <v>46186.0</v>
      </c>
      <c r="D624" s="33" t="s">
        <v>435</v>
      </c>
      <c r="E624" s="40">
        <v>52.52</v>
      </c>
      <c r="F624" s="40">
        <v>0.0</v>
      </c>
      <c r="G624" s="33" t="s">
        <v>450</v>
      </c>
    </row>
    <row r="625" ht="15.75" customHeight="1">
      <c r="A625" s="33" t="s">
        <v>2684</v>
      </c>
      <c r="B625" s="33" t="s">
        <v>1031</v>
      </c>
      <c r="C625" s="39">
        <v>46183.0</v>
      </c>
      <c r="D625" s="33" t="s">
        <v>461</v>
      </c>
      <c r="E625" s="40">
        <v>39.98</v>
      </c>
      <c r="F625" s="40">
        <v>0.21</v>
      </c>
      <c r="G625" s="33" t="s">
        <v>450</v>
      </c>
    </row>
    <row r="626" ht="15.75" customHeight="1">
      <c r="A626" s="33" t="s">
        <v>2688</v>
      </c>
      <c r="B626" s="33" t="s">
        <v>260</v>
      </c>
      <c r="C626" s="39">
        <v>45663.0</v>
      </c>
      <c r="D626" s="33" t="s">
        <v>428</v>
      </c>
      <c r="E626" s="40">
        <v>46.84</v>
      </c>
      <c r="F626" s="40">
        <v>0.0</v>
      </c>
      <c r="G626" s="33" t="s">
        <v>450</v>
      </c>
    </row>
    <row r="627" ht="15.75" customHeight="1">
      <c r="A627" s="33" t="s">
        <v>2691</v>
      </c>
      <c r="B627" s="33" t="s">
        <v>2154</v>
      </c>
      <c r="C627" s="39">
        <v>46069.0</v>
      </c>
      <c r="D627" s="33" t="s">
        <v>435</v>
      </c>
      <c r="E627" s="40">
        <v>119.91</v>
      </c>
      <c r="F627" s="40">
        <v>0.0</v>
      </c>
      <c r="G627" s="33" t="s">
        <v>442</v>
      </c>
    </row>
    <row r="628" ht="15.75" customHeight="1">
      <c r="A628" s="33" t="s">
        <v>2693</v>
      </c>
      <c r="B628" s="33" t="s">
        <v>1475</v>
      </c>
      <c r="C628" s="39">
        <v>46259.0</v>
      </c>
      <c r="D628" s="33" t="s">
        <v>461</v>
      </c>
      <c r="E628" s="40">
        <v>205.52</v>
      </c>
      <c r="F628" s="40">
        <v>2.98</v>
      </c>
      <c r="G628" s="33" t="s">
        <v>450</v>
      </c>
    </row>
    <row r="629" ht="15.75" customHeight="1">
      <c r="A629" s="33" t="s">
        <v>2696</v>
      </c>
      <c r="B629" s="33" t="s">
        <v>1488</v>
      </c>
      <c r="C629" s="39">
        <v>46009.0</v>
      </c>
      <c r="D629" s="33" t="s">
        <v>461</v>
      </c>
      <c r="E629" s="40">
        <v>255.74</v>
      </c>
      <c r="F629" s="40">
        <v>5.07</v>
      </c>
      <c r="G629" s="33" t="s">
        <v>450</v>
      </c>
    </row>
    <row r="630" ht="15.75" customHeight="1">
      <c r="A630" s="33" t="s">
        <v>2699</v>
      </c>
      <c r="B630" s="33" t="s">
        <v>1884</v>
      </c>
      <c r="C630" s="39">
        <v>45894.0</v>
      </c>
      <c r="D630" s="33" t="s">
        <v>440</v>
      </c>
      <c r="E630" s="40">
        <v>111.18</v>
      </c>
      <c r="F630" s="40">
        <v>0.0</v>
      </c>
      <c r="G630" s="33" t="s">
        <v>450</v>
      </c>
    </row>
    <row r="631" ht="15.75" customHeight="1">
      <c r="A631" s="33" t="s">
        <v>2701</v>
      </c>
      <c r="B631" s="33" t="s">
        <v>1192</v>
      </c>
      <c r="C631" s="39">
        <v>45956.0</v>
      </c>
      <c r="D631" s="33" t="s">
        <v>435</v>
      </c>
      <c r="E631" s="40">
        <v>133.95</v>
      </c>
      <c r="F631" s="40">
        <v>0.0</v>
      </c>
      <c r="G631" s="33" t="s">
        <v>442</v>
      </c>
    </row>
    <row r="632" ht="15.75" customHeight="1">
      <c r="A632" s="33" t="s">
        <v>2705</v>
      </c>
      <c r="B632" s="33" t="s">
        <v>786</v>
      </c>
      <c r="C632" s="39">
        <v>45787.0</v>
      </c>
      <c r="D632" s="33" t="s">
        <v>479</v>
      </c>
      <c r="E632" s="40">
        <v>17.9</v>
      </c>
      <c r="F632" s="40">
        <v>0.34</v>
      </c>
      <c r="G632" s="33" t="s">
        <v>450</v>
      </c>
    </row>
    <row r="633" ht="15.75" customHeight="1">
      <c r="A633" s="33" t="s">
        <v>2709</v>
      </c>
      <c r="B633" s="33" t="s">
        <v>1237</v>
      </c>
      <c r="C633" s="39">
        <v>45899.0</v>
      </c>
      <c r="D633" s="33" t="s">
        <v>435</v>
      </c>
      <c r="E633" s="40">
        <v>23.32</v>
      </c>
      <c r="F633" s="40">
        <v>0.0</v>
      </c>
      <c r="G633" s="33" t="s">
        <v>442</v>
      </c>
    </row>
    <row r="634" ht="15.75" customHeight="1">
      <c r="A634" s="33" t="s">
        <v>2711</v>
      </c>
      <c r="B634" s="33" t="s">
        <v>1806</v>
      </c>
      <c r="C634" s="39">
        <v>46226.0</v>
      </c>
      <c r="D634" s="33" t="s">
        <v>435</v>
      </c>
      <c r="E634" s="40">
        <v>34.6</v>
      </c>
      <c r="F634" s="40">
        <v>0.0</v>
      </c>
      <c r="G634" s="33" t="s">
        <v>450</v>
      </c>
    </row>
    <row r="635" ht="15.75" customHeight="1">
      <c r="A635" s="33" t="s">
        <v>2713</v>
      </c>
      <c r="B635" s="33" t="s">
        <v>2715</v>
      </c>
      <c r="C635" s="39">
        <v>46029.0</v>
      </c>
      <c r="D635" s="33" t="s">
        <v>479</v>
      </c>
      <c r="E635" s="40">
        <v>174.9</v>
      </c>
      <c r="F635" s="40">
        <v>1.65</v>
      </c>
      <c r="G635" s="33" t="s">
        <v>442</v>
      </c>
    </row>
    <row r="636" ht="15.75" customHeight="1">
      <c r="A636" s="33" t="s">
        <v>2719</v>
      </c>
      <c r="B636" s="33" t="s">
        <v>558</v>
      </c>
      <c r="C636" s="39">
        <v>45919.0</v>
      </c>
      <c r="D636" s="33" t="s">
        <v>428</v>
      </c>
      <c r="E636" s="40">
        <v>173.21</v>
      </c>
      <c r="F636" s="40">
        <v>0.0</v>
      </c>
      <c r="G636" s="33" t="s">
        <v>442</v>
      </c>
    </row>
    <row r="637" ht="15.75" customHeight="1">
      <c r="A637" s="33" t="s">
        <v>2724</v>
      </c>
      <c r="B637" s="33" t="s">
        <v>2615</v>
      </c>
      <c r="C637" s="39">
        <v>45733.0</v>
      </c>
      <c r="D637" s="33" t="s">
        <v>428</v>
      </c>
      <c r="E637" s="40">
        <v>294.06</v>
      </c>
      <c r="F637" s="40">
        <v>0.0</v>
      </c>
      <c r="G637" s="33" t="s">
        <v>450</v>
      </c>
    </row>
    <row r="638" ht="15.75" customHeight="1">
      <c r="A638" s="33" t="s">
        <v>2727</v>
      </c>
      <c r="B638" s="33" t="s">
        <v>1340</v>
      </c>
      <c r="C638" s="39">
        <v>46208.0</v>
      </c>
      <c r="D638" s="33" t="s">
        <v>461</v>
      </c>
      <c r="E638" s="40">
        <v>33.9</v>
      </c>
      <c r="F638" s="40">
        <v>0.62</v>
      </c>
      <c r="G638" s="33" t="s">
        <v>450</v>
      </c>
    </row>
    <row r="639" ht="15.75" customHeight="1">
      <c r="A639" s="33" t="s">
        <v>2731</v>
      </c>
      <c r="B639" s="33" t="s">
        <v>1244</v>
      </c>
      <c r="C639" s="39">
        <v>45756.0</v>
      </c>
      <c r="D639" s="33" t="s">
        <v>440</v>
      </c>
      <c r="E639" s="40">
        <v>66.48</v>
      </c>
      <c r="F639" s="40">
        <v>0.0</v>
      </c>
      <c r="G639" s="33" t="s">
        <v>450</v>
      </c>
    </row>
    <row r="640" ht="15.75" customHeight="1">
      <c r="A640" s="33" t="s">
        <v>2734</v>
      </c>
      <c r="B640" s="33" t="s">
        <v>204</v>
      </c>
      <c r="C640" s="39">
        <v>46096.0</v>
      </c>
      <c r="D640" s="33" t="s">
        <v>440</v>
      </c>
      <c r="E640" s="40">
        <v>14.05</v>
      </c>
      <c r="F640" s="40">
        <v>0.0</v>
      </c>
      <c r="G640" s="33" t="s">
        <v>431</v>
      </c>
    </row>
    <row r="641" ht="15.75" customHeight="1">
      <c r="A641" s="33" t="s">
        <v>2738</v>
      </c>
      <c r="B641" s="33" t="s">
        <v>1309</v>
      </c>
      <c r="C641" s="39">
        <v>45841.0</v>
      </c>
      <c r="D641" s="33" t="s">
        <v>461</v>
      </c>
      <c r="E641" s="40">
        <v>19.86</v>
      </c>
      <c r="F641" s="40">
        <v>0.31</v>
      </c>
      <c r="G641" s="33" t="s">
        <v>450</v>
      </c>
    </row>
    <row r="642" ht="15.75" customHeight="1">
      <c r="A642" s="33" t="s">
        <v>2742</v>
      </c>
      <c r="B642" s="33" t="s">
        <v>497</v>
      </c>
      <c r="C642" s="39">
        <v>45827.0</v>
      </c>
      <c r="D642" s="33" t="s">
        <v>435</v>
      </c>
      <c r="E642" s="40">
        <v>56.74</v>
      </c>
      <c r="F642" s="40">
        <v>0.0</v>
      </c>
      <c r="G642" s="33" t="s">
        <v>450</v>
      </c>
    </row>
    <row r="643" ht="15.75" customHeight="1">
      <c r="A643" s="33" t="s">
        <v>2745</v>
      </c>
      <c r="B643" s="33" t="s">
        <v>2283</v>
      </c>
      <c r="C643" s="39">
        <v>45761.0</v>
      </c>
      <c r="D643" s="33" t="s">
        <v>479</v>
      </c>
      <c r="E643" s="40">
        <v>35.26</v>
      </c>
      <c r="F643" s="40">
        <v>0.26</v>
      </c>
      <c r="G643" s="33" t="s">
        <v>450</v>
      </c>
    </row>
    <row r="644" ht="15.75" customHeight="1">
      <c r="A644" s="33" t="s">
        <v>2747</v>
      </c>
      <c r="B644" s="33" t="s">
        <v>2362</v>
      </c>
      <c r="C644" s="39">
        <v>45885.0</v>
      </c>
      <c r="D644" s="33" t="s">
        <v>461</v>
      </c>
      <c r="E644" s="40">
        <v>35.63</v>
      </c>
      <c r="F644" s="40">
        <v>0.69</v>
      </c>
      <c r="G644" s="33" t="s">
        <v>450</v>
      </c>
    </row>
    <row r="645" ht="15.75" customHeight="1">
      <c r="A645" s="33" t="s">
        <v>2750</v>
      </c>
      <c r="B645" s="33" t="s">
        <v>1842</v>
      </c>
      <c r="C645" s="39">
        <v>46068.0</v>
      </c>
      <c r="D645" s="33" t="s">
        <v>428</v>
      </c>
      <c r="E645" s="40">
        <v>43.86</v>
      </c>
      <c r="F645" s="40">
        <v>0.0</v>
      </c>
      <c r="G645" s="33" t="s">
        <v>450</v>
      </c>
    </row>
    <row r="646" ht="15.75" customHeight="1">
      <c r="A646" s="33" t="s">
        <v>2754</v>
      </c>
      <c r="B646" s="33" t="s">
        <v>1031</v>
      </c>
      <c r="C646" s="39">
        <v>45910.0</v>
      </c>
      <c r="D646" s="33" t="s">
        <v>435</v>
      </c>
      <c r="E646" s="40">
        <v>188.49</v>
      </c>
      <c r="F646" s="40">
        <v>0.0</v>
      </c>
      <c r="G646" s="33" t="s">
        <v>450</v>
      </c>
    </row>
    <row r="647" ht="15.75" customHeight="1">
      <c r="A647" s="33" t="s">
        <v>2755</v>
      </c>
      <c r="B647" s="33" t="s">
        <v>1881</v>
      </c>
      <c r="C647" s="39">
        <v>45673.0</v>
      </c>
      <c r="D647" s="33" t="s">
        <v>440</v>
      </c>
      <c r="E647" s="40">
        <v>151.83</v>
      </c>
      <c r="F647" s="40">
        <v>0.0</v>
      </c>
      <c r="G647" s="33" t="s">
        <v>442</v>
      </c>
    </row>
    <row r="648" ht="15.75" customHeight="1">
      <c r="A648" s="33" t="s">
        <v>2759</v>
      </c>
      <c r="B648" s="33" t="s">
        <v>721</v>
      </c>
      <c r="C648" s="39">
        <v>45818.0</v>
      </c>
      <c r="D648" s="33" t="s">
        <v>440</v>
      </c>
      <c r="E648" s="40">
        <v>30.02</v>
      </c>
      <c r="F648" s="40">
        <v>0.0</v>
      </c>
      <c r="G648" s="33" t="s">
        <v>450</v>
      </c>
    </row>
    <row r="649" ht="15.75" customHeight="1">
      <c r="A649" s="33" t="s">
        <v>2761</v>
      </c>
      <c r="B649" s="33" t="s">
        <v>2212</v>
      </c>
      <c r="C649" s="39">
        <v>45755.0</v>
      </c>
      <c r="D649" s="33" t="s">
        <v>479</v>
      </c>
      <c r="E649" s="40">
        <v>148.94</v>
      </c>
      <c r="F649" s="40">
        <v>2.54</v>
      </c>
      <c r="G649" s="33" t="s">
        <v>450</v>
      </c>
    </row>
    <row r="650" ht="15.75" customHeight="1">
      <c r="A650" s="33" t="s">
        <v>2765</v>
      </c>
      <c r="B650" s="33" t="s">
        <v>2622</v>
      </c>
      <c r="C650" s="39">
        <v>45901.0</v>
      </c>
      <c r="D650" s="33" t="s">
        <v>435</v>
      </c>
      <c r="E650" s="40">
        <v>37.81</v>
      </c>
      <c r="F650" s="40">
        <v>0.0</v>
      </c>
      <c r="G650" s="33" t="s">
        <v>450</v>
      </c>
    </row>
    <row r="651" ht="15.75" customHeight="1">
      <c r="A651" s="33" t="s">
        <v>2769</v>
      </c>
      <c r="B651" s="33" t="s">
        <v>1842</v>
      </c>
      <c r="C651" s="39">
        <v>46205.0</v>
      </c>
      <c r="D651" s="33" t="s">
        <v>428</v>
      </c>
      <c r="E651" s="40">
        <v>17.65</v>
      </c>
      <c r="F651" s="40">
        <v>0.0</v>
      </c>
      <c r="G651" s="33" t="s">
        <v>450</v>
      </c>
    </row>
    <row r="652" ht="15.75" customHeight="1">
      <c r="A652" s="33" t="s">
        <v>2772</v>
      </c>
      <c r="B652" s="33" t="s">
        <v>1610</v>
      </c>
      <c r="C652" s="39">
        <v>46242.0</v>
      </c>
      <c r="D652" s="33" t="s">
        <v>428</v>
      </c>
      <c r="E652" s="40">
        <v>42.55</v>
      </c>
      <c r="F652" s="40">
        <v>0.0</v>
      </c>
      <c r="G652" s="33" t="s">
        <v>450</v>
      </c>
    </row>
    <row r="653" ht="15.75" customHeight="1">
      <c r="A653" s="33" t="s">
        <v>2776</v>
      </c>
      <c r="B653" s="33" t="s">
        <v>534</v>
      </c>
      <c r="C653" s="39">
        <v>46263.0</v>
      </c>
      <c r="D653" s="33" t="s">
        <v>440</v>
      </c>
      <c r="E653" s="40">
        <v>88.45</v>
      </c>
      <c r="F653" s="40">
        <v>0.0</v>
      </c>
      <c r="G653" s="33" t="s">
        <v>442</v>
      </c>
    </row>
    <row r="654" ht="15.75" customHeight="1">
      <c r="A654" s="33" t="s">
        <v>2781</v>
      </c>
      <c r="B654" s="33" t="s">
        <v>521</v>
      </c>
      <c r="C654" s="39">
        <v>45726.0</v>
      </c>
      <c r="D654" s="33" t="s">
        <v>479</v>
      </c>
      <c r="E654" s="40">
        <v>33.18</v>
      </c>
      <c r="F654" s="40">
        <v>0.48</v>
      </c>
      <c r="G654" s="33" t="s">
        <v>442</v>
      </c>
    </row>
    <row r="655" ht="15.75" customHeight="1">
      <c r="A655" s="33" t="s">
        <v>2784</v>
      </c>
      <c r="B655" s="33" t="s">
        <v>2073</v>
      </c>
      <c r="C655" s="39">
        <v>45953.0</v>
      </c>
      <c r="D655" s="33" t="s">
        <v>479</v>
      </c>
      <c r="E655" s="40">
        <v>109.74</v>
      </c>
      <c r="F655" s="40">
        <v>1.76</v>
      </c>
      <c r="G655" s="33" t="s">
        <v>450</v>
      </c>
    </row>
    <row r="656" ht="15.75" customHeight="1">
      <c r="A656" s="33" t="s">
        <v>2788</v>
      </c>
      <c r="B656" s="33" t="s">
        <v>1137</v>
      </c>
      <c r="C656" s="39">
        <v>45685.0</v>
      </c>
      <c r="D656" s="33" t="s">
        <v>435</v>
      </c>
      <c r="E656" s="40">
        <v>45.12</v>
      </c>
      <c r="F656" s="40">
        <v>0.0</v>
      </c>
      <c r="G656" s="33" t="s">
        <v>450</v>
      </c>
    </row>
    <row r="657" ht="15.75" customHeight="1">
      <c r="A657" s="33" t="s">
        <v>2791</v>
      </c>
      <c r="B657" s="33" t="s">
        <v>2221</v>
      </c>
      <c r="C657" s="39">
        <v>45958.0</v>
      </c>
      <c r="D657" s="33" t="s">
        <v>428</v>
      </c>
      <c r="E657" s="40">
        <v>93.2</v>
      </c>
      <c r="F657" s="40">
        <v>0.0</v>
      </c>
      <c r="G657" s="33" t="s">
        <v>450</v>
      </c>
    </row>
    <row r="658" ht="15.75" customHeight="1">
      <c r="A658" s="33" t="s">
        <v>2794</v>
      </c>
      <c r="B658" s="33" t="s">
        <v>2199</v>
      </c>
      <c r="C658" s="39">
        <v>46008.0</v>
      </c>
      <c r="D658" s="33" t="s">
        <v>461</v>
      </c>
      <c r="E658" s="40">
        <v>29.69</v>
      </c>
      <c r="F658" s="40">
        <v>0.28</v>
      </c>
      <c r="G658" s="33" t="s">
        <v>450</v>
      </c>
    </row>
    <row r="659" ht="15.75" customHeight="1">
      <c r="A659" s="33" t="s">
        <v>2797</v>
      </c>
      <c r="B659" s="33" t="s">
        <v>2277</v>
      </c>
      <c r="C659" s="39">
        <v>46127.0</v>
      </c>
      <c r="D659" s="33" t="s">
        <v>440</v>
      </c>
      <c r="E659" s="40">
        <v>71.6</v>
      </c>
      <c r="F659" s="40">
        <v>0.0</v>
      </c>
      <c r="G659" s="33" t="s">
        <v>450</v>
      </c>
    </row>
    <row r="660" ht="15.75" customHeight="1">
      <c r="A660" s="33" t="s">
        <v>2800</v>
      </c>
      <c r="B660" s="33" t="s">
        <v>1077</v>
      </c>
      <c r="C660" s="39">
        <v>45862.0</v>
      </c>
      <c r="D660" s="33" t="s">
        <v>479</v>
      </c>
      <c r="E660" s="40">
        <v>34.1</v>
      </c>
      <c r="F660" s="40">
        <v>0.45</v>
      </c>
      <c r="G660" s="33" t="s">
        <v>450</v>
      </c>
    </row>
    <row r="661" ht="15.75" customHeight="1">
      <c r="A661" s="33" t="s">
        <v>2803</v>
      </c>
      <c r="B661" s="33" t="s">
        <v>430</v>
      </c>
      <c r="C661" s="39">
        <v>45679.0</v>
      </c>
      <c r="D661" s="33" t="s">
        <v>440</v>
      </c>
      <c r="E661" s="40">
        <v>58.07</v>
      </c>
      <c r="F661" s="40">
        <v>0.0</v>
      </c>
      <c r="G661" s="33" t="s">
        <v>442</v>
      </c>
    </row>
    <row r="662" ht="15.75" customHeight="1">
      <c r="A662" s="33" t="s">
        <v>2807</v>
      </c>
      <c r="B662" s="33" t="s">
        <v>258</v>
      </c>
      <c r="C662" s="39">
        <v>45933.0</v>
      </c>
      <c r="D662" s="33" t="s">
        <v>440</v>
      </c>
      <c r="E662" s="40">
        <v>241.85</v>
      </c>
      <c r="F662" s="40">
        <v>0.0</v>
      </c>
      <c r="G662" s="33" t="s">
        <v>442</v>
      </c>
    </row>
    <row r="663" ht="15.75" customHeight="1">
      <c r="A663" s="33" t="s">
        <v>2810</v>
      </c>
      <c r="B663" s="33" t="s">
        <v>300</v>
      </c>
      <c r="C663" s="39">
        <v>45917.0</v>
      </c>
      <c r="D663" s="33" t="s">
        <v>440</v>
      </c>
      <c r="E663" s="40">
        <v>50.22</v>
      </c>
      <c r="F663" s="40">
        <v>0.0</v>
      </c>
      <c r="G663" s="33" t="s">
        <v>450</v>
      </c>
    </row>
    <row r="664" ht="15.75" customHeight="1">
      <c r="A664" s="33" t="s">
        <v>2815</v>
      </c>
      <c r="B664" s="33" t="s">
        <v>2752</v>
      </c>
      <c r="C664" s="39">
        <v>46036.0</v>
      </c>
      <c r="D664" s="33" t="s">
        <v>435</v>
      </c>
      <c r="E664" s="40">
        <v>22.82</v>
      </c>
      <c r="F664" s="40">
        <v>0.0</v>
      </c>
      <c r="G664" s="33" t="s">
        <v>450</v>
      </c>
    </row>
    <row r="665" ht="15.75" customHeight="1">
      <c r="A665" s="33" t="s">
        <v>2819</v>
      </c>
      <c r="B665" s="33" t="s">
        <v>838</v>
      </c>
      <c r="C665" s="39">
        <v>45718.0</v>
      </c>
      <c r="D665" s="33" t="s">
        <v>428</v>
      </c>
      <c r="E665" s="40">
        <v>75.09</v>
      </c>
      <c r="F665" s="40">
        <v>0.0</v>
      </c>
      <c r="G665" s="33" t="s">
        <v>450</v>
      </c>
    </row>
    <row r="666" ht="15.75" customHeight="1">
      <c r="A666" s="33" t="s">
        <v>2823</v>
      </c>
      <c r="B666" s="33" t="s">
        <v>1045</v>
      </c>
      <c r="C666" s="39">
        <v>46030.0</v>
      </c>
      <c r="D666" s="33" t="s">
        <v>461</v>
      </c>
      <c r="E666" s="40">
        <v>76.06</v>
      </c>
      <c r="F666" s="40">
        <v>0.45</v>
      </c>
      <c r="G666" s="33" t="s">
        <v>450</v>
      </c>
    </row>
    <row r="667" ht="15.75" customHeight="1">
      <c r="A667" s="33" t="s">
        <v>2828</v>
      </c>
      <c r="B667" s="33" t="s">
        <v>2063</v>
      </c>
      <c r="C667" s="39">
        <v>45901.0</v>
      </c>
      <c r="D667" s="33" t="s">
        <v>428</v>
      </c>
      <c r="E667" s="40">
        <v>75.69</v>
      </c>
      <c r="F667" s="40">
        <v>0.0</v>
      </c>
      <c r="G667" s="33" t="s">
        <v>450</v>
      </c>
    </row>
    <row r="668" ht="15.75" customHeight="1">
      <c r="A668" s="33" t="s">
        <v>2830</v>
      </c>
      <c r="B668" s="33" t="s">
        <v>1620</v>
      </c>
      <c r="C668" s="39">
        <v>46106.0</v>
      </c>
      <c r="D668" s="33" t="s">
        <v>435</v>
      </c>
      <c r="E668" s="40">
        <v>105.25</v>
      </c>
      <c r="F668" s="40">
        <v>0.0</v>
      </c>
      <c r="G668" s="33" t="s">
        <v>431</v>
      </c>
    </row>
    <row r="669" ht="15.75" customHeight="1">
      <c r="A669" s="33" t="s">
        <v>2832</v>
      </c>
      <c r="B669" s="33" t="s">
        <v>1957</v>
      </c>
      <c r="C669" s="39">
        <v>46255.0</v>
      </c>
      <c r="D669" s="33" t="s">
        <v>461</v>
      </c>
      <c r="E669" s="40">
        <v>48.28</v>
      </c>
      <c r="F669" s="40">
        <v>0.41</v>
      </c>
      <c r="G669" s="33" t="s">
        <v>450</v>
      </c>
    </row>
    <row r="670" ht="15.75" customHeight="1">
      <c r="A670" s="33" t="s">
        <v>2835</v>
      </c>
      <c r="B670" s="33" t="s">
        <v>2836</v>
      </c>
      <c r="C670" s="39">
        <v>45796.0</v>
      </c>
      <c r="D670" s="33" t="s">
        <v>479</v>
      </c>
      <c r="E670" s="40">
        <v>112.71</v>
      </c>
      <c r="F670" s="40">
        <v>1.62</v>
      </c>
      <c r="G670" s="33" t="s">
        <v>431</v>
      </c>
    </row>
    <row r="671" ht="15.75" customHeight="1">
      <c r="A671" s="33" t="s">
        <v>2839</v>
      </c>
      <c r="B671" s="33" t="s">
        <v>1482</v>
      </c>
      <c r="C671" s="39">
        <v>46115.0</v>
      </c>
      <c r="D671" s="33" t="s">
        <v>461</v>
      </c>
      <c r="E671" s="40">
        <v>69.38</v>
      </c>
      <c r="F671" s="40">
        <v>0.91</v>
      </c>
      <c r="G671" s="33" t="s">
        <v>431</v>
      </c>
    </row>
    <row r="672" ht="15.75" customHeight="1">
      <c r="A672" s="33" t="s">
        <v>2844</v>
      </c>
      <c r="B672" s="33" t="s">
        <v>566</v>
      </c>
      <c r="C672" s="39">
        <v>45735.0</v>
      </c>
      <c r="D672" s="33" t="s">
        <v>428</v>
      </c>
      <c r="E672" s="40">
        <v>21.57</v>
      </c>
      <c r="F672" s="40">
        <v>0.0</v>
      </c>
      <c r="G672" s="33" t="s">
        <v>450</v>
      </c>
    </row>
    <row r="673" ht="15.75" customHeight="1">
      <c r="A673" s="33" t="s">
        <v>2847</v>
      </c>
      <c r="B673" s="33" t="s">
        <v>2816</v>
      </c>
      <c r="C673" s="39">
        <v>46255.0</v>
      </c>
      <c r="D673" s="33" t="s">
        <v>440</v>
      </c>
      <c r="E673" s="40">
        <v>124.07</v>
      </c>
      <c r="F673" s="40">
        <v>0.0</v>
      </c>
      <c r="G673" s="33" t="s">
        <v>431</v>
      </c>
    </row>
    <row r="674" ht="15.75" customHeight="1">
      <c r="A674" s="33" t="s">
        <v>2849</v>
      </c>
      <c r="B674" s="33" t="s">
        <v>255</v>
      </c>
      <c r="C674" s="39">
        <v>45949.0</v>
      </c>
      <c r="D674" s="33" t="s">
        <v>435</v>
      </c>
      <c r="E674" s="40">
        <v>80.57</v>
      </c>
      <c r="F674" s="40">
        <v>0.0</v>
      </c>
      <c r="G674" s="33" t="s">
        <v>450</v>
      </c>
    </row>
    <row r="675" ht="15.75" customHeight="1">
      <c r="A675" s="33" t="s">
        <v>2853</v>
      </c>
      <c r="B675" s="33" t="s">
        <v>929</v>
      </c>
      <c r="C675" s="39">
        <v>46110.0</v>
      </c>
      <c r="D675" s="33" t="s">
        <v>435</v>
      </c>
      <c r="E675" s="40">
        <v>108.55</v>
      </c>
      <c r="F675" s="40">
        <v>0.0</v>
      </c>
      <c r="G675" s="33" t="s">
        <v>450</v>
      </c>
    </row>
    <row r="676" ht="15.75" customHeight="1">
      <c r="A676" s="33" t="s">
        <v>2856</v>
      </c>
      <c r="B676" s="33" t="s">
        <v>848</v>
      </c>
      <c r="C676" s="39">
        <v>46129.0</v>
      </c>
      <c r="D676" s="33" t="s">
        <v>479</v>
      </c>
      <c r="E676" s="40">
        <v>24.11</v>
      </c>
      <c r="F676" s="40">
        <v>0.46</v>
      </c>
      <c r="G676" s="33" t="s">
        <v>450</v>
      </c>
    </row>
    <row r="677" ht="15.75" customHeight="1">
      <c r="A677" s="33" t="s">
        <v>2861</v>
      </c>
      <c r="B677" s="33" t="s">
        <v>1834</v>
      </c>
      <c r="C677" s="39">
        <v>46027.0</v>
      </c>
      <c r="D677" s="33" t="s">
        <v>435</v>
      </c>
      <c r="E677" s="40">
        <v>129.24</v>
      </c>
      <c r="F677" s="40">
        <v>0.0</v>
      </c>
      <c r="G677" s="33" t="s">
        <v>450</v>
      </c>
    </row>
    <row r="678" ht="15.75" customHeight="1">
      <c r="A678" s="33" t="s">
        <v>2867</v>
      </c>
      <c r="B678" s="33" t="s">
        <v>2303</v>
      </c>
      <c r="C678" s="39">
        <v>45891.0</v>
      </c>
      <c r="D678" s="33" t="s">
        <v>435</v>
      </c>
      <c r="E678" s="40">
        <v>284.45</v>
      </c>
      <c r="F678" s="40">
        <v>0.0</v>
      </c>
      <c r="G678" s="33" t="s">
        <v>442</v>
      </c>
    </row>
    <row r="679" ht="15.75" customHeight="1">
      <c r="A679" s="33" t="s">
        <v>2869</v>
      </c>
      <c r="B679" s="33" t="s">
        <v>478</v>
      </c>
      <c r="C679" s="39">
        <v>46115.0</v>
      </c>
      <c r="D679" s="33" t="s">
        <v>435</v>
      </c>
      <c r="E679" s="40">
        <v>22.39</v>
      </c>
      <c r="F679" s="40">
        <v>0.0</v>
      </c>
      <c r="G679" s="33" t="s">
        <v>450</v>
      </c>
    </row>
    <row r="680" ht="15.75" customHeight="1">
      <c r="A680" s="33" t="s">
        <v>2874</v>
      </c>
      <c r="B680" s="33" t="s">
        <v>314</v>
      </c>
      <c r="C680" s="39">
        <v>45947.0</v>
      </c>
      <c r="D680" s="33" t="s">
        <v>440</v>
      </c>
      <c r="E680" s="40">
        <v>142.0</v>
      </c>
      <c r="F680" s="40">
        <v>0.0</v>
      </c>
      <c r="G680" s="33" t="s">
        <v>450</v>
      </c>
    </row>
    <row r="681" ht="15.75" customHeight="1">
      <c r="A681" s="33" t="s">
        <v>2878</v>
      </c>
      <c r="B681" s="33" t="s">
        <v>2879</v>
      </c>
      <c r="C681" s="39">
        <v>46058.0</v>
      </c>
      <c r="D681" s="33" t="s">
        <v>435</v>
      </c>
      <c r="E681" s="40">
        <v>80.83</v>
      </c>
      <c r="F681" s="40">
        <v>0.0</v>
      </c>
      <c r="G681" s="33" t="s">
        <v>442</v>
      </c>
    </row>
    <row r="682" ht="15.75" customHeight="1">
      <c r="A682" s="33" t="s">
        <v>2882</v>
      </c>
      <c r="B682" s="33" t="s">
        <v>327</v>
      </c>
      <c r="C682" s="39">
        <v>46030.0</v>
      </c>
      <c r="D682" s="33" t="s">
        <v>479</v>
      </c>
      <c r="E682" s="40">
        <v>69.95</v>
      </c>
      <c r="F682" s="40">
        <v>0.81</v>
      </c>
      <c r="G682" s="33" t="s">
        <v>450</v>
      </c>
    </row>
    <row r="683" ht="15.75" customHeight="1">
      <c r="A683" s="33" t="s">
        <v>2884</v>
      </c>
      <c r="B683" s="33" t="s">
        <v>1742</v>
      </c>
      <c r="C683" s="39">
        <v>45939.0</v>
      </c>
      <c r="D683" s="33" t="s">
        <v>461</v>
      </c>
      <c r="E683" s="40">
        <v>130.28</v>
      </c>
      <c r="F683" s="40">
        <v>1.93</v>
      </c>
      <c r="G683" s="33" t="s">
        <v>450</v>
      </c>
    </row>
    <row r="684" ht="15.75" customHeight="1">
      <c r="A684" s="33" t="s">
        <v>2888</v>
      </c>
      <c r="B684" s="33" t="s">
        <v>1562</v>
      </c>
      <c r="C684" s="39">
        <v>45729.0</v>
      </c>
      <c r="D684" s="33" t="s">
        <v>440</v>
      </c>
      <c r="E684" s="40">
        <v>120.55</v>
      </c>
      <c r="F684" s="40">
        <v>0.0</v>
      </c>
      <c r="G684" s="33" t="s">
        <v>450</v>
      </c>
    </row>
    <row r="685" ht="15.75" customHeight="1">
      <c r="A685" s="33" t="s">
        <v>2892</v>
      </c>
      <c r="B685" s="33" t="s">
        <v>913</v>
      </c>
      <c r="C685" s="39">
        <v>45835.0</v>
      </c>
      <c r="D685" s="33" t="s">
        <v>435</v>
      </c>
      <c r="E685" s="40">
        <v>166.71</v>
      </c>
      <c r="F685" s="40">
        <v>0.0</v>
      </c>
      <c r="G685" s="33" t="s">
        <v>450</v>
      </c>
    </row>
    <row r="686" ht="15.75" customHeight="1">
      <c r="A686" s="33" t="s">
        <v>2896</v>
      </c>
      <c r="B686" s="33" t="s">
        <v>1735</v>
      </c>
      <c r="C686" s="39">
        <v>46227.0</v>
      </c>
      <c r="D686" s="33" t="s">
        <v>479</v>
      </c>
      <c r="E686" s="40">
        <v>25.02</v>
      </c>
      <c r="F686" s="40">
        <v>0.28</v>
      </c>
      <c r="G686" s="33" t="s">
        <v>450</v>
      </c>
    </row>
    <row r="687" ht="15.75" customHeight="1">
      <c r="A687" s="33" t="s">
        <v>2899</v>
      </c>
      <c r="B687" s="33" t="s">
        <v>551</v>
      </c>
      <c r="C687" s="39">
        <v>45973.0</v>
      </c>
      <c r="D687" s="33" t="s">
        <v>435</v>
      </c>
      <c r="E687" s="40">
        <v>171.11</v>
      </c>
      <c r="F687" s="40">
        <v>0.0</v>
      </c>
      <c r="G687" s="33" t="s">
        <v>450</v>
      </c>
    </row>
    <row r="688" ht="15.75" customHeight="1">
      <c r="A688" s="33" t="s">
        <v>2902</v>
      </c>
      <c r="B688" s="33" t="s">
        <v>2239</v>
      </c>
      <c r="C688" s="39">
        <v>46044.0</v>
      </c>
      <c r="D688" s="33" t="s">
        <v>461</v>
      </c>
      <c r="E688" s="40">
        <v>92.52</v>
      </c>
      <c r="F688" s="40">
        <v>1.74</v>
      </c>
      <c r="G688" s="33" t="s">
        <v>431</v>
      </c>
    </row>
    <row r="689" ht="15.75" customHeight="1">
      <c r="A689" s="33" t="s">
        <v>2907</v>
      </c>
      <c r="B689" s="33" t="s">
        <v>2718</v>
      </c>
      <c r="C689" s="39">
        <v>45814.0</v>
      </c>
      <c r="D689" s="33" t="s">
        <v>440</v>
      </c>
      <c r="E689" s="40">
        <v>14.5</v>
      </c>
      <c r="F689" s="40">
        <v>0.0</v>
      </c>
      <c r="G689" s="33" t="s">
        <v>450</v>
      </c>
    </row>
    <row r="690" ht="15.75" customHeight="1">
      <c r="A690" s="33" t="s">
        <v>2910</v>
      </c>
      <c r="B690" s="33" t="s">
        <v>2911</v>
      </c>
      <c r="C690" s="39">
        <v>46086.0</v>
      </c>
      <c r="D690" s="33" t="s">
        <v>479</v>
      </c>
      <c r="E690" s="40">
        <v>50.6</v>
      </c>
      <c r="F690" s="40">
        <v>0.32</v>
      </c>
      <c r="G690" s="33" t="s">
        <v>450</v>
      </c>
    </row>
    <row r="691" ht="15.75" customHeight="1">
      <c r="A691" s="33" t="s">
        <v>2916</v>
      </c>
      <c r="B691" s="33" t="s">
        <v>312</v>
      </c>
      <c r="C691" s="39">
        <v>45953.0</v>
      </c>
      <c r="D691" s="33" t="s">
        <v>440</v>
      </c>
      <c r="E691" s="40">
        <v>82.21</v>
      </c>
      <c r="F691" s="40">
        <v>0.0</v>
      </c>
      <c r="G691" s="33" t="s">
        <v>431</v>
      </c>
    </row>
    <row r="692" ht="15.75" customHeight="1">
      <c r="A692" s="33" t="s">
        <v>2921</v>
      </c>
      <c r="B692" s="33" t="s">
        <v>676</v>
      </c>
      <c r="C692" s="39">
        <v>45790.0</v>
      </c>
      <c r="D692" s="33" t="s">
        <v>440</v>
      </c>
      <c r="E692" s="40">
        <v>49.69</v>
      </c>
      <c r="F692" s="40">
        <v>0.0</v>
      </c>
      <c r="G692" s="33" t="s">
        <v>450</v>
      </c>
    </row>
    <row r="693" ht="15.75" customHeight="1">
      <c r="A693" s="33" t="s">
        <v>2925</v>
      </c>
      <c r="B693" s="33" t="s">
        <v>1010</v>
      </c>
      <c r="C693" s="39">
        <v>45746.0</v>
      </c>
      <c r="D693" s="33" t="s">
        <v>435</v>
      </c>
      <c r="E693" s="40">
        <v>63.44</v>
      </c>
      <c r="F693" s="40">
        <v>0.0</v>
      </c>
      <c r="G693" s="33" t="s">
        <v>450</v>
      </c>
    </row>
    <row r="694" ht="15.75" customHeight="1">
      <c r="A694" s="33" t="s">
        <v>2929</v>
      </c>
      <c r="B694" s="33" t="s">
        <v>637</v>
      </c>
      <c r="C694" s="39">
        <v>45897.0</v>
      </c>
      <c r="D694" s="33" t="s">
        <v>479</v>
      </c>
      <c r="E694" s="40">
        <v>44.11</v>
      </c>
      <c r="F694" s="40">
        <v>0.57</v>
      </c>
      <c r="G694" s="33" t="s">
        <v>431</v>
      </c>
    </row>
    <row r="695" ht="15.75" customHeight="1">
      <c r="A695" s="33" t="s">
        <v>2932</v>
      </c>
      <c r="B695" s="33" t="s">
        <v>1721</v>
      </c>
      <c r="C695" s="39">
        <v>46001.0</v>
      </c>
      <c r="D695" s="33" t="s">
        <v>435</v>
      </c>
      <c r="E695" s="40">
        <v>383.72</v>
      </c>
      <c r="F695" s="40">
        <v>0.0</v>
      </c>
      <c r="G695" s="33" t="s">
        <v>431</v>
      </c>
    </row>
    <row r="696" ht="15.75" customHeight="1">
      <c r="A696" s="33" t="s">
        <v>2937</v>
      </c>
      <c r="B696" s="33" t="s">
        <v>1374</v>
      </c>
      <c r="C696" s="39">
        <v>45828.0</v>
      </c>
      <c r="D696" s="33" t="s">
        <v>461</v>
      </c>
      <c r="E696" s="40">
        <v>114.01</v>
      </c>
      <c r="F696" s="40">
        <v>0.85</v>
      </c>
      <c r="G696" s="33" t="s">
        <v>450</v>
      </c>
    </row>
    <row r="697" ht="15.75" customHeight="1">
      <c r="A697" s="33" t="s">
        <v>2941</v>
      </c>
      <c r="B697" s="33" t="s">
        <v>1069</v>
      </c>
      <c r="C697" s="39">
        <v>45806.0</v>
      </c>
      <c r="D697" s="33" t="s">
        <v>440</v>
      </c>
      <c r="E697" s="40">
        <v>74.8</v>
      </c>
      <c r="F697" s="40">
        <v>0.0</v>
      </c>
      <c r="G697" s="33" t="s">
        <v>450</v>
      </c>
    </row>
    <row r="698" ht="15.75" customHeight="1">
      <c r="A698" s="33" t="s">
        <v>2943</v>
      </c>
      <c r="B698" s="33" t="s">
        <v>1541</v>
      </c>
      <c r="C698" s="39">
        <v>45821.0</v>
      </c>
      <c r="D698" s="33" t="s">
        <v>479</v>
      </c>
      <c r="E698" s="40">
        <v>29.07</v>
      </c>
      <c r="F698" s="40">
        <v>0.34</v>
      </c>
      <c r="G698" s="33" t="s">
        <v>450</v>
      </c>
    </row>
    <row r="699" ht="15.75" customHeight="1">
      <c r="A699" s="33" t="s">
        <v>2946</v>
      </c>
      <c r="B699" s="33" t="s">
        <v>2615</v>
      </c>
      <c r="C699" s="39">
        <v>45836.0</v>
      </c>
      <c r="D699" s="33" t="s">
        <v>479</v>
      </c>
      <c r="E699" s="40">
        <v>167.01</v>
      </c>
      <c r="F699" s="40">
        <v>1.78</v>
      </c>
      <c r="G699" s="33" t="s">
        <v>450</v>
      </c>
    </row>
    <row r="700" ht="15.75" customHeight="1">
      <c r="A700" s="33" t="s">
        <v>2949</v>
      </c>
      <c r="B700" s="33" t="s">
        <v>2953</v>
      </c>
      <c r="C700" s="39">
        <v>46106.0</v>
      </c>
      <c r="D700" s="33" t="s">
        <v>461</v>
      </c>
      <c r="E700" s="40">
        <v>103.65</v>
      </c>
      <c r="F700" s="40">
        <v>1.3</v>
      </c>
      <c r="G700" s="33" t="s">
        <v>431</v>
      </c>
    </row>
    <row r="701" ht="15.75" customHeight="1">
      <c r="A701" s="33" t="s">
        <v>2955</v>
      </c>
      <c r="B701" s="33" t="s">
        <v>2957</v>
      </c>
      <c r="C701" s="39">
        <v>45960.0</v>
      </c>
      <c r="D701" s="33" t="s">
        <v>461</v>
      </c>
      <c r="E701" s="40">
        <v>31.89</v>
      </c>
      <c r="F701" s="40">
        <v>0.51</v>
      </c>
      <c r="G701" s="33" t="s">
        <v>442</v>
      </c>
    </row>
    <row r="702" ht="15.75" customHeight="1">
      <c r="A702" s="33" t="s">
        <v>2960</v>
      </c>
      <c r="B702" s="33" t="s">
        <v>350</v>
      </c>
      <c r="C702" s="39">
        <v>45942.0</v>
      </c>
      <c r="D702" s="33" t="s">
        <v>479</v>
      </c>
      <c r="E702" s="40">
        <v>32.09</v>
      </c>
      <c r="F702" s="40">
        <v>0.47</v>
      </c>
      <c r="G702" s="33" t="s">
        <v>431</v>
      </c>
    </row>
    <row r="703" ht="15.75" customHeight="1">
      <c r="A703" s="33" t="s">
        <v>2963</v>
      </c>
      <c r="B703" s="33" t="s">
        <v>1259</v>
      </c>
      <c r="C703" s="39">
        <v>45756.0</v>
      </c>
      <c r="D703" s="33" t="s">
        <v>428</v>
      </c>
      <c r="E703" s="40">
        <v>64.65</v>
      </c>
      <c r="F703" s="40">
        <v>0.0</v>
      </c>
      <c r="G703" s="33" t="s">
        <v>450</v>
      </c>
    </row>
    <row r="704" ht="15.75" customHeight="1">
      <c r="A704" s="33" t="s">
        <v>2967</v>
      </c>
      <c r="B704" s="33" t="s">
        <v>1297</v>
      </c>
      <c r="C704" s="39">
        <v>45988.0</v>
      </c>
      <c r="D704" s="33" t="s">
        <v>440</v>
      </c>
      <c r="E704" s="40">
        <v>75.37</v>
      </c>
      <c r="F704" s="40">
        <v>0.0</v>
      </c>
      <c r="G704" s="33" t="s">
        <v>442</v>
      </c>
    </row>
    <row r="705" ht="15.75" customHeight="1">
      <c r="A705" s="33" t="s">
        <v>2970</v>
      </c>
      <c r="B705" s="33" t="s">
        <v>1615</v>
      </c>
      <c r="C705" s="39">
        <v>46242.0</v>
      </c>
      <c r="D705" s="33" t="s">
        <v>461</v>
      </c>
      <c r="E705" s="40">
        <v>112.1</v>
      </c>
      <c r="F705" s="40">
        <v>0.9</v>
      </c>
      <c r="G705" s="33" t="s">
        <v>431</v>
      </c>
    </row>
    <row r="706" ht="15.75" customHeight="1">
      <c r="A706" s="33" t="s">
        <v>2974</v>
      </c>
      <c r="B706" s="33" t="s">
        <v>1099</v>
      </c>
      <c r="C706" s="39">
        <v>46110.0</v>
      </c>
      <c r="D706" s="33" t="s">
        <v>440</v>
      </c>
      <c r="E706" s="40">
        <v>68.03</v>
      </c>
      <c r="F706" s="40">
        <v>0.0</v>
      </c>
      <c r="G706" s="33" t="s">
        <v>450</v>
      </c>
    </row>
    <row r="707" ht="15.75" customHeight="1">
      <c r="A707" s="33" t="s">
        <v>2977</v>
      </c>
      <c r="B707" s="33" t="s">
        <v>620</v>
      </c>
      <c r="C707" s="39">
        <v>45929.0</v>
      </c>
      <c r="D707" s="33" t="s">
        <v>461</v>
      </c>
      <c r="E707" s="40">
        <v>118.93</v>
      </c>
      <c r="F707" s="40">
        <v>0.88</v>
      </c>
      <c r="G707" s="33" t="s">
        <v>450</v>
      </c>
    </row>
    <row r="708" ht="15.75" customHeight="1">
      <c r="A708" s="33" t="s">
        <v>2981</v>
      </c>
      <c r="B708" s="33" t="s">
        <v>737</v>
      </c>
      <c r="C708" s="39">
        <v>45844.0</v>
      </c>
      <c r="D708" s="33" t="s">
        <v>479</v>
      </c>
      <c r="E708" s="40">
        <v>49.73</v>
      </c>
      <c r="F708" s="40">
        <v>0.78</v>
      </c>
      <c r="G708" s="33" t="s">
        <v>450</v>
      </c>
    </row>
    <row r="709" ht="15.75" customHeight="1">
      <c r="A709" s="33" t="s">
        <v>2983</v>
      </c>
      <c r="B709" s="33" t="s">
        <v>460</v>
      </c>
      <c r="C709" s="39">
        <v>45871.0</v>
      </c>
      <c r="D709" s="33" t="s">
        <v>428</v>
      </c>
      <c r="E709" s="40">
        <v>68.17</v>
      </c>
      <c r="F709" s="40">
        <v>0.0</v>
      </c>
      <c r="G709" s="33" t="s">
        <v>450</v>
      </c>
    </row>
    <row r="710" ht="15.75" customHeight="1">
      <c r="A710" s="33" t="s">
        <v>2988</v>
      </c>
      <c r="B710" s="33" t="s">
        <v>627</v>
      </c>
      <c r="C710" s="39">
        <v>45674.0</v>
      </c>
      <c r="D710" s="33" t="s">
        <v>440</v>
      </c>
      <c r="E710" s="40">
        <v>171.23</v>
      </c>
      <c r="F710" s="40">
        <v>0.0</v>
      </c>
      <c r="G710" s="33" t="s">
        <v>450</v>
      </c>
    </row>
    <row r="711" ht="15.75" customHeight="1">
      <c r="A711" s="33" t="s">
        <v>2995</v>
      </c>
      <c r="B711" s="33" t="s">
        <v>1052</v>
      </c>
      <c r="C711" s="39">
        <v>45675.0</v>
      </c>
      <c r="D711" s="33" t="s">
        <v>479</v>
      </c>
      <c r="E711" s="40">
        <v>122.74</v>
      </c>
      <c r="F711" s="40">
        <v>2.2</v>
      </c>
      <c r="G711" s="33" t="s">
        <v>450</v>
      </c>
    </row>
    <row r="712" ht="15.75" customHeight="1">
      <c r="A712" s="33" t="s">
        <v>2999</v>
      </c>
      <c r="B712" s="33" t="s">
        <v>2625</v>
      </c>
      <c r="C712" s="39">
        <v>46129.0</v>
      </c>
      <c r="D712" s="33" t="s">
        <v>435</v>
      </c>
      <c r="E712" s="40">
        <v>71.34</v>
      </c>
      <c r="F712" s="40">
        <v>0.0</v>
      </c>
      <c r="G712" s="33" t="s">
        <v>450</v>
      </c>
    </row>
    <row r="713" ht="15.75" customHeight="1">
      <c r="A713" s="33" t="s">
        <v>3002</v>
      </c>
      <c r="B713" s="33" t="s">
        <v>2914</v>
      </c>
      <c r="C713" s="39">
        <v>46169.0</v>
      </c>
      <c r="D713" s="33" t="s">
        <v>461</v>
      </c>
      <c r="E713" s="40">
        <v>90.12</v>
      </c>
      <c r="F713" s="40">
        <v>0.59</v>
      </c>
      <c r="G713" s="33" t="s">
        <v>431</v>
      </c>
    </row>
    <row r="714" ht="15.75" customHeight="1">
      <c r="A714" s="33" t="s">
        <v>3003</v>
      </c>
      <c r="B714" s="33" t="s">
        <v>1045</v>
      </c>
      <c r="C714" s="39">
        <v>46245.0</v>
      </c>
      <c r="D714" s="33" t="s">
        <v>435</v>
      </c>
      <c r="E714" s="40">
        <v>68.41</v>
      </c>
      <c r="F714" s="40">
        <v>0.0</v>
      </c>
      <c r="G714" s="33" t="s">
        <v>450</v>
      </c>
    </row>
    <row r="715" ht="15.75" customHeight="1">
      <c r="A715" s="33" t="s">
        <v>3006</v>
      </c>
      <c r="B715" s="33" t="s">
        <v>2362</v>
      </c>
      <c r="C715" s="39">
        <v>46037.0</v>
      </c>
      <c r="D715" s="33" t="s">
        <v>479</v>
      </c>
      <c r="E715" s="40">
        <v>20.06</v>
      </c>
      <c r="F715" s="40">
        <v>0.21</v>
      </c>
      <c r="G715" s="33" t="s">
        <v>442</v>
      </c>
    </row>
    <row r="716" ht="15.75" customHeight="1">
      <c r="A716" s="33" t="s">
        <v>3011</v>
      </c>
      <c r="B716" s="33" t="s">
        <v>527</v>
      </c>
      <c r="C716" s="39">
        <v>46222.0</v>
      </c>
      <c r="D716" s="33" t="s">
        <v>435</v>
      </c>
      <c r="E716" s="40">
        <v>211.58</v>
      </c>
      <c r="F716" s="40">
        <v>0.0</v>
      </c>
      <c r="G716" s="33" t="s">
        <v>450</v>
      </c>
    </row>
    <row r="717" ht="15.75" customHeight="1">
      <c r="A717" s="33" t="s">
        <v>3016</v>
      </c>
      <c r="B717" s="33" t="s">
        <v>627</v>
      </c>
      <c r="C717" s="39">
        <v>45910.0</v>
      </c>
      <c r="D717" s="33" t="s">
        <v>440</v>
      </c>
      <c r="E717" s="40">
        <v>33.81</v>
      </c>
      <c r="F717" s="40">
        <v>0.0</v>
      </c>
      <c r="G717" s="33" t="s">
        <v>442</v>
      </c>
    </row>
    <row r="718" ht="15.75" customHeight="1">
      <c r="A718" s="33" t="s">
        <v>3018</v>
      </c>
      <c r="B718" s="33" t="s">
        <v>1994</v>
      </c>
      <c r="C718" s="39">
        <v>45812.0</v>
      </c>
      <c r="D718" s="33" t="s">
        <v>479</v>
      </c>
      <c r="E718" s="40">
        <v>52.9</v>
      </c>
      <c r="F718" s="40">
        <v>0.6</v>
      </c>
      <c r="G718" s="33" t="s">
        <v>450</v>
      </c>
    </row>
    <row r="719" ht="15.75" customHeight="1">
      <c r="A719" s="33" t="s">
        <v>3021</v>
      </c>
      <c r="B719" s="33" t="s">
        <v>285</v>
      </c>
      <c r="C719" s="39">
        <v>45807.0</v>
      </c>
      <c r="D719" s="33" t="s">
        <v>440</v>
      </c>
      <c r="E719" s="40">
        <v>341.25</v>
      </c>
      <c r="F719" s="40">
        <v>0.0</v>
      </c>
      <c r="G719" s="33" t="s">
        <v>442</v>
      </c>
    </row>
    <row r="720" ht="15.75" customHeight="1">
      <c r="A720" s="33" t="s">
        <v>3024</v>
      </c>
      <c r="B720" s="33" t="s">
        <v>1052</v>
      </c>
      <c r="C720" s="39">
        <v>45801.0</v>
      </c>
      <c r="D720" s="33" t="s">
        <v>440</v>
      </c>
      <c r="E720" s="40">
        <v>28.03</v>
      </c>
      <c r="F720" s="40">
        <v>0.0</v>
      </c>
      <c r="G720" s="33" t="s">
        <v>442</v>
      </c>
    </row>
    <row r="721" ht="15.75" customHeight="1">
      <c r="A721" s="33" t="s">
        <v>3026</v>
      </c>
      <c r="B721" s="33" t="s">
        <v>2259</v>
      </c>
      <c r="C721" s="39">
        <v>46110.0</v>
      </c>
      <c r="D721" s="33" t="s">
        <v>435</v>
      </c>
      <c r="E721" s="40">
        <v>65.38</v>
      </c>
      <c r="F721" s="40">
        <v>0.0</v>
      </c>
      <c r="G721" s="33" t="s">
        <v>450</v>
      </c>
    </row>
    <row r="722" ht="15.75" customHeight="1">
      <c r="A722" s="33" t="s">
        <v>3028</v>
      </c>
      <c r="B722" s="33" t="s">
        <v>2139</v>
      </c>
      <c r="C722" s="39">
        <v>45664.0</v>
      </c>
      <c r="D722" s="33" t="s">
        <v>461</v>
      </c>
      <c r="E722" s="40">
        <v>178.93</v>
      </c>
      <c r="F722" s="40">
        <v>2.27</v>
      </c>
      <c r="G722" s="33" t="s">
        <v>450</v>
      </c>
    </row>
    <row r="723" ht="15.75" customHeight="1">
      <c r="A723" s="33" t="s">
        <v>3031</v>
      </c>
      <c r="B723" s="33" t="s">
        <v>291</v>
      </c>
      <c r="C723" s="39">
        <v>46231.0</v>
      </c>
      <c r="D723" s="33" t="s">
        <v>461</v>
      </c>
      <c r="E723" s="40">
        <v>242.65</v>
      </c>
      <c r="F723" s="40">
        <v>3.99</v>
      </c>
      <c r="G723" s="33" t="s">
        <v>431</v>
      </c>
    </row>
    <row r="724" ht="15.75" customHeight="1">
      <c r="A724" s="33" t="s">
        <v>3035</v>
      </c>
      <c r="B724" s="33" t="s">
        <v>2447</v>
      </c>
      <c r="C724" s="39">
        <v>46128.0</v>
      </c>
      <c r="D724" s="33" t="s">
        <v>479</v>
      </c>
      <c r="E724" s="40">
        <v>102.6</v>
      </c>
      <c r="F724" s="40">
        <v>1.82</v>
      </c>
      <c r="G724" s="33" t="s">
        <v>450</v>
      </c>
    </row>
    <row r="725" ht="15.75" customHeight="1">
      <c r="A725" s="33" t="s">
        <v>3038</v>
      </c>
      <c r="B725" s="33" t="s">
        <v>1856</v>
      </c>
      <c r="C725" s="39">
        <v>45889.0</v>
      </c>
      <c r="D725" s="33" t="s">
        <v>435</v>
      </c>
      <c r="E725" s="40">
        <v>168.06</v>
      </c>
      <c r="F725" s="40">
        <v>0.0</v>
      </c>
      <c r="G725" s="33" t="s">
        <v>450</v>
      </c>
    </row>
    <row r="726" ht="15.75" customHeight="1">
      <c r="A726" s="33" t="s">
        <v>3043</v>
      </c>
      <c r="B726" s="33" t="s">
        <v>250</v>
      </c>
      <c r="C726" s="39">
        <v>46084.0</v>
      </c>
      <c r="D726" s="33" t="s">
        <v>435</v>
      </c>
      <c r="E726" s="40">
        <v>60.28</v>
      </c>
      <c r="F726" s="40">
        <v>0.0</v>
      </c>
      <c r="G726" s="33" t="s">
        <v>431</v>
      </c>
    </row>
    <row r="727" ht="15.75" customHeight="1">
      <c r="A727" s="33" t="s">
        <v>3047</v>
      </c>
      <c r="B727" s="33" t="s">
        <v>2234</v>
      </c>
      <c r="C727" s="39">
        <v>45739.0</v>
      </c>
      <c r="D727" s="33" t="s">
        <v>461</v>
      </c>
      <c r="E727" s="40">
        <v>3.49</v>
      </c>
      <c r="F727" s="40">
        <v>0.02</v>
      </c>
      <c r="G727" s="33" t="s">
        <v>431</v>
      </c>
    </row>
    <row r="728" ht="15.75" customHeight="1">
      <c r="A728" s="33" t="s">
        <v>3051</v>
      </c>
      <c r="B728" s="33" t="s">
        <v>2610</v>
      </c>
      <c r="C728" s="39">
        <v>45919.0</v>
      </c>
      <c r="D728" s="33" t="s">
        <v>428</v>
      </c>
      <c r="E728" s="40">
        <v>157.94</v>
      </c>
      <c r="F728" s="40">
        <v>0.0</v>
      </c>
      <c r="G728" s="33" t="s">
        <v>450</v>
      </c>
    </row>
    <row r="729" ht="15.75" customHeight="1">
      <c r="A729" s="33" t="s">
        <v>3054</v>
      </c>
      <c r="B729" s="33" t="s">
        <v>3055</v>
      </c>
      <c r="C729" s="39">
        <v>45724.0</v>
      </c>
      <c r="D729" s="33" t="s">
        <v>428</v>
      </c>
      <c r="E729" s="40">
        <v>70.09</v>
      </c>
      <c r="F729" s="40">
        <v>0.0</v>
      </c>
      <c r="G729" s="33" t="s">
        <v>442</v>
      </c>
    </row>
    <row r="730" ht="15.75" customHeight="1">
      <c r="A730" s="33" t="s">
        <v>3058</v>
      </c>
      <c r="B730" s="33" t="s">
        <v>3059</v>
      </c>
      <c r="C730" s="39">
        <v>45726.0</v>
      </c>
      <c r="D730" s="33" t="s">
        <v>479</v>
      </c>
      <c r="E730" s="40">
        <v>54.83</v>
      </c>
      <c r="F730" s="40">
        <v>0.92</v>
      </c>
      <c r="G730" s="33" t="s">
        <v>431</v>
      </c>
    </row>
    <row r="731" ht="15.75" customHeight="1">
      <c r="A731" s="33" t="s">
        <v>3062</v>
      </c>
      <c r="B731" s="33" t="s">
        <v>1087</v>
      </c>
      <c r="C731" s="39">
        <v>45661.0</v>
      </c>
      <c r="D731" s="33" t="s">
        <v>479</v>
      </c>
      <c r="E731" s="40">
        <v>50.96</v>
      </c>
      <c r="F731" s="40">
        <v>0.93</v>
      </c>
      <c r="G731" s="33" t="s">
        <v>450</v>
      </c>
    </row>
    <row r="732" ht="15.75" customHeight="1">
      <c r="A732" s="33" t="s">
        <v>3064</v>
      </c>
      <c r="B732" s="33" t="s">
        <v>245</v>
      </c>
      <c r="C732" s="39">
        <v>46141.0</v>
      </c>
      <c r="D732" s="33" t="s">
        <v>435</v>
      </c>
      <c r="E732" s="40">
        <v>117.28</v>
      </c>
      <c r="F732" s="40">
        <v>0.0</v>
      </c>
      <c r="G732" s="33" t="s">
        <v>431</v>
      </c>
    </row>
    <row r="733" ht="15.75" customHeight="1">
      <c r="A733" s="33" t="s">
        <v>3071</v>
      </c>
      <c r="B733" s="33" t="s">
        <v>1179</v>
      </c>
      <c r="C733" s="39">
        <v>46109.0</v>
      </c>
      <c r="D733" s="33" t="s">
        <v>435</v>
      </c>
      <c r="E733" s="40">
        <v>116.31</v>
      </c>
      <c r="F733" s="40">
        <v>0.0</v>
      </c>
      <c r="G733" s="33" t="s">
        <v>442</v>
      </c>
    </row>
    <row r="734" ht="15.75" customHeight="1">
      <c r="A734" s="33" t="s">
        <v>3083</v>
      </c>
      <c r="B734" s="33" t="s">
        <v>2161</v>
      </c>
      <c r="C734" s="39">
        <v>46200.0</v>
      </c>
      <c r="D734" s="33" t="s">
        <v>461</v>
      </c>
      <c r="E734" s="40">
        <v>71.68</v>
      </c>
      <c r="F734" s="40">
        <v>0.49</v>
      </c>
      <c r="G734" s="33" t="s">
        <v>442</v>
      </c>
    </row>
    <row r="735" ht="15.75" customHeight="1">
      <c r="A735" s="33" t="s">
        <v>3087</v>
      </c>
      <c r="B735" s="33" t="s">
        <v>999</v>
      </c>
      <c r="C735" s="39">
        <v>46253.0</v>
      </c>
      <c r="D735" s="33" t="s">
        <v>479</v>
      </c>
      <c r="E735" s="40">
        <v>99.05</v>
      </c>
      <c r="F735" s="40">
        <v>0.86</v>
      </c>
      <c r="G735" s="33" t="s">
        <v>442</v>
      </c>
    </row>
    <row r="736" ht="15.75" customHeight="1">
      <c r="A736" s="33" t="s">
        <v>3093</v>
      </c>
      <c r="B736" s="33" t="s">
        <v>1244</v>
      </c>
      <c r="C736" s="39">
        <v>46243.0</v>
      </c>
      <c r="D736" s="33" t="s">
        <v>479</v>
      </c>
      <c r="E736" s="40">
        <v>27.51</v>
      </c>
      <c r="F736" s="40">
        <v>0.29</v>
      </c>
      <c r="G736" s="33" t="s">
        <v>450</v>
      </c>
    </row>
    <row r="737" ht="15.75" customHeight="1">
      <c r="A737" s="33" t="s">
        <v>3096</v>
      </c>
      <c r="B737" s="33" t="s">
        <v>1346</v>
      </c>
      <c r="C737" s="39">
        <v>46260.0</v>
      </c>
      <c r="D737" s="33" t="s">
        <v>440</v>
      </c>
      <c r="E737" s="40">
        <v>61.0</v>
      </c>
      <c r="F737" s="40">
        <v>0.0</v>
      </c>
      <c r="G737" s="33" t="s">
        <v>450</v>
      </c>
    </row>
    <row r="738" ht="15.75" customHeight="1">
      <c r="A738" s="33" t="s">
        <v>3101</v>
      </c>
      <c r="B738" s="33" t="s">
        <v>701</v>
      </c>
      <c r="C738" s="39">
        <v>45667.0</v>
      </c>
      <c r="D738" s="33" t="s">
        <v>440</v>
      </c>
      <c r="E738" s="40">
        <v>28.7</v>
      </c>
      <c r="F738" s="40">
        <v>0.0</v>
      </c>
      <c r="G738" s="33" t="s">
        <v>431</v>
      </c>
    </row>
    <row r="739" ht="15.75" customHeight="1">
      <c r="A739" s="33" t="s">
        <v>3105</v>
      </c>
      <c r="B739" s="33" t="s">
        <v>606</v>
      </c>
      <c r="C739" s="39">
        <v>46134.0</v>
      </c>
      <c r="D739" s="33" t="s">
        <v>428</v>
      </c>
      <c r="E739" s="40">
        <v>27.8</v>
      </c>
      <c r="F739" s="40">
        <v>0.0</v>
      </c>
      <c r="G739" s="33" t="s">
        <v>442</v>
      </c>
    </row>
    <row r="740" ht="15.75" customHeight="1">
      <c r="A740" s="33" t="s">
        <v>3110</v>
      </c>
      <c r="B740" s="33" t="s">
        <v>855</v>
      </c>
      <c r="C740" s="39">
        <v>46096.0</v>
      </c>
      <c r="D740" s="33" t="s">
        <v>428</v>
      </c>
      <c r="E740" s="40">
        <v>92.26</v>
      </c>
      <c r="F740" s="40">
        <v>0.0</v>
      </c>
      <c r="G740" s="33" t="s">
        <v>431</v>
      </c>
    </row>
    <row r="741" ht="15.75" customHeight="1">
      <c r="A741" s="33" t="s">
        <v>3115</v>
      </c>
      <c r="B741" s="33" t="s">
        <v>2497</v>
      </c>
      <c r="C741" s="39">
        <v>45756.0</v>
      </c>
      <c r="D741" s="33" t="s">
        <v>461</v>
      </c>
      <c r="E741" s="40">
        <v>74.65</v>
      </c>
      <c r="F741" s="40">
        <v>0.57</v>
      </c>
      <c r="G741" s="33" t="s">
        <v>450</v>
      </c>
    </row>
    <row r="742" ht="15.75" customHeight="1">
      <c r="A742" s="33" t="s">
        <v>3120</v>
      </c>
      <c r="B742" s="33" t="s">
        <v>2394</v>
      </c>
      <c r="C742" s="39">
        <v>45741.0</v>
      </c>
      <c r="D742" s="33" t="s">
        <v>440</v>
      </c>
      <c r="E742" s="40">
        <v>49.82</v>
      </c>
      <c r="F742" s="40">
        <v>0.0</v>
      </c>
      <c r="G742" s="33" t="s">
        <v>450</v>
      </c>
    </row>
    <row r="743" ht="15.75" customHeight="1">
      <c r="A743" s="33" t="s">
        <v>3124</v>
      </c>
      <c r="B743" s="33" t="s">
        <v>2511</v>
      </c>
      <c r="C743" s="39">
        <v>46251.0</v>
      </c>
      <c r="D743" s="33" t="s">
        <v>461</v>
      </c>
      <c r="E743" s="40">
        <v>58.62</v>
      </c>
      <c r="F743" s="40">
        <v>0.56</v>
      </c>
      <c r="G743" s="33" t="s">
        <v>431</v>
      </c>
    </row>
    <row r="744" ht="15.75" customHeight="1">
      <c r="A744" s="33" t="s">
        <v>3127</v>
      </c>
      <c r="B744" s="33" t="s">
        <v>3128</v>
      </c>
      <c r="C744" s="39">
        <v>46193.0</v>
      </c>
      <c r="D744" s="33" t="s">
        <v>440</v>
      </c>
      <c r="E744" s="40">
        <v>98.01</v>
      </c>
      <c r="F744" s="40">
        <v>0.0</v>
      </c>
      <c r="G744" s="33" t="s">
        <v>431</v>
      </c>
    </row>
    <row r="745" ht="15.75" customHeight="1">
      <c r="A745" s="33" t="s">
        <v>3149</v>
      </c>
      <c r="B745" s="33" t="s">
        <v>1562</v>
      </c>
      <c r="C745" s="39">
        <v>45856.0</v>
      </c>
      <c r="D745" s="33" t="s">
        <v>479</v>
      </c>
      <c r="E745" s="40">
        <v>119.0</v>
      </c>
      <c r="F745" s="40">
        <v>1.37</v>
      </c>
      <c r="G745" s="33" t="s">
        <v>431</v>
      </c>
    </row>
    <row r="746" ht="15.75" customHeight="1">
      <c r="A746" s="33" t="s">
        <v>3153</v>
      </c>
      <c r="B746" s="33" t="s">
        <v>245</v>
      </c>
      <c r="C746" s="39">
        <v>45703.0</v>
      </c>
      <c r="D746" s="33" t="s">
        <v>435</v>
      </c>
      <c r="E746" s="40">
        <v>105.68</v>
      </c>
      <c r="F746" s="40">
        <v>0.0</v>
      </c>
      <c r="G746" s="33" t="s">
        <v>431</v>
      </c>
    </row>
    <row r="747" ht="15.75" customHeight="1">
      <c r="A747" s="33" t="s">
        <v>3159</v>
      </c>
      <c r="B747" s="33" t="s">
        <v>3092</v>
      </c>
      <c r="C747" s="39">
        <v>45860.0</v>
      </c>
      <c r="D747" s="33" t="s">
        <v>461</v>
      </c>
      <c r="E747" s="40">
        <v>13.79</v>
      </c>
      <c r="F747" s="40">
        <v>0.15</v>
      </c>
      <c r="G747" s="33" t="s">
        <v>450</v>
      </c>
    </row>
    <row r="748" ht="15.75" customHeight="1">
      <c r="A748" s="33" t="s">
        <v>3163</v>
      </c>
      <c r="B748" s="33" t="s">
        <v>322</v>
      </c>
      <c r="C748" s="39">
        <v>45661.0</v>
      </c>
      <c r="D748" s="33" t="s">
        <v>435</v>
      </c>
      <c r="E748" s="40">
        <v>5.91</v>
      </c>
      <c r="F748" s="40">
        <v>0.0</v>
      </c>
      <c r="G748" s="33" t="s">
        <v>431</v>
      </c>
    </row>
    <row r="749" ht="15.75" customHeight="1">
      <c r="A749" s="33" t="s">
        <v>3168</v>
      </c>
      <c r="B749" s="33" t="s">
        <v>1052</v>
      </c>
      <c r="C749" s="39">
        <v>46075.0</v>
      </c>
      <c r="D749" s="33" t="s">
        <v>461</v>
      </c>
      <c r="E749" s="40">
        <v>36.71</v>
      </c>
      <c r="F749" s="40">
        <v>0.37</v>
      </c>
      <c r="G749" s="33" t="s">
        <v>450</v>
      </c>
    </row>
    <row r="750" ht="15.75" customHeight="1">
      <c r="A750" s="33" t="s">
        <v>3172</v>
      </c>
      <c r="B750" s="33" t="s">
        <v>872</v>
      </c>
      <c r="C750" s="39">
        <v>45888.0</v>
      </c>
      <c r="D750" s="33" t="s">
        <v>461</v>
      </c>
      <c r="E750" s="40">
        <v>6.02</v>
      </c>
      <c r="F750" s="40">
        <v>0.05</v>
      </c>
      <c r="G750" s="33" t="s">
        <v>442</v>
      </c>
    </row>
    <row r="751" ht="15.75" customHeight="1">
      <c r="A751" s="33" t="s">
        <v>3175</v>
      </c>
      <c r="B751" s="33" t="s">
        <v>866</v>
      </c>
      <c r="C751" s="39">
        <v>45687.0</v>
      </c>
      <c r="D751" s="33" t="s">
        <v>435</v>
      </c>
      <c r="E751" s="40">
        <v>195.15</v>
      </c>
      <c r="F751" s="40">
        <v>0.0</v>
      </c>
      <c r="G751" s="33" t="s">
        <v>450</v>
      </c>
    </row>
    <row r="752" ht="15.75" customHeight="1">
      <c r="A752" s="33" t="s">
        <v>3180</v>
      </c>
      <c r="B752" s="33" t="s">
        <v>1237</v>
      </c>
      <c r="C752" s="39">
        <v>46252.0</v>
      </c>
      <c r="D752" s="33" t="s">
        <v>479</v>
      </c>
      <c r="E752" s="40">
        <v>57.06</v>
      </c>
      <c r="F752" s="40">
        <v>0.31</v>
      </c>
      <c r="G752" s="33" t="s">
        <v>450</v>
      </c>
    </row>
    <row r="753" ht="15.75" customHeight="1">
      <c r="A753" s="33" t="s">
        <v>3183</v>
      </c>
      <c r="B753" s="33" t="s">
        <v>671</v>
      </c>
      <c r="C753" s="39">
        <v>46159.0</v>
      </c>
      <c r="D753" s="33" t="s">
        <v>440</v>
      </c>
      <c r="E753" s="40">
        <v>21.42</v>
      </c>
      <c r="F753" s="40">
        <v>0.0</v>
      </c>
      <c r="G753" s="33" t="s">
        <v>442</v>
      </c>
    </row>
    <row r="754" ht="15.75" customHeight="1">
      <c r="A754" s="33" t="s">
        <v>3187</v>
      </c>
      <c r="B754" s="33" t="s">
        <v>1092</v>
      </c>
      <c r="C754" s="39">
        <v>46207.0</v>
      </c>
      <c r="D754" s="33" t="s">
        <v>479</v>
      </c>
      <c r="E754" s="40">
        <v>56.53</v>
      </c>
      <c r="F754" s="40">
        <v>0.87</v>
      </c>
      <c r="G754" s="33" t="s">
        <v>450</v>
      </c>
    </row>
    <row r="755" ht="15.75" customHeight="1">
      <c r="A755" s="33" t="s">
        <v>3192</v>
      </c>
      <c r="B755" s="33" t="s">
        <v>2718</v>
      </c>
      <c r="C755" s="39">
        <v>46263.0</v>
      </c>
      <c r="D755" s="33" t="s">
        <v>435</v>
      </c>
      <c r="E755" s="40">
        <v>10.41</v>
      </c>
      <c r="F755" s="40">
        <v>0.0</v>
      </c>
      <c r="G755" s="33" t="s">
        <v>431</v>
      </c>
    </row>
    <row r="756" ht="15.75" customHeight="1">
      <c r="A756" s="33" t="s">
        <v>3198</v>
      </c>
      <c r="B756" s="33" t="s">
        <v>642</v>
      </c>
      <c r="C756" s="39">
        <v>45666.0</v>
      </c>
      <c r="D756" s="33" t="s">
        <v>461</v>
      </c>
      <c r="E756" s="40">
        <v>21.92</v>
      </c>
      <c r="F756" s="40">
        <v>0.29</v>
      </c>
      <c r="G756" s="33" t="s">
        <v>450</v>
      </c>
    </row>
    <row r="757" ht="15.75" customHeight="1">
      <c r="A757" s="33" t="s">
        <v>3208</v>
      </c>
      <c r="B757" s="33" t="s">
        <v>447</v>
      </c>
      <c r="C757" s="39">
        <v>46128.0</v>
      </c>
      <c r="D757" s="33" t="s">
        <v>479</v>
      </c>
      <c r="E757" s="40">
        <v>53.17</v>
      </c>
      <c r="F757" s="40">
        <v>0.47</v>
      </c>
      <c r="G757" s="33" t="s">
        <v>442</v>
      </c>
    </row>
    <row r="758" ht="15.75" customHeight="1">
      <c r="A758" s="33" t="s">
        <v>3213</v>
      </c>
      <c r="B758" s="33" t="s">
        <v>362</v>
      </c>
      <c r="C758" s="39">
        <v>46136.0</v>
      </c>
      <c r="D758" s="33" t="s">
        <v>440</v>
      </c>
      <c r="E758" s="40">
        <v>46.18</v>
      </c>
      <c r="F758" s="40">
        <v>0.0</v>
      </c>
      <c r="G758" s="33" t="s">
        <v>442</v>
      </c>
    </row>
    <row r="759" ht="15.75" customHeight="1">
      <c r="A759" s="33" t="s">
        <v>3217</v>
      </c>
      <c r="B759" s="33" t="s">
        <v>2169</v>
      </c>
      <c r="C759" s="39">
        <v>46132.0</v>
      </c>
      <c r="D759" s="33" t="s">
        <v>428</v>
      </c>
      <c r="E759" s="40">
        <v>52.81</v>
      </c>
      <c r="F759" s="40">
        <v>0.0</v>
      </c>
      <c r="G759" s="33" t="s">
        <v>431</v>
      </c>
    </row>
    <row r="760" ht="15.75" customHeight="1">
      <c r="A760" s="33" t="s">
        <v>3221</v>
      </c>
      <c r="B760" s="33" t="s">
        <v>524</v>
      </c>
      <c r="C760" s="39">
        <v>45818.0</v>
      </c>
      <c r="D760" s="33" t="s">
        <v>461</v>
      </c>
      <c r="E760" s="40">
        <v>100.3</v>
      </c>
      <c r="F760" s="40">
        <v>1.74</v>
      </c>
      <c r="G760" s="33" t="s">
        <v>431</v>
      </c>
    </row>
    <row r="761" ht="15.75" customHeight="1">
      <c r="A761" s="33" t="s">
        <v>3224</v>
      </c>
      <c r="B761" s="33" t="s">
        <v>884</v>
      </c>
      <c r="C761" s="39">
        <v>45894.0</v>
      </c>
      <c r="D761" s="33" t="s">
        <v>461</v>
      </c>
      <c r="E761" s="40">
        <v>140.21</v>
      </c>
      <c r="F761" s="40">
        <v>2.26</v>
      </c>
      <c r="G761" s="33" t="s">
        <v>450</v>
      </c>
    </row>
    <row r="762" ht="15.75" customHeight="1">
      <c r="A762" s="33" t="s">
        <v>3230</v>
      </c>
      <c r="B762" s="33" t="s">
        <v>2615</v>
      </c>
      <c r="C762" s="39">
        <v>46221.0</v>
      </c>
      <c r="D762" s="33" t="s">
        <v>435</v>
      </c>
      <c r="E762" s="40">
        <v>78.32</v>
      </c>
      <c r="F762" s="40">
        <v>0.0</v>
      </c>
      <c r="G762" s="33" t="s">
        <v>450</v>
      </c>
    </row>
    <row r="763" ht="15.75" customHeight="1">
      <c r="A763" s="33" t="s">
        <v>3234</v>
      </c>
      <c r="B763" s="33" t="s">
        <v>1247</v>
      </c>
      <c r="C763" s="39">
        <v>45698.0</v>
      </c>
      <c r="D763" s="33" t="s">
        <v>479</v>
      </c>
      <c r="E763" s="40">
        <v>145.43</v>
      </c>
      <c r="F763" s="40">
        <v>2.39</v>
      </c>
      <c r="G763" s="33" t="s">
        <v>450</v>
      </c>
    </row>
    <row r="764" ht="15.75" customHeight="1">
      <c r="A764" s="33" t="s">
        <v>3237</v>
      </c>
      <c r="B764" s="33" t="s">
        <v>728</v>
      </c>
      <c r="C764" s="39">
        <v>46047.0</v>
      </c>
      <c r="D764" s="33" t="s">
        <v>461</v>
      </c>
      <c r="E764" s="40">
        <v>47.07</v>
      </c>
      <c r="F764" s="40">
        <v>0.3</v>
      </c>
      <c r="G764" s="33" t="s">
        <v>442</v>
      </c>
    </row>
    <row r="765" ht="15.75" customHeight="1">
      <c r="A765" s="33" t="s">
        <v>3243</v>
      </c>
      <c r="B765" s="33" t="s">
        <v>2447</v>
      </c>
      <c r="C765" s="39">
        <v>46139.0</v>
      </c>
      <c r="D765" s="33" t="s">
        <v>428</v>
      </c>
      <c r="E765" s="40">
        <v>159.25</v>
      </c>
      <c r="F765" s="40">
        <v>0.0</v>
      </c>
      <c r="G765" s="33" t="s">
        <v>431</v>
      </c>
    </row>
    <row r="766" ht="15.75" customHeight="1">
      <c r="A766" s="33" t="s">
        <v>3246</v>
      </c>
      <c r="B766" s="33" t="s">
        <v>1527</v>
      </c>
      <c r="C766" s="39">
        <v>46142.0</v>
      </c>
      <c r="D766" s="33" t="s">
        <v>461</v>
      </c>
      <c r="E766" s="40">
        <v>79.26</v>
      </c>
      <c r="F766" s="40">
        <v>0.52</v>
      </c>
      <c r="G766" s="33" t="s">
        <v>450</v>
      </c>
    </row>
    <row r="767" ht="15.75" customHeight="1">
      <c r="A767" s="33" t="s">
        <v>3249</v>
      </c>
      <c r="B767" s="33" t="s">
        <v>777</v>
      </c>
      <c r="C767" s="39">
        <v>46020.0</v>
      </c>
      <c r="D767" s="33" t="s">
        <v>435</v>
      </c>
      <c r="E767" s="40">
        <v>131.86</v>
      </c>
      <c r="F767" s="40">
        <v>0.0</v>
      </c>
      <c r="G767" s="33" t="s">
        <v>450</v>
      </c>
    </row>
    <row r="768" ht="15.75" customHeight="1">
      <c r="A768" s="33" t="s">
        <v>3253</v>
      </c>
      <c r="B768" s="33" t="s">
        <v>483</v>
      </c>
      <c r="C768" s="39">
        <v>46123.0</v>
      </c>
      <c r="D768" s="33" t="s">
        <v>461</v>
      </c>
      <c r="E768" s="40">
        <v>47.88</v>
      </c>
      <c r="F768" s="40">
        <v>0.4</v>
      </c>
      <c r="G768" s="33" t="s">
        <v>450</v>
      </c>
    </row>
    <row r="769" ht="15.75" customHeight="1">
      <c r="A769" s="33" t="s">
        <v>3255</v>
      </c>
      <c r="B769" s="33" t="s">
        <v>1610</v>
      </c>
      <c r="C769" s="39">
        <v>46209.0</v>
      </c>
      <c r="D769" s="33" t="s">
        <v>435</v>
      </c>
      <c r="E769" s="40">
        <v>76.56</v>
      </c>
      <c r="F769" s="40">
        <v>0.0</v>
      </c>
      <c r="G769" s="33" t="s">
        <v>450</v>
      </c>
    </row>
    <row r="770" ht="15.75" customHeight="1">
      <c r="A770" s="33" t="s">
        <v>3258</v>
      </c>
      <c r="B770" s="33" t="s">
        <v>1329</v>
      </c>
      <c r="C770" s="39">
        <v>46122.0</v>
      </c>
      <c r="D770" s="33" t="s">
        <v>440</v>
      </c>
      <c r="E770" s="40">
        <v>264.31</v>
      </c>
      <c r="F770" s="40">
        <v>0.0</v>
      </c>
      <c r="G770" s="33" t="s">
        <v>431</v>
      </c>
    </row>
    <row r="771" ht="15.75" customHeight="1">
      <c r="A771" s="33" t="s">
        <v>3261</v>
      </c>
      <c r="B771" s="33" t="s">
        <v>2197</v>
      </c>
      <c r="C771" s="39">
        <v>45728.0</v>
      </c>
      <c r="D771" s="33" t="s">
        <v>428</v>
      </c>
      <c r="E771" s="40">
        <v>76.12</v>
      </c>
      <c r="F771" s="40">
        <v>0.0</v>
      </c>
      <c r="G771" s="33" t="s">
        <v>450</v>
      </c>
    </row>
    <row r="772" ht="15.75" customHeight="1">
      <c r="A772" s="33" t="s">
        <v>3264</v>
      </c>
      <c r="B772" s="33" t="s">
        <v>597</v>
      </c>
      <c r="C772" s="39">
        <v>45806.0</v>
      </c>
      <c r="D772" s="33" t="s">
        <v>428</v>
      </c>
      <c r="E772" s="40">
        <v>139.36</v>
      </c>
      <c r="F772" s="40">
        <v>0.0</v>
      </c>
      <c r="G772" s="33" t="s">
        <v>450</v>
      </c>
    </row>
    <row r="773" ht="15.75" customHeight="1">
      <c r="A773" s="33" t="s">
        <v>3267</v>
      </c>
      <c r="B773" s="33" t="s">
        <v>492</v>
      </c>
      <c r="C773" s="39">
        <v>45843.0</v>
      </c>
      <c r="D773" s="33" t="s">
        <v>428</v>
      </c>
      <c r="E773" s="40">
        <v>151.48</v>
      </c>
      <c r="F773" s="40">
        <v>0.0</v>
      </c>
      <c r="G773" s="33" t="s">
        <v>450</v>
      </c>
    </row>
    <row r="774" ht="15.75" customHeight="1">
      <c r="A774" s="33" t="s">
        <v>3270</v>
      </c>
      <c r="B774" s="33" t="s">
        <v>2926</v>
      </c>
      <c r="C774" s="39">
        <v>45866.0</v>
      </c>
      <c r="D774" s="33" t="s">
        <v>440</v>
      </c>
      <c r="E774" s="40">
        <v>111.6</v>
      </c>
      <c r="F774" s="40">
        <v>0.0</v>
      </c>
      <c r="G774" s="33" t="s">
        <v>431</v>
      </c>
    </row>
    <row r="775" ht="15.75" customHeight="1">
      <c r="A775" s="33" t="s">
        <v>3277</v>
      </c>
      <c r="B775" s="33" t="s">
        <v>2433</v>
      </c>
      <c r="C775" s="39">
        <v>45876.0</v>
      </c>
      <c r="D775" s="33" t="s">
        <v>461</v>
      </c>
      <c r="E775" s="40">
        <v>125.95</v>
      </c>
      <c r="F775" s="40">
        <v>0.88</v>
      </c>
      <c r="G775" s="33" t="s">
        <v>442</v>
      </c>
    </row>
    <row r="776" ht="15.75" customHeight="1">
      <c r="A776" s="33" t="s">
        <v>3283</v>
      </c>
      <c r="B776" s="33" t="s">
        <v>579</v>
      </c>
      <c r="C776" s="39">
        <v>45791.0</v>
      </c>
      <c r="D776" s="33" t="s">
        <v>461</v>
      </c>
      <c r="E776" s="40">
        <v>48.0</v>
      </c>
      <c r="F776" s="40">
        <v>0.49</v>
      </c>
      <c r="G776" s="33" t="s">
        <v>431</v>
      </c>
    </row>
    <row r="777" ht="15.75" customHeight="1">
      <c r="A777" s="33" t="s">
        <v>3287</v>
      </c>
      <c r="B777" s="33" t="s">
        <v>1216</v>
      </c>
      <c r="C777" s="39">
        <v>46072.0</v>
      </c>
      <c r="D777" s="33" t="s">
        <v>440</v>
      </c>
      <c r="E777" s="40">
        <v>35.65</v>
      </c>
      <c r="F777" s="40">
        <v>0.0</v>
      </c>
      <c r="G777" s="33" t="s">
        <v>450</v>
      </c>
    </row>
    <row r="778" ht="15.75" customHeight="1">
      <c r="A778" s="33" t="s">
        <v>3291</v>
      </c>
      <c r="B778" s="33" t="s">
        <v>287</v>
      </c>
      <c r="C778" s="39">
        <v>45724.0</v>
      </c>
      <c r="D778" s="33" t="s">
        <v>428</v>
      </c>
      <c r="E778" s="40">
        <v>29.09</v>
      </c>
      <c r="F778" s="40">
        <v>0.0</v>
      </c>
      <c r="G778" s="33" t="s">
        <v>450</v>
      </c>
    </row>
    <row r="779" ht="15.75" customHeight="1">
      <c r="A779" s="33" t="s">
        <v>3296</v>
      </c>
      <c r="B779" s="33" t="s">
        <v>2478</v>
      </c>
      <c r="C779" s="39">
        <v>46136.0</v>
      </c>
      <c r="D779" s="33" t="s">
        <v>428</v>
      </c>
      <c r="E779" s="40">
        <v>96.9</v>
      </c>
      <c r="F779" s="40">
        <v>0.0</v>
      </c>
      <c r="G779" s="33" t="s">
        <v>450</v>
      </c>
    </row>
    <row r="780" ht="15.75" customHeight="1">
      <c r="A780" s="33" t="s">
        <v>3300</v>
      </c>
      <c r="B780" s="33" t="s">
        <v>1331</v>
      </c>
      <c r="C780" s="39">
        <v>46057.0</v>
      </c>
      <c r="D780" s="33" t="s">
        <v>435</v>
      </c>
      <c r="E780" s="40">
        <v>74.46</v>
      </c>
      <c r="F780" s="40">
        <v>0.0</v>
      </c>
      <c r="G780" s="33" t="s">
        <v>450</v>
      </c>
    </row>
    <row r="781" ht="15.75" customHeight="1">
      <c r="A781" s="33" t="s">
        <v>3303</v>
      </c>
      <c r="B781" s="33" t="s">
        <v>872</v>
      </c>
      <c r="C781" s="39">
        <v>46241.0</v>
      </c>
      <c r="D781" s="33" t="s">
        <v>461</v>
      </c>
      <c r="E781" s="40">
        <v>92.05</v>
      </c>
      <c r="F781" s="40">
        <v>0.48</v>
      </c>
      <c r="G781" s="33" t="s">
        <v>450</v>
      </c>
    </row>
    <row r="782" ht="15.75" customHeight="1">
      <c r="A782" s="33" t="s">
        <v>3307</v>
      </c>
      <c r="B782" s="33" t="s">
        <v>781</v>
      </c>
      <c r="C782" s="39">
        <v>45661.0</v>
      </c>
      <c r="D782" s="33" t="s">
        <v>479</v>
      </c>
      <c r="E782" s="40">
        <v>24.69</v>
      </c>
      <c r="F782" s="40">
        <v>0.38</v>
      </c>
      <c r="G782" s="33" t="s">
        <v>431</v>
      </c>
    </row>
    <row r="783" ht="15.75" customHeight="1">
      <c r="A783" s="33" t="s">
        <v>3312</v>
      </c>
      <c r="B783" s="33" t="s">
        <v>1806</v>
      </c>
      <c r="C783" s="39">
        <v>45837.0</v>
      </c>
      <c r="D783" s="33" t="s">
        <v>461</v>
      </c>
      <c r="E783" s="40">
        <v>40.74</v>
      </c>
      <c r="F783" s="40">
        <v>0.61</v>
      </c>
      <c r="G783" s="33" t="s">
        <v>450</v>
      </c>
    </row>
    <row r="784" ht="15.75" customHeight="1">
      <c r="A784" s="33" t="s">
        <v>3314</v>
      </c>
      <c r="B784" s="33" t="s">
        <v>258</v>
      </c>
      <c r="C784" s="39">
        <v>46203.0</v>
      </c>
      <c r="D784" s="33" t="s">
        <v>479</v>
      </c>
      <c r="E784" s="40">
        <v>136.68</v>
      </c>
      <c r="F784" s="40">
        <v>1.88</v>
      </c>
      <c r="G784" s="33" t="s">
        <v>450</v>
      </c>
    </row>
    <row r="785" ht="15.75" customHeight="1">
      <c r="A785" s="33" t="s">
        <v>3320</v>
      </c>
      <c r="B785" s="33" t="s">
        <v>675</v>
      </c>
      <c r="C785" s="39">
        <v>45957.0</v>
      </c>
      <c r="D785" s="33" t="s">
        <v>440</v>
      </c>
      <c r="E785" s="40">
        <v>83.45</v>
      </c>
      <c r="F785" s="40">
        <v>0.0</v>
      </c>
      <c r="G785" s="33" t="s">
        <v>450</v>
      </c>
    </row>
    <row r="786" ht="15.75" customHeight="1">
      <c r="A786" s="33" t="s">
        <v>3324</v>
      </c>
      <c r="B786" s="33" t="s">
        <v>469</v>
      </c>
      <c r="C786" s="39">
        <v>45998.0</v>
      </c>
      <c r="D786" s="33" t="s">
        <v>435</v>
      </c>
      <c r="E786" s="40">
        <v>79.71</v>
      </c>
      <c r="F786" s="40">
        <v>0.0</v>
      </c>
      <c r="G786" s="33" t="s">
        <v>450</v>
      </c>
    </row>
    <row r="787" ht="15.75" customHeight="1">
      <c r="A787" s="33" t="s">
        <v>3328</v>
      </c>
      <c r="B787" s="33" t="s">
        <v>300</v>
      </c>
      <c r="C787" s="39">
        <v>45675.0</v>
      </c>
      <c r="D787" s="33" t="s">
        <v>479</v>
      </c>
      <c r="E787" s="40">
        <v>60.64</v>
      </c>
      <c r="F787" s="40">
        <v>1.15</v>
      </c>
      <c r="G787" s="33" t="s">
        <v>431</v>
      </c>
    </row>
    <row r="788" ht="15.75" customHeight="1">
      <c r="A788" s="33" t="s">
        <v>3331</v>
      </c>
      <c r="B788" s="33" t="s">
        <v>1095</v>
      </c>
      <c r="C788" s="39">
        <v>46120.0</v>
      </c>
      <c r="D788" s="33" t="s">
        <v>428</v>
      </c>
      <c r="E788" s="40">
        <v>37.61</v>
      </c>
      <c r="F788" s="40">
        <v>0.0</v>
      </c>
      <c r="G788" s="33" t="s">
        <v>442</v>
      </c>
    </row>
    <row r="789" ht="15.75" customHeight="1">
      <c r="A789" s="33" t="s">
        <v>3335</v>
      </c>
      <c r="B789" s="33" t="s">
        <v>961</v>
      </c>
      <c r="C789" s="39">
        <v>45811.0</v>
      </c>
      <c r="D789" s="33" t="s">
        <v>428</v>
      </c>
      <c r="E789" s="40">
        <v>162.88</v>
      </c>
      <c r="F789" s="40">
        <v>0.0</v>
      </c>
      <c r="G789" s="33" t="s">
        <v>450</v>
      </c>
    </row>
    <row r="790" ht="15.75" customHeight="1">
      <c r="A790" s="33" t="s">
        <v>3340</v>
      </c>
      <c r="B790" s="33" t="s">
        <v>1014</v>
      </c>
      <c r="C790" s="39">
        <v>46242.0</v>
      </c>
      <c r="D790" s="33" t="s">
        <v>440</v>
      </c>
      <c r="E790" s="40">
        <v>181.58</v>
      </c>
      <c r="F790" s="40">
        <v>0.0</v>
      </c>
      <c r="G790" s="33" t="s">
        <v>450</v>
      </c>
    </row>
    <row r="791" ht="15.75" customHeight="1">
      <c r="A791" s="33" t="s">
        <v>3345</v>
      </c>
      <c r="B791" s="33" t="s">
        <v>1095</v>
      </c>
      <c r="C791" s="39">
        <v>45885.0</v>
      </c>
      <c r="D791" s="33" t="s">
        <v>428</v>
      </c>
      <c r="E791" s="40">
        <v>76.85</v>
      </c>
      <c r="F791" s="40">
        <v>0.0</v>
      </c>
      <c r="G791" s="33" t="s">
        <v>442</v>
      </c>
    </row>
    <row r="792" ht="15.75" customHeight="1">
      <c r="A792" s="33" t="s">
        <v>3350</v>
      </c>
      <c r="B792" s="33" t="s">
        <v>2821</v>
      </c>
      <c r="C792" s="39">
        <v>45772.0</v>
      </c>
      <c r="D792" s="33" t="s">
        <v>440</v>
      </c>
      <c r="E792" s="40">
        <v>65.65</v>
      </c>
      <c r="F792" s="40">
        <v>0.0</v>
      </c>
      <c r="G792" s="33" t="s">
        <v>450</v>
      </c>
    </row>
    <row r="793" ht="15.75" customHeight="1">
      <c r="A793" s="33" t="s">
        <v>3355</v>
      </c>
      <c r="B793" s="33" t="s">
        <v>576</v>
      </c>
      <c r="C793" s="39">
        <v>46018.0</v>
      </c>
      <c r="D793" s="33" t="s">
        <v>479</v>
      </c>
      <c r="E793" s="40">
        <v>190.59</v>
      </c>
      <c r="F793" s="40">
        <v>3.75</v>
      </c>
      <c r="G793" s="33" t="s">
        <v>450</v>
      </c>
    </row>
    <row r="794" ht="15.75" customHeight="1">
      <c r="A794" s="33" t="s">
        <v>3359</v>
      </c>
      <c r="B794" s="33" t="s">
        <v>1805</v>
      </c>
      <c r="C794" s="39">
        <v>45947.0</v>
      </c>
      <c r="D794" s="33" t="s">
        <v>440</v>
      </c>
      <c r="E794" s="40">
        <v>41.77</v>
      </c>
      <c r="F794" s="40">
        <v>0.0</v>
      </c>
      <c r="G794" s="33" t="s">
        <v>450</v>
      </c>
    </row>
    <row r="795" ht="15.75" customHeight="1">
      <c r="A795" s="33" t="s">
        <v>3363</v>
      </c>
      <c r="B795" s="33" t="s">
        <v>2299</v>
      </c>
      <c r="C795" s="39">
        <v>45943.0</v>
      </c>
      <c r="D795" s="33" t="s">
        <v>479</v>
      </c>
      <c r="E795" s="40">
        <v>50.56</v>
      </c>
      <c r="F795" s="40">
        <v>0.78</v>
      </c>
      <c r="G795" s="33" t="s">
        <v>450</v>
      </c>
    </row>
    <row r="796" ht="15.75" customHeight="1">
      <c r="A796" s="33" t="s">
        <v>3367</v>
      </c>
      <c r="B796" s="33" t="s">
        <v>2610</v>
      </c>
      <c r="C796" s="39">
        <v>46234.0</v>
      </c>
      <c r="D796" s="33" t="s">
        <v>479</v>
      </c>
      <c r="E796" s="40">
        <v>132.25</v>
      </c>
      <c r="F796" s="40">
        <v>2.28</v>
      </c>
      <c r="G796" s="33" t="s">
        <v>450</v>
      </c>
    </row>
    <row r="797" ht="15.75" customHeight="1">
      <c r="A797" s="33" t="s">
        <v>3371</v>
      </c>
      <c r="B797" s="33" t="s">
        <v>1527</v>
      </c>
      <c r="C797" s="39">
        <v>45879.0</v>
      </c>
      <c r="D797" s="33" t="s">
        <v>461</v>
      </c>
      <c r="E797" s="40">
        <v>49.87</v>
      </c>
      <c r="F797" s="40">
        <v>0.8</v>
      </c>
      <c r="G797" s="33" t="s">
        <v>442</v>
      </c>
    </row>
    <row r="798" ht="15.75" customHeight="1">
      <c r="A798" s="33" t="s">
        <v>3375</v>
      </c>
      <c r="B798" s="33" t="s">
        <v>1253</v>
      </c>
      <c r="C798" s="39">
        <v>45899.0</v>
      </c>
      <c r="D798" s="33" t="s">
        <v>479</v>
      </c>
      <c r="E798" s="40">
        <v>73.56</v>
      </c>
      <c r="F798" s="40">
        <v>0.94</v>
      </c>
      <c r="G798" s="33" t="s">
        <v>442</v>
      </c>
    </row>
    <row r="799" ht="15.75" customHeight="1">
      <c r="A799" s="33" t="s">
        <v>3379</v>
      </c>
      <c r="B799" s="33" t="s">
        <v>2188</v>
      </c>
      <c r="C799" s="39">
        <v>46036.0</v>
      </c>
      <c r="D799" s="33" t="s">
        <v>479</v>
      </c>
      <c r="E799" s="40">
        <v>7.98</v>
      </c>
      <c r="F799" s="40">
        <v>0.13</v>
      </c>
      <c r="G799" s="33" t="s">
        <v>450</v>
      </c>
    </row>
    <row r="800" ht="15.75" customHeight="1">
      <c r="A800" s="33" t="s">
        <v>3383</v>
      </c>
      <c r="B800" s="33" t="s">
        <v>1251</v>
      </c>
      <c r="C800" s="39">
        <v>45761.0</v>
      </c>
      <c r="D800" s="33" t="s">
        <v>461</v>
      </c>
      <c r="E800" s="40">
        <v>184.52</v>
      </c>
      <c r="F800" s="40">
        <v>1.02</v>
      </c>
      <c r="G800" s="33" t="s">
        <v>450</v>
      </c>
    </row>
    <row r="801" ht="15.75" customHeight="1">
      <c r="A801" s="33" t="s">
        <v>3386</v>
      </c>
      <c r="B801" s="33" t="s">
        <v>1289</v>
      </c>
      <c r="C801" s="39">
        <v>46160.0</v>
      </c>
      <c r="D801" s="33" t="s">
        <v>479</v>
      </c>
      <c r="E801" s="40">
        <v>124.55</v>
      </c>
      <c r="F801" s="40">
        <v>2.37</v>
      </c>
      <c r="G801" s="33" t="s">
        <v>450</v>
      </c>
    </row>
    <row r="802" ht="15.75" customHeight="1">
      <c r="A802" s="33" t="s">
        <v>3389</v>
      </c>
      <c r="B802" s="33" t="s">
        <v>1352</v>
      </c>
      <c r="C802" s="39">
        <v>45797.0</v>
      </c>
      <c r="D802" s="33" t="s">
        <v>479</v>
      </c>
      <c r="E802" s="40">
        <v>155.22</v>
      </c>
      <c r="F802" s="40">
        <v>2.69</v>
      </c>
      <c r="G802" s="33" t="s">
        <v>450</v>
      </c>
    </row>
    <row r="803" ht="15.75" customHeight="1">
      <c r="A803" s="33" t="s">
        <v>3394</v>
      </c>
      <c r="B803" s="33" t="s">
        <v>850</v>
      </c>
      <c r="C803" s="39">
        <v>45804.0</v>
      </c>
      <c r="D803" s="33" t="s">
        <v>435</v>
      </c>
      <c r="E803" s="40">
        <v>32.85</v>
      </c>
      <c r="F803" s="40">
        <v>0.0</v>
      </c>
      <c r="G803" s="33" t="s">
        <v>450</v>
      </c>
    </row>
    <row r="804" ht="15.75" customHeight="1">
      <c r="A804" s="33" t="s">
        <v>3398</v>
      </c>
      <c r="B804" s="33" t="s">
        <v>1408</v>
      </c>
      <c r="C804" s="39">
        <v>45664.0</v>
      </c>
      <c r="D804" s="33" t="s">
        <v>428</v>
      </c>
      <c r="E804" s="40">
        <v>211.78</v>
      </c>
      <c r="F804" s="40">
        <v>0.0</v>
      </c>
      <c r="G804" s="33" t="s">
        <v>450</v>
      </c>
    </row>
    <row r="805" ht="15.75" customHeight="1">
      <c r="A805" s="33" t="s">
        <v>3402</v>
      </c>
      <c r="B805" s="33" t="s">
        <v>700</v>
      </c>
      <c r="C805" s="39">
        <v>45866.0</v>
      </c>
      <c r="D805" s="33" t="s">
        <v>435</v>
      </c>
      <c r="E805" s="40">
        <v>68.44</v>
      </c>
      <c r="F805" s="40">
        <v>0.0</v>
      </c>
      <c r="G805" s="33" t="s">
        <v>442</v>
      </c>
    </row>
    <row r="806" ht="15.75" customHeight="1">
      <c r="A806" s="33" t="s">
        <v>3405</v>
      </c>
      <c r="B806" s="33" t="s">
        <v>329</v>
      </c>
      <c r="C806" s="39">
        <v>46011.0</v>
      </c>
      <c r="D806" s="33" t="s">
        <v>428</v>
      </c>
      <c r="E806" s="40">
        <v>164.51</v>
      </c>
      <c r="F806" s="40">
        <v>0.0</v>
      </c>
      <c r="G806" s="33" t="s">
        <v>442</v>
      </c>
    </row>
    <row r="807" ht="15.75" customHeight="1">
      <c r="A807" s="33" t="s">
        <v>3409</v>
      </c>
      <c r="B807" s="33" t="s">
        <v>2212</v>
      </c>
      <c r="C807" s="39">
        <v>46085.0</v>
      </c>
      <c r="D807" s="33" t="s">
        <v>461</v>
      </c>
      <c r="E807" s="40">
        <v>94.99</v>
      </c>
      <c r="F807" s="40">
        <v>0.84</v>
      </c>
      <c r="G807" s="33" t="s">
        <v>431</v>
      </c>
    </row>
    <row r="808" ht="15.75" customHeight="1">
      <c r="A808" s="33" t="s">
        <v>3414</v>
      </c>
      <c r="B808" s="33" t="s">
        <v>919</v>
      </c>
      <c r="C808" s="39">
        <v>46203.0</v>
      </c>
      <c r="D808" s="33" t="s">
        <v>428</v>
      </c>
      <c r="E808" s="40">
        <v>128.61</v>
      </c>
      <c r="F808" s="40">
        <v>0.0</v>
      </c>
      <c r="G808" s="33" t="s">
        <v>450</v>
      </c>
    </row>
    <row r="809" ht="15.75" customHeight="1">
      <c r="A809" s="33" t="s">
        <v>3418</v>
      </c>
      <c r="B809" s="33" t="s">
        <v>731</v>
      </c>
      <c r="C809" s="39">
        <v>46130.0</v>
      </c>
      <c r="D809" s="33" t="s">
        <v>435</v>
      </c>
      <c r="E809" s="40">
        <v>100.36</v>
      </c>
      <c r="F809" s="40">
        <v>0.0</v>
      </c>
      <c r="G809" s="33" t="s">
        <v>450</v>
      </c>
    </row>
    <row r="810" ht="15.75" customHeight="1">
      <c r="A810" s="33" t="s">
        <v>3422</v>
      </c>
      <c r="B810" s="33" t="s">
        <v>1977</v>
      </c>
      <c r="C810" s="39">
        <v>45852.0</v>
      </c>
      <c r="D810" s="33" t="s">
        <v>440</v>
      </c>
      <c r="E810" s="40">
        <v>49.55</v>
      </c>
      <c r="F810" s="40">
        <v>0.0</v>
      </c>
      <c r="G810" s="33" t="s">
        <v>450</v>
      </c>
    </row>
    <row r="811" ht="15.75" customHeight="1">
      <c r="A811" s="33" t="s">
        <v>3425</v>
      </c>
      <c r="B811" s="33" t="s">
        <v>1819</v>
      </c>
      <c r="C811" s="39">
        <v>46159.0</v>
      </c>
      <c r="D811" s="33" t="s">
        <v>435</v>
      </c>
      <c r="E811" s="40">
        <v>16.06</v>
      </c>
      <c r="F811" s="40">
        <v>0.0</v>
      </c>
      <c r="G811" s="33" t="s">
        <v>442</v>
      </c>
    </row>
    <row r="812" ht="15.75" customHeight="1">
      <c r="A812" s="33" t="s">
        <v>3430</v>
      </c>
      <c r="B812" s="33" t="s">
        <v>493</v>
      </c>
      <c r="C812" s="39">
        <v>45776.0</v>
      </c>
      <c r="D812" s="33" t="s">
        <v>479</v>
      </c>
      <c r="E812" s="40">
        <v>173.22</v>
      </c>
      <c r="F812" s="40">
        <v>3.38</v>
      </c>
      <c r="G812" s="33" t="s">
        <v>450</v>
      </c>
    </row>
    <row r="813" ht="15.75" customHeight="1">
      <c r="A813" s="33" t="s">
        <v>3436</v>
      </c>
      <c r="B813" s="33" t="s">
        <v>1660</v>
      </c>
      <c r="C813" s="39">
        <v>45785.0</v>
      </c>
      <c r="D813" s="33" t="s">
        <v>428</v>
      </c>
      <c r="E813" s="40">
        <v>4.02</v>
      </c>
      <c r="F813" s="40">
        <v>0.0</v>
      </c>
      <c r="G813" s="33" t="s">
        <v>450</v>
      </c>
    </row>
    <row r="814" ht="15.75" customHeight="1">
      <c r="A814" s="33" t="s">
        <v>3439</v>
      </c>
      <c r="B814" s="33" t="s">
        <v>3440</v>
      </c>
      <c r="C814" s="39">
        <v>45875.0</v>
      </c>
      <c r="D814" s="33" t="s">
        <v>461</v>
      </c>
      <c r="E814" s="40">
        <v>138.67</v>
      </c>
      <c r="F814" s="40">
        <v>2.12</v>
      </c>
      <c r="G814" s="33" t="s">
        <v>431</v>
      </c>
    </row>
    <row r="815" ht="15.75" customHeight="1">
      <c r="A815" s="33" t="s">
        <v>3444</v>
      </c>
      <c r="B815" s="33" t="s">
        <v>2562</v>
      </c>
      <c r="C815" s="39">
        <v>45985.0</v>
      </c>
      <c r="D815" s="33" t="s">
        <v>461</v>
      </c>
      <c r="E815" s="40">
        <v>173.07</v>
      </c>
      <c r="F815" s="40">
        <v>1.9</v>
      </c>
      <c r="G815" s="33" t="s">
        <v>442</v>
      </c>
    </row>
    <row r="816" ht="15.75" customHeight="1">
      <c r="A816" s="33" t="s">
        <v>3446</v>
      </c>
      <c r="B816" s="33" t="s">
        <v>875</v>
      </c>
      <c r="C816" s="39">
        <v>45781.0</v>
      </c>
      <c r="D816" s="33" t="s">
        <v>428</v>
      </c>
      <c r="E816" s="40">
        <v>20.57</v>
      </c>
      <c r="F816" s="40">
        <v>0.0</v>
      </c>
      <c r="G816" s="33" t="s">
        <v>442</v>
      </c>
    </row>
    <row r="817" ht="15.75" customHeight="1">
      <c r="A817" s="33" t="s">
        <v>3448</v>
      </c>
      <c r="B817" s="33" t="s">
        <v>705</v>
      </c>
      <c r="C817" s="39">
        <v>46204.0</v>
      </c>
      <c r="D817" s="33" t="s">
        <v>435</v>
      </c>
      <c r="E817" s="40">
        <v>51.86</v>
      </c>
      <c r="F817" s="40">
        <v>0.0</v>
      </c>
      <c r="G817" s="33" t="s">
        <v>431</v>
      </c>
    </row>
    <row r="818" ht="15.75" customHeight="1">
      <c r="A818" s="33" t="s">
        <v>3453</v>
      </c>
      <c r="B818" s="33" t="s">
        <v>1503</v>
      </c>
      <c r="C818" s="39">
        <v>45822.0</v>
      </c>
      <c r="D818" s="33" t="s">
        <v>461</v>
      </c>
      <c r="E818" s="40">
        <v>18.27</v>
      </c>
      <c r="F818" s="40">
        <v>0.13</v>
      </c>
      <c r="G818" s="33" t="s">
        <v>450</v>
      </c>
    </row>
    <row r="819" ht="15.75" customHeight="1">
      <c r="A819" s="33" t="s">
        <v>3461</v>
      </c>
      <c r="B819" s="33" t="s">
        <v>1510</v>
      </c>
      <c r="C819" s="39">
        <v>45895.0</v>
      </c>
      <c r="D819" s="33" t="s">
        <v>440</v>
      </c>
      <c r="E819" s="40">
        <v>43.59</v>
      </c>
      <c r="F819" s="40">
        <v>0.0</v>
      </c>
      <c r="G819" s="33" t="s">
        <v>450</v>
      </c>
    </row>
    <row r="820" ht="15.75" customHeight="1">
      <c r="A820" s="33" t="s">
        <v>3465</v>
      </c>
      <c r="B820" s="33" t="s">
        <v>2087</v>
      </c>
      <c r="C820" s="39">
        <v>46025.0</v>
      </c>
      <c r="D820" s="33" t="s">
        <v>461</v>
      </c>
      <c r="E820" s="40">
        <v>153.49</v>
      </c>
      <c r="F820" s="40">
        <v>2.37</v>
      </c>
      <c r="G820" s="33" t="s">
        <v>450</v>
      </c>
    </row>
    <row r="821" ht="15.75" customHeight="1">
      <c r="A821" s="33" t="s">
        <v>3469</v>
      </c>
      <c r="B821" s="33" t="s">
        <v>1743</v>
      </c>
      <c r="C821" s="39">
        <v>45918.0</v>
      </c>
      <c r="D821" s="33" t="s">
        <v>461</v>
      </c>
      <c r="E821" s="40">
        <v>127.58</v>
      </c>
      <c r="F821" s="40">
        <v>1.31</v>
      </c>
      <c r="G821" s="33" t="s">
        <v>450</v>
      </c>
    </row>
    <row r="822" ht="15.75" customHeight="1">
      <c r="A822" s="33" t="s">
        <v>3473</v>
      </c>
      <c r="B822" s="33" t="s">
        <v>597</v>
      </c>
      <c r="C822" s="39">
        <v>45903.0</v>
      </c>
      <c r="D822" s="33" t="s">
        <v>461</v>
      </c>
      <c r="E822" s="40">
        <v>115.77</v>
      </c>
      <c r="F822" s="40">
        <v>2.19</v>
      </c>
      <c r="G822" s="33" t="s">
        <v>442</v>
      </c>
    </row>
    <row r="823" ht="15.75" customHeight="1">
      <c r="A823" s="33" t="s">
        <v>3477</v>
      </c>
      <c r="B823" s="33" t="s">
        <v>2729</v>
      </c>
      <c r="C823" s="39">
        <v>46255.0</v>
      </c>
      <c r="D823" s="33" t="s">
        <v>479</v>
      </c>
      <c r="E823" s="40">
        <v>52.17</v>
      </c>
      <c r="F823" s="40">
        <v>0.93</v>
      </c>
      <c r="G823" s="33" t="s">
        <v>442</v>
      </c>
    </row>
    <row r="824" ht="15.75" customHeight="1">
      <c r="A824" s="33" t="s">
        <v>3481</v>
      </c>
      <c r="B824" s="33" t="s">
        <v>801</v>
      </c>
      <c r="C824" s="39">
        <v>45922.0</v>
      </c>
      <c r="D824" s="33" t="s">
        <v>461</v>
      </c>
      <c r="E824" s="40">
        <v>4.74</v>
      </c>
      <c r="F824" s="40">
        <v>0.07</v>
      </c>
      <c r="G824" s="33" t="s">
        <v>450</v>
      </c>
    </row>
    <row r="825" ht="15.75" customHeight="1">
      <c r="A825" s="33" t="s">
        <v>3487</v>
      </c>
      <c r="B825" s="33" t="s">
        <v>863</v>
      </c>
      <c r="C825" s="39">
        <v>45726.0</v>
      </c>
      <c r="D825" s="33" t="s">
        <v>479</v>
      </c>
      <c r="E825" s="40">
        <v>23.65</v>
      </c>
      <c r="F825" s="40">
        <v>0.14</v>
      </c>
      <c r="G825" s="33" t="s">
        <v>450</v>
      </c>
    </row>
    <row r="826" ht="15.75" customHeight="1">
      <c r="A826" s="33" t="s">
        <v>3490</v>
      </c>
      <c r="B826" s="33" t="s">
        <v>3452</v>
      </c>
      <c r="C826" s="39">
        <v>46101.0</v>
      </c>
      <c r="D826" s="33" t="s">
        <v>461</v>
      </c>
      <c r="E826" s="40">
        <v>60.64</v>
      </c>
      <c r="F826" s="40">
        <v>0.32</v>
      </c>
      <c r="G826" s="33" t="s">
        <v>450</v>
      </c>
    </row>
    <row r="827" ht="15.75" customHeight="1">
      <c r="A827" s="33" t="s">
        <v>3494</v>
      </c>
      <c r="B827" s="33" t="s">
        <v>356</v>
      </c>
      <c r="C827" s="39">
        <v>46086.0</v>
      </c>
      <c r="D827" s="33" t="s">
        <v>479</v>
      </c>
      <c r="E827" s="40">
        <v>28.9</v>
      </c>
      <c r="F827" s="40">
        <v>0.42</v>
      </c>
      <c r="G827" s="33" t="s">
        <v>431</v>
      </c>
    </row>
    <row r="828" ht="15.75" customHeight="1">
      <c r="A828" s="33" t="s">
        <v>3498</v>
      </c>
      <c r="B828" s="33" t="s">
        <v>2570</v>
      </c>
      <c r="C828" s="39">
        <v>45790.0</v>
      </c>
      <c r="D828" s="33" t="s">
        <v>440</v>
      </c>
      <c r="E828" s="40">
        <v>139.7</v>
      </c>
      <c r="F828" s="40">
        <v>0.0</v>
      </c>
      <c r="G828" s="33" t="s">
        <v>450</v>
      </c>
    </row>
    <row r="829" ht="15.75" customHeight="1">
      <c r="A829" s="33" t="s">
        <v>3502</v>
      </c>
      <c r="B829" s="33" t="s">
        <v>1703</v>
      </c>
      <c r="C829" s="39">
        <v>46174.0</v>
      </c>
      <c r="D829" s="33" t="s">
        <v>440</v>
      </c>
      <c r="E829" s="40">
        <v>216.26</v>
      </c>
      <c r="F829" s="40">
        <v>0.0</v>
      </c>
      <c r="G829" s="33" t="s">
        <v>450</v>
      </c>
    </row>
    <row r="830" ht="15.75" customHeight="1">
      <c r="A830" s="33" t="s">
        <v>3505</v>
      </c>
      <c r="B830" s="33" t="s">
        <v>1085</v>
      </c>
      <c r="C830" s="39">
        <v>45895.0</v>
      </c>
      <c r="D830" s="33" t="s">
        <v>440</v>
      </c>
      <c r="E830" s="40">
        <v>94.45</v>
      </c>
      <c r="F830" s="40">
        <v>0.0</v>
      </c>
      <c r="G830" s="33" t="s">
        <v>450</v>
      </c>
    </row>
    <row r="831" ht="15.75" customHeight="1">
      <c r="A831" s="33" t="s">
        <v>3508</v>
      </c>
      <c r="B831" s="33" t="s">
        <v>1850</v>
      </c>
      <c r="C831" s="39">
        <v>45749.0</v>
      </c>
      <c r="D831" s="33" t="s">
        <v>461</v>
      </c>
      <c r="E831" s="40">
        <v>20.31</v>
      </c>
      <c r="F831" s="40">
        <v>0.15</v>
      </c>
      <c r="G831" s="33" t="s">
        <v>431</v>
      </c>
    </row>
    <row r="832" ht="15.75" customHeight="1">
      <c r="A832" s="33" t="s">
        <v>3512</v>
      </c>
      <c r="B832" s="33" t="s">
        <v>575</v>
      </c>
      <c r="C832" s="39">
        <v>45762.0</v>
      </c>
      <c r="D832" s="33" t="s">
        <v>428</v>
      </c>
      <c r="E832" s="40">
        <v>177.56</v>
      </c>
      <c r="F832" s="40">
        <v>0.0</v>
      </c>
      <c r="G832" s="33" t="s">
        <v>450</v>
      </c>
    </row>
    <row r="833" ht="15.75" customHeight="1">
      <c r="A833" s="33" t="s">
        <v>3516</v>
      </c>
      <c r="B833" s="33" t="s">
        <v>1742</v>
      </c>
      <c r="C833" s="39">
        <v>46091.0</v>
      </c>
      <c r="D833" s="33" t="s">
        <v>435</v>
      </c>
      <c r="E833" s="40">
        <v>79.76</v>
      </c>
      <c r="F833" s="40">
        <v>0.0</v>
      </c>
      <c r="G833" s="33" t="s">
        <v>450</v>
      </c>
    </row>
    <row r="834" ht="15.75" customHeight="1">
      <c r="A834" s="33" t="s">
        <v>3518</v>
      </c>
      <c r="B834" s="33" t="s">
        <v>1408</v>
      </c>
      <c r="C834" s="39">
        <v>45789.0</v>
      </c>
      <c r="D834" s="33" t="s">
        <v>435</v>
      </c>
      <c r="E834" s="40">
        <v>71.75</v>
      </c>
      <c r="F834" s="40">
        <v>0.0</v>
      </c>
      <c r="G834" s="33" t="s">
        <v>431</v>
      </c>
    </row>
    <row r="835" ht="15.75" customHeight="1">
      <c r="A835" s="33" t="s">
        <v>3525</v>
      </c>
      <c r="B835" s="33" t="s">
        <v>492</v>
      </c>
      <c r="C835" s="39">
        <v>45943.0</v>
      </c>
      <c r="D835" s="33" t="s">
        <v>479</v>
      </c>
      <c r="E835" s="40">
        <v>108.94</v>
      </c>
      <c r="F835" s="40">
        <v>0.71</v>
      </c>
      <c r="G835" s="33" t="s">
        <v>442</v>
      </c>
    </row>
    <row r="836" ht="15.75" customHeight="1">
      <c r="A836" s="33" t="s">
        <v>3529</v>
      </c>
      <c r="B836" s="33" t="s">
        <v>1179</v>
      </c>
      <c r="C836" s="39">
        <v>46103.0</v>
      </c>
      <c r="D836" s="33" t="s">
        <v>461</v>
      </c>
      <c r="E836" s="40">
        <v>24.65</v>
      </c>
      <c r="F836" s="40">
        <v>0.31</v>
      </c>
      <c r="G836" s="33" t="s">
        <v>431</v>
      </c>
    </row>
    <row r="837" ht="15.75" customHeight="1">
      <c r="A837" s="33" t="s">
        <v>3532</v>
      </c>
      <c r="B837" s="33" t="s">
        <v>1285</v>
      </c>
      <c r="C837" s="39">
        <v>46175.0</v>
      </c>
      <c r="D837" s="33" t="s">
        <v>435</v>
      </c>
      <c r="E837" s="40">
        <v>52.88</v>
      </c>
      <c r="F837" s="40">
        <v>0.0</v>
      </c>
      <c r="G837" s="33" t="s">
        <v>450</v>
      </c>
    </row>
    <row r="838" ht="15.75" customHeight="1">
      <c r="A838" s="33" t="s">
        <v>3537</v>
      </c>
      <c r="B838" s="33" t="s">
        <v>524</v>
      </c>
      <c r="C838" s="39">
        <v>45955.0</v>
      </c>
      <c r="D838" s="33" t="s">
        <v>440</v>
      </c>
      <c r="E838" s="40">
        <v>67.97</v>
      </c>
      <c r="F838" s="40">
        <v>0.0</v>
      </c>
      <c r="G838" s="33" t="s">
        <v>450</v>
      </c>
    </row>
    <row r="839" ht="15.75" customHeight="1">
      <c r="A839" s="33" t="s">
        <v>3540</v>
      </c>
      <c r="B839" s="33" t="s">
        <v>300</v>
      </c>
      <c r="C839" s="39">
        <v>46208.0</v>
      </c>
      <c r="D839" s="33" t="s">
        <v>435</v>
      </c>
      <c r="E839" s="40">
        <v>88.53</v>
      </c>
      <c r="F839" s="40">
        <v>0.0</v>
      </c>
      <c r="G839" s="33" t="s">
        <v>442</v>
      </c>
    </row>
    <row r="840" ht="15.75" customHeight="1">
      <c r="A840" s="33" t="s">
        <v>3544</v>
      </c>
      <c r="B840" s="33" t="s">
        <v>1037</v>
      </c>
      <c r="C840" s="39">
        <v>45841.0</v>
      </c>
      <c r="D840" s="33" t="s">
        <v>435</v>
      </c>
      <c r="E840" s="40">
        <v>95.31</v>
      </c>
      <c r="F840" s="40">
        <v>0.0</v>
      </c>
      <c r="G840" s="33" t="s">
        <v>431</v>
      </c>
    </row>
    <row r="841" ht="15.75" customHeight="1">
      <c r="A841" s="33" t="s">
        <v>3546</v>
      </c>
      <c r="B841" s="33" t="s">
        <v>273</v>
      </c>
      <c r="C841" s="39">
        <v>46187.0</v>
      </c>
      <c r="D841" s="33" t="s">
        <v>435</v>
      </c>
      <c r="E841" s="40">
        <v>108.8</v>
      </c>
      <c r="F841" s="40">
        <v>0.0</v>
      </c>
      <c r="G841" s="33" t="s">
        <v>431</v>
      </c>
    </row>
    <row r="842" ht="15.75" customHeight="1">
      <c r="A842" s="33" t="s">
        <v>3550</v>
      </c>
      <c r="B842" s="33" t="s">
        <v>3552</v>
      </c>
      <c r="C842" s="39">
        <v>45809.0</v>
      </c>
      <c r="D842" s="33" t="s">
        <v>461</v>
      </c>
      <c r="E842" s="40">
        <v>44.6</v>
      </c>
      <c r="F842" s="40">
        <v>0.3</v>
      </c>
      <c r="G842" s="33" t="s">
        <v>450</v>
      </c>
    </row>
    <row r="843" ht="15.75" customHeight="1">
      <c r="A843" s="33" t="s">
        <v>3554</v>
      </c>
      <c r="B843" s="33" t="s">
        <v>1816</v>
      </c>
      <c r="C843" s="39">
        <v>45697.0</v>
      </c>
      <c r="D843" s="33" t="s">
        <v>428</v>
      </c>
      <c r="E843" s="40">
        <v>12.8</v>
      </c>
      <c r="F843" s="40">
        <v>0.0</v>
      </c>
      <c r="G843" s="33" t="s">
        <v>442</v>
      </c>
    </row>
    <row r="844" ht="15.75" customHeight="1">
      <c r="A844" s="33" t="s">
        <v>3557</v>
      </c>
      <c r="B844" s="33" t="s">
        <v>381</v>
      </c>
      <c r="C844" s="39">
        <v>46098.0</v>
      </c>
      <c r="D844" s="33" t="s">
        <v>479</v>
      </c>
      <c r="E844" s="40">
        <v>60.15</v>
      </c>
      <c r="F844" s="40">
        <v>0.81</v>
      </c>
      <c r="G844" s="33" t="s">
        <v>431</v>
      </c>
    </row>
    <row r="845" ht="15.75" customHeight="1">
      <c r="A845" s="33" t="s">
        <v>3560</v>
      </c>
      <c r="B845" s="33" t="s">
        <v>1416</v>
      </c>
      <c r="C845" s="39">
        <v>46117.0</v>
      </c>
      <c r="D845" s="33" t="s">
        <v>435</v>
      </c>
      <c r="E845" s="40">
        <v>66.28</v>
      </c>
      <c r="F845" s="40">
        <v>0.0</v>
      </c>
      <c r="G845" s="33" t="s">
        <v>442</v>
      </c>
    </row>
    <row r="846" ht="15.75" customHeight="1">
      <c r="A846" s="33" t="s">
        <v>3563</v>
      </c>
      <c r="B846" s="33" t="s">
        <v>2188</v>
      </c>
      <c r="C846" s="39">
        <v>46220.0</v>
      </c>
      <c r="D846" s="33" t="s">
        <v>428</v>
      </c>
      <c r="E846" s="40">
        <v>12.15</v>
      </c>
      <c r="F846" s="40">
        <v>0.0</v>
      </c>
      <c r="G846" s="33" t="s">
        <v>442</v>
      </c>
    </row>
    <row r="847" ht="15.75" customHeight="1">
      <c r="A847" s="33" t="s">
        <v>3564</v>
      </c>
      <c r="B847" s="33" t="s">
        <v>1549</v>
      </c>
      <c r="C847" s="39">
        <v>46217.0</v>
      </c>
      <c r="D847" s="33" t="s">
        <v>440</v>
      </c>
      <c r="E847" s="40">
        <v>42.55</v>
      </c>
      <c r="F847" s="40">
        <v>0.0</v>
      </c>
      <c r="G847" s="33" t="s">
        <v>450</v>
      </c>
    </row>
    <row r="848" ht="15.75" customHeight="1">
      <c r="A848" s="33" t="s">
        <v>3565</v>
      </c>
      <c r="B848" s="33" t="s">
        <v>777</v>
      </c>
      <c r="C848" s="39">
        <v>45720.0</v>
      </c>
      <c r="D848" s="33" t="s">
        <v>435</v>
      </c>
      <c r="E848" s="40">
        <v>82.6</v>
      </c>
      <c r="F848" s="40">
        <v>0.0</v>
      </c>
      <c r="G848" s="33" t="s">
        <v>442</v>
      </c>
    </row>
    <row r="849" ht="15.75" customHeight="1">
      <c r="A849" s="33" t="s">
        <v>3567</v>
      </c>
      <c r="B849" s="33" t="s">
        <v>268</v>
      </c>
      <c r="C849" s="39">
        <v>46035.0</v>
      </c>
      <c r="D849" s="33" t="s">
        <v>435</v>
      </c>
      <c r="E849" s="40">
        <v>48.4</v>
      </c>
      <c r="F849" s="40">
        <v>0.0</v>
      </c>
      <c r="G849" s="33" t="s">
        <v>450</v>
      </c>
    </row>
    <row r="850" ht="15.75" customHeight="1">
      <c r="A850" s="33" t="s">
        <v>3568</v>
      </c>
      <c r="B850" s="33" t="s">
        <v>441</v>
      </c>
      <c r="C850" s="39">
        <v>46085.0</v>
      </c>
      <c r="D850" s="33" t="s">
        <v>440</v>
      </c>
      <c r="E850" s="40">
        <v>80.09</v>
      </c>
      <c r="F850" s="40">
        <v>0.0</v>
      </c>
      <c r="G850" s="33" t="s">
        <v>450</v>
      </c>
    </row>
    <row r="851" ht="15.75" customHeight="1">
      <c r="A851" s="33" t="s">
        <v>3569</v>
      </c>
      <c r="B851" s="33" t="s">
        <v>297</v>
      </c>
      <c r="C851" s="39">
        <v>46022.0</v>
      </c>
      <c r="D851" s="33" t="s">
        <v>461</v>
      </c>
      <c r="E851" s="40">
        <v>46.65</v>
      </c>
      <c r="F851" s="40">
        <v>0.58</v>
      </c>
      <c r="G851" s="33" t="s">
        <v>450</v>
      </c>
    </row>
    <row r="852" ht="15.75" customHeight="1">
      <c r="A852" s="33" t="s">
        <v>3571</v>
      </c>
      <c r="B852" s="33" t="s">
        <v>1135</v>
      </c>
      <c r="C852" s="39">
        <v>45669.0</v>
      </c>
      <c r="D852" s="33" t="s">
        <v>440</v>
      </c>
      <c r="E852" s="40">
        <v>114.63</v>
      </c>
      <c r="F852" s="40">
        <v>0.0</v>
      </c>
      <c r="G852" s="33" t="s">
        <v>450</v>
      </c>
    </row>
    <row r="853" ht="15.75" customHeight="1">
      <c r="A853" s="33" t="s">
        <v>3574</v>
      </c>
      <c r="B853" s="33" t="s">
        <v>1758</v>
      </c>
      <c r="C853" s="39">
        <v>45685.0</v>
      </c>
      <c r="D853" s="33" t="s">
        <v>479</v>
      </c>
      <c r="E853" s="40">
        <v>31.08</v>
      </c>
      <c r="F853" s="40">
        <v>0.46</v>
      </c>
      <c r="G853" s="33" t="s">
        <v>450</v>
      </c>
    </row>
    <row r="854" ht="15.75" customHeight="1">
      <c r="A854" s="33" t="s">
        <v>3577</v>
      </c>
      <c r="B854" s="33" t="s">
        <v>438</v>
      </c>
      <c r="C854" s="39">
        <v>46065.0</v>
      </c>
      <c r="D854" s="33" t="s">
        <v>440</v>
      </c>
      <c r="E854" s="40">
        <v>72.45</v>
      </c>
      <c r="F854" s="40">
        <v>0.0</v>
      </c>
      <c r="G854" s="33" t="s">
        <v>450</v>
      </c>
    </row>
    <row r="855" ht="15.75" customHeight="1">
      <c r="A855" s="33" t="s">
        <v>3578</v>
      </c>
      <c r="B855" s="33" t="s">
        <v>1528</v>
      </c>
      <c r="C855" s="39">
        <v>46177.0</v>
      </c>
      <c r="D855" s="33" t="s">
        <v>428</v>
      </c>
      <c r="E855" s="40">
        <v>75.19</v>
      </c>
      <c r="F855" s="40">
        <v>0.0</v>
      </c>
      <c r="G855" s="33" t="s">
        <v>450</v>
      </c>
    </row>
    <row r="856" ht="15.75" customHeight="1">
      <c r="A856" s="33" t="s">
        <v>3580</v>
      </c>
      <c r="B856" s="33" t="s">
        <v>2987</v>
      </c>
      <c r="C856" s="39">
        <v>45766.0</v>
      </c>
      <c r="D856" s="33" t="s">
        <v>461</v>
      </c>
      <c r="E856" s="40">
        <v>135.95</v>
      </c>
      <c r="F856" s="40">
        <v>1.44</v>
      </c>
      <c r="G856" s="33" t="s">
        <v>442</v>
      </c>
    </row>
    <row r="857" ht="15.75" customHeight="1">
      <c r="A857" s="33" t="s">
        <v>3581</v>
      </c>
      <c r="B857" s="33" t="s">
        <v>2987</v>
      </c>
      <c r="C857" s="39">
        <v>45686.0</v>
      </c>
      <c r="D857" s="33" t="s">
        <v>461</v>
      </c>
      <c r="E857" s="40">
        <v>55.2</v>
      </c>
      <c r="F857" s="40">
        <v>1.05</v>
      </c>
      <c r="G857" s="33" t="s">
        <v>442</v>
      </c>
    </row>
    <row r="858" ht="15.75" customHeight="1">
      <c r="A858" s="33" t="s">
        <v>3583</v>
      </c>
      <c r="B858" s="33" t="s">
        <v>1443</v>
      </c>
      <c r="C858" s="39">
        <v>45903.0</v>
      </c>
      <c r="D858" s="33" t="s">
        <v>479</v>
      </c>
      <c r="E858" s="40">
        <v>214.23</v>
      </c>
      <c r="F858" s="40">
        <v>2.3</v>
      </c>
      <c r="G858" s="33" t="s">
        <v>431</v>
      </c>
    </row>
    <row r="859" ht="15.75" customHeight="1">
      <c r="A859" s="33" t="s">
        <v>3585</v>
      </c>
      <c r="B859" s="33" t="s">
        <v>1856</v>
      </c>
      <c r="C859" s="39">
        <v>45848.0</v>
      </c>
      <c r="D859" s="33" t="s">
        <v>479</v>
      </c>
      <c r="E859" s="40">
        <v>208.76</v>
      </c>
      <c r="F859" s="40">
        <v>1.16</v>
      </c>
      <c r="G859" s="33" t="s">
        <v>442</v>
      </c>
    </row>
    <row r="860" ht="15.75" customHeight="1">
      <c r="A860" s="33" t="s">
        <v>3586</v>
      </c>
      <c r="B860" s="33" t="s">
        <v>1297</v>
      </c>
      <c r="C860" s="39">
        <v>46254.0</v>
      </c>
      <c r="D860" s="33" t="s">
        <v>428</v>
      </c>
      <c r="E860" s="40">
        <v>32.98</v>
      </c>
      <c r="F860" s="40">
        <v>0.0</v>
      </c>
      <c r="G860" s="33" t="s">
        <v>450</v>
      </c>
    </row>
    <row r="861" ht="15.75" customHeight="1">
      <c r="A861" s="33" t="s">
        <v>3587</v>
      </c>
      <c r="B861" s="33" t="s">
        <v>382</v>
      </c>
      <c r="C861" s="39">
        <v>46219.0</v>
      </c>
      <c r="D861" s="33" t="s">
        <v>461</v>
      </c>
      <c r="E861" s="40">
        <v>70.82</v>
      </c>
      <c r="F861" s="40">
        <v>1.09</v>
      </c>
      <c r="G861" s="33" t="s">
        <v>450</v>
      </c>
    </row>
    <row r="862" ht="15.75" customHeight="1">
      <c r="A862" s="33" t="s">
        <v>3589</v>
      </c>
      <c r="B862" s="33" t="s">
        <v>684</v>
      </c>
      <c r="C862" s="39">
        <v>45996.0</v>
      </c>
      <c r="D862" s="33" t="s">
        <v>428</v>
      </c>
      <c r="E862" s="40">
        <v>22.46</v>
      </c>
      <c r="F862" s="40">
        <v>0.0</v>
      </c>
      <c r="G862" s="33" t="s">
        <v>431</v>
      </c>
    </row>
    <row r="863" ht="15.75" customHeight="1">
      <c r="A863" s="33" t="s">
        <v>3592</v>
      </c>
      <c r="B863" s="33" t="s">
        <v>2911</v>
      </c>
      <c r="C863" s="39">
        <v>46234.0</v>
      </c>
      <c r="D863" s="33" t="s">
        <v>435</v>
      </c>
      <c r="E863" s="40">
        <v>102.76</v>
      </c>
      <c r="F863" s="40">
        <v>0.0</v>
      </c>
      <c r="G863" s="33" t="s">
        <v>450</v>
      </c>
    </row>
    <row r="864" ht="15.75" customHeight="1">
      <c r="A864" s="33" t="s">
        <v>3593</v>
      </c>
      <c r="B864" s="33" t="s">
        <v>1245</v>
      </c>
      <c r="C864" s="39">
        <v>45796.0</v>
      </c>
      <c r="D864" s="33" t="s">
        <v>428</v>
      </c>
      <c r="E864" s="40">
        <v>47.84</v>
      </c>
      <c r="F864" s="40">
        <v>0.0</v>
      </c>
      <c r="G864" s="33" t="s">
        <v>450</v>
      </c>
    </row>
    <row r="865" ht="15.75" customHeight="1">
      <c r="A865" s="33" t="s">
        <v>3595</v>
      </c>
      <c r="B865" s="33" t="s">
        <v>389</v>
      </c>
      <c r="C865" s="39">
        <v>46260.0</v>
      </c>
      <c r="D865" s="33" t="s">
        <v>428</v>
      </c>
      <c r="E865" s="40">
        <v>78.93</v>
      </c>
      <c r="F865" s="40">
        <v>0.0</v>
      </c>
      <c r="G865" s="33" t="s">
        <v>450</v>
      </c>
    </row>
    <row r="866" ht="15.75" customHeight="1">
      <c r="A866" s="33" t="s">
        <v>3597</v>
      </c>
      <c r="B866" s="33" t="s">
        <v>3598</v>
      </c>
      <c r="C866" s="39">
        <v>45929.0</v>
      </c>
      <c r="D866" s="33" t="s">
        <v>461</v>
      </c>
      <c r="E866" s="40">
        <v>58.89</v>
      </c>
      <c r="F866" s="40">
        <v>0.9</v>
      </c>
      <c r="G866" s="33" t="s">
        <v>450</v>
      </c>
    </row>
    <row r="867" ht="15.75" customHeight="1">
      <c r="A867" s="33" t="s">
        <v>3600</v>
      </c>
      <c r="B867" s="33" t="s">
        <v>749</v>
      </c>
      <c r="C867" s="39">
        <v>45947.0</v>
      </c>
      <c r="D867" s="33" t="s">
        <v>428</v>
      </c>
      <c r="E867" s="40">
        <v>374.43</v>
      </c>
      <c r="F867" s="40">
        <v>0.0</v>
      </c>
      <c r="G867" s="33" t="s">
        <v>442</v>
      </c>
    </row>
    <row r="868" ht="15.75" customHeight="1">
      <c r="A868" s="33" t="s">
        <v>3601</v>
      </c>
      <c r="B868" s="33" t="s">
        <v>2615</v>
      </c>
      <c r="C868" s="39">
        <v>45688.0</v>
      </c>
      <c r="D868" s="33" t="s">
        <v>479</v>
      </c>
      <c r="E868" s="40">
        <v>64.46</v>
      </c>
      <c r="F868" s="40">
        <v>0.76</v>
      </c>
      <c r="G868" s="33" t="s">
        <v>442</v>
      </c>
    </row>
    <row r="869" ht="15.75" customHeight="1">
      <c r="A869" s="33" t="s">
        <v>3602</v>
      </c>
      <c r="B869" s="33" t="s">
        <v>563</v>
      </c>
      <c r="C869" s="39">
        <v>45765.0</v>
      </c>
      <c r="D869" s="33" t="s">
        <v>440</v>
      </c>
      <c r="E869" s="40">
        <v>60.04</v>
      </c>
      <c r="F869" s="40">
        <v>0.0</v>
      </c>
      <c r="G869" s="33" t="s">
        <v>431</v>
      </c>
    </row>
    <row r="870" ht="15.75" customHeight="1">
      <c r="A870" s="33" t="s">
        <v>3604</v>
      </c>
      <c r="B870" s="33" t="s">
        <v>845</v>
      </c>
      <c r="C870" s="39">
        <v>45776.0</v>
      </c>
      <c r="D870" s="33" t="s">
        <v>461</v>
      </c>
      <c r="E870" s="40">
        <v>142.22</v>
      </c>
      <c r="F870" s="40">
        <v>0.82</v>
      </c>
      <c r="G870" s="33" t="s">
        <v>450</v>
      </c>
    </row>
    <row r="871" ht="15.75" customHeight="1">
      <c r="A871" s="33" t="s">
        <v>3606</v>
      </c>
      <c r="B871" s="33" t="s">
        <v>1742</v>
      </c>
      <c r="C871" s="39">
        <v>45954.0</v>
      </c>
      <c r="D871" s="33" t="s">
        <v>461</v>
      </c>
      <c r="E871" s="40">
        <v>156.59</v>
      </c>
      <c r="F871" s="40">
        <v>1.31</v>
      </c>
      <c r="G871" s="33" t="s">
        <v>450</v>
      </c>
    </row>
    <row r="872" ht="15.75" customHeight="1">
      <c r="A872" s="33" t="s">
        <v>3607</v>
      </c>
      <c r="B872" s="33" t="s">
        <v>551</v>
      </c>
      <c r="C872" s="39">
        <v>45773.0</v>
      </c>
      <c r="D872" s="33" t="s">
        <v>435</v>
      </c>
      <c r="E872" s="40">
        <v>87.78</v>
      </c>
      <c r="F872" s="40">
        <v>0.0</v>
      </c>
      <c r="G872" s="33" t="s">
        <v>450</v>
      </c>
    </row>
    <row r="873" ht="15.75" customHeight="1">
      <c r="A873" s="33" t="s">
        <v>3609</v>
      </c>
      <c r="B873" s="33" t="s">
        <v>2116</v>
      </c>
      <c r="C873" s="39">
        <v>45720.0</v>
      </c>
      <c r="D873" s="33" t="s">
        <v>440</v>
      </c>
      <c r="E873" s="40">
        <v>159.61</v>
      </c>
      <c r="F873" s="40">
        <v>0.0</v>
      </c>
      <c r="G873" s="33" t="s">
        <v>450</v>
      </c>
    </row>
    <row r="874" ht="15.75" customHeight="1">
      <c r="A874" s="33" t="s">
        <v>3611</v>
      </c>
      <c r="B874" s="33" t="s">
        <v>3612</v>
      </c>
      <c r="C874" s="39">
        <v>46025.0</v>
      </c>
      <c r="D874" s="33" t="s">
        <v>440</v>
      </c>
      <c r="E874" s="40">
        <v>333.88</v>
      </c>
      <c r="F874" s="40">
        <v>0.0</v>
      </c>
      <c r="G874" s="33" t="s">
        <v>431</v>
      </c>
    </row>
    <row r="875" ht="15.75" customHeight="1">
      <c r="A875" s="33" t="s">
        <v>3615</v>
      </c>
      <c r="B875" s="33" t="s">
        <v>2821</v>
      </c>
      <c r="C875" s="39">
        <v>46187.0</v>
      </c>
      <c r="D875" s="33" t="s">
        <v>479</v>
      </c>
      <c r="E875" s="40">
        <v>56.4</v>
      </c>
      <c r="F875" s="40">
        <v>1.02</v>
      </c>
      <c r="G875" s="33" t="s">
        <v>431</v>
      </c>
    </row>
    <row r="876" ht="15.75" customHeight="1">
      <c r="A876" s="33" t="s">
        <v>3616</v>
      </c>
      <c r="B876" s="33" t="s">
        <v>1280</v>
      </c>
      <c r="C876" s="39">
        <v>45700.0</v>
      </c>
      <c r="D876" s="33" t="s">
        <v>435</v>
      </c>
      <c r="E876" s="40">
        <v>25.15</v>
      </c>
      <c r="F876" s="40">
        <v>0.0</v>
      </c>
      <c r="G876" s="33" t="s">
        <v>431</v>
      </c>
    </row>
    <row r="877" ht="15.75" customHeight="1">
      <c r="A877" s="33" t="s">
        <v>3619</v>
      </c>
      <c r="B877" s="33" t="s">
        <v>1340</v>
      </c>
      <c r="C877" s="39">
        <v>45998.0</v>
      </c>
      <c r="D877" s="33" t="s">
        <v>461</v>
      </c>
      <c r="E877" s="40">
        <v>97.04</v>
      </c>
      <c r="F877" s="40">
        <v>1.91</v>
      </c>
      <c r="G877" s="33" t="s">
        <v>450</v>
      </c>
    </row>
    <row r="878" ht="15.75" customHeight="1">
      <c r="A878" s="33" t="s">
        <v>3622</v>
      </c>
      <c r="B878" s="33" t="s">
        <v>389</v>
      </c>
      <c r="C878" s="39">
        <v>46240.0</v>
      </c>
      <c r="D878" s="33" t="s">
        <v>435</v>
      </c>
      <c r="E878" s="40">
        <v>149.41</v>
      </c>
      <c r="F878" s="40">
        <v>0.0</v>
      </c>
      <c r="G878" s="33" t="s">
        <v>450</v>
      </c>
    </row>
    <row r="879" ht="15.75" customHeight="1">
      <c r="A879" s="33" t="s">
        <v>3624</v>
      </c>
      <c r="B879" s="33" t="s">
        <v>2132</v>
      </c>
      <c r="C879" s="39">
        <v>45903.0</v>
      </c>
      <c r="D879" s="33" t="s">
        <v>428</v>
      </c>
      <c r="E879" s="40">
        <v>202.6</v>
      </c>
      <c r="F879" s="40">
        <v>0.0</v>
      </c>
      <c r="G879" s="33" t="s">
        <v>442</v>
      </c>
    </row>
    <row r="880" ht="15.75" customHeight="1">
      <c r="A880" s="33" t="s">
        <v>3628</v>
      </c>
      <c r="B880" s="33" t="s">
        <v>2277</v>
      </c>
      <c r="C880" s="39">
        <v>45769.0</v>
      </c>
      <c r="D880" s="33" t="s">
        <v>461</v>
      </c>
      <c r="E880" s="40">
        <v>110.1</v>
      </c>
      <c r="F880" s="40">
        <v>1.32</v>
      </c>
      <c r="G880" s="33" t="s">
        <v>431</v>
      </c>
    </row>
    <row r="881" ht="15.75" customHeight="1">
      <c r="A881" s="33" t="s">
        <v>3630</v>
      </c>
      <c r="B881" s="33" t="s">
        <v>1192</v>
      </c>
      <c r="C881" s="39">
        <v>45706.0</v>
      </c>
      <c r="D881" s="33" t="s">
        <v>440</v>
      </c>
      <c r="E881" s="40">
        <v>73.84</v>
      </c>
      <c r="F881" s="40">
        <v>0.0</v>
      </c>
      <c r="G881" s="33" t="s">
        <v>450</v>
      </c>
    </row>
    <row r="882" ht="15.75" customHeight="1">
      <c r="A882" s="33" t="s">
        <v>3642</v>
      </c>
      <c r="B882" s="33" t="s">
        <v>1043</v>
      </c>
      <c r="C882" s="39">
        <v>46226.0</v>
      </c>
      <c r="D882" s="33" t="s">
        <v>440</v>
      </c>
      <c r="E882" s="40">
        <v>37.51</v>
      </c>
      <c r="F882" s="40">
        <v>0.0</v>
      </c>
      <c r="G882" s="33" t="s">
        <v>450</v>
      </c>
    </row>
    <row r="883" ht="15.75" customHeight="1">
      <c r="A883" s="33" t="s">
        <v>3644</v>
      </c>
      <c r="B883" s="33" t="s">
        <v>1085</v>
      </c>
      <c r="C883" s="39">
        <v>45903.0</v>
      </c>
      <c r="D883" s="33" t="s">
        <v>461</v>
      </c>
      <c r="E883" s="40">
        <v>173.71</v>
      </c>
      <c r="F883" s="40">
        <v>1.91</v>
      </c>
      <c r="G883" s="33" t="s">
        <v>431</v>
      </c>
    </row>
    <row r="884" ht="15.75" customHeight="1">
      <c r="A884" s="33" t="s">
        <v>3648</v>
      </c>
      <c r="B884" s="33" t="s">
        <v>290</v>
      </c>
      <c r="C884" s="39">
        <v>45721.0</v>
      </c>
      <c r="D884" s="33" t="s">
        <v>435</v>
      </c>
      <c r="E884" s="40">
        <v>91.21</v>
      </c>
      <c r="F884" s="40">
        <v>0.0</v>
      </c>
      <c r="G884" s="33" t="s">
        <v>450</v>
      </c>
    </row>
    <row r="885" ht="15.75" customHeight="1">
      <c r="A885" s="33" t="s">
        <v>3651</v>
      </c>
      <c r="B885" s="33" t="s">
        <v>2508</v>
      </c>
      <c r="C885" s="39">
        <v>46183.0</v>
      </c>
      <c r="D885" s="33" t="s">
        <v>461</v>
      </c>
      <c r="E885" s="40">
        <v>13.17</v>
      </c>
      <c r="F885" s="40">
        <v>0.08</v>
      </c>
      <c r="G885" s="33" t="s">
        <v>442</v>
      </c>
    </row>
    <row r="886" ht="15.75" customHeight="1">
      <c r="A886" s="33" t="s">
        <v>3656</v>
      </c>
      <c r="B886" s="33" t="s">
        <v>1637</v>
      </c>
      <c r="C886" s="39">
        <v>46144.0</v>
      </c>
      <c r="D886" s="33" t="s">
        <v>479</v>
      </c>
      <c r="E886" s="40">
        <v>263.91</v>
      </c>
      <c r="F886" s="40">
        <v>4.62</v>
      </c>
      <c r="G886" s="33" t="s">
        <v>450</v>
      </c>
    </row>
    <row r="887" ht="15.75" customHeight="1">
      <c r="A887" s="33" t="s">
        <v>3660</v>
      </c>
      <c r="B887" s="33" t="s">
        <v>1247</v>
      </c>
      <c r="C887" s="39">
        <v>46084.0</v>
      </c>
      <c r="D887" s="33" t="s">
        <v>440</v>
      </c>
      <c r="E887" s="40">
        <v>26.67</v>
      </c>
      <c r="F887" s="40">
        <v>0.0</v>
      </c>
      <c r="G887" s="33" t="s">
        <v>450</v>
      </c>
    </row>
    <row r="888" ht="15.75" customHeight="1">
      <c r="A888" s="33" t="s">
        <v>3664</v>
      </c>
      <c r="B888" s="33" t="s">
        <v>1581</v>
      </c>
      <c r="C888" s="39">
        <v>45709.0</v>
      </c>
      <c r="D888" s="33" t="s">
        <v>428</v>
      </c>
      <c r="E888" s="40">
        <v>151.37</v>
      </c>
      <c r="F888" s="40">
        <v>0.0</v>
      </c>
      <c r="G888" s="33" t="s">
        <v>450</v>
      </c>
    </row>
    <row r="889" ht="15.75" customHeight="1">
      <c r="A889" s="33" t="s">
        <v>3665</v>
      </c>
      <c r="B889" s="33" t="s">
        <v>534</v>
      </c>
      <c r="C889" s="39">
        <v>45708.0</v>
      </c>
      <c r="D889" s="33" t="s">
        <v>461</v>
      </c>
      <c r="E889" s="40">
        <v>85.71</v>
      </c>
      <c r="F889" s="40">
        <v>1.24</v>
      </c>
      <c r="G889" s="33" t="s">
        <v>450</v>
      </c>
    </row>
    <row r="890" ht="15.75" customHeight="1">
      <c r="A890" s="33" t="s">
        <v>3668</v>
      </c>
      <c r="B890" s="33" t="s">
        <v>3295</v>
      </c>
      <c r="C890" s="39">
        <v>45790.0</v>
      </c>
      <c r="D890" s="33" t="s">
        <v>435</v>
      </c>
      <c r="E890" s="40">
        <v>14.34</v>
      </c>
      <c r="F890" s="40">
        <v>0.0</v>
      </c>
      <c r="G890" s="33" t="s">
        <v>450</v>
      </c>
    </row>
    <row r="891" ht="15.75" customHeight="1">
      <c r="A891" s="33" t="s">
        <v>3671</v>
      </c>
      <c r="B891" s="33" t="s">
        <v>876</v>
      </c>
      <c r="C891" s="39">
        <v>45755.0</v>
      </c>
      <c r="D891" s="33" t="s">
        <v>461</v>
      </c>
      <c r="E891" s="40">
        <v>67.35</v>
      </c>
      <c r="F891" s="40">
        <v>0.9</v>
      </c>
      <c r="G891" s="33" t="s">
        <v>450</v>
      </c>
    </row>
    <row r="892" ht="15.75" customHeight="1">
      <c r="A892" s="33" t="s">
        <v>3675</v>
      </c>
      <c r="B892" s="33" t="s">
        <v>671</v>
      </c>
      <c r="C892" s="39">
        <v>45980.0</v>
      </c>
      <c r="D892" s="33" t="s">
        <v>479</v>
      </c>
      <c r="E892" s="40">
        <v>56.53</v>
      </c>
      <c r="F892" s="40">
        <v>1.08</v>
      </c>
      <c r="G892" s="33" t="s">
        <v>442</v>
      </c>
    </row>
    <row r="893" ht="15.75" customHeight="1">
      <c r="A893" s="33" t="s">
        <v>3678</v>
      </c>
      <c r="B893" s="33" t="s">
        <v>981</v>
      </c>
      <c r="C893" s="39">
        <v>45896.0</v>
      </c>
      <c r="D893" s="33" t="s">
        <v>461</v>
      </c>
      <c r="E893" s="40">
        <v>18.26</v>
      </c>
      <c r="F893" s="40">
        <v>0.23</v>
      </c>
      <c r="G893" s="33" t="s">
        <v>450</v>
      </c>
    </row>
    <row r="894" ht="15.75" customHeight="1">
      <c r="A894" s="33" t="s">
        <v>3681</v>
      </c>
      <c r="B894" s="33" t="s">
        <v>2053</v>
      </c>
      <c r="C894" s="39">
        <v>46122.0</v>
      </c>
      <c r="D894" s="33" t="s">
        <v>479</v>
      </c>
      <c r="E894" s="40">
        <v>102.57</v>
      </c>
      <c r="F894" s="40">
        <v>0.93</v>
      </c>
      <c r="G894" s="33" t="s">
        <v>450</v>
      </c>
    </row>
    <row r="895" ht="15.75" customHeight="1">
      <c r="A895" s="33" t="s">
        <v>3685</v>
      </c>
      <c r="B895" s="33" t="s">
        <v>2252</v>
      </c>
      <c r="C895" s="39">
        <v>45719.0</v>
      </c>
      <c r="D895" s="33" t="s">
        <v>428</v>
      </c>
      <c r="E895" s="40">
        <v>136.81</v>
      </c>
      <c r="F895" s="40">
        <v>0.0</v>
      </c>
      <c r="G895" s="33" t="s">
        <v>450</v>
      </c>
    </row>
    <row r="896" ht="15.75" customHeight="1">
      <c r="A896" s="33" t="s">
        <v>3690</v>
      </c>
      <c r="B896" s="33" t="s">
        <v>1987</v>
      </c>
      <c r="C896" s="39">
        <v>46099.0</v>
      </c>
      <c r="D896" s="33" t="s">
        <v>428</v>
      </c>
      <c r="E896" s="40">
        <v>71.05</v>
      </c>
      <c r="F896" s="40">
        <v>0.0</v>
      </c>
      <c r="G896" s="33" t="s">
        <v>450</v>
      </c>
    </row>
    <row r="897" ht="15.75" customHeight="1">
      <c r="A897" s="33" t="s">
        <v>3693</v>
      </c>
      <c r="B897" s="33" t="s">
        <v>1059</v>
      </c>
      <c r="C897" s="39">
        <v>46224.0</v>
      </c>
      <c r="D897" s="33" t="s">
        <v>435</v>
      </c>
      <c r="E897" s="40">
        <v>55.31</v>
      </c>
      <c r="F897" s="40">
        <v>0.0</v>
      </c>
      <c r="G897" s="33" t="s">
        <v>450</v>
      </c>
    </row>
    <row r="898" ht="15.75" customHeight="1">
      <c r="A898" s="33" t="s">
        <v>3696</v>
      </c>
      <c r="B898" s="33" t="s">
        <v>1554</v>
      </c>
      <c r="C898" s="39">
        <v>45737.0</v>
      </c>
      <c r="D898" s="33" t="s">
        <v>479</v>
      </c>
      <c r="E898" s="40">
        <v>108.31</v>
      </c>
      <c r="F898" s="40">
        <v>1.82</v>
      </c>
      <c r="G898" s="33" t="s">
        <v>450</v>
      </c>
    </row>
    <row r="899" ht="15.75" customHeight="1">
      <c r="A899" s="33" t="s">
        <v>3700</v>
      </c>
      <c r="B899" s="33" t="s">
        <v>1878</v>
      </c>
      <c r="C899" s="39">
        <v>46053.0</v>
      </c>
      <c r="D899" s="33" t="s">
        <v>440</v>
      </c>
      <c r="E899" s="40">
        <v>2.59</v>
      </c>
      <c r="F899" s="40">
        <v>0.0</v>
      </c>
      <c r="G899" s="33" t="s">
        <v>442</v>
      </c>
    </row>
    <row r="900" ht="15.75" customHeight="1">
      <c r="A900" s="33" t="s">
        <v>3703</v>
      </c>
      <c r="B900" s="33" t="s">
        <v>964</v>
      </c>
      <c r="C900" s="39">
        <v>45966.0</v>
      </c>
      <c r="D900" s="33" t="s">
        <v>479</v>
      </c>
      <c r="E900" s="40">
        <v>50.31</v>
      </c>
      <c r="F900" s="40">
        <v>0.53</v>
      </c>
      <c r="G900" s="33" t="s">
        <v>431</v>
      </c>
    </row>
    <row r="901" ht="15.75" customHeight="1">
      <c r="A901" s="33" t="s">
        <v>3707</v>
      </c>
      <c r="B901" s="33" t="s">
        <v>781</v>
      </c>
      <c r="C901" s="39">
        <v>45715.0</v>
      </c>
      <c r="D901" s="33" t="s">
        <v>435</v>
      </c>
      <c r="E901" s="40">
        <v>53.47</v>
      </c>
      <c r="F901" s="40">
        <v>0.0</v>
      </c>
      <c r="G901" s="33" t="s">
        <v>450</v>
      </c>
    </row>
    <row r="902" ht="15.75" customHeight="1">
      <c r="A902" s="33" t="s">
        <v>3709</v>
      </c>
      <c r="B902" s="33" t="s">
        <v>1054</v>
      </c>
      <c r="C902" s="39">
        <v>45835.0</v>
      </c>
      <c r="D902" s="33" t="s">
        <v>479</v>
      </c>
      <c r="E902" s="40">
        <v>72.85</v>
      </c>
      <c r="F902" s="40">
        <v>0.77</v>
      </c>
      <c r="G902" s="33" t="s">
        <v>450</v>
      </c>
    </row>
    <row r="903" ht="15.75" customHeight="1">
      <c r="A903" s="33" t="s">
        <v>3715</v>
      </c>
      <c r="B903" s="33" t="s">
        <v>1500</v>
      </c>
      <c r="C903" s="39">
        <v>46136.0</v>
      </c>
      <c r="D903" s="33" t="s">
        <v>435</v>
      </c>
      <c r="E903" s="40">
        <v>17.07</v>
      </c>
      <c r="F903" s="40">
        <v>0.0</v>
      </c>
      <c r="G903" s="33" t="s">
        <v>450</v>
      </c>
    </row>
    <row r="904" ht="15.75" customHeight="1">
      <c r="A904" s="33" t="s">
        <v>3719</v>
      </c>
      <c r="B904" s="33" t="s">
        <v>514</v>
      </c>
      <c r="C904" s="39">
        <v>46185.0</v>
      </c>
      <c r="D904" s="33" t="s">
        <v>461</v>
      </c>
      <c r="E904" s="40">
        <v>9.34</v>
      </c>
      <c r="F904" s="40">
        <v>0.12</v>
      </c>
      <c r="G904" s="33" t="s">
        <v>450</v>
      </c>
    </row>
    <row r="905" ht="15.75" customHeight="1">
      <c r="A905" s="33" t="s">
        <v>3721</v>
      </c>
      <c r="B905" s="33" t="s">
        <v>1043</v>
      </c>
      <c r="C905" s="39">
        <v>45881.0</v>
      </c>
      <c r="D905" s="33" t="s">
        <v>479</v>
      </c>
      <c r="E905" s="40">
        <v>29.18</v>
      </c>
      <c r="F905" s="40">
        <v>0.29</v>
      </c>
      <c r="G905" s="33" t="s">
        <v>431</v>
      </c>
    </row>
    <row r="906" ht="15.75" customHeight="1">
      <c r="A906" s="33" t="s">
        <v>3725</v>
      </c>
      <c r="B906" s="33" t="s">
        <v>2625</v>
      </c>
      <c r="C906" s="39">
        <v>45722.0</v>
      </c>
      <c r="D906" s="33" t="s">
        <v>428</v>
      </c>
      <c r="E906" s="40">
        <v>101.41</v>
      </c>
      <c r="F906" s="40">
        <v>0.0</v>
      </c>
      <c r="G906" s="33" t="s">
        <v>431</v>
      </c>
    </row>
    <row r="907" ht="15.75" customHeight="1">
      <c r="A907" s="33" t="s">
        <v>3729</v>
      </c>
      <c r="B907" s="33" t="s">
        <v>2917</v>
      </c>
      <c r="C907" s="39">
        <v>45806.0</v>
      </c>
      <c r="D907" s="33" t="s">
        <v>428</v>
      </c>
      <c r="E907" s="40">
        <v>52.72</v>
      </c>
      <c r="F907" s="40">
        <v>0.0</v>
      </c>
      <c r="G907" s="33" t="s">
        <v>450</v>
      </c>
    </row>
    <row r="908" ht="15.75" customHeight="1">
      <c r="A908" s="33" t="s">
        <v>3731</v>
      </c>
      <c r="B908" s="33" t="s">
        <v>1389</v>
      </c>
      <c r="C908" s="39">
        <v>46169.0</v>
      </c>
      <c r="D908" s="33" t="s">
        <v>461</v>
      </c>
      <c r="E908" s="40">
        <v>29.0</v>
      </c>
      <c r="F908" s="40">
        <v>0.37</v>
      </c>
      <c r="G908" s="33" t="s">
        <v>431</v>
      </c>
    </row>
    <row r="909" ht="15.75" customHeight="1">
      <c r="A909" s="33" t="s">
        <v>3734</v>
      </c>
      <c r="B909" s="33" t="s">
        <v>633</v>
      </c>
      <c r="C909" s="39">
        <v>46003.0</v>
      </c>
      <c r="D909" s="33" t="s">
        <v>479</v>
      </c>
      <c r="E909" s="40">
        <v>236.97</v>
      </c>
      <c r="F909" s="40">
        <v>3.71</v>
      </c>
      <c r="G909" s="33" t="s">
        <v>450</v>
      </c>
    </row>
    <row r="910" ht="15.75" customHeight="1">
      <c r="A910" s="33" t="s">
        <v>3738</v>
      </c>
      <c r="B910" s="33" t="s">
        <v>2066</v>
      </c>
      <c r="C910" s="39">
        <v>45919.0</v>
      </c>
      <c r="D910" s="33" t="s">
        <v>461</v>
      </c>
      <c r="E910" s="40">
        <v>55.27</v>
      </c>
      <c r="F910" s="40">
        <v>1.05</v>
      </c>
      <c r="G910" s="33" t="s">
        <v>450</v>
      </c>
    </row>
    <row r="911" ht="15.75" customHeight="1">
      <c r="A911" s="33" t="s">
        <v>3741</v>
      </c>
      <c r="B911" s="33" t="s">
        <v>3613</v>
      </c>
      <c r="C911" s="39">
        <v>45666.0</v>
      </c>
      <c r="D911" s="33" t="s">
        <v>461</v>
      </c>
      <c r="E911" s="40">
        <v>73.2</v>
      </c>
      <c r="F911" s="40">
        <v>0.58</v>
      </c>
      <c r="G911" s="33" t="s">
        <v>442</v>
      </c>
    </row>
    <row r="912" ht="15.75" customHeight="1">
      <c r="A912" s="33" t="s">
        <v>3745</v>
      </c>
      <c r="B912" s="33" t="s">
        <v>487</v>
      </c>
      <c r="C912" s="39">
        <v>46133.0</v>
      </c>
      <c r="D912" s="33" t="s">
        <v>435</v>
      </c>
      <c r="E912" s="40">
        <v>171.92</v>
      </c>
      <c r="F912" s="40">
        <v>0.0</v>
      </c>
      <c r="G912" s="33" t="s">
        <v>450</v>
      </c>
    </row>
    <row r="913" ht="15.75" customHeight="1">
      <c r="A913" s="33" t="s">
        <v>3748</v>
      </c>
      <c r="B913" s="33" t="s">
        <v>572</v>
      </c>
      <c r="C913" s="39">
        <v>45940.0</v>
      </c>
      <c r="D913" s="33" t="s">
        <v>440</v>
      </c>
      <c r="E913" s="40">
        <v>81.56</v>
      </c>
      <c r="F913" s="40">
        <v>0.0</v>
      </c>
      <c r="G913" s="33" t="s">
        <v>442</v>
      </c>
    </row>
    <row r="914" ht="15.75" customHeight="1">
      <c r="A914" s="33" t="s">
        <v>3750</v>
      </c>
      <c r="B914" s="33" t="s">
        <v>513</v>
      </c>
      <c r="C914" s="39">
        <v>45988.0</v>
      </c>
      <c r="D914" s="33" t="s">
        <v>428</v>
      </c>
      <c r="E914" s="40">
        <v>107.54</v>
      </c>
      <c r="F914" s="40">
        <v>0.0</v>
      </c>
      <c r="G914" s="33" t="s">
        <v>450</v>
      </c>
    </row>
    <row r="915" ht="15.75" customHeight="1">
      <c r="A915" s="33" t="s">
        <v>3753</v>
      </c>
      <c r="B915" s="33" t="s">
        <v>553</v>
      </c>
      <c r="C915" s="39">
        <v>46170.0</v>
      </c>
      <c r="D915" s="33" t="s">
        <v>440</v>
      </c>
      <c r="E915" s="40">
        <v>35.87</v>
      </c>
      <c r="F915" s="40">
        <v>0.0</v>
      </c>
      <c r="G915" s="33" t="s">
        <v>450</v>
      </c>
    </row>
    <row r="916" ht="15.75" customHeight="1">
      <c r="A916" s="33" t="s">
        <v>3755</v>
      </c>
      <c r="B916" s="33" t="s">
        <v>833</v>
      </c>
      <c r="C916" s="39">
        <v>45999.0</v>
      </c>
      <c r="D916" s="33" t="s">
        <v>435</v>
      </c>
      <c r="E916" s="40">
        <v>76.28</v>
      </c>
      <c r="F916" s="40">
        <v>0.0</v>
      </c>
      <c r="G916" s="33" t="s">
        <v>431</v>
      </c>
    </row>
    <row r="917" ht="15.75" customHeight="1">
      <c r="A917" s="33" t="s">
        <v>3759</v>
      </c>
      <c r="B917" s="33" t="s">
        <v>786</v>
      </c>
      <c r="C917" s="39">
        <v>46221.0</v>
      </c>
      <c r="D917" s="33" t="s">
        <v>428</v>
      </c>
      <c r="E917" s="40">
        <v>217.04</v>
      </c>
      <c r="F917" s="40">
        <v>0.0</v>
      </c>
      <c r="G917" s="33" t="s">
        <v>431</v>
      </c>
    </row>
    <row r="918" ht="15.75" customHeight="1">
      <c r="A918" s="33" t="s">
        <v>3763</v>
      </c>
      <c r="B918" s="33" t="s">
        <v>441</v>
      </c>
      <c r="C918" s="39">
        <v>45997.0</v>
      </c>
      <c r="D918" s="33" t="s">
        <v>428</v>
      </c>
      <c r="E918" s="40">
        <v>97.82</v>
      </c>
      <c r="F918" s="40">
        <v>0.0</v>
      </c>
      <c r="G918" s="33" t="s">
        <v>450</v>
      </c>
    </row>
    <row r="919" ht="15.75" customHeight="1">
      <c r="A919" s="33" t="s">
        <v>3765</v>
      </c>
      <c r="B919" s="33" t="s">
        <v>2187</v>
      </c>
      <c r="C919" s="39">
        <v>45865.0</v>
      </c>
      <c r="D919" s="33" t="s">
        <v>461</v>
      </c>
      <c r="E919" s="40">
        <v>87.68</v>
      </c>
      <c r="F919" s="40">
        <v>0.95</v>
      </c>
      <c r="G919" s="33" t="s">
        <v>450</v>
      </c>
    </row>
    <row r="920" ht="15.75" customHeight="1">
      <c r="A920" s="33" t="s">
        <v>3769</v>
      </c>
      <c r="B920" s="33" t="s">
        <v>297</v>
      </c>
      <c r="C920" s="39">
        <v>46218.0</v>
      </c>
      <c r="D920" s="33" t="s">
        <v>461</v>
      </c>
      <c r="E920" s="40">
        <v>59.82</v>
      </c>
      <c r="F920" s="40">
        <v>0.33</v>
      </c>
      <c r="G920" s="33" t="s">
        <v>450</v>
      </c>
    </row>
    <row r="921" ht="15.75" customHeight="1">
      <c r="A921" s="33" t="s">
        <v>3772</v>
      </c>
      <c r="B921" s="33" t="s">
        <v>3190</v>
      </c>
      <c r="C921" s="39">
        <v>46047.0</v>
      </c>
      <c r="D921" s="33" t="s">
        <v>440</v>
      </c>
      <c r="E921" s="40">
        <v>22.14</v>
      </c>
      <c r="F921" s="40">
        <v>0.0</v>
      </c>
      <c r="G921" s="33" t="s">
        <v>450</v>
      </c>
    </row>
    <row r="922" ht="15.75" customHeight="1">
      <c r="A922" s="33" t="s">
        <v>3776</v>
      </c>
      <c r="B922" s="33" t="s">
        <v>858</v>
      </c>
      <c r="C922" s="39">
        <v>46119.0</v>
      </c>
      <c r="D922" s="33" t="s">
        <v>440</v>
      </c>
      <c r="E922" s="40">
        <v>159.39</v>
      </c>
      <c r="F922" s="40">
        <v>0.0</v>
      </c>
      <c r="G922" s="33" t="s">
        <v>442</v>
      </c>
    </row>
    <row r="923" ht="15.75" customHeight="1">
      <c r="A923" s="33" t="s">
        <v>3780</v>
      </c>
      <c r="B923" s="33" t="s">
        <v>1179</v>
      </c>
      <c r="C923" s="39">
        <v>45795.0</v>
      </c>
      <c r="D923" s="33" t="s">
        <v>428</v>
      </c>
      <c r="E923" s="40">
        <v>68.78</v>
      </c>
      <c r="F923" s="40">
        <v>0.0</v>
      </c>
      <c r="G923" s="33" t="s">
        <v>450</v>
      </c>
    </row>
    <row r="924" ht="15.75" customHeight="1">
      <c r="A924" s="33" t="s">
        <v>3784</v>
      </c>
      <c r="B924" s="33" t="s">
        <v>375</v>
      </c>
      <c r="C924" s="39">
        <v>46065.0</v>
      </c>
      <c r="D924" s="33" t="s">
        <v>428</v>
      </c>
      <c r="E924" s="40">
        <v>40.59</v>
      </c>
      <c r="F924" s="40">
        <v>0.0</v>
      </c>
      <c r="G924" s="33" t="s">
        <v>431</v>
      </c>
    </row>
    <row r="925" ht="15.75" customHeight="1">
      <c r="A925" s="33" t="s">
        <v>3788</v>
      </c>
      <c r="B925" s="33" t="s">
        <v>2259</v>
      </c>
      <c r="C925" s="39">
        <v>45998.0</v>
      </c>
      <c r="D925" s="33" t="s">
        <v>479</v>
      </c>
      <c r="E925" s="40">
        <v>19.79</v>
      </c>
      <c r="F925" s="40">
        <v>0.31</v>
      </c>
      <c r="G925" s="33" t="s">
        <v>450</v>
      </c>
    </row>
    <row r="926" ht="15.75" customHeight="1">
      <c r="A926" s="33" t="s">
        <v>3792</v>
      </c>
      <c r="B926" s="33" t="s">
        <v>309</v>
      </c>
      <c r="C926" s="39">
        <v>45721.0</v>
      </c>
      <c r="D926" s="33" t="s">
        <v>440</v>
      </c>
      <c r="E926" s="40">
        <v>91.08</v>
      </c>
      <c r="F926" s="40">
        <v>0.0</v>
      </c>
      <c r="G926" s="33" t="s">
        <v>450</v>
      </c>
    </row>
    <row r="927" ht="15.75" customHeight="1">
      <c r="A927" s="33" t="s">
        <v>3796</v>
      </c>
      <c r="B927" s="33" t="s">
        <v>2327</v>
      </c>
      <c r="C927" s="39">
        <v>45812.0</v>
      </c>
      <c r="D927" s="33" t="s">
        <v>435</v>
      </c>
      <c r="E927" s="40">
        <v>25.81</v>
      </c>
      <c r="F927" s="40">
        <v>0.0</v>
      </c>
      <c r="G927" s="33" t="s">
        <v>450</v>
      </c>
    </row>
    <row r="928" ht="15.75" customHeight="1">
      <c r="A928" s="33" t="s">
        <v>3800</v>
      </c>
      <c r="B928" s="33" t="s">
        <v>1972</v>
      </c>
      <c r="C928" s="39">
        <v>46211.0</v>
      </c>
      <c r="D928" s="33" t="s">
        <v>435</v>
      </c>
      <c r="E928" s="40">
        <v>160.36</v>
      </c>
      <c r="F928" s="40">
        <v>0.0</v>
      </c>
      <c r="G928" s="33" t="s">
        <v>450</v>
      </c>
    </row>
    <row r="929" ht="15.75" customHeight="1">
      <c r="A929" s="33" t="s">
        <v>3804</v>
      </c>
      <c r="B929" s="33" t="s">
        <v>1140</v>
      </c>
      <c r="C929" s="39">
        <v>46004.0</v>
      </c>
      <c r="D929" s="33" t="s">
        <v>479</v>
      </c>
      <c r="E929" s="40">
        <v>42.71</v>
      </c>
      <c r="F929" s="40">
        <v>0.53</v>
      </c>
      <c r="G929" s="33" t="s">
        <v>450</v>
      </c>
    </row>
    <row r="930" ht="15.75" customHeight="1">
      <c r="A930" s="33" t="s">
        <v>3810</v>
      </c>
      <c r="B930" s="33" t="s">
        <v>863</v>
      </c>
      <c r="C930" s="39">
        <v>46128.0</v>
      </c>
      <c r="D930" s="33" t="s">
        <v>479</v>
      </c>
      <c r="E930" s="40">
        <v>77.57</v>
      </c>
      <c r="F930" s="40">
        <v>0.54</v>
      </c>
      <c r="G930" s="33" t="s">
        <v>442</v>
      </c>
    </row>
    <row r="931" ht="15.75" customHeight="1">
      <c r="A931" s="33" t="s">
        <v>3813</v>
      </c>
      <c r="B931" s="33" t="s">
        <v>1147</v>
      </c>
      <c r="C931" s="39">
        <v>45762.0</v>
      </c>
      <c r="D931" s="33" t="s">
        <v>461</v>
      </c>
      <c r="E931" s="40">
        <v>96.4</v>
      </c>
      <c r="F931" s="40">
        <v>1.37</v>
      </c>
      <c r="G931" s="33" t="s">
        <v>442</v>
      </c>
    </row>
    <row r="932" ht="15.75" customHeight="1">
      <c r="A932" s="33" t="s">
        <v>3816</v>
      </c>
      <c r="B932" s="33" t="s">
        <v>206</v>
      </c>
      <c r="C932" s="39">
        <v>45790.0</v>
      </c>
      <c r="D932" s="33" t="s">
        <v>428</v>
      </c>
      <c r="E932" s="40">
        <v>88.38</v>
      </c>
      <c r="F932" s="40">
        <v>0.0</v>
      </c>
      <c r="G932" s="33" t="s">
        <v>442</v>
      </c>
    </row>
    <row r="933" ht="15.75" customHeight="1">
      <c r="A933" s="33" t="s">
        <v>3820</v>
      </c>
      <c r="B933" s="33" t="s">
        <v>1259</v>
      </c>
      <c r="C933" s="39">
        <v>46229.0</v>
      </c>
      <c r="D933" s="33" t="s">
        <v>440</v>
      </c>
      <c r="E933" s="40">
        <v>137.13</v>
      </c>
      <c r="F933" s="40">
        <v>0.0</v>
      </c>
      <c r="G933" s="33" t="s">
        <v>450</v>
      </c>
    </row>
    <row r="934" ht="15.75" customHeight="1">
      <c r="A934" s="33" t="s">
        <v>3823</v>
      </c>
      <c r="B934" s="33" t="s">
        <v>349</v>
      </c>
      <c r="C934" s="39">
        <v>45913.0</v>
      </c>
      <c r="D934" s="33" t="s">
        <v>435</v>
      </c>
      <c r="E934" s="40">
        <v>46.2</v>
      </c>
      <c r="F934" s="40">
        <v>0.0</v>
      </c>
      <c r="G934" s="33" t="s">
        <v>450</v>
      </c>
    </row>
    <row r="935" ht="15.75" customHeight="1">
      <c r="A935" s="33" t="s">
        <v>3826</v>
      </c>
      <c r="B935" s="33" t="s">
        <v>1222</v>
      </c>
      <c r="C935" s="39">
        <v>46196.0</v>
      </c>
      <c r="D935" s="33" t="s">
        <v>428</v>
      </c>
      <c r="E935" s="40">
        <v>73.59</v>
      </c>
      <c r="F935" s="40">
        <v>0.0</v>
      </c>
      <c r="G935" s="33" t="s">
        <v>431</v>
      </c>
    </row>
    <row r="936" ht="15.75" customHeight="1">
      <c r="A936" s="33" t="s">
        <v>3829</v>
      </c>
      <c r="B936" s="33" t="s">
        <v>2187</v>
      </c>
      <c r="C936" s="39">
        <v>46148.0</v>
      </c>
      <c r="D936" s="33" t="s">
        <v>461</v>
      </c>
      <c r="E936" s="40">
        <v>111.81</v>
      </c>
      <c r="F936" s="40">
        <v>1.01</v>
      </c>
      <c r="G936" s="33" t="s">
        <v>431</v>
      </c>
    </row>
    <row r="937" ht="15.75" customHeight="1">
      <c r="A937" s="33" t="s">
        <v>3833</v>
      </c>
      <c r="B937" s="33" t="s">
        <v>2073</v>
      </c>
      <c r="C937" s="39">
        <v>45862.0</v>
      </c>
      <c r="D937" s="33" t="s">
        <v>479</v>
      </c>
      <c r="E937" s="40">
        <v>203.1</v>
      </c>
      <c r="F937" s="40">
        <v>3.18</v>
      </c>
      <c r="G937" s="33" t="s">
        <v>450</v>
      </c>
    </row>
    <row r="938" ht="15.75" customHeight="1">
      <c r="A938" s="33" t="s">
        <v>3835</v>
      </c>
      <c r="B938" s="33" t="s">
        <v>1979</v>
      </c>
      <c r="C938" s="39">
        <v>46234.0</v>
      </c>
      <c r="D938" s="33" t="s">
        <v>435</v>
      </c>
      <c r="E938" s="40">
        <v>130.34</v>
      </c>
      <c r="F938" s="40">
        <v>0.0</v>
      </c>
      <c r="G938" s="33" t="s">
        <v>431</v>
      </c>
    </row>
    <row r="939" ht="15.75" customHeight="1">
      <c r="A939" s="33" t="s">
        <v>3838</v>
      </c>
      <c r="B939" s="33" t="s">
        <v>2732</v>
      </c>
      <c r="C939" s="39">
        <v>46129.0</v>
      </c>
      <c r="D939" s="33" t="s">
        <v>479</v>
      </c>
      <c r="E939" s="40">
        <v>147.8</v>
      </c>
      <c r="F939" s="40">
        <v>1.06</v>
      </c>
      <c r="G939" s="33" t="s">
        <v>442</v>
      </c>
    </row>
    <row r="940" ht="15.75" customHeight="1">
      <c r="A940" s="33" t="s">
        <v>3842</v>
      </c>
      <c r="B940" s="33" t="s">
        <v>1080</v>
      </c>
      <c r="C940" s="39">
        <v>45735.0</v>
      </c>
      <c r="D940" s="33" t="s">
        <v>461</v>
      </c>
      <c r="E940" s="40">
        <v>56.43</v>
      </c>
      <c r="F940" s="40">
        <v>0.92</v>
      </c>
      <c r="G940" s="33" t="s">
        <v>450</v>
      </c>
    </row>
    <row r="941" ht="15.75" customHeight="1">
      <c r="A941" s="33" t="s">
        <v>3847</v>
      </c>
      <c r="B941" s="33" t="s">
        <v>308</v>
      </c>
      <c r="C941" s="39">
        <v>45715.0</v>
      </c>
      <c r="D941" s="33" t="s">
        <v>428</v>
      </c>
      <c r="E941" s="40">
        <v>97.78</v>
      </c>
      <c r="F941" s="40">
        <v>0.0</v>
      </c>
      <c r="G941" s="33" t="s">
        <v>450</v>
      </c>
    </row>
    <row r="942" ht="15.75" customHeight="1">
      <c r="A942" s="33" t="s">
        <v>3851</v>
      </c>
      <c r="B942" s="33" t="s">
        <v>2317</v>
      </c>
      <c r="C942" s="39">
        <v>45734.0</v>
      </c>
      <c r="D942" s="33" t="s">
        <v>479</v>
      </c>
      <c r="E942" s="40">
        <v>183.48</v>
      </c>
      <c r="F942" s="40">
        <v>3.38</v>
      </c>
      <c r="G942" s="33" t="s">
        <v>450</v>
      </c>
    </row>
    <row r="943" ht="15.75" customHeight="1">
      <c r="A943" s="33" t="s">
        <v>3854</v>
      </c>
      <c r="B943" s="33" t="s">
        <v>1640</v>
      </c>
      <c r="C943" s="39">
        <v>46107.0</v>
      </c>
      <c r="D943" s="33" t="s">
        <v>479</v>
      </c>
      <c r="E943" s="40">
        <v>70.77</v>
      </c>
      <c r="F943" s="40">
        <v>1.23</v>
      </c>
      <c r="G943" s="33" t="s">
        <v>450</v>
      </c>
    </row>
    <row r="944" ht="15.75" customHeight="1">
      <c r="A944" s="33" t="s">
        <v>3860</v>
      </c>
      <c r="B944" s="33" t="s">
        <v>1251</v>
      </c>
      <c r="C944" s="39">
        <v>45744.0</v>
      </c>
      <c r="D944" s="33" t="s">
        <v>440</v>
      </c>
      <c r="E944" s="40">
        <v>98.21</v>
      </c>
      <c r="F944" s="40">
        <v>0.0</v>
      </c>
      <c r="G944" s="33" t="s">
        <v>450</v>
      </c>
    </row>
    <row r="945" ht="15.75" customHeight="1">
      <c r="A945" s="33" t="s">
        <v>3865</v>
      </c>
      <c r="B945" s="33" t="s">
        <v>1289</v>
      </c>
      <c r="C945" s="39">
        <v>45829.0</v>
      </c>
      <c r="D945" s="33" t="s">
        <v>479</v>
      </c>
      <c r="E945" s="40">
        <v>15.28</v>
      </c>
      <c r="F945" s="40">
        <v>0.13</v>
      </c>
      <c r="G945" s="33" t="s">
        <v>442</v>
      </c>
    </row>
    <row r="946" ht="15.75" customHeight="1">
      <c r="A946" s="33" t="s">
        <v>3867</v>
      </c>
      <c r="B946" s="33" t="s">
        <v>3305</v>
      </c>
      <c r="C946" s="39">
        <v>45921.0</v>
      </c>
      <c r="D946" s="33" t="s">
        <v>435</v>
      </c>
      <c r="E946" s="40">
        <v>119.66</v>
      </c>
      <c r="F946" s="40">
        <v>0.0</v>
      </c>
      <c r="G946" s="33" t="s">
        <v>450</v>
      </c>
    </row>
    <row r="947" ht="15.75" customHeight="1">
      <c r="A947" s="33" t="s">
        <v>3871</v>
      </c>
      <c r="B947" s="33" t="s">
        <v>2456</v>
      </c>
      <c r="C947" s="39">
        <v>45740.0</v>
      </c>
      <c r="D947" s="33" t="s">
        <v>435</v>
      </c>
      <c r="E947" s="40">
        <v>86.98</v>
      </c>
      <c r="F947" s="40">
        <v>0.0</v>
      </c>
      <c r="G947" s="33" t="s">
        <v>450</v>
      </c>
    </row>
    <row r="948" ht="15.75" customHeight="1">
      <c r="A948" s="33" t="s">
        <v>3878</v>
      </c>
      <c r="B948" s="33" t="s">
        <v>1878</v>
      </c>
      <c r="C948" s="39">
        <v>45858.0</v>
      </c>
      <c r="D948" s="33" t="s">
        <v>461</v>
      </c>
      <c r="E948" s="40">
        <v>114.06</v>
      </c>
      <c r="F948" s="40">
        <v>0.79</v>
      </c>
      <c r="G948" s="33" t="s">
        <v>450</v>
      </c>
    </row>
    <row r="949" ht="15.75" customHeight="1">
      <c r="A949" s="33" t="s">
        <v>3881</v>
      </c>
      <c r="B949" s="33" t="s">
        <v>705</v>
      </c>
      <c r="C949" s="39">
        <v>46069.0</v>
      </c>
      <c r="D949" s="33" t="s">
        <v>440</v>
      </c>
      <c r="E949" s="40">
        <v>57.53</v>
      </c>
      <c r="F949" s="40">
        <v>0.0</v>
      </c>
      <c r="G949" s="33" t="s">
        <v>442</v>
      </c>
    </row>
    <row r="950" ht="15.75" customHeight="1">
      <c r="A950" s="33" t="s">
        <v>3886</v>
      </c>
      <c r="B950" s="33" t="s">
        <v>1876</v>
      </c>
      <c r="C950" s="39">
        <v>46248.0</v>
      </c>
      <c r="D950" s="33" t="s">
        <v>428</v>
      </c>
      <c r="E950" s="40">
        <v>11.5</v>
      </c>
      <c r="F950" s="40">
        <v>0.0</v>
      </c>
      <c r="G950" s="33" t="s">
        <v>431</v>
      </c>
    </row>
    <row r="951" ht="15.75" customHeight="1">
      <c r="A951" s="33" t="s">
        <v>3889</v>
      </c>
      <c r="B951" s="33" t="s">
        <v>3055</v>
      </c>
      <c r="C951" s="39">
        <v>45943.0</v>
      </c>
      <c r="D951" s="33" t="s">
        <v>440</v>
      </c>
      <c r="E951" s="40">
        <v>123.71</v>
      </c>
      <c r="F951" s="40">
        <v>0.0</v>
      </c>
      <c r="G951" s="33" t="s">
        <v>442</v>
      </c>
    </row>
    <row r="952" ht="15.75" customHeight="1">
      <c r="A952" s="33" t="s">
        <v>3891</v>
      </c>
      <c r="B952" s="33" t="s">
        <v>1181</v>
      </c>
      <c r="C952" s="39">
        <v>46111.0</v>
      </c>
      <c r="D952" s="33" t="s">
        <v>428</v>
      </c>
      <c r="E952" s="40">
        <v>40.27</v>
      </c>
      <c r="F952" s="40">
        <v>0.0</v>
      </c>
      <c r="G952" s="33" t="s">
        <v>450</v>
      </c>
    </row>
    <row r="953" ht="15.75" customHeight="1">
      <c r="A953" s="33" t="s">
        <v>3894</v>
      </c>
      <c r="B953" s="33" t="s">
        <v>1408</v>
      </c>
      <c r="C953" s="39">
        <v>45979.0</v>
      </c>
      <c r="D953" s="33" t="s">
        <v>435</v>
      </c>
      <c r="E953" s="40">
        <v>17.19</v>
      </c>
      <c r="F953" s="40">
        <v>0.0</v>
      </c>
      <c r="G953" s="33" t="s">
        <v>442</v>
      </c>
    </row>
    <row r="954" ht="15.75" customHeight="1">
      <c r="A954" s="33" t="s">
        <v>3898</v>
      </c>
      <c r="B954" s="33" t="s">
        <v>2153</v>
      </c>
      <c r="C954" s="39">
        <v>45941.0</v>
      </c>
      <c r="D954" s="33" t="s">
        <v>435</v>
      </c>
      <c r="E954" s="40">
        <v>82.56</v>
      </c>
      <c r="F954" s="40">
        <v>0.0</v>
      </c>
      <c r="G954" s="33" t="s">
        <v>450</v>
      </c>
    </row>
    <row r="955" ht="15.75" customHeight="1">
      <c r="A955" s="33" t="s">
        <v>3901</v>
      </c>
      <c r="B955" s="33" t="s">
        <v>284</v>
      </c>
      <c r="C955" s="39">
        <v>45973.0</v>
      </c>
      <c r="D955" s="33" t="s">
        <v>479</v>
      </c>
      <c r="E955" s="40">
        <v>220.94</v>
      </c>
      <c r="F955" s="40">
        <v>2.95</v>
      </c>
      <c r="G955" s="33" t="s">
        <v>450</v>
      </c>
    </row>
    <row r="956" ht="15.75" customHeight="1">
      <c r="A956" s="33" t="s">
        <v>3905</v>
      </c>
      <c r="B956" s="33" t="s">
        <v>1016</v>
      </c>
      <c r="C956" s="39">
        <v>46239.0</v>
      </c>
      <c r="D956" s="33" t="s">
        <v>428</v>
      </c>
      <c r="E956" s="40">
        <v>35.11</v>
      </c>
      <c r="F956" s="40">
        <v>0.0</v>
      </c>
      <c r="G956" s="33" t="s">
        <v>450</v>
      </c>
    </row>
    <row r="957" ht="15.75" customHeight="1">
      <c r="A957" s="33" t="s">
        <v>3907</v>
      </c>
      <c r="B957" s="33" t="s">
        <v>569</v>
      </c>
      <c r="C957" s="39">
        <v>45694.0</v>
      </c>
      <c r="D957" s="33" t="s">
        <v>435</v>
      </c>
      <c r="E957" s="40">
        <v>41.72</v>
      </c>
      <c r="F957" s="40">
        <v>0.0</v>
      </c>
      <c r="G957" s="33" t="s">
        <v>431</v>
      </c>
    </row>
    <row r="958" ht="15.75" customHeight="1">
      <c r="A958" s="33" t="s">
        <v>3909</v>
      </c>
      <c r="B958" s="33" t="s">
        <v>753</v>
      </c>
      <c r="C958" s="39">
        <v>45969.0</v>
      </c>
      <c r="D958" s="33" t="s">
        <v>479</v>
      </c>
      <c r="E958" s="40">
        <v>128.12</v>
      </c>
      <c r="F958" s="40">
        <v>1.69</v>
      </c>
      <c r="G958" s="33" t="s">
        <v>431</v>
      </c>
    </row>
    <row r="959" ht="15.75" customHeight="1">
      <c r="A959" s="33" t="s">
        <v>3913</v>
      </c>
      <c r="B959" s="33" t="s">
        <v>1495</v>
      </c>
      <c r="C959" s="39">
        <v>45689.0</v>
      </c>
      <c r="D959" s="33" t="s">
        <v>440</v>
      </c>
      <c r="E959" s="40">
        <v>61.96</v>
      </c>
      <c r="F959" s="40">
        <v>0.0</v>
      </c>
      <c r="G959" s="33" t="s">
        <v>450</v>
      </c>
    </row>
    <row r="960" ht="15.75" customHeight="1">
      <c r="A960" s="33" t="s">
        <v>3916</v>
      </c>
      <c r="B960" s="33" t="s">
        <v>441</v>
      </c>
      <c r="C960" s="39">
        <v>46189.0</v>
      </c>
      <c r="D960" s="33" t="s">
        <v>461</v>
      </c>
      <c r="E960" s="40">
        <v>123.4</v>
      </c>
      <c r="F960" s="40">
        <v>2.4</v>
      </c>
      <c r="G960" s="33" t="s">
        <v>450</v>
      </c>
    </row>
    <row r="961" ht="15.75" customHeight="1">
      <c r="A961" s="33" t="s">
        <v>3919</v>
      </c>
      <c r="B961" s="33" t="s">
        <v>1065</v>
      </c>
      <c r="C961" s="39">
        <v>46022.0</v>
      </c>
      <c r="D961" s="33" t="s">
        <v>479</v>
      </c>
      <c r="E961" s="40">
        <v>59.32</v>
      </c>
      <c r="F961" s="40">
        <v>0.34</v>
      </c>
      <c r="G961" s="33" t="s">
        <v>431</v>
      </c>
    </row>
    <row r="962" ht="15.75" customHeight="1">
      <c r="A962" s="33" t="s">
        <v>3923</v>
      </c>
      <c r="B962" s="33" t="s">
        <v>2570</v>
      </c>
      <c r="C962" s="39">
        <v>45686.0</v>
      </c>
      <c r="D962" s="33" t="s">
        <v>461</v>
      </c>
      <c r="E962" s="40">
        <v>51.89</v>
      </c>
      <c r="F962" s="40">
        <v>0.58</v>
      </c>
      <c r="G962" s="33" t="s">
        <v>450</v>
      </c>
    </row>
    <row r="963" ht="15.75" customHeight="1">
      <c r="A963" s="33" t="s">
        <v>3927</v>
      </c>
      <c r="B963" s="33" t="s">
        <v>2497</v>
      </c>
      <c r="C963" s="39">
        <v>46036.0</v>
      </c>
      <c r="D963" s="33" t="s">
        <v>440</v>
      </c>
      <c r="E963" s="40">
        <v>36.67</v>
      </c>
      <c r="F963" s="40">
        <v>0.0</v>
      </c>
      <c r="G963" s="33" t="s">
        <v>450</v>
      </c>
    </row>
    <row r="964" ht="15.75" customHeight="1">
      <c r="A964" s="33" t="s">
        <v>3931</v>
      </c>
      <c r="B964" s="33" t="s">
        <v>536</v>
      </c>
      <c r="C964" s="39">
        <v>45922.0</v>
      </c>
      <c r="D964" s="33" t="s">
        <v>440</v>
      </c>
      <c r="E964" s="40">
        <v>92.78</v>
      </c>
      <c r="F964" s="40">
        <v>0.0</v>
      </c>
      <c r="G964" s="33" t="s">
        <v>450</v>
      </c>
    </row>
    <row r="965" ht="15.75" customHeight="1">
      <c r="A965" s="33" t="s">
        <v>3933</v>
      </c>
      <c r="B965" s="33" t="s">
        <v>3934</v>
      </c>
      <c r="C965" s="39">
        <v>45686.0</v>
      </c>
      <c r="D965" s="33" t="s">
        <v>461</v>
      </c>
      <c r="E965" s="40">
        <v>36.47</v>
      </c>
      <c r="F965" s="40">
        <v>0.69</v>
      </c>
      <c r="G965" s="33" t="s">
        <v>450</v>
      </c>
    </row>
    <row r="966" ht="15.75" customHeight="1">
      <c r="A966" s="33" t="s">
        <v>3937</v>
      </c>
      <c r="B966" s="33" t="s">
        <v>389</v>
      </c>
      <c r="C966" s="39">
        <v>46251.0</v>
      </c>
      <c r="D966" s="33" t="s">
        <v>440</v>
      </c>
      <c r="E966" s="40">
        <v>49.33</v>
      </c>
      <c r="F966" s="40">
        <v>0.0</v>
      </c>
      <c r="G966" s="33" t="s">
        <v>431</v>
      </c>
    </row>
    <row r="967" ht="15.75" customHeight="1">
      <c r="A967" s="33" t="s">
        <v>3941</v>
      </c>
      <c r="B967" s="33" t="s">
        <v>866</v>
      </c>
      <c r="C967" s="39">
        <v>45887.0</v>
      </c>
      <c r="D967" s="33" t="s">
        <v>461</v>
      </c>
      <c r="E967" s="40">
        <v>158.59</v>
      </c>
      <c r="F967" s="40">
        <v>1.17</v>
      </c>
      <c r="G967" s="33" t="s">
        <v>431</v>
      </c>
    </row>
    <row r="968" ht="15.75" customHeight="1">
      <c r="A968" s="33" t="s">
        <v>3945</v>
      </c>
      <c r="B968" s="33" t="s">
        <v>879</v>
      </c>
      <c r="C968" s="39">
        <v>45672.0</v>
      </c>
      <c r="D968" s="33" t="s">
        <v>435</v>
      </c>
      <c r="E968" s="40">
        <v>285.38</v>
      </c>
      <c r="F968" s="40">
        <v>0.0</v>
      </c>
      <c r="G968" s="33" t="s">
        <v>442</v>
      </c>
    </row>
    <row r="969" ht="15.75" customHeight="1">
      <c r="A969" s="33" t="s">
        <v>3949</v>
      </c>
      <c r="B969" s="33" t="s">
        <v>524</v>
      </c>
      <c r="C969" s="39">
        <v>46030.0</v>
      </c>
      <c r="D969" s="33" t="s">
        <v>440</v>
      </c>
      <c r="E969" s="40">
        <v>101.56</v>
      </c>
      <c r="F969" s="40">
        <v>0.0</v>
      </c>
      <c r="G969" s="33" t="s">
        <v>450</v>
      </c>
    </row>
    <row r="970" ht="15.75" customHeight="1">
      <c r="A970" s="33" t="s">
        <v>3952</v>
      </c>
      <c r="B970" s="33" t="s">
        <v>2259</v>
      </c>
      <c r="C970" s="39">
        <v>45885.0</v>
      </c>
      <c r="D970" s="33" t="s">
        <v>435</v>
      </c>
      <c r="E970" s="40">
        <v>162.85</v>
      </c>
      <c r="F970" s="40">
        <v>0.0</v>
      </c>
      <c r="G970" s="33" t="s">
        <v>442</v>
      </c>
    </row>
    <row r="971" ht="15.75" customHeight="1">
      <c r="A971" s="33" t="s">
        <v>3954</v>
      </c>
      <c r="B971" s="33" t="s">
        <v>1901</v>
      </c>
      <c r="C971" s="39">
        <v>46056.0</v>
      </c>
      <c r="D971" s="33" t="s">
        <v>435</v>
      </c>
      <c r="E971" s="40">
        <v>54.35</v>
      </c>
      <c r="F971" s="40">
        <v>0.0</v>
      </c>
      <c r="G971" s="33" t="s">
        <v>431</v>
      </c>
    </row>
    <row r="972" ht="15.75" customHeight="1">
      <c r="A972" s="33" t="s">
        <v>3958</v>
      </c>
      <c r="B972" s="33" t="s">
        <v>278</v>
      </c>
      <c r="C972" s="39">
        <v>45756.0</v>
      </c>
      <c r="D972" s="33" t="s">
        <v>440</v>
      </c>
      <c r="E972" s="40">
        <v>60.46</v>
      </c>
      <c r="F972" s="40">
        <v>0.0</v>
      </c>
      <c r="G972" s="33" t="s">
        <v>450</v>
      </c>
    </row>
    <row r="973" ht="15.75" customHeight="1">
      <c r="A973" s="33" t="s">
        <v>3961</v>
      </c>
      <c r="B973" s="33" t="s">
        <v>740</v>
      </c>
      <c r="C973" s="39">
        <v>46160.0</v>
      </c>
      <c r="D973" s="33" t="s">
        <v>479</v>
      </c>
      <c r="E973" s="40">
        <v>85.49</v>
      </c>
      <c r="F973" s="40">
        <v>0.58</v>
      </c>
      <c r="G973" s="33" t="s">
        <v>450</v>
      </c>
    </row>
    <row r="974" ht="15.75" customHeight="1">
      <c r="A974" s="33" t="s">
        <v>3965</v>
      </c>
      <c r="B974" s="33" t="s">
        <v>299</v>
      </c>
      <c r="C974" s="39">
        <v>45912.0</v>
      </c>
      <c r="D974" s="33" t="s">
        <v>435</v>
      </c>
      <c r="E974" s="40">
        <v>40.8</v>
      </c>
      <c r="F974" s="40">
        <v>0.0</v>
      </c>
      <c r="G974" s="33" t="s">
        <v>450</v>
      </c>
    </row>
    <row r="975" ht="15.75" customHeight="1">
      <c r="A975" s="33" t="s">
        <v>3968</v>
      </c>
      <c r="B975" s="33" t="s">
        <v>469</v>
      </c>
      <c r="C975" s="39">
        <v>45913.0</v>
      </c>
      <c r="D975" s="33" t="s">
        <v>435</v>
      </c>
      <c r="E975" s="40">
        <v>51.29</v>
      </c>
      <c r="F975" s="40">
        <v>0.0</v>
      </c>
      <c r="G975" s="33" t="s">
        <v>431</v>
      </c>
    </row>
    <row r="976" ht="15.75" customHeight="1">
      <c r="A976" s="33" t="s">
        <v>3971</v>
      </c>
      <c r="B976" s="33" t="s">
        <v>1031</v>
      </c>
      <c r="C976" s="39">
        <v>46145.0</v>
      </c>
      <c r="D976" s="33" t="s">
        <v>428</v>
      </c>
      <c r="E976" s="40">
        <v>120.43</v>
      </c>
      <c r="F976" s="40">
        <v>0.0</v>
      </c>
      <c r="G976" s="33" t="s">
        <v>442</v>
      </c>
    </row>
    <row r="977" ht="15.75" customHeight="1">
      <c r="A977" s="33" t="s">
        <v>3974</v>
      </c>
      <c r="B977" s="33" t="s">
        <v>1470</v>
      </c>
      <c r="C977" s="39">
        <v>45990.0</v>
      </c>
      <c r="D977" s="33" t="s">
        <v>479</v>
      </c>
      <c r="E977" s="40">
        <v>74.91</v>
      </c>
      <c r="F977" s="40">
        <v>0.46</v>
      </c>
      <c r="G977" s="33" t="s">
        <v>450</v>
      </c>
    </row>
    <row r="978" ht="15.75" customHeight="1">
      <c r="A978" s="33" t="s">
        <v>3976</v>
      </c>
      <c r="B978" s="33" t="s">
        <v>2615</v>
      </c>
      <c r="C978" s="39">
        <v>45658.0</v>
      </c>
      <c r="D978" s="33" t="s">
        <v>461</v>
      </c>
      <c r="E978" s="40">
        <v>65.63</v>
      </c>
      <c r="F978" s="40">
        <v>0.7</v>
      </c>
      <c r="G978" s="33" t="s">
        <v>431</v>
      </c>
    </row>
    <row r="979" ht="15.75" customHeight="1">
      <c r="A979" s="33" t="s">
        <v>3980</v>
      </c>
      <c r="B979" s="33" t="s">
        <v>754</v>
      </c>
      <c r="C979" s="39">
        <v>46009.0</v>
      </c>
      <c r="D979" s="33" t="s">
        <v>461</v>
      </c>
      <c r="E979" s="40">
        <v>63.14</v>
      </c>
      <c r="F979" s="40">
        <v>0.67</v>
      </c>
      <c r="G979" s="33" t="s">
        <v>450</v>
      </c>
    </row>
    <row r="980" ht="15.75" customHeight="1">
      <c r="A980" s="33" t="s">
        <v>3983</v>
      </c>
      <c r="B980" s="33" t="s">
        <v>2723</v>
      </c>
      <c r="C980" s="39">
        <v>46050.0</v>
      </c>
      <c r="D980" s="33" t="s">
        <v>435</v>
      </c>
      <c r="E980" s="40">
        <v>29.38</v>
      </c>
      <c r="F980" s="40">
        <v>0.0</v>
      </c>
      <c r="G980" s="33" t="s">
        <v>450</v>
      </c>
    </row>
    <row r="981" ht="15.75" customHeight="1">
      <c r="A981" s="33" t="s">
        <v>3986</v>
      </c>
      <c r="B981" s="33" t="s">
        <v>2087</v>
      </c>
      <c r="C981" s="39">
        <v>45847.0</v>
      </c>
      <c r="D981" s="33" t="s">
        <v>461</v>
      </c>
      <c r="E981" s="40">
        <v>83.13</v>
      </c>
      <c r="F981" s="40">
        <v>0.91</v>
      </c>
      <c r="G981" s="33" t="s">
        <v>450</v>
      </c>
    </row>
    <row r="982" ht="15.75" customHeight="1">
      <c r="A982" s="33" t="s">
        <v>3990</v>
      </c>
      <c r="B982" s="33" t="s">
        <v>521</v>
      </c>
      <c r="C982" s="39">
        <v>45767.0</v>
      </c>
      <c r="D982" s="33" t="s">
        <v>428</v>
      </c>
      <c r="E982" s="40">
        <v>40.82</v>
      </c>
      <c r="F982" s="40">
        <v>0.0</v>
      </c>
      <c r="G982" s="33" t="s">
        <v>442</v>
      </c>
    </row>
    <row r="983" ht="15.75" customHeight="1">
      <c r="A983" s="33" t="s">
        <v>3993</v>
      </c>
      <c r="B983" s="33" t="s">
        <v>2559</v>
      </c>
      <c r="C983" s="39">
        <v>45690.0</v>
      </c>
      <c r="D983" s="33" t="s">
        <v>479</v>
      </c>
      <c r="E983" s="40">
        <v>15.11</v>
      </c>
      <c r="F983" s="40">
        <v>0.08</v>
      </c>
      <c r="G983" s="33" t="s">
        <v>450</v>
      </c>
    </row>
    <row r="984" ht="15.75" customHeight="1">
      <c r="A984" s="33" t="s">
        <v>3995</v>
      </c>
      <c r="B984" s="33" t="s">
        <v>1405</v>
      </c>
      <c r="C984" s="39">
        <v>46171.0</v>
      </c>
      <c r="D984" s="33" t="s">
        <v>428</v>
      </c>
      <c r="E984" s="40">
        <v>25.6</v>
      </c>
      <c r="F984" s="40">
        <v>0.0</v>
      </c>
      <c r="G984" s="33" t="s">
        <v>450</v>
      </c>
    </row>
    <row r="985" ht="15.75" customHeight="1">
      <c r="A985" s="33" t="s">
        <v>3999</v>
      </c>
      <c r="B985" s="33" t="s">
        <v>4000</v>
      </c>
      <c r="C985" s="39">
        <v>45660.0</v>
      </c>
      <c r="D985" s="33" t="s">
        <v>428</v>
      </c>
      <c r="E985" s="40">
        <v>64.09</v>
      </c>
      <c r="F985" s="40">
        <v>0.0</v>
      </c>
      <c r="G985" s="33" t="s">
        <v>442</v>
      </c>
    </row>
    <row r="986" ht="15.75" customHeight="1">
      <c r="A986" s="33" t="s">
        <v>4003</v>
      </c>
      <c r="B986" s="33" t="s">
        <v>583</v>
      </c>
      <c r="C986" s="39">
        <v>46012.0</v>
      </c>
      <c r="D986" s="33" t="s">
        <v>479</v>
      </c>
      <c r="E986" s="40">
        <v>113.53</v>
      </c>
      <c r="F986" s="40">
        <v>0.84</v>
      </c>
      <c r="G986" s="33" t="s">
        <v>450</v>
      </c>
    </row>
    <row r="987" ht="15.75" customHeight="1">
      <c r="A987" s="33" t="s">
        <v>4006</v>
      </c>
      <c r="B987" s="33" t="s">
        <v>1979</v>
      </c>
      <c r="C987" s="39">
        <v>46165.0</v>
      </c>
      <c r="D987" s="33" t="s">
        <v>435</v>
      </c>
      <c r="E987" s="40">
        <v>135.29</v>
      </c>
      <c r="F987" s="40">
        <v>0.0</v>
      </c>
      <c r="G987" s="33" t="s">
        <v>442</v>
      </c>
    </row>
    <row r="988" ht="15.75" customHeight="1">
      <c r="A988" s="33" t="s">
        <v>4008</v>
      </c>
      <c r="B988" s="33" t="s">
        <v>1705</v>
      </c>
      <c r="C988" s="39">
        <v>45871.0</v>
      </c>
      <c r="D988" s="33" t="s">
        <v>461</v>
      </c>
      <c r="E988" s="40">
        <v>20.01</v>
      </c>
      <c r="F988" s="40">
        <v>0.3</v>
      </c>
      <c r="G988" s="33" t="s">
        <v>450</v>
      </c>
    </row>
    <row r="989" ht="15.75" customHeight="1">
      <c r="A989" s="33" t="s">
        <v>4010</v>
      </c>
      <c r="B989" s="33" t="s">
        <v>2169</v>
      </c>
      <c r="C989" s="39">
        <v>45779.0</v>
      </c>
      <c r="D989" s="33" t="s">
        <v>428</v>
      </c>
      <c r="E989" s="40">
        <v>105.56</v>
      </c>
      <c r="F989" s="40">
        <v>0.0</v>
      </c>
      <c r="G989" s="33" t="s">
        <v>442</v>
      </c>
    </row>
    <row r="990" ht="15.75" customHeight="1">
      <c r="A990" s="33" t="s">
        <v>4014</v>
      </c>
      <c r="B990" s="33" t="s">
        <v>2334</v>
      </c>
      <c r="C990" s="39">
        <v>46091.0</v>
      </c>
      <c r="D990" s="33" t="s">
        <v>479</v>
      </c>
      <c r="E990" s="40">
        <v>229.93</v>
      </c>
      <c r="F990" s="40">
        <v>2.14</v>
      </c>
      <c r="G990" s="33" t="s">
        <v>442</v>
      </c>
    </row>
    <row r="991" ht="15.75" customHeight="1">
      <c r="A991" s="33" t="s">
        <v>4017</v>
      </c>
      <c r="B991" s="33" t="s">
        <v>1825</v>
      </c>
      <c r="C991" s="39">
        <v>46040.0</v>
      </c>
      <c r="D991" s="33" t="s">
        <v>428</v>
      </c>
      <c r="E991" s="40">
        <v>140.07</v>
      </c>
      <c r="F991" s="40">
        <v>0.0</v>
      </c>
      <c r="G991" s="33" t="s">
        <v>442</v>
      </c>
    </row>
    <row r="992" ht="15.75" customHeight="1">
      <c r="A992" s="33" t="s">
        <v>4019</v>
      </c>
      <c r="B992" s="33" t="s">
        <v>1062</v>
      </c>
      <c r="C992" s="39">
        <v>45667.0</v>
      </c>
      <c r="D992" s="33" t="s">
        <v>479</v>
      </c>
      <c r="E992" s="40">
        <v>80.74</v>
      </c>
      <c r="F992" s="40">
        <v>0.9</v>
      </c>
      <c r="G992" s="33" t="s">
        <v>442</v>
      </c>
    </row>
    <row r="993" ht="15.75" customHeight="1">
      <c r="A993" s="33" t="s">
        <v>4022</v>
      </c>
      <c r="B993" s="33" t="s">
        <v>615</v>
      </c>
      <c r="C993" s="39">
        <v>46008.0</v>
      </c>
      <c r="D993" s="33" t="s">
        <v>479</v>
      </c>
      <c r="E993" s="40">
        <v>85.78</v>
      </c>
      <c r="F993" s="40">
        <v>0.73</v>
      </c>
      <c r="G993" s="33" t="s">
        <v>442</v>
      </c>
    </row>
    <row r="994" ht="15.75" customHeight="1">
      <c r="A994" s="33" t="s">
        <v>4024</v>
      </c>
      <c r="B994" s="33" t="s">
        <v>2276</v>
      </c>
      <c r="C994" s="39">
        <v>45658.0</v>
      </c>
      <c r="D994" s="33" t="s">
        <v>428</v>
      </c>
      <c r="E994" s="40">
        <v>79.0</v>
      </c>
      <c r="F994" s="40">
        <v>0.0</v>
      </c>
      <c r="G994" s="33" t="s">
        <v>450</v>
      </c>
    </row>
    <row r="995" ht="15.75" customHeight="1">
      <c r="A995" s="33" t="s">
        <v>4029</v>
      </c>
      <c r="B995" s="33" t="s">
        <v>474</v>
      </c>
      <c r="C995" s="39">
        <v>45900.0</v>
      </c>
      <c r="D995" s="33" t="s">
        <v>435</v>
      </c>
      <c r="E995" s="40">
        <v>48.25</v>
      </c>
      <c r="F995" s="40">
        <v>0.0</v>
      </c>
      <c r="G995" s="33" t="s">
        <v>450</v>
      </c>
    </row>
    <row r="996" ht="15.75" customHeight="1">
      <c r="A996" s="33" t="s">
        <v>4032</v>
      </c>
      <c r="B996" s="33" t="s">
        <v>2429</v>
      </c>
      <c r="C996" s="39">
        <v>45842.0</v>
      </c>
      <c r="D996" s="33" t="s">
        <v>479</v>
      </c>
      <c r="E996" s="40">
        <v>144.8</v>
      </c>
      <c r="F996" s="40">
        <v>2.44</v>
      </c>
      <c r="G996" s="33" t="s">
        <v>450</v>
      </c>
    </row>
    <row r="997" ht="15.75" customHeight="1">
      <c r="A997" s="33" t="s">
        <v>4035</v>
      </c>
      <c r="B997" s="33" t="s">
        <v>1758</v>
      </c>
      <c r="C997" s="39">
        <v>46163.0</v>
      </c>
      <c r="D997" s="33" t="s">
        <v>435</v>
      </c>
      <c r="E997" s="40">
        <v>31.79</v>
      </c>
      <c r="F997" s="40">
        <v>0.0</v>
      </c>
      <c r="G997" s="33" t="s">
        <v>450</v>
      </c>
    </row>
    <row r="998" ht="15.75" customHeight="1">
      <c r="A998" s="33" t="s">
        <v>4038</v>
      </c>
      <c r="B998" s="33" t="s">
        <v>1451</v>
      </c>
      <c r="C998" s="39">
        <v>46251.0</v>
      </c>
      <c r="D998" s="33" t="s">
        <v>461</v>
      </c>
      <c r="E998" s="40">
        <v>83.95</v>
      </c>
      <c r="F998" s="40">
        <v>1.43</v>
      </c>
      <c r="G998" s="33" t="s">
        <v>450</v>
      </c>
    </row>
    <row r="999" ht="15.75" customHeight="1">
      <c r="A999" s="33" t="s">
        <v>4040</v>
      </c>
      <c r="B999" s="33" t="s">
        <v>716</v>
      </c>
      <c r="C999" s="39">
        <v>46081.0</v>
      </c>
      <c r="D999" s="33" t="s">
        <v>428</v>
      </c>
      <c r="E999" s="40">
        <v>14.81</v>
      </c>
      <c r="F999" s="40">
        <v>0.0</v>
      </c>
      <c r="G999" s="33" t="s">
        <v>442</v>
      </c>
    </row>
    <row r="1000" ht="15.75" customHeight="1">
      <c r="A1000" s="33" t="s">
        <v>4044</v>
      </c>
      <c r="B1000" s="33" t="s">
        <v>1828</v>
      </c>
      <c r="C1000" s="39">
        <v>46103.0</v>
      </c>
      <c r="D1000" s="33" t="s">
        <v>428</v>
      </c>
      <c r="E1000" s="40">
        <v>154.01</v>
      </c>
      <c r="F1000" s="40">
        <v>0.0</v>
      </c>
      <c r="G1000" s="33" t="s">
        <v>431</v>
      </c>
    </row>
    <row r="1001" ht="15.75" customHeight="1">
      <c r="A1001" s="33" t="s">
        <v>4046</v>
      </c>
      <c r="B1001" s="33" t="s">
        <v>320</v>
      </c>
      <c r="C1001" s="39">
        <v>45671.0</v>
      </c>
      <c r="D1001" s="33" t="s">
        <v>440</v>
      </c>
      <c r="E1001" s="40">
        <v>81.44</v>
      </c>
      <c r="F1001" s="40">
        <v>0.0</v>
      </c>
      <c r="G1001" s="33" t="s">
        <v>442</v>
      </c>
    </row>
    <row r="1002" ht="15.75" customHeight="1">
      <c r="A1002" s="33" t="s">
        <v>4049</v>
      </c>
      <c r="B1002" s="33" t="s">
        <v>1819</v>
      </c>
      <c r="C1002" s="39">
        <v>45696.0</v>
      </c>
      <c r="D1002" s="33" t="s">
        <v>461</v>
      </c>
      <c r="E1002" s="40">
        <v>18.52</v>
      </c>
      <c r="F1002" s="40">
        <v>0.34</v>
      </c>
      <c r="G1002" s="33" t="s">
        <v>450</v>
      </c>
    </row>
    <row r="1003" ht="15.75" customHeight="1">
      <c r="A1003" s="33" t="s">
        <v>4053</v>
      </c>
      <c r="B1003" s="33" t="s">
        <v>1359</v>
      </c>
      <c r="C1003" s="39">
        <v>46129.0</v>
      </c>
      <c r="D1003" s="33" t="s">
        <v>428</v>
      </c>
      <c r="E1003" s="40">
        <v>190.17</v>
      </c>
      <c r="F1003" s="40">
        <v>0.0</v>
      </c>
      <c r="G1003" s="33" t="s">
        <v>450</v>
      </c>
    </row>
    <row r="1004" ht="15.75" customHeight="1">
      <c r="A1004" s="33" t="s">
        <v>4056</v>
      </c>
      <c r="B1004" s="33" t="s">
        <v>2926</v>
      </c>
      <c r="C1004" s="39">
        <v>45917.0</v>
      </c>
      <c r="D1004" s="33" t="s">
        <v>428</v>
      </c>
      <c r="E1004" s="40">
        <v>67.96</v>
      </c>
      <c r="F1004" s="40">
        <v>0.0</v>
      </c>
      <c r="G1004" s="33" t="s">
        <v>450</v>
      </c>
    </row>
    <row r="1005" ht="15.75" customHeight="1">
      <c r="A1005" s="33" t="s">
        <v>4060</v>
      </c>
      <c r="B1005" s="33" t="s">
        <v>1660</v>
      </c>
      <c r="C1005" s="39">
        <v>45965.0</v>
      </c>
      <c r="D1005" s="33" t="s">
        <v>479</v>
      </c>
      <c r="E1005" s="40">
        <v>23.06</v>
      </c>
      <c r="F1005" s="40">
        <v>0.46</v>
      </c>
      <c r="G1005" s="33" t="s">
        <v>450</v>
      </c>
    </row>
    <row r="1006" ht="15.75" customHeight="1">
      <c r="A1006" s="33" t="s">
        <v>4063</v>
      </c>
      <c r="B1006" s="33" t="s">
        <v>658</v>
      </c>
      <c r="C1006" s="39">
        <v>46078.0</v>
      </c>
      <c r="D1006" s="33" t="s">
        <v>435</v>
      </c>
      <c r="E1006" s="40">
        <v>243.72</v>
      </c>
      <c r="F1006" s="40">
        <v>0.0</v>
      </c>
      <c r="G1006" s="33" t="s">
        <v>431</v>
      </c>
    </row>
    <row r="1007" ht="15.75" customHeight="1">
      <c r="A1007" s="33" t="s">
        <v>4068</v>
      </c>
      <c r="B1007" s="33" t="s">
        <v>2340</v>
      </c>
      <c r="C1007" s="39">
        <v>45868.0</v>
      </c>
      <c r="D1007" s="33" t="s">
        <v>479</v>
      </c>
      <c r="E1007" s="40">
        <v>59.44</v>
      </c>
      <c r="F1007" s="40">
        <v>0.75</v>
      </c>
      <c r="G1007" s="33" t="s">
        <v>450</v>
      </c>
    </row>
    <row r="1008" ht="15.75" customHeight="1">
      <c r="A1008" s="33" t="s">
        <v>4072</v>
      </c>
      <c r="B1008" s="33" t="s">
        <v>1881</v>
      </c>
      <c r="C1008" s="39">
        <v>46071.0</v>
      </c>
      <c r="D1008" s="33" t="s">
        <v>461</v>
      </c>
      <c r="E1008" s="40">
        <v>37.22</v>
      </c>
      <c r="F1008" s="40">
        <v>0.46</v>
      </c>
      <c r="G1008" s="33" t="s">
        <v>450</v>
      </c>
    </row>
    <row r="1009" ht="15.75" customHeight="1">
      <c r="A1009" s="33" t="s">
        <v>4074</v>
      </c>
      <c r="B1009" s="33" t="s">
        <v>884</v>
      </c>
      <c r="C1009" s="39">
        <v>46099.0</v>
      </c>
      <c r="D1009" s="33" t="s">
        <v>461</v>
      </c>
      <c r="E1009" s="40">
        <v>87.06</v>
      </c>
      <c r="F1009" s="40">
        <v>0.59</v>
      </c>
      <c r="G1009" s="33" t="s">
        <v>442</v>
      </c>
    </row>
    <row r="1010" ht="15.75" customHeight="1">
      <c r="A1010" s="33" t="s">
        <v>4078</v>
      </c>
      <c r="B1010" s="33" t="s">
        <v>314</v>
      </c>
      <c r="C1010" s="39">
        <v>45803.0</v>
      </c>
      <c r="D1010" s="33" t="s">
        <v>440</v>
      </c>
      <c r="E1010" s="40">
        <v>25.79</v>
      </c>
      <c r="F1010" s="40">
        <v>0.0</v>
      </c>
      <c r="G1010" s="33" t="s">
        <v>450</v>
      </c>
    </row>
    <row r="1011" ht="15.75" customHeight="1">
      <c r="A1011" s="33" t="s">
        <v>4082</v>
      </c>
      <c r="B1011" s="33" t="s">
        <v>1605</v>
      </c>
      <c r="C1011" s="39">
        <v>46074.0</v>
      </c>
      <c r="D1011" s="33" t="s">
        <v>440</v>
      </c>
      <c r="E1011" s="40">
        <v>48.25</v>
      </c>
      <c r="F1011" s="40">
        <v>0.0</v>
      </c>
      <c r="G1011" s="33" t="s">
        <v>450</v>
      </c>
    </row>
    <row r="1012" ht="15.75" customHeight="1">
      <c r="A1012" s="33" t="s">
        <v>4085</v>
      </c>
      <c r="B1012" s="33" t="s">
        <v>2144</v>
      </c>
      <c r="C1012" s="39">
        <v>45760.0</v>
      </c>
      <c r="D1012" s="33" t="s">
        <v>461</v>
      </c>
      <c r="E1012" s="40">
        <v>175.28</v>
      </c>
      <c r="F1012" s="40">
        <v>1.7</v>
      </c>
      <c r="G1012" s="33" t="s">
        <v>450</v>
      </c>
    </row>
    <row r="1013" ht="15.75" customHeight="1">
      <c r="A1013" s="33" t="s">
        <v>4088</v>
      </c>
      <c r="B1013" s="33" t="s">
        <v>1043</v>
      </c>
      <c r="C1013" s="39">
        <v>45846.0</v>
      </c>
      <c r="D1013" s="33" t="s">
        <v>479</v>
      </c>
      <c r="E1013" s="40">
        <v>60.6</v>
      </c>
      <c r="F1013" s="40">
        <v>0.68</v>
      </c>
      <c r="G1013" s="33" t="s">
        <v>442</v>
      </c>
    </row>
    <row r="1014" ht="15.75" customHeight="1">
      <c r="A1014" s="33" t="s">
        <v>4092</v>
      </c>
      <c r="B1014" s="33" t="s">
        <v>2187</v>
      </c>
      <c r="C1014" s="39">
        <v>46131.0</v>
      </c>
      <c r="D1014" s="33" t="s">
        <v>479</v>
      </c>
      <c r="E1014" s="40">
        <v>101.12</v>
      </c>
      <c r="F1014" s="40">
        <v>1.86</v>
      </c>
      <c r="G1014" s="33" t="s">
        <v>442</v>
      </c>
    </row>
    <row r="1015" ht="15.75" customHeight="1">
      <c r="A1015" s="33" t="s">
        <v>4095</v>
      </c>
      <c r="B1015" s="33" t="s">
        <v>1183</v>
      </c>
      <c r="C1015" s="39">
        <v>46254.0</v>
      </c>
      <c r="D1015" s="33" t="s">
        <v>428</v>
      </c>
      <c r="E1015" s="40">
        <v>180.67</v>
      </c>
      <c r="F1015" s="40">
        <v>0.0</v>
      </c>
      <c r="G1015" s="33" t="s">
        <v>442</v>
      </c>
    </row>
    <row r="1016" ht="15.75" customHeight="1">
      <c r="A1016" s="33" t="s">
        <v>4099</v>
      </c>
      <c r="B1016" s="33" t="s">
        <v>2433</v>
      </c>
      <c r="C1016" s="39">
        <v>45697.0</v>
      </c>
      <c r="D1016" s="33" t="s">
        <v>435</v>
      </c>
      <c r="E1016" s="40">
        <v>59.1</v>
      </c>
      <c r="F1016" s="40">
        <v>0.0</v>
      </c>
      <c r="G1016" s="33" t="s">
        <v>431</v>
      </c>
    </row>
    <row r="1017" ht="15.75" customHeight="1">
      <c r="A1017" s="33" t="s">
        <v>4103</v>
      </c>
      <c r="B1017" s="33" t="s">
        <v>1561</v>
      </c>
      <c r="C1017" s="39">
        <v>46051.0</v>
      </c>
      <c r="D1017" s="33" t="s">
        <v>440</v>
      </c>
      <c r="E1017" s="40">
        <v>35.84</v>
      </c>
      <c r="F1017" s="40">
        <v>0.0</v>
      </c>
      <c r="G1017" s="33" t="s">
        <v>431</v>
      </c>
    </row>
    <row r="1018" ht="15.75" customHeight="1">
      <c r="A1018" s="33" t="s">
        <v>4107</v>
      </c>
      <c r="B1018" s="33" t="s">
        <v>658</v>
      </c>
      <c r="C1018" s="39">
        <v>46003.0</v>
      </c>
      <c r="D1018" s="33" t="s">
        <v>428</v>
      </c>
      <c r="E1018" s="40">
        <v>115.04</v>
      </c>
      <c r="F1018" s="40">
        <v>0.0</v>
      </c>
      <c r="G1018" s="33" t="s">
        <v>450</v>
      </c>
    </row>
    <row r="1019" ht="15.75" customHeight="1">
      <c r="A1019" s="33" t="s">
        <v>4110</v>
      </c>
      <c r="B1019" s="33" t="s">
        <v>371</v>
      </c>
      <c r="C1019" s="39">
        <v>46025.0</v>
      </c>
      <c r="D1019" s="33" t="s">
        <v>428</v>
      </c>
      <c r="E1019" s="40">
        <v>22.15</v>
      </c>
      <c r="F1019" s="40">
        <v>0.0</v>
      </c>
      <c r="G1019" s="33" t="s">
        <v>450</v>
      </c>
    </row>
    <row r="1020" ht="15.75" customHeight="1">
      <c r="A1020" s="33" t="s">
        <v>4115</v>
      </c>
      <c r="B1020" s="33" t="s">
        <v>2264</v>
      </c>
      <c r="C1020" s="39">
        <v>46135.0</v>
      </c>
      <c r="D1020" s="33" t="s">
        <v>440</v>
      </c>
      <c r="E1020" s="40">
        <v>32.37</v>
      </c>
      <c r="F1020" s="40">
        <v>0.0</v>
      </c>
      <c r="G1020" s="33" t="s">
        <v>450</v>
      </c>
    </row>
    <row r="1021" ht="15.75" customHeight="1">
      <c r="A1021" s="33" t="s">
        <v>4118</v>
      </c>
      <c r="B1021" s="33" t="s">
        <v>1198</v>
      </c>
      <c r="C1021" s="39">
        <v>45700.0</v>
      </c>
      <c r="D1021" s="33" t="s">
        <v>428</v>
      </c>
      <c r="E1021" s="40">
        <v>17.99</v>
      </c>
      <c r="F1021" s="40">
        <v>0.0</v>
      </c>
      <c r="G1021" s="33" t="s">
        <v>431</v>
      </c>
    </row>
    <row r="1022" ht="15.75" customHeight="1">
      <c r="A1022" s="33" t="s">
        <v>4122</v>
      </c>
      <c r="B1022" s="33" t="s">
        <v>872</v>
      </c>
      <c r="C1022" s="39">
        <v>46106.0</v>
      </c>
      <c r="D1022" s="33" t="s">
        <v>440</v>
      </c>
      <c r="E1022" s="40">
        <v>171.9</v>
      </c>
      <c r="F1022" s="40">
        <v>0.0</v>
      </c>
      <c r="G1022" s="33" t="s">
        <v>450</v>
      </c>
    </row>
    <row r="1023" ht="15.75" customHeight="1">
      <c r="A1023" s="33" t="s">
        <v>4126</v>
      </c>
      <c r="B1023" s="33" t="s">
        <v>1368</v>
      </c>
      <c r="C1023" s="39">
        <v>45827.0</v>
      </c>
      <c r="D1023" s="33" t="s">
        <v>435</v>
      </c>
      <c r="E1023" s="40">
        <v>76.84</v>
      </c>
      <c r="F1023" s="40">
        <v>0.0</v>
      </c>
      <c r="G1023" s="33" t="s">
        <v>442</v>
      </c>
    </row>
    <row r="1024" ht="15.75" customHeight="1">
      <c r="A1024" s="33" t="s">
        <v>4129</v>
      </c>
      <c r="B1024" s="33" t="s">
        <v>913</v>
      </c>
      <c r="C1024" s="39">
        <v>45751.0</v>
      </c>
      <c r="D1024" s="33" t="s">
        <v>440</v>
      </c>
      <c r="E1024" s="40">
        <v>118.15</v>
      </c>
      <c r="F1024" s="40">
        <v>0.0</v>
      </c>
      <c r="G1024" s="33" t="s">
        <v>450</v>
      </c>
    </row>
    <row r="1025" ht="15.75" customHeight="1">
      <c r="A1025" s="33" t="s">
        <v>4133</v>
      </c>
      <c r="B1025" s="33" t="s">
        <v>1806</v>
      </c>
      <c r="C1025" s="39">
        <v>45929.0</v>
      </c>
      <c r="D1025" s="33" t="s">
        <v>479</v>
      </c>
      <c r="E1025" s="40">
        <v>34.35</v>
      </c>
      <c r="F1025" s="40">
        <v>0.36</v>
      </c>
      <c r="G1025" s="33" t="s">
        <v>450</v>
      </c>
    </row>
    <row r="1026" ht="15.75" customHeight="1">
      <c r="A1026" s="33" t="s">
        <v>4136</v>
      </c>
      <c r="B1026" s="33" t="s">
        <v>1660</v>
      </c>
      <c r="C1026" s="39">
        <v>45674.0</v>
      </c>
      <c r="D1026" s="33" t="s">
        <v>435</v>
      </c>
      <c r="E1026" s="40">
        <v>98.23</v>
      </c>
      <c r="F1026" s="40">
        <v>0.0</v>
      </c>
      <c r="G1026" s="33" t="s">
        <v>450</v>
      </c>
    </row>
    <row r="1027" ht="15.75" customHeight="1">
      <c r="A1027" s="33" t="s">
        <v>4140</v>
      </c>
      <c r="B1027" s="33" t="s">
        <v>2139</v>
      </c>
      <c r="C1027" s="39">
        <v>46040.0</v>
      </c>
      <c r="D1027" s="33" t="s">
        <v>435</v>
      </c>
      <c r="E1027" s="40">
        <v>100.73</v>
      </c>
      <c r="F1027" s="40">
        <v>0.0</v>
      </c>
      <c r="G1027" s="33" t="s">
        <v>450</v>
      </c>
    </row>
    <row r="1028" ht="15.75" customHeight="1">
      <c r="A1028" s="33" t="s">
        <v>4144</v>
      </c>
      <c r="B1028" s="33" t="s">
        <v>1911</v>
      </c>
      <c r="C1028" s="39">
        <v>46001.0</v>
      </c>
      <c r="D1028" s="33" t="s">
        <v>461</v>
      </c>
      <c r="E1028" s="40">
        <v>242.89</v>
      </c>
      <c r="F1028" s="40">
        <v>3.36</v>
      </c>
      <c r="G1028" s="33" t="s">
        <v>442</v>
      </c>
    </row>
    <row r="1029" ht="15.75" customHeight="1">
      <c r="A1029" s="33" t="s">
        <v>4147</v>
      </c>
      <c r="B1029" s="33" t="s">
        <v>848</v>
      </c>
      <c r="C1029" s="39">
        <v>45969.0</v>
      </c>
      <c r="D1029" s="33" t="s">
        <v>461</v>
      </c>
      <c r="E1029" s="40">
        <v>111.03</v>
      </c>
      <c r="F1029" s="40">
        <v>0.98</v>
      </c>
      <c r="G1029" s="33" t="s">
        <v>450</v>
      </c>
    </row>
    <row r="1030" ht="15.75" customHeight="1">
      <c r="A1030" s="33" t="s">
        <v>4151</v>
      </c>
      <c r="B1030" s="33" t="s">
        <v>4153</v>
      </c>
      <c r="C1030" s="39">
        <v>45676.0</v>
      </c>
      <c r="D1030" s="33" t="s">
        <v>461</v>
      </c>
      <c r="E1030" s="40">
        <v>135.07</v>
      </c>
      <c r="F1030" s="40">
        <v>2.05</v>
      </c>
      <c r="G1030" s="33" t="s">
        <v>450</v>
      </c>
    </row>
    <row r="1031" ht="15.75" customHeight="1">
      <c r="A1031" s="33" t="s">
        <v>4157</v>
      </c>
      <c r="B1031" s="33" t="s">
        <v>984</v>
      </c>
      <c r="C1031" s="39">
        <v>46121.0</v>
      </c>
      <c r="D1031" s="33" t="s">
        <v>428</v>
      </c>
      <c r="E1031" s="40">
        <v>81.51</v>
      </c>
      <c r="F1031" s="40">
        <v>0.0</v>
      </c>
      <c r="G1031" s="33" t="s">
        <v>450</v>
      </c>
    </row>
    <row r="1032" ht="15.75" customHeight="1">
      <c r="A1032" s="33" t="s">
        <v>4161</v>
      </c>
      <c r="B1032" s="33" t="s">
        <v>3059</v>
      </c>
      <c r="C1032" s="39">
        <v>45679.0</v>
      </c>
      <c r="D1032" s="33" t="s">
        <v>440</v>
      </c>
      <c r="E1032" s="40">
        <v>3.31</v>
      </c>
      <c r="F1032" s="40">
        <v>0.0</v>
      </c>
      <c r="G1032" s="33" t="s">
        <v>450</v>
      </c>
    </row>
    <row r="1033" ht="15.75" customHeight="1">
      <c r="A1033" s="33" t="s">
        <v>4164</v>
      </c>
      <c r="B1033" s="33" t="s">
        <v>2221</v>
      </c>
      <c r="C1033" s="39">
        <v>45817.0</v>
      </c>
      <c r="D1033" s="33" t="s">
        <v>428</v>
      </c>
      <c r="E1033" s="40">
        <v>91.91</v>
      </c>
      <c r="F1033" s="40">
        <v>0.0</v>
      </c>
      <c r="G1033" s="33" t="s">
        <v>450</v>
      </c>
    </row>
    <row r="1034" ht="15.75" customHeight="1">
      <c r="A1034" s="33" t="s">
        <v>4168</v>
      </c>
      <c r="B1034" s="33" t="s">
        <v>1473</v>
      </c>
      <c r="C1034" s="39">
        <v>45898.0</v>
      </c>
      <c r="D1034" s="33" t="s">
        <v>440</v>
      </c>
      <c r="E1034" s="40">
        <v>63.73</v>
      </c>
      <c r="F1034" s="40">
        <v>0.0</v>
      </c>
      <c r="G1034" s="33" t="s">
        <v>450</v>
      </c>
    </row>
    <row r="1035" ht="15.75" customHeight="1">
      <c r="A1035" s="33" t="s">
        <v>4172</v>
      </c>
      <c r="B1035" s="33" t="s">
        <v>1911</v>
      </c>
      <c r="C1035" s="39">
        <v>46084.0</v>
      </c>
      <c r="D1035" s="33" t="s">
        <v>428</v>
      </c>
      <c r="E1035" s="40">
        <v>61.29</v>
      </c>
      <c r="F1035" s="40">
        <v>0.0</v>
      </c>
      <c r="G1035" s="33" t="s">
        <v>450</v>
      </c>
    </row>
    <row r="1036" ht="15.75" customHeight="1">
      <c r="A1036" s="33" t="s">
        <v>4176</v>
      </c>
      <c r="B1036" s="33" t="s">
        <v>1674</v>
      </c>
      <c r="C1036" s="39">
        <v>45905.0</v>
      </c>
      <c r="D1036" s="33" t="s">
        <v>461</v>
      </c>
      <c r="E1036" s="40">
        <v>50.09</v>
      </c>
      <c r="F1036" s="40">
        <v>0.56</v>
      </c>
      <c r="G1036" s="33" t="s">
        <v>450</v>
      </c>
    </row>
    <row r="1037" ht="15.75" customHeight="1">
      <c r="A1037" s="33" t="s">
        <v>4181</v>
      </c>
      <c r="B1037" s="33" t="s">
        <v>700</v>
      </c>
      <c r="C1037" s="39">
        <v>46153.0</v>
      </c>
      <c r="D1037" s="33" t="s">
        <v>440</v>
      </c>
      <c r="E1037" s="40">
        <v>61.29</v>
      </c>
      <c r="F1037" s="40">
        <v>0.0</v>
      </c>
      <c r="G1037" s="33" t="s">
        <v>431</v>
      </c>
    </row>
    <row r="1038" ht="15.75" customHeight="1">
      <c r="A1038" s="33" t="s">
        <v>4184</v>
      </c>
      <c r="B1038" s="33" t="s">
        <v>2314</v>
      </c>
      <c r="C1038" s="39">
        <v>46225.0</v>
      </c>
      <c r="D1038" s="33" t="s">
        <v>440</v>
      </c>
      <c r="E1038" s="40">
        <v>42.46</v>
      </c>
      <c r="F1038" s="40">
        <v>0.0</v>
      </c>
      <c r="G1038" s="33" t="s">
        <v>431</v>
      </c>
    </row>
    <row r="1039" ht="15.75" customHeight="1">
      <c r="A1039" s="33" t="s">
        <v>4187</v>
      </c>
      <c r="B1039" s="33" t="s">
        <v>510</v>
      </c>
      <c r="C1039" s="39">
        <v>46122.0</v>
      </c>
      <c r="D1039" s="33" t="s">
        <v>479</v>
      </c>
      <c r="E1039" s="40">
        <v>126.19</v>
      </c>
      <c r="F1039" s="40">
        <v>2.48</v>
      </c>
      <c r="G1039" s="33" t="s">
        <v>450</v>
      </c>
    </row>
    <row r="1040" ht="15.75" customHeight="1">
      <c r="A1040" s="33" t="s">
        <v>4199</v>
      </c>
      <c r="B1040" s="33" t="s">
        <v>765</v>
      </c>
      <c r="C1040" s="39">
        <v>45681.0</v>
      </c>
      <c r="D1040" s="33" t="s">
        <v>479</v>
      </c>
      <c r="E1040" s="40">
        <v>29.75</v>
      </c>
      <c r="F1040" s="40">
        <v>0.29</v>
      </c>
      <c r="G1040" s="33" t="s">
        <v>450</v>
      </c>
    </row>
    <row r="1041" ht="15.75" customHeight="1">
      <c r="A1041" s="33" t="s">
        <v>4203</v>
      </c>
      <c r="B1041" s="33" t="s">
        <v>3572</v>
      </c>
      <c r="C1041" s="39">
        <v>46125.0</v>
      </c>
      <c r="D1041" s="33" t="s">
        <v>440</v>
      </c>
      <c r="E1041" s="40">
        <v>221.79</v>
      </c>
      <c r="F1041" s="40">
        <v>0.0</v>
      </c>
      <c r="G1041" s="33" t="s">
        <v>450</v>
      </c>
    </row>
    <row r="1042" ht="15.75" customHeight="1">
      <c r="A1042" s="33" t="s">
        <v>4206</v>
      </c>
      <c r="B1042" s="33" t="s">
        <v>948</v>
      </c>
      <c r="C1042" s="39">
        <v>45783.0</v>
      </c>
      <c r="D1042" s="33" t="s">
        <v>440</v>
      </c>
      <c r="E1042" s="40">
        <v>118.73</v>
      </c>
      <c r="F1042" s="40">
        <v>0.0</v>
      </c>
      <c r="G1042" s="33" t="s">
        <v>450</v>
      </c>
    </row>
    <row r="1043" ht="15.75" customHeight="1">
      <c r="A1043" s="33" t="s">
        <v>4208</v>
      </c>
      <c r="B1043" s="33" t="s">
        <v>895</v>
      </c>
      <c r="C1043" s="39">
        <v>46197.0</v>
      </c>
      <c r="D1043" s="33" t="s">
        <v>428</v>
      </c>
      <c r="E1043" s="40">
        <v>150.16</v>
      </c>
      <c r="F1043" s="40">
        <v>0.0</v>
      </c>
      <c r="G1043" s="33" t="s">
        <v>442</v>
      </c>
    </row>
    <row r="1044" ht="15.75" customHeight="1">
      <c r="A1044" s="33" t="s">
        <v>4212</v>
      </c>
      <c r="B1044" s="33" t="s">
        <v>1878</v>
      </c>
      <c r="C1044" s="39">
        <v>46252.0</v>
      </c>
      <c r="D1044" s="33" t="s">
        <v>461</v>
      </c>
      <c r="E1044" s="40">
        <v>31.81</v>
      </c>
      <c r="F1044" s="40">
        <v>0.53</v>
      </c>
      <c r="G1044" s="33" t="s">
        <v>450</v>
      </c>
    </row>
    <row r="1045" ht="15.75" customHeight="1">
      <c r="A1045" s="33" t="s">
        <v>4214</v>
      </c>
      <c r="B1045" s="33" t="s">
        <v>350</v>
      </c>
      <c r="C1045" s="39">
        <v>45709.0</v>
      </c>
      <c r="D1045" s="33" t="s">
        <v>435</v>
      </c>
      <c r="E1045" s="40">
        <v>47.21</v>
      </c>
      <c r="F1045" s="40">
        <v>0.0</v>
      </c>
      <c r="G1045" s="33" t="s">
        <v>431</v>
      </c>
    </row>
    <row r="1046" ht="15.75" customHeight="1">
      <c r="A1046" s="33" t="s">
        <v>4217</v>
      </c>
      <c r="B1046" s="33" t="s">
        <v>447</v>
      </c>
      <c r="C1046" s="39">
        <v>45717.0</v>
      </c>
      <c r="D1046" s="33" t="s">
        <v>461</v>
      </c>
      <c r="E1046" s="40">
        <v>79.1</v>
      </c>
      <c r="F1046" s="40">
        <v>1.53</v>
      </c>
      <c r="G1046" s="33" t="s">
        <v>431</v>
      </c>
    </row>
    <row r="1047" ht="15.75" customHeight="1">
      <c r="A1047" s="33" t="s">
        <v>4219</v>
      </c>
      <c r="B1047" s="33" t="s">
        <v>2752</v>
      </c>
      <c r="C1047" s="39">
        <v>46081.0</v>
      </c>
      <c r="D1047" s="33" t="s">
        <v>435</v>
      </c>
      <c r="E1047" s="40">
        <v>73.39</v>
      </c>
      <c r="F1047" s="40">
        <v>0.0</v>
      </c>
      <c r="G1047" s="33" t="s">
        <v>431</v>
      </c>
    </row>
    <row r="1048" ht="15.75" customHeight="1">
      <c r="A1048" s="33" t="s">
        <v>4223</v>
      </c>
      <c r="B1048" s="33" t="s">
        <v>2098</v>
      </c>
      <c r="C1048" s="39">
        <v>45744.0</v>
      </c>
      <c r="D1048" s="33" t="s">
        <v>479</v>
      </c>
      <c r="E1048" s="40">
        <v>118.94</v>
      </c>
      <c r="F1048" s="40">
        <v>0.87</v>
      </c>
      <c r="G1048" s="33" t="s">
        <v>450</v>
      </c>
    </row>
    <row r="1049" ht="15.75" customHeight="1">
      <c r="A1049" s="33" t="s">
        <v>4226</v>
      </c>
      <c r="B1049" s="33" t="s">
        <v>1703</v>
      </c>
      <c r="C1049" s="39">
        <v>46245.0</v>
      </c>
      <c r="D1049" s="33" t="s">
        <v>435</v>
      </c>
      <c r="E1049" s="40">
        <v>73.62</v>
      </c>
      <c r="F1049" s="40">
        <v>0.0</v>
      </c>
      <c r="G1049" s="33" t="s">
        <v>431</v>
      </c>
    </row>
    <row r="1050" ht="15.75" customHeight="1">
      <c r="A1050" s="33" t="s">
        <v>4230</v>
      </c>
      <c r="B1050" s="33" t="s">
        <v>2625</v>
      </c>
      <c r="C1050" s="39">
        <v>45985.0</v>
      </c>
      <c r="D1050" s="33" t="s">
        <v>461</v>
      </c>
      <c r="E1050" s="40">
        <v>229.78</v>
      </c>
      <c r="F1050" s="40">
        <v>2.07</v>
      </c>
      <c r="G1050" s="33" t="s">
        <v>450</v>
      </c>
    </row>
    <row r="1051" ht="15.75" customHeight="1">
      <c r="A1051" s="33" t="s">
        <v>4233</v>
      </c>
      <c r="B1051" s="33" t="s">
        <v>1825</v>
      </c>
      <c r="C1051" s="39">
        <v>46006.0</v>
      </c>
      <c r="D1051" s="33" t="s">
        <v>435</v>
      </c>
      <c r="E1051" s="40">
        <v>32.43</v>
      </c>
      <c r="F1051" s="40">
        <v>0.0</v>
      </c>
      <c r="G1051" s="33" t="s">
        <v>431</v>
      </c>
    </row>
    <row r="1052" ht="15.75" customHeight="1">
      <c r="A1052" s="33" t="s">
        <v>4237</v>
      </c>
      <c r="B1052" s="33" t="s">
        <v>3295</v>
      </c>
      <c r="C1052" s="39">
        <v>46180.0</v>
      </c>
      <c r="D1052" s="33" t="s">
        <v>440</v>
      </c>
      <c r="E1052" s="40">
        <v>26.57</v>
      </c>
      <c r="F1052" s="40">
        <v>0.0</v>
      </c>
      <c r="G1052" s="33" t="s">
        <v>450</v>
      </c>
    </row>
    <row r="1053" ht="15.75" customHeight="1">
      <c r="A1053" s="33" t="s">
        <v>4241</v>
      </c>
      <c r="B1053" s="33" t="s">
        <v>700</v>
      </c>
      <c r="C1053" s="39">
        <v>45789.0</v>
      </c>
      <c r="D1053" s="33" t="s">
        <v>435</v>
      </c>
      <c r="E1053" s="40">
        <v>45.31</v>
      </c>
      <c r="F1053" s="40">
        <v>0.0</v>
      </c>
      <c r="G1053" s="33" t="s">
        <v>450</v>
      </c>
    </row>
    <row r="1054" ht="15.75" customHeight="1">
      <c r="A1054" s="33" t="s">
        <v>4244</v>
      </c>
      <c r="B1054" s="33" t="s">
        <v>783</v>
      </c>
      <c r="C1054" s="39">
        <v>45995.0</v>
      </c>
      <c r="D1054" s="33" t="s">
        <v>435</v>
      </c>
      <c r="E1054" s="40">
        <v>61.39</v>
      </c>
      <c r="F1054" s="40">
        <v>0.0</v>
      </c>
      <c r="G1054" s="33" t="s">
        <v>431</v>
      </c>
    </row>
    <row r="1055" ht="15.75" customHeight="1">
      <c r="A1055" s="33" t="s">
        <v>4247</v>
      </c>
      <c r="B1055" s="33" t="s">
        <v>1977</v>
      </c>
      <c r="C1055" s="39">
        <v>46264.0</v>
      </c>
      <c r="D1055" s="33" t="s">
        <v>435</v>
      </c>
      <c r="E1055" s="40">
        <v>159.32</v>
      </c>
      <c r="F1055" s="40">
        <v>0.0</v>
      </c>
      <c r="G1055" s="33" t="s">
        <v>450</v>
      </c>
    </row>
    <row r="1056" ht="15.75" customHeight="1">
      <c r="A1056" s="33" t="s">
        <v>4250</v>
      </c>
      <c r="B1056" s="33" t="s">
        <v>565</v>
      </c>
      <c r="C1056" s="39">
        <v>45671.0</v>
      </c>
      <c r="D1056" s="33" t="s">
        <v>479</v>
      </c>
      <c r="E1056" s="40">
        <v>96.29</v>
      </c>
      <c r="F1056" s="40">
        <v>1.79</v>
      </c>
      <c r="G1056" s="33" t="s">
        <v>450</v>
      </c>
    </row>
    <row r="1057" ht="15.75" customHeight="1">
      <c r="A1057" s="33" t="s">
        <v>4253</v>
      </c>
      <c r="B1057" s="33" t="s">
        <v>2676</v>
      </c>
      <c r="C1057" s="39">
        <v>45764.0</v>
      </c>
      <c r="D1057" s="33" t="s">
        <v>428</v>
      </c>
      <c r="E1057" s="40">
        <v>4.49</v>
      </c>
      <c r="F1057" s="40">
        <v>0.0</v>
      </c>
      <c r="G1057" s="33" t="s">
        <v>450</v>
      </c>
    </row>
    <row r="1058" ht="15.75" customHeight="1">
      <c r="A1058" s="33" t="s">
        <v>4255</v>
      </c>
      <c r="B1058" s="33" t="s">
        <v>518</v>
      </c>
      <c r="C1058" s="39">
        <v>45746.0</v>
      </c>
      <c r="D1058" s="33" t="s">
        <v>440</v>
      </c>
      <c r="E1058" s="40">
        <v>5.23</v>
      </c>
      <c r="F1058" s="40">
        <v>0.0</v>
      </c>
      <c r="G1058" s="33" t="s">
        <v>450</v>
      </c>
    </row>
    <row r="1059" ht="15.75" customHeight="1">
      <c r="A1059" s="33" t="s">
        <v>4257</v>
      </c>
      <c r="B1059" s="33" t="s">
        <v>1955</v>
      </c>
      <c r="C1059" s="39">
        <v>45861.0</v>
      </c>
      <c r="D1059" s="33" t="s">
        <v>461</v>
      </c>
      <c r="E1059" s="40">
        <v>65.99</v>
      </c>
      <c r="F1059" s="40">
        <v>1.14</v>
      </c>
      <c r="G1059" s="33" t="s">
        <v>431</v>
      </c>
    </row>
    <row r="1060" ht="15.75" customHeight="1">
      <c r="A1060" s="33" t="s">
        <v>4263</v>
      </c>
      <c r="B1060" s="33" t="s">
        <v>1019</v>
      </c>
      <c r="C1060" s="39">
        <v>45736.0</v>
      </c>
      <c r="D1060" s="33" t="s">
        <v>479</v>
      </c>
      <c r="E1060" s="40">
        <v>51.73</v>
      </c>
      <c r="F1060" s="40">
        <v>0.4</v>
      </c>
      <c r="G1060" s="33" t="s">
        <v>450</v>
      </c>
    </row>
    <row r="1061" ht="15.75" customHeight="1">
      <c r="A1061" s="33" t="s">
        <v>4267</v>
      </c>
      <c r="B1061" s="33" t="s">
        <v>329</v>
      </c>
      <c r="C1061" s="39">
        <v>45762.0</v>
      </c>
      <c r="D1061" s="33" t="s">
        <v>440</v>
      </c>
      <c r="E1061" s="40">
        <v>67.53</v>
      </c>
      <c r="F1061" s="40">
        <v>0.0</v>
      </c>
      <c r="G1061" s="33" t="s">
        <v>450</v>
      </c>
    </row>
    <row r="1062" ht="15.75" customHeight="1">
      <c r="A1062" s="33" t="s">
        <v>4270</v>
      </c>
      <c r="B1062" s="33" t="s">
        <v>2860</v>
      </c>
      <c r="C1062" s="39">
        <v>46175.0</v>
      </c>
      <c r="D1062" s="33" t="s">
        <v>435</v>
      </c>
      <c r="E1062" s="40">
        <v>61.42</v>
      </c>
      <c r="F1062" s="40">
        <v>0.0</v>
      </c>
      <c r="G1062" s="33" t="s">
        <v>450</v>
      </c>
    </row>
    <row r="1063" ht="15.75" customHeight="1">
      <c r="A1063" s="33" t="s">
        <v>4272</v>
      </c>
      <c r="B1063" s="33" t="s">
        <v>2073</v>
      </c>
      <c r="C1063" s="39">
        <v>45939.0</v>
      </c>
      <c r="D1063" s="33" t="s">
        <v>461</v>
      </c>
      <c r="E1063" s="40">
        <v>207.62</v>
      </c>
      <c r="F1063" s="40">
        <v>3.88</v>
      </c>
      <c r="G1063" s="33" t="s">
        <v>450</v>
      </c>
    </row>
    <row r="1064" ht="15.75" customHeight="1">
      <c r="A1064" s="33" t="s">
        <v>4276</v>
      </c>
      <c r="B1064" s="33" t="s">
        <v>790</v>
      </c>
      <c r="C1064" s="39">
        <v>45875.0</v>
      </c>
      <c r="D1064" s="33" t="s">
        <v>435</v>
      </c>
      <c r="E1064" s="40">
        <v>143.05</v>
      </c>
      <c r="F1064" s="40">
        <v>0.0</v>
      </c>
      <c r="G1064" s="33" t="s">
        <v>450</v>
      </c>
    </row>
    <row r="1065" ht="15.75" customHeight="1">
      <c r="A1065" s="33" t="s">
        <v>4280</v>
      </c>
      <c r="B1065" s="33" t="s">
        <v>2559</v>
      </c>
      <c r="C1065" s="39">
        <v>45912.0</v>
      </c>
      <c r="D1065" s="33" t="s">
        <v>479</v>
      </c>
      <c r="E1065" s="40">
        <v>47.36</v>
      </c>
      <c r="F1065" s="40">
        <v>0.36</v>
      </c>
      <c r="G1065" s="33" t="s">
        <v>450</v>
      </c>
    </row>
    <row r="1066" ht="15.75" customHeight="1">
      <c r="A1066" s="33" t="s">
        <v>4284</v>
      </c>
      <c r="B1066" s="33" t="s">
        <v>2255</v>
      </c>
      <c r="C1066" s="39">
        <v>46247.0</v>
      </c>
      <c r="D1066" s="33" t="s">
        <v>435</v>
      </c>
      <c r="E1066" s="40">
        <v>72.56</v>
      </c>
      <c r="F1066" s="40">
        <v>0.0</v>
      </c>
      <c r="G1066" s="33" t="s">
        <v>442</v>
      </c>
    </row>
    <row r="1067" ht="15.75" customHeight="1">
      <c r="A1067" s="33" t="s">
        <v>4288</v>
      </c>
      <c r="B1067" s="33" t="s">
        <v>3452</v>
      </c>
      <c r="C1067" s="39">
        <v>45956.0</v>
      </c>
      <c r="D1067" s="33" t="s">
        <v>461</v>
      </c>
      <c r="E1067" s="40">
        <v>57.46</v>
      </c>
      <c r="F1067" s="40">
        <v>0.49</v>
      </c>
      <c r="G1067" s="33" t="s">
        <v>431</v>
      </c>
    </row>
    <row r="1068" ht="15.75" customHeight="1">
      <c r="A1068" s="33" t="s">
        <v>4291</v>
      </c>
      <c r="B1068" s="33" t="s">
        <v>1911</v>
      </c>
      <c r="C1068" s="39">
        <v>45942.0</v>
      </c>
      <c r="D1068" s="33" t="s">
        <v>428</v>
      </c>
      <c r="E1068" s="40">
        <v>8.71</v>
      </c>
      <c r="F1068" s="40">
        <v>0.0</v>
      </c>
      <c r="G1068" s="33" t="s">
        <v>450</v>
      </c>
    </row>
    <row r="1069" ht="15.75" customHeight="1">
      <c r="A1069" s="33" t="s">
        <v>4294</v>
      </c>
      <c r="B1069" s="33" t="s">
        <v>665</v>
      </c>
      <c r="C1069" s="39">
        <v>46221.0</v>
      </c>
      <c r="D1069" s="33" t="s">
        <v>440</v>
      </c>
      <c r="E1069" s="40">
        <v>49.24</v>
      </c>
      <c r="F1069" s="40">
        <v>0.0</v>
      </c>
      <c r="G1069" s="33" t="s">
        <v>450</v>
      </c>
    </row>
    <row r="1070" ht="15.75" customHeight="1">
      <c r="A1070" s="33" t="s">
        <v>4297</v>
      </c>
      <c r="B1070" s="33" t="s">
        <v>2879</v>
      </c>
      <c r="C1070" s="39">
        <v>45680.0</v>
      </c>
      <c r="D1070" s="33" t="s">
        <v>440</v>
      </c>
      <c r="E1070" s="40">
        <v>49.81</v>
      </c>
      <c r="F1070" s="40">
        <v>0.0</v>
      </c>
      <c r="G1070" s="33" t="s">
        <v>450</v>
      </c>
    </row>
    <row r="1071" ht="15.75" customHeight="1">
      <c r="A1071" s="33" t="s">
        <v>4300</v>
      </c>
      <c r="B1071" s="33" t="s">
        <v>1344</v>
      </c>
      <c r="C1071" s="39">
        <v>45948.0</v>
      </c>
      <c r="D1071" s="33" t="s">
        <v>479</v>
      </c>
      <c r="E1071" s="40">
        <v>41.0</v>
      </c>
      <c r="F1071" s="40">
        <v>0.66</v>
      </c>
      <c r="G1071" s="33" t="s">
        <v>431</v>
      </c>
    </row>
    <row r="1072" ht="15.75" customHeight="1">
      <c r="A1072" s="33" t="s">
        <v>4303</v>
      </c>
      <c r="B1072" s="33" t="s">
        <v>1422</v>
      </c>
      <c r="C1072" s="39">
        <v>46112.0</v>
      </c>
      <c r="D1072" s="33" t="s">
        <v>479</v>
      </c>
      <c r="E1072" s="40">
        <v>48.03</v>
      </c>
      <c r="F1072" s="40">
        <v>0.28</v>
      </c>
      <c r="G1072" s="33" t="s">
        <v>442</v>
      </c>
    </row>
    <row r="1073" ht="15.75" customHeight="1">
      <c r="A1073" s="33" t="s">
        <v>4306</v>
      </c>
      <c r="B1073" s="33" t="s">
        <v>1062</v>
      </c>
      <c r="C1073" s="39">
        <v>45970.0</v>
      </c>
      <c r="D1073" s="33" t="s">
        <v>440</v>
      </c>
      <c r="E1073" s="40">
        <v>58.37</v>
      </c>
      <c r="F1073" s="40">
        <v>0.0</v>
      </c>
      <c r="G1073" s="33" t="s">
        <v>431</v>
      </c>
    </row>
    <row r="1074" ht="15.75" customHeight="1">
      <c r="A1074" s="33" t="s">
        <v>4310</v>
      </c>
      <c r="B1074" s="33" t="s">
        <v>1716</v>
      </c>
      <c r="C1074" s="39">
        <v>46185.0</v>
      </c>
      <c r="D1074" s="33" t="s">
        <v>440</v>
      </c>
      <c r="E1074" s="40">
        <v>102.06</v>
      </c>
      <c r="F1074" s="40">
        <v>0.0</v>
      </c>
      <c r="G1074" s="33" t="s">
        <v>442</v>
      </c>
    </row>
    <row r="1075" ht="15.75" customHeight="1">
      <c r="A1075" s="33" t="s">
        <v>4313</v>
      </c>
      <c r="B1075" s="33" t="s">
        <v>1868</v>
      </c>
      <c r="C1075" s="39">
        <v>46196.0</v>
      </c>
      <c r="D1075" s="33" t="s">
        <v>435</v>
      </c>
      <c r="E1075" s="40">
        <v>43.89</v>
      </c>
      <c r="F1075" s="40">
        <v>0.0</v>
      </c>
      <c r="G1075" s="33" t="s">
        <v>450</v>
      </c>
    </row>
    <row r="1076" ht="15.75" customHeight="1">
      <c r="A1076" s="33" t="s">
        <v>4317</v>
      </c>
      <c r="B1076" s="33" t="s">
        <v>1014</v>
      </c>
      <c r="C1076" s="39">
        <v>45862.0</v>
      </c>
      <c r="D1076" s="33" t="s">
        <v>440</v>
      </c>
      <c r="E1076" s="40">
        <v>175.78</v>
      </c>
      <c r="F1076" s="40">
        <v>0.0</v>
      </c>
      <c r="G1076" s="33" t="s">
        <v>431</v>
      </c>
    </row>
    <row r="1077" ht="15.75" customHeight="1">
      <c r="A1077" s="33" t="s">
        <v>4320</v>
      </c>
      <c r="B1077" s="33" t="s">
        <v>848</v>
      </c>
      <c r="C1077" s="39">
        <v>46154.0</v>
      </c>
      <c r="D1077" s="33" t="s">
        <v>479</v>
      </c>
      <c r="E1077" s="40">
        <v>32.09</v>
      </c>
      <c r="F1077" s="40">
        <v>0.61</v>
      </c>
      <c r="G1077" s="33" t="s">
        <v>442</v>
      </c>
    </row>
    <row r="1078" ht="15.75" customHeight="1">
      <c r="A1078" s="33" t="s">
        <v>4324</v>
      </c>
      <c r="B1078" s="33" t="s">
        <v>1660</v>
      </c>
      <c r="C1078" s="39">
        <v>45806.0</v>
      </c>
      <c r="D1078" s="33" t="s">
        <v>461</v>
      </c>
      <c r="E1078" s="40">
        <v>155.73</v>
      </c>
      <c r="F1078" s="40">
        <v>2.27</v>
      </c>
      <c r="G1078" s="33" t="s">
        <v>442</v>
      </c>
    </row>
    <row r="1079" ht="15.75" customHeight="1">
      <c r="A1079" s="33" t="s">
        <v>4328</v>
      </c>
      <c r="B1079" s="33" t="s">
        <v>1113</v>
      </c>
      <c r="C1079" s="39">
        <v>45803.0</v>
      </c>
      <c r="D1079" s="33" t="s">
        <v>461</v>
      </c>
      <c r="E1079" s="40">
        <v>90.52</v>
      </c>
      <c r="F1079" s="40">
        <v>1.34</v>
      </c>
      <c r="G1079" s="33" t="s">
        <v>450</v>
      </c>
    </row>
    <row r="1080" ht="15.75" customHeight="1">
      <c r="A1080" s="33" t="s">
        <v>4330</v>
      </c>
      <c r="B1080" s="33" t="s">
        <v>1135</v>
      </c>
      <c r="C1080" s="39">
        <v>46251.0</v>
      </c>
      <c r="D1080" s="33" t="s">
        <v>479</v>
      </c>
      <c r="E1080" s="40">
        <v>24.39</v>
      </c>
      <c r="F1080" s="40">
        <v>0.23</v>
      </c>
      <c r="G1080" s="33" t="s">
        <v>442</v>
      </c>
    </row>
    <row r="1081" ht="15.75" customHeight="1">
      <c r="A1081" s="33" t="s">
        <v>4334</v>
      </c>
      <c r="B1081" s="33" t="s">
        <v>1300</v>
      </c>
      <c r="C1081" s="39">
        <v>45665.0</v>
      </c>
      <c r="D1081" s="33" t="s">
        <v>461</v>
      </c>
      <c r="E1081" s="40">
        <v>57.17</v>
      </c>
      <c r="F1081" s="40">
        <v>0.91</v>
      </c>
      <c r="G1081" s="33" t="s">
        <v>450</v>
      </c>
    </row>
    <row r="1082" ht="15.75" customHeight="1">
      <c r="A1082" s="33" t="s">
        <v>4338</v>
      </c>
      <c r="B1082" s="33" t="s">
        <v>2429</v>
      </c>
      <c r="C1082" s="39">
        <v>45872.0</v>
      </c>
      <c r="D1082" s="33" t="s">
        <v>479</v>
      </c>
      <c r="E1082" s="40">
        <v>212.94</v>
      </c>
      <c r="F1082" s="40">
        <v>3.24</v>
      </c>
      <c r="G1082" s="33" t="s">
        <v>450</v>
      </c>
    </row>
    <row r="1083" ht="15.75" customHeight="1">
      <c r="A1083" s="33" t="s">
        <v>4342</v>
      </c>
      <c r="B1083" s="33" t="s">
        <v>790</v>
      </c>
      <c r="C1083" s="39">
        <v>46040.0</v>
      </c>
      <c r="D1083" s="33" t="s">
        <v>440</v>
      </c>
      <c r="E1083" s="40">
        <v>32.65</v>
      </c>
      <c r="F1083" s="40">
        <v>0.0</v>
      </c>
      <c r="G1083" s="33" t="s">
        <v>450</v>
      </c>
    </row>
    <row r="1084" ht="15.75" customHeight="1">
      <c r="A1084" s="33" t="s">
        <v>4345</v>
      </c>
      <c r="B1084" s="33" t="s">
        <v>2826</v>
      </c>
      <c r="C1084" s="39">
        <v>45909.0</v>
      </c>
      <c r="D1084" s="33" t="s">
        <v>440</v>
      </c>
      <c r="E1084" s="40">
        <v>216.99</v>
      </c>
      <c r="F1084" s="40">
        <v>0.0</v>
      </c>
      <c r="G1084" s="33" t="s">
        <v>442</v>
      </c>
    </row>
    <row r="1085" ht="15.75" customHeight="1">
      <c r="A1085" s="33" t="s">
        <v>4348</v>
      </c>
      <c r="B1085" s="33" t="s">
        <v>955</v>
      </c>
      <c r="C1085" s="39">
        <v>46170.0</v>
      </c>
      <c r="D1085" s="33" t="s">
        <v>479</v>
      </c>
      <c r="E1085" s="40">
        <v>104.16</v>
      </c>
      <c r="F1085" s="40">
        <v>1.88</v>
      </c>
      <c r="G1085" s="33" t="s">
        <v>442</v>
      </c>
    </row>
    <row r="1086" ht="15.75" customHeight="1">
      <c r="A1086" s="33" t="s">
        <v>4349</v>
      </c>
      <c r="B1086" s="33" t="s">
        <v>2317</v>
      </c>
      <c r="C1086" s="39">
        <v>45810.0</v>
      </c>
      <c r="D1086" s="33" t="s">
        <v>440</v>
      </c>
      <c r="E1086" s="40">
        <v>91.66</v>
      </c>
      <c r="F1086" s="40">
        <v>0.0</v>
      </c>
      <c r="G1086" s="33" t="s">
        <v>450</v>
      </c>
    </row>
    <row r="1087" ht="15.75" customHeight="1">
      <c r="A1087" s="33" t="s">
        <v>4352</v>
      </c>
      <c r="B1087" s="33" t="s">
        <v>1108</v>
      </c>
      <c r="C1087" s="39">
        <v>45993.0</v>
      </c>
      <c r="D1087" s="33" t="s">
        <v>461</v>
      </c>
      <c r="E1087" s="40">
        <v>99.82</v>
      </c>
      <c r="F1087" s="40">
        <v>1.99</v>
      </c>
      <c r="G1087" s="33" t="s">
        <v>450</v>
      </c>
    </row>
    <row r="1088" ht="15.75" customHeight="1">
      <c r="A1088" s="33" t="s">
        <v>4359</v>
      </c>
      <c r="B1088" s="33" t="s">
        <v>1475</v>
      </c>
      <c r="C1088" s="39">
        <v>45733.0</v>
      </c>
      <c r="D1088" s="33" t="s">
        <v>435</v>
      </c>
      <c r="E1088" s="40">
        <v>56.0</v>
      </c>
      <c r="F1088" s="40">
        <v>0.0</v>
      </c>
      <c r="G1088" s="33" t="s">
        <v>450</v>
      </c>
    </row>
    <row r="1089" ht="15.75" customHeight="1">
      <c r="A1089" s="33" t="s">
        <v>4361</v>
      </c>
      <c r="B1089" s="33" t="s">
        <v>901</v>
      </c>
      <c r="C1089" s="39">
        <v>45786.0</v>
      </c>
      <c r="D1089" s="33" t="s">
        <v>435</v>
      </c>
      <c r="E1089" s="40">
        <v>33.96</v>
      </c>
      <c r="F1089" s="40">
        <v>0.0</v>
      </c>
      <c r="G1089" s="33" t="s">
        <v>442</v>
      </c>
    </row>
    <row r="1090" ht="15.75" customHeight="1">
      <c r="A1090" s="33" t="s">
        <v>4368</v>
      </c>
      <c r="B1090" s="33" t="s">
        <v>701</v>
      </c>
      <c r="C1090" s="39">
        <v>45763.0</v>
      </c>
      <c r="D1090" s="33" t="s">
        <v>479</v>
      </c>
      <c r="E1090" s="40">
        <v>75.1</v>
      </c>
      <c r="F1090" s="40">
        <v>0.63</v>
      </c>
      <c r="G1090" s="33" t="s">
        <v>450</v>
      </c>
    </row>
    <row r="1091" ht="15.75" customHeight="1">
      <c r="A1091" s="33" t="s">
        <v>4370</v>
      </c>
      <c r="B1091" s="33" t="s">
        <v>526</v>
      </c>
      <c r="C1091" s="39">
        <v>46108.0</v>
      </c>
      <c r="D1091" s="33" t="s">
        <v>435</v>
      </c>
      <c r="E1091" s="40">
        <v>94.13</v>
      </c>
      <c r="F1091" s="40">
        <v>0.0</v>
      </c>
      <c r="G1091" s="33" t="s">
        <v>442</v>
      </c>
    </row>
    <row r="1092" ht="15.75" customHeight="1">
      <c r="A1092" s="33" t="s">
        <v>4373</v>
      </c>
      <c r="B1092" s="33" t="s">
        <v>381</v>
      </c>
      <c r="C1092" s="39">
        <v>45781.0</v>
      </c>
      <c r="D1092" s="33" t="s">
        <v>435</v>
      </c>
      <c r="E1092" s="40">
        <v>107.63</v>
      </c>
      <c r="F1092" s="40">
        <v>0.0</v>
      </c>
      <c r="G1092" s="33" t="s">
        <v>450</v>
      </c>
    </row>
    <row r="1093" ht="15.75" customHeight="1">
      <c r="A1093" s="33" t="s">
        <v>4375</v>
      </c>
      <c r="B1093" s="33" t="s">
        <v>378</v>
      </c>
      <c r="C1093" s="39">
        <v>46064.0</v>
      </c>
      <c r="D1093" s="33" t="s">
        <v>440</v>
      </c>
      <c r="E1093" s="40">
        <v>104.61</v>
      </c>
      <c r="F1093" s="40">
        <v>0.0</v>
      </c>
      <c r="G1093" s="33" t="s">
        <v>450</v>
      </c>
    </row>
    <row r="1094" ht="15.75" customHeight="1">
      <c r="A1094" s="33" t="s">
        <v>4378</v>
      </c>
      <c r="B1094" s="33" t="s">
        <v>2615</v>
      </c>
      <c r="C1094" s="39">
        <v>45867.0</v>
      </c>
      <c r="D1094" s="33" t="s">
        <v>435</v>
      </c>
      <c r="E1094" s="40">
        <v>124.37</v>
      </c>
      <c r="F1094" s="40">
        <v>0.0</v>
      </c>
      <c r="G1094" s="33" t="s">
        <v>450</v>
      </c>
    </row>
    <row r="1095" ht="15.75" customHeight="1">
      <c r="A1095" s="33" t="s">
        <v>4382</v>
      </c>
      <c r="B1095" s="33" t="s">
        <v>3807</v>
      </c>
      <c r="C1095" s="39">
        <v>46000.0</v>
      </c>
      <c r="D1095" s="33" t="s">
        <v>440</v>
      </c>
      <c r="E1095" s="40">
        <v>273.59</v>
      </c>
      <c r="F1095" s="40">
        <v>0.0</v>
      </c>
      <c r="G1095" s="33" t="s">
        <v>450</v>
      </c>
    </row>
    <row r="1096" ht="15.75" customHeight="1">
      <c r="A1096" s="33" t="s">
        <v>4385</v>
      </c>
      <c r="B1096" s="33" t="s">
        <v>329</v>
      </c>
      <c r="C1096" s="39">
        <v>46188.0</v>
      </c>
      <c r="D1096" s="33" t="s">
        <v>479</v>
      </c>
      <c r="E1096" s="40">
        <v>88.33</v>
      </c>
      <c r="F1096" s="40">
        <v>1.3</v>
      </c>
      <c r="G1096" s="33" t="s">
        <v>450</v>
      </c>
    </row>
    <row r="1097" ht="15.75" customHeight="1">
      <c r="A1097" s="33" t="s">
        <v>4388</v>
      </c>
      <c r="B1097" s="33" t="s">
        <v>1179</v>
      </c>
      <c r="C1097" s="39">
        <v>46182.0</v>
      </c>
      <c r="D1097" s="33" t="s">
        <v>440</v>
      </c>
      <c r="E1097" s="40">
        <v>169.58</v>
      </c>
      <c r="F1097" s="40">
        <v>0.0</v>
      </c>
      <c r="G1097" s="33" t="s">
        <v>450</v>
      </c>
    </row>
    <row r="1098" ht="15.75" customHeight="1">
      <c r="A1098" s="33" t="s">
        <v>4391</v>
      </c>
      <c r="B1098" s="33" t="s">
        <v>255</v>
      </c>
      <c r="C1098" s="39">
        <v>45664.0</v>
      </c>
      <c r="D1098" s="33" t="s">
        <v>428</v>
      </c>
      <c r="E1098" s="40">
        <v>110.48</v>
      </c>
      <c r="F1098" s="40">
        <v>0.0</v>
      </c>
      <c r="G1098" s="33" t="s">
        <v>431</v>
      </c>
    </row>
    <row r="1099" ht="15.75" customHeight="1">
      <c r="A1099" s="33" t="s">
        <v>4394</v>
      </c>
      <c r="B1099" s="33" t="s">
        <v>2211</v>
      </c>
      <c r="C1099" s="39">
        <v>46134.0</v>
      </c>
      <c r="D1099" s="33" t="s">
        <v>435</v>
      </c>
      <c r="E1099" s="40">
        <v>292.94</v>
      </c>
      <c r="F1099" s="40">
        <v>0.0</v>
      </c>
      <c r="G1099" s="33" t="s">
        <v>450</v>
      </c>
    </row>
    <row r="1100" ht="15.75" customHeight="1">
      <c r="A1100" s="33" t="s">
        <v>4398</v>
      </c>
      <c r="B1100" s="33" t="s">
        <v>855</v>
      </c>
      <c r="C1100" s="39">
        <v>46238.0</v>
      </c>
      <c r="D1100" s="33" t="s">
        <v>461</v>
      </c>
      <c r="E1100" s="40">
        <v>79.08</v>
      </c>
      <c r="F1100" s="40">
        <v>1.18</v>
      </c>
      <c r="G1100" s="33" t="s">
        <v>450</v>
      </c>
    </row>
    <row r="1101" ht="15.75" customHeight="1">
      <c r="A1101" s="33" t="s">
        <v>4402</v>
      </c>
      <c r="B1101" s="33" t="s">
        <v>3552</v>
      </c>
      <c r="C1101" s="39">
        <v>46063.0</v>
      </c>
      <c r="D1101" s="33" t="s">
        <v>479</v>
      </c>
      <c r="E1101" s="40">
        <v>72.63</v>
      </c>
      <c r="F1101" s="40">
        <v>0.96</v>
      </c>
      <c r="G1101" s="33" t="s">
        <v>431</v>
      </c>
    </row>
    <row r="1102" ht="15.75" customHeight="1">
      <c r="A1102" s="33" t="s">
        <v>4405</v>
      </c>
      <c r="B1102" s="33" t="s">
        <v>1062</v>
      </c>
      <c r="C1102" s="39">
        <v>45771.0</v>
      </c>
      <c r="D1102" s="33" t="s">
        <v>461</v>
      </c>
      <c r="E1102" s="40">
        <v>162.36</v>
      </c>
      <c r="F1102" s="40">
        <v>1.99</v>
      </c>
      <c r="G1102" s="33" t="s">
        <v>450</v>
      </c>
    </row>
    <row r="1103" ht="15.75" customHeight="1">
      <c r="A1103" s="33" t="s">
        <v>4408</v>
      </c>
      <c r="B1103" s="33" t="s">
        <v>1217</v>
      </c>
      <c r="C1103" s="39">
        <v>46061.0</v>
      </c>
      <c r="D1103" s="33" t="s">
        <v>461</v>
      </c>
      <c r="E1103" s="40">
        <v>162.5</v>
      </c>
      <c r="F1103" s="40">
        <v>2.89</v>
      </c>
      <c r="G1103" s="33" t="s">
        <v>450</v>
      </c>
    </row>
    <row r="1104" ht="15.75" customHeight="1">
      <c r="A1104" s="33" t="s">
        <v>4411</v>
      </c>
      <c r="B1104" s="33" t="s">
        <v>919</v>
      </c>
      <c r="C1104" s="39">
        <v>46044.0</v>
      </c>
      <c r="D1104" s="33" t="s">
        <v>435</v>
      </c>
      <c r="E1104" s="40">
        <v>59.78</v>
      </c>
      <c r="F1104" s="40">
        <v>0.0</v>
      </c>
      <c r="G1104" s="33" t="s">
        <v>442</v>
      </c>
    </row>
    <row r="1105" ht="15.75" customHeight="1">
      <c r="A1105" s="33" t="s">
        <v>4416</v>
      </c>
      <c r="B1105" s="33" t="s">
        <v>323</v>
      </c>
      <c r="C1105" s="39">
        <v>46059.0</v>
      </c>
      <c r="D1105" s="33" t="s">
        <v>461</v>
      </c>
      <c r="E1105" s="40">
        <v>107.63</v>
      </c>
      <c r="F1105" s="40">
        <v>1.46</v>
      </c>
      <c r="G1105" s="33" t="s">
        <v>442</v>
      </c>
    </row>
    <row r="1106" ht="15.75" customHeight="1">
      <c r="A1106" s="33" t="s">
        <v>4418</v>
      </c>
      <c r="B1106" s="33" t="s">
        <v>676</v>
      </c>
      <c r="C1106" s="39">
        <v>45918.0</v>
      </c>
      <c r="D1106" s="33" t="s">
        <v>440</v>
      </c>
      <c r="E1106" s="40">
        <v>125.27</v>
      </c>
      <c r="F1106" s="40">
        <v>0.0</v>
      </c>
      <c r="G1106" s="33" t="s">
        <v>450</v>
      </c>
    </row>
    <row r="1107" ht="15.75" customHeight="1">
      <c r="A1107" s="33" t="s">
        <v>4421</v>
      </c>
      <c r="B1107" s="33" t="s">
        <v>183</v>
      </c>
      <c r="C1107" s="39">
        <v>45976.0</v>
      </c>
      <c r="D1107" s="33" t="s">
        <v>461</v>
      </c>
      <c r="E1107" s="40">
        <v>120.35</v>
      </c>
      <c r="F1107" s="40">
        <v>1.41</v>
      </c>
      <c r="G1107" s="33" t="s">
        <v>431</v>
      </c>
    </row>
    <row r="1108" ht="15.75" customHeight="1">
      <c r="A1108" s="33" t="s">
        <v>4424</v>
      </c>
      <c r="B1108" s="33" t="s">
        <v>540</v>
      </c>
      <c r="C1108" s="39">
        <v>46053.0</v>
      </c>
      <c r="D1108" s="33" t="s">
        <v>440</v>
      </c>
      <c r="E1108" s="40">
        <v>99.93</v>
      </c>
      <c r="F1108" s="40">
        <v>0.0</v>
      </c>
      <c r="G1108" s="33" t="s">
        <v>450</v>
      </c>
    </row>
    <row r="1109" ht="15.75" customHeight="1">
      <c r="A1109" s="33" t="s">
        <v>4426</v>
      </c>
      <c r="B1109" s="33" t="s">
        <v>2934</v>
      </c>
      <c r="C1109" s="39">
        <v>45939.0</v>
      </c>
      <c r="D1109" s="33" t="s">
        <v>440</v>
      </c>
      <c r="E1109" s="40">
        <v>13.62</v>
      </c>
      <c r="F1109" s="40">
        <v>0.0</v>
      </c>
      <c r="G1109" s="33" t="s">
        <v>450</v>
      </c>
    </row>
    <row r="1110" ht="15.75" customHeight="1">
      <c r="A1110" s="33" t="s">
        <v>4429</v>
      </c>
      <c r="B1110" s="33" t="s">
        <v>754</v>
      </c>
      <c r="C1110" s="39">
        <v>46127.0</v>
      </c>
      <c r="D1110" s="33" t="s">
        <v>461</v>
      </c>
      <c r="E1110" s="40">
        <v>121.59</v>
      </c>
      <c r="F1110" s="40">
        <v>1.24</v>
      </c>
      <c r="G1110" s="33" t="s">
        <v>431</v>
      </c>
    </row>
    <row r="1111" ht="15.75" customHeight="1">
      <c r="A1111" s="33" t="s">
        <v>4430</v>
      </c>
      <c r="B1111" s="33" t="s">
        <v>551</v>
      </c>
      <c r="C1111" s="39">
        <v>46088.0</v>
      </c>
      <c r="D1111" s="33" t="s">
        <v>428</v>
      </c>
      <c r="E1111" s="40">
        <v>125.58</v>
      </c>
      <c r="F1111" s="40">
        <v>0.0</v>
      </c>
      <c r="G1111" s="33" t="s">
        <v>450</v>
      </c>
    </row>
    <row r="1112" ht="15.75" customHeight="1">
      <c r="A1112" s="33" t="s">
        <v>4432</v>
      </c>
      <c r="B1112" s="33" t="s">
        <v>750</v>
      </c>
      <c r="C1112" s="39">
        <v>45841.0</v>
      </c>
      <c r="D1112" s="33" t="s">
        <v>428</v>
      </c>
      <c r="E1112" s="40">
        <v>102.86</v>
      </c>
      <c r="F1112" s="40">
        <v>0.0</v>
      </c>
      <c r="G1112" s="33" t="s">
        <v>450</v>
      </c>
    </row>
    <row r="1113" ht="15.75" customHeight="1">
      <c r="A1113" s="33" t="s">
        <v>4436</v>
      </c>
      <c r="B1113" s="33" t="s">
        <v>2268</v>
      </c>
      <c r="C1113" s="39">
        <v>46028.0</v>
      </c>
      <c r="D1113" s="33" t="s">
        <v>461</v>
      </c>
      <c r="E1113" s="40">
        <v>54.64</v>
      </c>
      <c r="F1113" s="40">
        <v>0.76</v>
      </c>
      <c r="G1113" s="33" t="s">
        <v>431</v>
      </c>
    </row>
    <row r="1114" ht="15.75" customHeight="1">
      <c r="A1114" s="33" t="s">
        <v>4440</v>
      </c>
      <c r="B1114" s="33" t="s">
        <v>1141</v>
      </c>
      <c r="C1114" s="39">
        <v>46117.0</v>
      </c>
      <c r="D1114" s="33" t="s">
        <v>479</v>
      </c>
      <c r="E1114" s="40">
        <v>198.8</v>
      </c>
      <c r="F1114" s="40">
        <v>3.83</v>
      </c>
      <c r="G1114" s="33" t="s">
        <v>450</v>
      </c>
    </row>
    <row r="1115" ht="15.75" customHeight="1">
      <c r="A1115" s="33" t="s">
        <v>4443</v>
      </c>
      <c r="B1115" s="33" t="s">
        <v>1527</v>
      </c>
      <c r="C1115" s="39">
        <v>45955.0</v>
      </c>
      <c r="D1115" s="33" t="s">
        <v>479</v>
      </c>
      <c r="E1115" s="40">
        <v>33.38</v>
      </c>
      <c r="F1115" s="40">
        <v>0.49</v>
      </c>
      <c r="G1115" s="33" t="s">
        <v>442</v>
      </c>
    </row>
    <row r="1116" ht="15.75" customHeight="1">
      <c r="A1116" s="33" t="s">
        <v>4447</v>
      </c>
      <c r="B1116" s="33" t="s">
        <v>655</v>
      </c>
      <c r="C1116" s="39">
        <v>46092.0</v>
      </c>
      <c r="D1116" s="33" t="s">
        <v>428</v>
      </c>
      <c r="E1116" s="40">
        <v>164.53</v>
      </c>
      <c r="F1116" s="40">
        <v>0.0</v>
      </c>
      <c r="G1116" s="33" t="s">
        <v>450</v>
      </c>
    </row>
    <row r="1117" ht="15.75" customHeight="1">
      <c r="A1117" s="33" t="s">
        <v>4451</v>
      </c>
      <c r="B1117" s="33" t="s">
        <v>323</v>
      </c>
      <c r="C1117" s="39">
        <v>45734.0</v>
      </c>
      <c r="D1117" s="33" t="s">
        <v>440</v>
      </c>
      <c r="E1117" s="40">
        <v>32.99</v>
      </c>
      <c r="F1117" s="40">
        <v>0.0</v>
      </c>
      <c r="G1117" s="33" t="s">
        <v>450</v>
      </c>
    </row>
    <row r="1118" ht="15.75" customHeight="1">
      <c r="A1118" s="33" t="s">
        <v>4455</v>
      </c>
      <c r="B1118" s="33" t="s">
        <v>1256</v>
      </c>
      <c r="C1118" s="39">
        <v>45892.0</v>
      </c>
      <c r="D1118" s="33" t="s">
        <v>428</v>
      </c>
      <c r="E1118" s="40">
        <v>150.88</v>
      </c>
      <c r="F1118" s="40">
        <v>0.0</v>
      </c>
      <c r="G1118" s="33" t="s">
        <v>450</v>
      </c>
    </row>
    <row r="1119" ht="15.75" customHeight="1">
      <c r="A1119" s="33" t="s">
        <v>4458</v>
      </c>
      <c r="B1119" s="33" t="s">
        <v>2469</v>
      </c>
      <c r="C1119" s="39">
        <v>46084.0</v>
      </c>
      <c r="D1119" s="33" t="s">
        <v>461</v>
      </c>
      <c r="E1119" s="40">
        <v>34.38</v>
      </c>
      <c r="F1119" s="40">
        <v>0.54</v>
      </c>
      <c r="G1119" s="33" t="s">
        <v>442</v>
      </c>
    </row>
    <row r="1120" ht="15.75" customHeight="1">
      <c r="A1120" s="33" t="s">
        <v>4462</v>
      </c>
      <c r="B1120" s="33" t="s">
        <v>864</v>
      </c>
      <c r="C1120" s="39">
        <v>46201.0</v>
      </c>
      <c r="D1120" s="33" t="s">
        <v>461</v>
      </c>
      <c r="E1120" s="40">
        <v>144.86</v>
      </c>
      <c r="F1120" s="40">
        <v>1.3</v>
      </c>
      <c r="G1120" s="33" t="s">
        <v>450</v>
      </c>
    </row>
    <row r="1121" ht="15.75" customHeight="1">
      <c r="A1121" s="33" t="s">
        <v>4466</v>
      </c>
      <c r="B1121" s="33" t="s">
        <v>1280</v>
      </c>
      <c r="C1121" s="39">
        <v>46050.0</v>
      </c>
      <c r="D1121" s="33" t="s">
        <v>479</v>
      </c>
      <c r="E1121" s="40">
        <v>228.88</v>
      </c>
      <c r="F1121" s="40">
        <v>3.75</v>
      </c>
      <c r="G1121" s="33" t="s">
        <v>431</v>
      </c>
    </row>
    <row r="1122" ht="15.75" customHeight="1">
      <c r="A1122" s="33" t="s">
        <v>4470</v>
      </c>
      <c r="B1122" s="33" t="s">
        <v>2433</v>
      </c>
      <c r="C1122" s="39">
        <v>46060.0</v>
      </c>
      <c r="D1122" s="33" t="s">
        <v>428</v>
      </c>
      <c r="E1122" s="40">
        <v>229.47</v>
      </c>
      <c r="F1122" s="40">
        <v>0.0</v>
      </c>
      <c r="G1122" s="33" t="s">
        <v>431</v>
      </c>
    </row>
    <row r="1123" ht="15.75" customHeight="1">
      <c r="A1123" s="33" t="s">
        <v>4473</v>
      </c>
      <c r="B1123" s="33" t="s">
        <v>240</v>
      </c>
      <c r="C1123" s="39">
        <v>45865.0</v>
      </c>
      <c r="D1123" s="33" t="s">
        <v>461</v>
      </c>
      <c r="E1123" s="40">
        <v>196.5</v>
      </c>
      <c r="F1123" s="40">
        <v>1.22</v>
      </c>
      <c r="G1123" s="33" t="s">
        <v>442</v>
      </c>
    </row>
    <row r="1124" ht="15.75" customHeight="1">
      <c r="A1124" s="33" t="s">
        <v>4477</v>
      </c>
      <c r="B1124" s="33" t="s">
        <v>2362</v>
      </c>
      <c r="C1124" s="39">
        <v>46083.0</v>
      </c>
      <c r="D1124" s="33" t="s">
        <v>435</v>
      </c>
      <c r="E1124" s="40">
        <v>78.72</v>
      </c>
      <c r="F1124" s="40">
        <v>0.0</v>
      </c>
      <c r="G1124" s="33" t="s">
        <v>450</v>
      </c>
    </row>
    <row r="1125" ht="15.75" customHeight="1">
      <c r="A1125" s="33" t="s">
        <v>4481</v>
      </c>
      <c r="B1125" s="33" t="s">
        <v>378</v>
      </c>
      <c r="C1125" s="39">
        <v>45874.0</v>
      </c>
      <c r="D1125" s="33" t="s">
        <v>461</v>
      </c>
      <c r="E1125" s="40">
        <v>47.36</v>
      </c>
      <c r="F1125" s="40">
        <v>0.62</v>
      </c>
      <c r="G1125" s="33" t="s">
        <v>442</v>
      </c>
    </row>
    <row r="1126" ht="15.75" customHeight="1">
      <c r="A1126" s="33" t="s">
        <v>4485</v>
      </c>
      <c r="B1126" s="33" t="s">
        <v>521</v>
      </c>
      <c r="C1126" s="39">
        <v>45689.0</v>
      </c>
      <c r="D1126" s="33" t="s">
        <v>461</v>
      </c>
      <c r="E1126" s="40">
        <v>69.43</v>
      </c>
      <c r="F1126" s="40">
        <v>0.65</v>
      </c>
      <c r="G1126" s="33" t="s">
        <v>431</v>
      </c>
    </row>
    <row r="1127" ht="15.75" customHeight="1">
      <c r="A1127" s="33" t="s">
        <v>4489</v>
      </c>
      <c r="B1127" s="33" t="s">
        <v>884</v>
      </c>
      <c r="C1127" s="39">
        <v>45807.0</v>
      </c>
      <c r="D1127" s="33" t="s">
        <v>428</v>
      </c>
      <c r="E1127" s="40">
        <v>156.11</v>
      </c>
      <c r="F1127" s="40">
        <v>0.0</v>
      </c>
      <c r="G1127" s="33" t="s">
        <v>442</v>
      </c>
    </row>
    <row r="1128" ht="15.75" customHeight="1">
      <c r="A1128" s="33" t="s">
        <v>4492</v>
      </c>
      <c r="B1128" s="33" t="s">
        <v>2018</v>
      </c>
      <c r="C1128" s="39">
        <v>46029.0</v>
      </c>
      <c r="D1128" s="33" t="s">
        <v>428</v>
      </c>
      <c r="E1128" s="40">
        <v>120.25</v>
      </c>
      <c r="F1128" s="40">
        <v>0.0</v>
      </c>
      <c r="G1128" s="33" t="s">
        <v>442</v>
      </c>
    </row>
    <row r="1129" ht="15.75" customHeight="1">
      <c r="A1129" s="33" t="s">
        <v>4494</v>
      </c>
      <c r="B1129" s="33" t="s">
        <v>1576</v>
      </c>
      <c r="C1129" s="39">
        <v>46241.0</v>
      </c>
      <c r="D1129" s="33" t="s">
        <v>428</v>
      </c>
      <c r="E1129" s="40">
        <v>310.5</v>
      </c>
      <c r="F1129" s="40">
        <v>0.0</v>
      </c>
      <c r="G1129" s="33" t="s">
        <v>442</v>
      </c>
    </row>
    <row r="1130" ht="15.75" customHeight="1">
      <c r="A1130" s="33" t="s">
        <v>4497</v>
      </c>
      <c r="B1130" s="33" t="s">
        <v>2139</v>
      </c>
      <c r="C1130" s="39">
        <v>45958.0</v>
      </c>
      <c r="D1130" s="33" t="s">
        <v>435</v>
      </c>
      <c r="E1130" s="40">
        <v>51.35</v>
      </c>
      <c r="F1130" s="40">
        <v>0.0</v>
      </c>
      <c r="G1130" s="33" t="s">
        <v>450</v>
      </c>
    </row>
    <row r="1131" ht="15.75" customHeight="1">
      <c r="A1131" s="33" t="s">
        <v>4501</v>
      </c>
      <c r="B1131" s="33" t="s">
        <v>539</v>
      </c>
      <c r="C1131" s="39">
        <v>46180.0</v>
      </c>
      <c r="D1131" s="33" t="s">
        <v>461</v>
      </c>
      <c r="E1131" s="40">
        <v>239.36</v>
      </c>
      <c r="F1131" s="40">
        <v>3.96</v>
      </c>
      <c r="G1131" s="33" t="s">
        <v>450</v>
      </c>
    </row>
    <row r="1132" ht="15.75" customHeight="1">
      <c r="A1132" s="33" t="s">
        <v>4504</v>
      </c>
      <c r="B1132" s="33" t="s">
        <v>2669</v>
      </c>
      <c r="C1132" s="39">
        <v>46130.0</v>
      </c>
      <c r="D1132" s="33" t="s">
        <v>428</v>
      </c>
      <c r="E1132" s="40">
        <v>73.73</v>
      </c>
      <c r="F1132" s="40">
        <v>0.0</v>
      </c>
      <c r="G1132" s="33" t="s">
        <v>450</v>
      </c>
    </row>
    <row r="1133" ht="15.75" customHeight="1">
      <c r="A1133" s="33" t="s">
        <v>4507</v>
      </c>
      <c r="B1133" s="33" t="s">
        <v>763</v>
      </c>
      <c r="C1133" s="39">
        <v>45998.0</v>
      </c>
      <c r="D1133" s="33" t="s">
        <v>428</v>
      </c>
      <c r="E1133" s="40">
        <v>32.87</v>
      </c>
      <c r="F1133" s="40">
        <v>0.0</v>
      </c>
      <c r="G1133" s="33" t="s">
        <v>431</v>
      </c>
    </row>
    <row r="1134" ht="15.75" customHeight="1">
      <c r="A1134" s="33" t="s">
        <v>4511</v>
      </c>
      <c r="B1134" s="33" t="s">
        <v>597</v>
      </c>
      <c r="C1134" s="39">
        <v>46146.0</v>
      </c>
      <c r="D1134" s="33" t="s">
        <v>479</v>
      </c>
      <c r="E1134" s="40">
        <v>97.49</v>
      </c>
      <c r="F1134" s="40">
        <v>1.89</v>
      </c>
      <c r="G1134" s="33" t="s">
        <v>450</v>
      </c>
    </row>
    <row r="1135" ht="15.75" customHeight="1">
      <c r="A1135" s="33" t="s">
        <v>4516</v>
      </c>
      <c r="B1135" s="33" t="s">
        <v>801</v>
      </c>
      <c r="C1135" s="39">
        <v>45901.0</v>
      </c>
      <c r="D1135" s="33" t="s">
        <v>428</v>
      </c>
      <c r="E1135" s="40">
        <v>118.08</v>
      </c>
      <c r="F1135" s="40">
        <v>0.0</v>
      </c>
      <c r="G1135" s="33" t="s">
        <v>450</v>
      </c>
    </row>
    <row r="1136" ht="15.75" customHeight="1">
      <c r="A1136" s="33" t="s">
        <v>4518</v>
      </c>
      <c r="B1136" s="33" t="s">
        <v>1108</v>
      </c>
      <c r="C1136" s="39">
        <v>45926.0</v>
      </c>
      <c r="D1136" s="33" t="s">
        <v>428</v>
      </c>
      <c r="E1136" s="40">
        <v>184.37</v>
      </c>
      <c r="F1136" s="40">
        <v>0.0</v>
      </c>
      <c r="G1136" s="33" t="s">
        <v>431</v>
      </c>
    </row>
    <row r="1137" ht="15.75" customHeight="1">
      <c r="A1137" s="33" t="s">
        <v>4520</v>
      </c>
      <c r="B1137" s="33" t="s">
        <v>1500</v>
      </c>
      <c r="C1137" s="39">
        <v>46105.0</v>
      </c>
      <c r="D1137" s="33" t="s">
        <v>435</v>
      </c>
      <c r="E1137" s="40">
        <v>51.17</v>
      </c>
      <c r="F1137" s="40">
        <v>0.0</v>
      </c>
      <c r="G1137" s="33" t="s">
        <v>431</v>
      </c>
    </row>
    <row r="1138" ht="15.75" customHeight="1">
      <c r="A1138" s="33" t="s">
        <v>4524</v>
      </c>
      <c r="B1138" s="33" t="s">
        <v>634</v>
      </c>
      <c r="C1138" s="39">
        <v>46045.0</v>
      </c>
      <c r="D1138" s="33" t="s">
        <v>428</v>
      </c>
      <c r="E1138" s="40">
        <v>97.47</v>
      </c>
      <c r="F1138" s="40">
        <v>0.0</v>
      </c>
      <c r="G1138" s="33" t="s">
        <v>450</v>
      </c>
    </row>
    <row r="1139" ht="15.75" customHeight="1">
      <c r="A1139" s="33" t="s">
        <v>4528</v>
      </c>
      <c r="B1139" s="33" t="s">
        <v>1735</v>
      </c>
      <c r="C1139" s="39">
        <v>45978.0</v>
      </c>
      <c r="D1139" s="33" t="s">
        <v>461</v>
      </c>
      <c r="E1139" s="40">
        <v>79.77</v>
      </c>
      <c r="F1139" s="40">
        <v>0.61</v>
      </c>
      <c r="G1139" s="33" t="s">
        <v>450</v>
      </c>
    </row>
    <row r="1140" ht="15.75" customHeight="1">
      <c r="A1140" s="33" t="s">
        <v>4534</v>
      </c>
      <c r="B1140" s="33" t="s">
        <v>1409</v>
      </c>
      <c r="C1140" s="39">
        <v>45920.0</v>
      </c>
      <c r="D1140" s="33" t="s">
        <v>479</v>
      </c>
      <c r="E1140" s="40">
        <v>59.62</v>
      </c>
      <c r="F1140" s="40">
        <v>1.15</v>
      </c>
      <c r="G1140" s="33" t="s">
        <v>450</v>
      </c>
    </row>
    <row r="1141" ht="15.75" customHeight="1">
      <c r="A1141" s="33" t="s">
        <v>4537</v>
      </c>
      <c r="B1141" s="33" t="s">
        <v>3177</v>
      </c>
      <c r="C1141" s="39">
        <v>46250.0</v>
      </c>
      <c r="D1141" s="33" t="s">
        <v>435</v>
      </c>
      <c r="E1141" s="40">
        <v>223.21</v>
      </c>
      <c r="F1141" s="40">
        <v>0.0</v>
      </c>
      <c r="G1141" s="33" t="s">
        <v>442</v>
      </c>
    </row>
    <row r="1142" ht="15.75" customHeight="1">
      <c r="A1142" s="33" t="s">
        <v>4540</v>
      </c>
      <c r="B1142" s="33" t="s">
        <v>750</v>
      </c>
      <c r="C1142" s="39">
        <v>45697.0</v>
      </c>
      <c r="D1142" s="33" t="s">
        <v>428</v>
      </c>
      <c r="E1142" s="40">
        <v>119.29</v>
      </c>
      <c r="F1142" s="40">
        <v>0.0</v>
      </c>
      <c r="G1142" s="33" t="s">
        <v>450</v>
      </c>
    </row>
    <row r="1143" ht="15.75" customHeight="1">
      <c r="A1143" s="33" t="s">
        <v>4544</v>
      </c>
      <c r="B1143" s="33" t="s">
        <v>2154</v>
      </c>
      <c r="C1143" s="39">
        <v>45691.0</v>
      </c>
      <c r="D1143" s="33" t="s">
        <v>440</v>
      </c>
      <c r="E1143" s="40">
        <v>7.61</v>
      </c>
      <c r="F1143" s="40">
        <v>0.0</v>
      </c>
      <c r="G1143" s="33" t="s">
        <v>431</v>
      </c>
    </row>
    <row r="1144" ht="15.75" customHeight="1">
      <c r="A1144" s="33" t="s">
        <v>4548</v>
      </c>
      <c r="B1144" s="33" t="s">
        <v>1372</v>
      </c>
      <c r="C1144" s="39">
        <v>45948.0</v>
      </c>
      <c r="D1144" s="33" t="s">
        <v>479</v>
      </c>
      <c r="E1144" s="40">
        <v>98.64</v>
      </c>
      <c r="F1144" s="40">
        <v>1.06</v>
      </c>
      <c r="G1144" s="33" t="s">
        <v>450</v>
      </c>
    </row>
    <row r="1145" ht="15.75" customHeight="1">
      <c r="A1145" s="33" t="s">
        <v>4551</v>
      </c>
      <c r="B1145" s="33" t="s">
        <v>838</v>
      </c>
      <c r="C1145" s="39">
        <v>45678.0</v>
      </c>
      <c r="D1145" s="33" t="s">
        <v>440</v>
      </c>
      <c r="E1145" s="40">
        <v>17.34</v>
      </c>
      <c r="F1145" s="40">
        <v>0.0</v>
      </c>
      <c r="G1145" s="33" t="s">
        <v>442</v>
      </c>
    </row>
    <row r="1146" ht="15.75" customHeight="1">
      <c r="A1146" s="33" t="s">
        <v>4553</v>
      </c>
      <c r="B1146" s="33" t="s">
        <v>1346</v>
      </c>
      <c r="C1146" s="39">
        <v>45864.0</v>
      </c>
      <c r="D1146" s="33" t="s">
        <v>428</v>
      </c>
      <c r="E1146" s="40">
        <v>91.56</v>
      </c>
      <c r="F1146" s="40">
        <v>0.0</v>
      </c>
      <c r="G1146" s="33" t="s">
        <v>431</v>
      </c>
    </row>
    <row r="1147" ht="15.75" customHeight="1">
      <c r="A1147" s="33" t="s">
        <v>4556</v>
      </c>
      <c r="B1147" s="33" t="s">
        <v>1945</v>
      </c>
      <c r="C1147" s="39">
        <v>46003.0</v>
      </c>
      <c r="D1147" s="33" t="s">
        <v>479</v>
      </c>
      <c r="E1147" s="40">
        <v>20.65</v>
      </c>
      <c r="F1147" s="40">
        <v>0.27</v>
      </c>
      <c r="G1147" s="33" t="s">
        <v>450</v>
      </c>
    </row>
    <row r="1148" ht="15.75" customHeight="1">
      <c r="A1148" s="33" t="s">
        <v>4560</v>
      </c>
      <c r="B1148" s="33" t="s">
        <v>2231</v>
      </c>
      <c r="C1148" s="39">
        <v>45903.0</v>
      </c>
      <c r="D1148" s="33" t="s">
        <v>435</v>
      </c>
      <c r="E1148" s="40">
        <v>119.69</v>
      </c>
      <c r="F1148" s="40">
        <v>0.0</v>
      </c>
      <c r="G1148" s="33" t="s">
        <v>442</v>
      </c>
    </row>
    <row r="1149" ht="15.75" customHeight="1">
      <c r="A1149" s="33" t="s">
        <v>4563</v>
      </c>
      <c r="B1149" s="33" t="s">
        <v>314</v>
      </c>
      <c r="C1149" s="39">
        <v>45781.0</v>
      </c>
      <c r="D1149" s="33" t="s">
        <v>435</v>
      </c>
      <c r="E1149" s="40">
        <v>17.06</v>
      </c>
      <c r="F1149" s="40">
        <v>0.0</v>
      </c>
      <c r="G1149" s="33" t="s">
        <v>442</v>
      </c>
    </row>
    <row r="1150" ht="15.75" customHeight="1">
      <c r="A1150" s="33" t="s">
        <v>4567</v>
      </c>
      <c r="B1150" s="33" t="s">
        <v>1789</v>
      </c>
      <c r="C1150" s="39">
        <v>45830.0</v>
      </c>
      <c r="D1150" s="33" t="s">
        <v>428</v>
      </c>
      <c r="E1150" s="40">
        <v>34.58</v>
      </c>
      <c r="F1150" s="40">
        <v>0.0</v>
      </c>
      <c r="G1150" s="33" t="s">
        <v>450</v>
      </c>
    </row>
    <row r="1151" ht="15.75" customHeight="1">
      <c r="A1151" s="33" t="s">
        <v>4570</v>
      </c>
      <c r="B1151" s="33" t="s">
        <v>536</v>
      </c>
      <c r="C1151" s="39">
        <v>46024.0</v>
      </c>
      <c r="D1151" s="33" t="s">
        <v>440</v>
      </c>
      <c r="E1151" s="40">
        <v>139.24</v>
      </c>
      <c r="F1151" s="40">
        <v>0.0</v>
      </c>
      <c r="G1151" s="33" t="s">
        <v>450</v>
      </c>
    </row>
    <row r="1152" ht="15.75" customHeight="1">
      <c r="A1152" s="33" t="s">
        <v>4574</v>
      </c>
      <c r="B1152" s="33" t="s">
        <v>3128</v>
      </c>
      <c r="C1152" s="39">
        <v>46235.0</v>
      </c>
      <c r="D1152" s="33" t="s">
        <v>461</v>
      </c>
      <c r="E1152" s="40">
        <v>78.73</v>
      </c>
      <c r="F1152" s="40">
        <v>0.51</v>
      </c>
      <c r="G1152" s="33" t="s">
        <v>450</v>
      </c>
    </row>
    <row r="1153" ht="15.75" customHeight="1">
      <c r="A1153" s="33" t="s">
        <v>4579</v>
      </c>
      <c r="B1153" s="33" t="s">
        <v>258</v>
      </c>
      <c r="C1153" s="39">
        <v>46132.0</v>
      </c>
      <c r="D1153" s="33" t="s">
        <v>435</v>
      </c>
      <c r="E1153" s="40">
        <v>22.64</v>
      </c>
      <c r="F1153" s="40">
        <v>0.0</v>
      </c>
      <c r="G1153" s="33" t="s">
        <v>450</v>
      </c>
    </row>
    <row r="1154" ht="15.75" customHeight="1">
      <c r="A1154" s="33" t="s">
        <v>4585</v>
      </c>
      <c r="B1154" s="33" t="s">
        <v>1711</v>
      </c>
      <c r="C1154" s="39">
        <v>45990.0</v>
      </c>
      <c r="D1154" s="33" t="s">
        <v>428</v>
      </c>
      <c r="E1154" s="40">
        <v>213.87</v>
      </c>
      <c r="F1154" s="40">
        <v>0.0</v>
      </c>
      <c r="G1154" s="33" t="s">
        <v>450</v>
      </c>
    </row>
    <row r="1155" ht="15.75" customHeight="1">
      <c r="A1155" s="33" t="s">
        <v>4591</v>
      </c>
      <c r="B1155" s="33" t="s">
        <v>726</v>
      </c>
      <c r="C1155" s="39">
        <v>45741.0</v>
      </c>
      <c r="D1155" s="33" t="s">
        <v>461</v>
      </c>
      <c r="E1155" s="40">
        <v>56.79</v>
      </c>
      <c r="F1155" s="40">
        <v>0.57</v>
      </c>
      <c r="G1155" s="33" t="s">
        <v>450</v>
      </c>
    </row>
    <row r="1156" ht="15.75" customHeight="1">
      <c r="A1156" s="33" t="s">
        <v>4599</v>
      </c>
      <c r="B1156" s="33" t="s">
        <v>1649</v>
      </c>
      <c r="C1156" s="39">
        <v>45805.0</v>
      </c>
      <c r="D1156" s="33" t="s">
        <v>440</v>
      </c>
      <c r="E1156" s="40">
        <v>64.7</v>
      </c>
      <c r="F1156" s="40">
        <v>0.0</v>
      </c>
      <c r="G1156" s="33" t="s">
        <v>450</v>
      </c>
    </row>
    <row r="1157" ht="15.75" customHeight="1">
      <c r="A1157" s="33" t="s">
        <v>4602</v>
      </c>
      <c r="B1157" s="33" t="s">
        <v>2362</v>
      </c>
      <c r="C1157" s="39">
        <v>45925.0</v>
      </c>
      <c r="D1157" s="33" t="s">
        <v>428</v>
      </c>
      <c r="E1157" s="40">
        <v>69.41</v>
      </c>
      <c r="F1157" s="40">
        <v>0.0</v>
      </c>
      <c r="G1157" s="33" t="s">
        <v>431</v>
      </c>
    </row>
    <row r="1158" ht="15.75" customHeight="1">
      <c r="A1158" s="33" t="s">
        <v>4606</v>
      </c>
      <c r="B1158" s="33" t="s">
        <v>848</v>
      </c>
      <c r="C1158" s="39">
        <v>45807.0</v>
      </c>
      <c r="D1158" s="33" t="s">
        <v>440</v>
      </c>
      <c r="E1158" s="40">
        <v>126.73</v>
      </c>
      <c r="F1158" s="40">
        <v>0.0</v>
      </c>
      <c r="G1158" s="33" t="s">
        <v>442</v>
      </c>
    </row>
    <row r="1159" ht="15.75" customHeight="1">
      <c r="A1159" s="33" t="s">
        <v>4608</v>
      </c>
      <c r="B1159" s="33" t="s">
        <v>1533</v>
      </c>
      <c r="C1159" s="39">
        <v>46076.0</v>
      </c>
      <c r="D1159" s="33" t="s">
        <v>428</v>
      </c>
      <c r="E1159" s="40">
        <v>60.39</v>
      </c>
      <c r="F1159" s="40">
        <v>0.0</v>
      </c>
      <c r="G1159" s="33" t="s">
        <v>431</v>
      </c>
    </row>
    <row r="1160" ht="15.75" customHeight="1">
      <c r="A1160" s="33" t="s">
        <v>4610</v>
      </c>
      <c r="B1160" s="33" t="s">
        <v>2508</v>
      </c>
      <c r="C1160" s="39">
        <v>45880.0</v>
      </c>
      <c r="D1160" s="33" t="s">
        <v>479</v>
      </c>
      <c r="E1160" s="40">
        <v>71.57</v>
      </c>
      <c r="F1160" s="40">
        <v>0.88</v>
      </c>
      <c r="G1160" s="33" t="s">
        <v>442</v>
      </c>
    </row>
    <row r="1161" ht="15.75" customHeight="1">
      <c r="A1161" s="33" t="s">
        <v>4612</v>
      </c>
      <c r="B1161" s="33" t="s">
        <v>790</v>
      </c>
      <c r="C1161" s="39">
        <v>46164.0</v>
      </c>
      <c r="D1161" s="33" t="s">
        <v>479</v>
      </c>
      <c r="E1161" s="40">
        <v>172.32</v>
      </c>
      <c r="F1161" s="40">
        <v>2.81</v>
      </c>
      <c r="G1161" s="33" t="s">
        <v>450</v>
      </c>
    </row>
    <row r="1162" ht="15.75" customHeight="1">
      <c r="A1162" s="33" t="s">
        <v>4615</v>
      </c>
      <c r="B1162" s="33" t="s">
        <v>4287</v>
      </c>
      <c r="C1162" s="39">
        <v>45821.0</v>
      </c>
      <c r="D1162" s="33" t="s">
        <v>435</v>
      </c>
      <c r="E1162" s="40">
        <v>157.93</v>
      </c>
      <c r="F1162" s="40">
        <v>0.0</v>
      </c>
      <c r="G1162" s="33" t="s">
        <v>431</v>
      </c>
    </row>
    <row r="1163" ht="15.75" customHeight="1">
      <c r="A1163" s="33" t="s">
        <v>4618</v>
      </c>
      <c r="B1163" s="33" t="s">
        <v>2334</v>
      </c>
      <c r="C1163" s="39">
        <v>45959.0</v>
      </c>
      <c r="D1163" s="33" t="s">
        <v>440</v>
      </c>
      <c r="E1163" s="40">
        <v>68.19</v>
      </c>
      <c r="F1163" s="40">
        <v>0.0</v>
      </c>
      <c r="G1163" s="33" t="s">
        <v>442</v>
      </c>
    </row>
    <row r="1164" ht="15.75" customHeight="1">
      <c r="A1164" s="33" t="s">
        <v>4620</v>
      </c>
      <c r="B1164" s="33" t="s">
        <v>1137</v>
      </c>
      <c r="C1164" s="39">
        <v>46091.0</v>
      </c>
      <c r="D1164" s="33" t="s">
        <v>435</v>
      </c>
      <c r="E1164" s="40">
        <v>70.05</v>
      </c>
      <c r="F1164" s="40">
        <v>0.0</v>
      </c>
      <c r="G1164" s="33" t="s">
        <v>431</v>
      </c>
    </row>
    <row r="1165" ht="15.75" customHeight="1">
      <c r="A1165" s="33" t="s">
        <v>4622</v>
      </c>
      <c r="B1165" s="33" t="s">
        <v>2515</v>
      </c>
      <c r="C1165" s="39">
        <v>45783.0</v>
      </c>
      <c r="D1165" s="33" t="s">
        <v>428</v>
      </c>
      <c r="E1165" s="40">
        <v>4.24</v>
      </c>
      <c r="F1165" s="40">
        <v>0.0</v>
      </c>
      <c r="G1165" s="33" t="s">
        <v>450</v>
      </c>
    </row>
    <row r="1166" ht="15.75" customHeight="1">
      <c r="A1166" s="33" t="s">
        <v>4624</v>
      </c>
      <c r="B1166" s="33" t="s">
        <v>2053</v>
      </c>
      <c r="C1166" s="39">
        <v>46120.0</v>
      </c>
      <c r="D1166" s="33" t="s">
        <v>435</v>
      </c>
      <c r="E1166" s="40">
        <v>90.35</v>
      </c>
      <c r="F1166" s="40">
        <v>0.0</v>
      </c>
      <c r="G1166" s="33" t="s">
        <v>442</v>
      </c>
    </row>
    <row r="1167" ht="15.75" customHeight="1">
      <c r="A1167" s="33" t="s">
        <v>4628</v>
      </c>
      <c r="B1167" s="33" t="s">
        <v>697</v>
      </c>
      <c r="C1167" s="39">
        <v>46013.0</v>
      </c>
      <c r="D1167" s="33" t="s">
        <v>435</v>
      </c>
      <c r="E1167" s="40">
        <v>142.92</v>
      </c>
      <c r="F1167" s="40">
        <v>0.0</v>
      </c>
      <c r="G1167" s="33" t="s">
        <v>450</v>
      </c>
    </row>
    <row r="1168" ht="15.75" customHeight="1">
      <c r="A1168" s="33" t="s">
        <v>4631</v>
      </c>
      <c r="B1168" s="33" t="s">
        <v>1549</v>
      </c>
      <c r="C1168" s="39">
        <v>46051.0</v>
      </c>
      <c r="D1168" s="33" t="s">
        <v>435</v>
      </c>
      <c r="E1168" s="40">
        <v>57.84</v>
      </c>
      <c r="F1168" s="40">
        <v>0.0</v>
      </c>
      <c r="G1168" s="33" t="s">
        <v>450</v>
      </c>
    </row>
    <row r="1169" ht="15.75" customHeight="1">
      <c r="A1169" s="33" t="s">
        <v>4635</v>
      </c>
      <c r="B1169" s="33" t="s">
        <v>1224</v>
      </c>
      <c r="C1169" s="39">
        <v>45933.0</v>
      </c>
      <c r="D1169" s="33" t="s">
        <v>428</v>
      </c>
      <c r="E1169" s="40">
        <v>192.8</v>
      </c>
      <c r="F1169" s="40">
        <v>0.0</v>
      </c>
      <c r="G1169" s="33" t="s">
        <v>442</v>
      </c>
    </row>
    <row r="1170" ht="15.75" customHeight="1">
      <c r="A1170" s="33" t="s">
        <v>4637</v>
      </c>
      <c r="B1170" s="33" t="s">
        <v>2139</v>
      </c>
      <c r="C1170" s="39">
        <v>46225.0</v>
      </c>
      <c r="D1170" s="33" t="s">
        <v>428</v>
      </c>
      <c r="E1170" s="40">
        <v>15.02</v>
      </c>
      <c r="F1170" s="40">
        <v>0.0</v>
      </c>
      <c r="G1170" s="33" t="s">
        <v>450</v>
      </c>
    </row>
    <row r="1171" ht="15.75" customHeight="1">
      <c r="A1171" s="33" t="s">
        <v>4640</v>
      </c>
      <c r="B1171" s="33" t="s">
        <v>308</v>
      </c>
      <c r="C1171" s="39">
        <v>46126.0</v>
      </c>
      <c r="D1171" s="33" t="s">
        <v>461</v>
      </c>
      <c r="E1171" s="40">
        <v>36.78</v>
      </c>
      <c r="F1171" s="40">
        <v>0.26</v>
      </c>
      <c r="G1171" s="33" t="s">
        <v>442</v>
      </c>
    </row>
    <row r="1172" ht="15.75" customHeight="1">
      <c r="A1172" s="33" t="s">
        <v>4642</v>
      </c>
      <c r="B1172" s="33" t="s">
        <v>1059</v>
      </c>
      <c r="C1172" s="39">
        <v>45774.0</v>
      </c>
      <c r="D1172" s="33" t="s">
        <v>435</v>
      </c>
      <c r="E1172" s="40">
        <v>182.61</v>
      </c>
      <c r="F1172" s="40">
        <v>0.0</v>
      </c>
      <c r="G1172" s="33" t="s">
        <v>442</v>
      </c>
    </row>
    <row r="1173" ht="15.75" customHeight="1">
      <c r="A1173" s="33" t="s">
        <v>4645</v>
      </c>
      <c r="B1173" s="33" t="s">
        <v>749</v>
      </c>
      <c r="C1173" s="39">
        <v>45995.0</v>
      </c>
      <c r="D1173" s="33" t="s">
        <v>479</v>
      </c>
      <c r="E1173" s="40">
        <v>139.01</v>
      </c>
      <c r="F1173" s="40">
        <v>1.89</v>
      </c>
      <c r="G1173" s="33" t="s">
        <v>442</v>
      </c>
    </row>
    <row r="1174" ht="15.75" customHeight="1">
      <c r="A1174" s="33" t="s">
        <v>4650</v>
      </c>
      <c r="B1174" s="33" t="s">
        <v>765</v>
      </c>
      <c r="C1174" s="39">
        <v>46206.0</v>
      </c>
      <c r="D1174" s="33" t="s">
        <v>428</v>
      </c>
      <c r="E1174" s="40">
        <v>14.0</v>
      </c>
      <c r="F1174" s="40">
        <v>0.0</v>
      </c>
      <c r="G1174" s="33" t="s">
        <v>450</v>
      </c>
    </row>
    <row r="1175" ht="15.75" customHeight="1">
      <c r="A1175" s="33" t="s">
        <v>4652</v>
      </c>
      <c r="B1175" s="33" t="s">
        <v>1259</v>
      </c>
      <c r="C1175" s="39">
        <v>45827.0</v>
      </c>
      <c r="D1175" s="33" t="s">
        <v>435</v>
      </c>
      <c r="E1175" s="40">
        <v>17.26</v>
      </c>
      <c r="F1175" s="40">
        <v>0.0</v>
      </c>
      <c r="G1175" s="33" t="s">
        <v>450</v>
      </c>
    </row>
    <row r="1176" ht="15.75" customHeight="1">
      <c r="A1176" s="33" t="s">
        <v>4654</v>
      </c>
      <c r="B1176" s="33" t="s">
        <v>984</v>
      </c>
      <c r="C1176" s="39">
        <v>45983.0</v>
      </c>
      <c r="D1176" s="33" t="s">
        <v>461</v>
      </c>
      <c r="E1176" s="40">
        <v>121.01</v>
      </c>
      <c r="F1176" s="40">
        <v>1.67</v>
      </c>
      <c r="G1176" s="33" t="s">
        <v>450</v>
      </c>
    </row>
    <row r="1177" ht="15.75" customHeight="1">
      <c r="A1177" s="33" t="s">
        <v>4657</v>
      </c>
      <c r="B1177" s="33" t="s">
        <v>919</v>
      </c>
      <c r="C1177" s="39">
        <v>46115.0</v>
      </c>
      <c r="D1177" s="33" t="s">
        <v>435</v>
      </c>
      <c r="E1177" s="40">
        <v>103.72</v>
      </c>
      <c r="F1177" s="40">
        <v>0.0</v>
      </c>
      <c r="G1177" s="33" t="s">
        <v>450</v>
      </c>
    </row>
    <row r="1178" ht="15.75" customHeight="1">
      <c r="A1178" s="33" t="s">
        <v>4660</v>
      </c>
      <c r="B1178" s="33" t="s">
        <v>1749</v>
      </c>
      <c r="C1178" s="39">
        <v>45823.0</v>
      </c>
      <c r="D1178" s="33" t="s">
        <v>428</v>
      </c>
      <c r="E1178" s="40">
        <v>63.84</v>
      </c>
      <c r="F1178" s="40">
        <v>0.0</v>
      </c>
      <c r="G1178" s="33" t="s">
        <v>431</v>
      </c>
    </row>
    <row r="1179" ht="15.75" customHeight="1">
      <c r="A1179" s="33" t="s">
        <v>4662</v>
      </c>
      <c r="B1179" s="33" t="s">
        <v>3985</v>
      </c>
      <c r="C1179" s="39">
        <v>45972.0</v>
      </c>
      <c r="D1179" s="33" t="s">
        <v>479</v>
      </c>
      <c r="E1179" s="40">
        <v>188.35</v>
      </c>
      <c r="F1179" s="40">
        <v>3.05</v>
      </c>
      <c r="G1179" s="33" t="s">
        <v>450</v>
      </c>
    </row>
    <row r="1180" ht="15.75" customHeight="1">
      <c r="A1180" s="33" t="s">
        <v>4665</v>
      </c>
      <c r="B1180" s="33" t="s">
        <v>1743</v>
      </c>
      <c r="C1180" s="39">
        <v>45993.0</v>
      </c>
      <c r="D1180" s="33" t="s">
        <v>428</v>
      </c>
      <c r="E1180" s="40">
        <v>45.26</v>
      </c>
      <c r="F1180" s="40">
        <v>0.0</v>
      </c>
      <c r="G1180" s="33" t="s">
        <v>450</v>
      </c>
    </row>
    <row r="1181" ht="15.75" customHeight="1">
      <c r="A1181" s="33" t="s">
        <v>4667</v>
      </c>
      <c r="B1181" s="33" t="s">
        <v>3140</v>
      </c>
      <c r="C1181" s="39">
        <v>45765.0</v>
      </c>
      <c r="D1181" s="33" t="s">
        <v>479</v>
      </c>
      <c r="E1181" s="40">
        <v>8.18</v>
      </c>
      <c r="F1181" s="40">
        <v>0.12</v>
      </c>
      <c r="G1181" s="33" t="s">
        <v>442</v>
      </c>
    </row>
    <row r="1182" ht="15.75" customHeight="1">
      <c r="A1182" s="33" t="s">
        <v>4670</v>
      </c>
      <c r="B1182" s="33" t="s">
        <v>1016</v>
      </c>
      <c r="C1182" s="39">
        <v>45765.0</v>
      </c>
      <c r="D1182" s="33" t="s">
        <v>461</v>
      </c>
      <c r="E1182" s="40">
        <v>126.69</v>
      </c>
      <c r="F1182" s="40">
        <v>1.55</v>
      </c>
      <c r="G1182" s="33" t="s">
        <v>450</v>
      </c>
    </row>
    <row r="1183" ht="15.75" customHeight="1">
      <c r="A1183" s="33" t="s">
        <v>4673</v>
      </c>
      <c r="B1183" s="33" t="s">
        <v>716</v>
      </c>
      <c r="C1183" s="39">
        <v>45999.0</v>
      </c>
      <c r="D1183" s="33" t="s">
        <v>428</v>
      </c>
      <c r="E1183" s="40">
        <v>146.99</v>
      </c>
      <c r="F1183" s="40">
        <v>0.0</v>
      </c>
      <c r="G1183" s="33" t="s">
        <v>450</v>
      </c>
    </row>
    <row r="1184" ht="15.75" customHeight="1">
      <c r="A1184" s="33" t="s">
        <v>4677</v>
      </c>
      <c r="B1184" s="33" t="s">
        <v>815</v>
      </c>
      <c r="C1184" s="39">
        <v>45766.0</v>
      </c>
      <c r="D1184" s="33" t="s">
        <v>440</v>
      </c>
      <c r="E1184" s="40">
        <v>47.55</v>
      </c>
      <c r="F1184" s="40">
        <v>0.0</v>
      </c>
      <c r="G1184" s="33" t="s">
        <v>450</v>
      </c>
    </row>
    <row r="1185" ht="15.75" customHeight="1">
      <c r="A1185" s="33" t="s">
        <v>4686</v>
      </c>
      <c r="B1185" s="33" t="s">
        <v>2958</v>
      </c>
      <c r="C1185" s="39">
        <v>46233.0</v>
      </c>
      <c r="D1185" s="33" t="s">
        <v>461</v>
      </c>
      <c r="E1185" s="40">
        <v>27.96</v>
      </c>
      <c r="F1185" s="40">
        <v>0.24</v>
      </c>
      <c r="G1185" s="33" t="s">
        <v>450</v>
      </c>
    </row>
    <row r="1186" ht="15.75" customHeight="1">
      <c r="A1186" s="33" t="s">
        <v>4688</v>
      </c>
      <c r="B1186" s="33" t="s">
        <v>955</v>
      </c>
      <c r="C1186" s="39">
        <v>45975.0</v>
      </c>
      <c r="D1186" s="33" t="s">
        <v>479</v>
      </c>
      <c r="E1186" s="40">
        <v>8.72</v>
      </c>
      <c r="F1186" s="40">
        <v>0.09</v>
      </c>
      <c r="G1186" s="33" t="s">
        <v>442</v>
      </c>
    </row>
    <row r="1187" ht="15.75" customHeight="1">
      <c r="A1187" s="33" t="s">
        <v>4691</v>
      </c>
      <c r="B1187" s="33" t="s">
        <v>2478</v>
      </c>
      <c r="C1187" s="39">
        <v>46086.0</v>
      </c>
      <c r="D1187" s="33" t="s">
        <v>479</v>
      </c>
      <c r="E1187" s="40">
        <v>77.58</v>
      </c>
      <c r="F1187" s="40">
        <v>0.86</v>
      </c>
      <c r="G1187" s="33" t="s">
        <v>450</v>
      </c>
    </row>
    <row r="1188" ht="15.75" customHeight="1">
      <c r="A1188" s="33" t="s">
        <v>4694</v>
      </c>
      <c r="B1188" s="33" t="s">
        <v>1285</v>
      </c>
      <c r="C1188" s="39">
        <v>45898.0</v>
      </c>
      <c r="D1188" s="33" t="s">
        <v>461</v>
      </c>
      <c r="E1188" s="40">
        <v>99.99</v>
      </c>
      <c r="F1188" s="40">
        <v>1.42</v>
      </c>
      <c r="G1188" s="33" t="s">
        <v>431</v>
      </c>
    </row>
    <row r="1189" ht="15.75" customHeight="1">
      <c r="A1189" s="33" t="s">
        <v>4698</v>
      </c>
      <c r="B1189" s="33" t="s">
        <v>317</v>
      </c>
      <c r="C1189" s="39">
        <v>45839.0</v>
      </c>
      <c r="D1189" s="33" t="s">
        <v>440</v>
      </c>
      <c r="E1189" s="40">
        <v>154.47</v>
      </c>
      <c r="F1189" s="40">
        <v>0.0</v>
      </c>
      <c r="G1189" s="33" t="s">
        <v>450</v>
      </c>
    </row>
    <row r="1190" ht="15.75" customHeight="1">
      <c r="A1190" s="33" t="s">
        <v>4701</v>
      </c>
      <c r="B1190" s="33" t="s">
        <v>3978</v>
      </c>
      <c r="C1190" s="39">
        <v>45953.0</v>
      </c>
      <c r="D1190" s="33" t="s">
        <v>435</v>
      </c>
      <c r="E1190" s="40">
        <v>104.49</v>
      </c>
      <c r="F1190" s="40">
        <v>0.0</v>
      </c>
      <c r="G1190" s="33" t="s">
        <v>450</v>
      </c>
    </row>
    <row r="1191" ht="15.75" customHeight="1">
      <c r="A1191" s="33" t="s">
        <v>4704</v>
      </c>
      <c r="B1191" s="33" t="s">
        <v>1610</v>
      </c>
      <c r="C1191" s="39">
        <v>46089.0</v>
      </c>
      <c r="D1191" s="33" t="s">
        <v>479</v>
      </c>
      <c r="E1191" s="40">
        <v>50.78</v>
      </c>
      <c r="F1191" s="40">
        <v>0.81</v>
      </c>
      <c r="G1191" s="33" t="s">
        <v>450</v>
      </c>
    </row>
    <row r="1192" ht="15.75" customHeight="1">
      <c r="A1192" s="33" t="s">
        <v>4707</v>
      </c>
      <c r="B1192" s="33" t="s">
        <v>240</v>
      </c>
      <c r="C1192" s="39">
        <v>45899.0</v>
      </c>
      <c r="D1192" s="33" t="s">
        <v>428</v>
      </c>
      <c r="E1192" s="40">
        <v>90.36</v>
      </c>
      <c r="F1192" s="40">
        <v>0.0</v>
      </c>
      <c r="G1192" s="33" t="s">
        <v>450</v>
      </c>
    </row>
    <row r="1193" ht="15.75" customHeight="1">
      <c r="A1193" s="33" t="s">
        <v>4709</v>
      </c>
      <c r="B1193" s="33" t="s">
        <v>1140</v>
      </c>
      <c r="C1193" s="39">
        <v>45829.0</v>
      </c>
      <c r="D1193" s="33" t="s">
        <v>435</v>
      </c>
      <c r="E1193" s="40">
        <v>159.87</v>
      </c>
      <c r="F1193" s="40">
        <v>0.0</v>
      </c>
      <c r="G1193" s="33" t="s">
        <v>442</v>
      </c>
    </row>
    <row r="1194" ht="15.75" customHeight="1">
      <c r="A1194" s="33" t="s">
        <v>4712</v>
      </c>
      <c r="B1194" s="33" t="s">
        <v>1065</v>
      </c>
      <c r="C1194" s="39">
        <v>45745.0</v>
      </c>
      <c r="D1194" s="33" t="s">
        <v>440</v>
      </c>
      <c r="E1194" s="40">
        <v>99.03</v>
      </c>
      <c r="F1194" s="40">
        <v>0.0</v>
      </c>
      <c r="G1194" s="33" t="s">
        <v>450</v>
      </c>
    </row>
    <row r="1195" ht="15.75" customHeight="1">
      <c r="A1195" s="33" t="s">
        <v>4716</v>
      </c>
      <c r="B1195" s="33" t="s">
        <v>3177</v>
      </c>
      <c r="C1195" s="39">
        <v>45987.0</v>
      </c>
      <c r="D1195" s="33" t="s">
        <v>461</v>
      </c>
      <c r="E1195" s="40">
        <v>144.23</v>
      </c>
      <c r="F1195" s="40">
        <v>1.72</v>
      </c>
      <c r="G1195" s="33" t="s">
        <v>450</v>
      </c>
    </row>
    <row r="1196" ht="15.75" customHeight="1">
      <c r="A1196" s="33" t="s">
        <v>4719</v>
      </c>
      <c r="B1196" s="33" t="s">
        <v>866</v>
      </c>
      <c r="C1196" s="39">
        <v>46070.0</v>
      </c>
      <c r="D1196" s="33" t="s">
        <v>479</v>
      </c>
      <c r="E1196" s="40">
        <v>29.27</v>
      </c>
      <c r="F1196" s="40">
        <v>0.45</v>
      </c>
      <c r="G1196" s="33" t="s">
        <v>450</v>
      </c>
    </row>
    <row r="1197" ht="15.75" customHeight="1">
      <c r="A1197" s="33" t="s">
        <v>4722</v>
      </c>
      <c r="B1197" s="33" t="s">
        <v>581</v>
      </c>
      <c r="C1197" s="39">
        <v>45977.0</v>
      </c>
      <c r="D1197" s="33" t="s">
        <v>461</v>
      </c>
      <c r="E1197" s="40">
        <v>123.27</v>
      </c>
      <c r="F1197" s="40">
        <v>0.95</v>
      </c>
      <c r="G1197" s="33" t="s">
        <v>450</v>
      </c>
    </row>
    <row r="1198" ht="15.75" customHeight="1">
      <c r="A1198" s="33" t="s">
        <v>4725</v>
      </c>
      <c r="B1198" s="33" t="s">
        <v>204</v>
      </c>
      <c r="C1198" s="39">
        <v>45812.0</v>
      </c>
      <c r="D1198" s="33" t="s">
        <v>479</v>
      </c>
      <c r="E1198" s="40">
        <v>104.62</v>
      </c>
      <c r="F1198" s="40">
        <v>1.94</v>
      </c>
      <c r="G1198" s="33" t="s">
        <v>431</v>
      </c>
    </row>
    <row r="1199" ht="15.75" customHeight="1">
      <c r="A1199" s="33" t="s">
        <v>4729</v>
      </c>
      <c r="B1199" s="33" t="s">
        <v>2165</v>
      </c>
      <c r="C1199" s="39">
        <v>45808.0</v>
      </c>
      <c r="D1199" s="33" t="s">
        <v>428</v>
      </c>
      <c r="E1199" s="40">
        <v>59.9</v>
      </c>
      <c r="F1199" s="40">
        <v>0.0</v>
      </c>
      <c r="G1199" s="33" t="s">
        <v>431</v>
      </c>
    </row>
    <row r="1200" ht="15.75" customHeight="1">
      <c r="A1200" s="33" t="s">
        <v>4731</v>
      </c>
      <c r="B1200" s="33" t="s">
        <v>1941</v>
      </c>
      <c r="C1200" s="39">
        <v>45886.0</v>
      </c>
      <c r="D1200" s="33" t="s">
        <v>428</v>
      </c>
      <c r="E1200" s="40">
        <v>161.91</v>
      </c>
      <c r="F1200" s="40">
        <v>0.0</v>
      </c>
      <c r="G1200" s="33" t="s">
        <v>450</v>
      </c>
    </row>
    <row r="1201" ht="15.75" customHeight="1">
      <c r="A1201" s="33" t="s">
        <v>4734</v>
      </c>
      <c r="B1201" s="33" t="s">
        <v>1645</v>
      </c>
      <c r="C1201" s="39">
        <v>45869.0</v>
      </c>
      <c r="D1201" s="33" t="s">
        <v>479</v>
      </c>
      <c r="E1201" s="40">
        <v>271.33</v>
      </c>
      <c r="F1201" s="40">
        <v>3.27</v>
      </c>
      <c r="G1201" s="33" t="s">
        <v>450</v>
      </c>
    </row>
    <row r="1202" ht="15.75" customHeight="1">
      <c r="A1202" s="33" t="s">
        <v>4737</v>
      </c>
      <c r="B1202" s="33" t="s">
        <v>671</v>
      </c>
      <c r="C1202" s="39">
        <v>45781.0</v>
      </c>
      <c r="D1202" s="33" t="s">
        <v>479</v>
      </c>
      <c r="E1202" s="40">
        <v>13.47</v>
      </c>
      <c r="F1202" s="40">
        <v>0.22</v>
      </c>
      <c r="G1202" s="33" t="s">
        <v>450</v>
      </c>
    </row>
    <row r="1203" ht="15.75" customHeight="1">
      <c r="A1203" s="33" t="s">
        <v>4740</v>
      </c>
      <c r="B1203" s="33" t="s">
        <v>1977</v>
      </c>
      <c r="C1203" s="39">
        <v>46229.0</v>
      </c>
      <c r="D1203" s="33" t="s">
        <v>440</v>
      </c>
      <c r="E1203" s="40">
        <v>62.31</v>
      </c>
      <c r="F1203" s="40">
        <v>0.0</v>
      </c>
      <c r="G1203" s="33" t="s">
        <v>450</v>
      </c>
    </row>
    <row r="1204" ht="15.75" customHeight="1">
      <c r="A1204" s="33" t="s">
        <v>4744</v>
      </c>
      <c r="B1204" s="33" t="s">
        <v>356</v>
      </c>
      <c r="C1204" s="39">
        <v>45858.0</v>
      </c>
      <c r="D1204" s="33" t="s">
        <v>479</v>
      </c>
      <c r="E1204" s="40">
        <v>73.35</v>
      </c>
      <c r="F1204" s="40">
        <v>0.5</v>
      </c>
      <c r="G1204" s="33" t="s">
        <v>450</v>
      </c>
    </row>
    <row r="1205" ht="15.75" customHeight="1">
      <c r="A1205" s="33" t="s">
        <v>4747</v>
      </c>
      <c r="B1205" s="33" t="s">
        <v>1825</v>
      </c>
      <c r="C1205" s="39">
        <v>45810.0</v>
      </c>
      <c r="D1205" s="33" t="s">
        <v>428</v>
      </c>
      <c r="E1205" s="40">
        <v>77.64</v>
      </c>
      <c r="F1205" s="40">
        <v>0.0</v>
      </c>
      <c r="G1205" s="33" t="s">
        <v>442</v>
      </c>
    </row>
    <row r="1206" ht="15.75" customHeight="1">
      <c r="A1206" s="33" t="s">
        <v>4750</v>
      </c>
      <c r="B1206" s="33" t="s">
        <v>1067</v>
      </c>
      <c r="C1206" s="39">
        <v>46026.0</v>
      </c>
      <c r="D1206" s="33" t="s">
        <v>479</v>
      </c>
      <c r="E1206" s="40">
        <v>46.2</v>
      </c>
      <c r="F1206" s="40">
        <v>0.69</v>
      </c>
      <c r="G1206" s="33" t="s">
        <v>450</v>
      </c>
    </row>
    <row r="1207" ht="15.75" customHeight="1">
      <c r="A1207" s="33" t="s">
        <v>4754</v>
      </c>
      <c r="B1207" s="33" t="s">
        <v>2447</v>
      </c>
      <c r="C1207" s="39">
        <v>46144.0</v>
      </c>
      <c r="D1207" s="33" t="s">
        <v>461</v>
      </c>
      <c r="E1207" s="40">
        <v>16.57</v>
      </c>
      <c r="F1207" s="40">
        <v>0.2</v>
      </c>
      <c r="G1207" s="33" t="s">
        <v>450</v>
      </c>
    </row>
    <row r="1208" ht="15.75" customHeight="1">
      <c r="A1208" s="33" t="s">
        <v>4758</v>
      </c>
      <c r="B1208" s="33" t="s">
        <v>672</v>
      </c>
      <c r="C1208" s="39">
        <v>45940.0</v>
      </c>
      <c r="D1208" s="33" t="s">
        <v>479</v>
      </c>
      <c r="E1208" s="40">
        <v>64.93</v>
      </c>
      <c r="F1208" s="40">
        <v>0.98</v>
      </c>
      <c r="G1208" s="33" t="s">
        <v>450</v>
      </c>
    </row>
    <row r="1209" ht="15.75" customHeight="1">
      <c r="A1209" s="33" t="s">
        <v>4761</v>
      </c>
      <c r="B1209" s="33" t="s">
        <v>1605</v>
      </c>
      <c r="C1209" s="39">
        <v>46063.0</v>
      </c>
      <c r="D1209" s="33" t="s">
        <v>461</v>
      </c>
      <c r="E1209" s="40">
        <v>73.8</v>
      </c>
      <c r="F1209" s="40">
        <v>0.66</v>
      </c>
      <c r="G1209" s="33" t="s">
        <v>431</v>
      </c>
    </row>
    <row r="1210" ht="15.75" customHeight="1">
      <c r="A1210" s="33" t="s">
        <v>4763</v>
      </c>
      <c r="B1210" s="33" t="s">
        <v>299</v>
      </c>
      <c r="C1210" s="39">
        <v>45715.0</v>
      </c>
      <c r="D1210" s="33" t="s">
        <v>461</v>
      </c>
      <c r="E1210" s="40">
        <v>60.55</v>
      </c>
      <c r="F1210" s="40">
        <v>1.0</v>
      </c>
      <c r="G1210" s="33" t="s">
        <v>450</v>
      </c>
    </row>
    <row r="1211" ht="15.75" customHeight="1">
      <c r="A1211" s="33" t="s">
        <v>4767</v>
      </c>
      <c r="B1211" s="33" t="s">
        <v>1216</v>
      </c>
      <c r="C1211" s="39">
        <v>45981.0</v>
      </c>
      <c r="D1211" s="33" t="s">
        <v>479</v>
      </c>
      <c r="E1211" s="40">
        <v>75.14</v>
      </c>
      <c r="F1211" s="40">
        <v>0.84</v>
      </c>
      <c r="G1211" s="33" t="s">
        <v>450</v>
      </c>
    </row>
    <row r="1212" ht="15.75" customHeight="1">
      <c r="A1212" s="33" t="s">
        <v>4770</v>
      </c>
      <c r="B1212" s="33" t="s">
        <v>2317</v>
      </c>
      <c r="C1212" s="39">
        <v>45698.0</v>
      </c>
      <c r="D1212" s="33" t="s">
        <v>428</v>
      </c>
      <c r="E1212" s="40">
        <v>91.95</v>
      </c>
      <c r="F1212" s="40">
        <v>0.0</v>
      </c>
      <c r="G1212" s="33" t="s">
        <v>450</v>
      </c>
    </row>
    <row r="1213" ht="15.75" customHeight="1">
      <c r="A1213" s="33" t="s">
        <v>4774</v>
      </c>
      <c r="B1213" s="33" t="s">
        <v>1016</v>
      </c>
      <c r="C1213" s="39">
        <v>45741.0</v>
      </c>
      <c r="D1213" s="33" t="s">
        <v>428</v>
      </c>
      <c r="E1213" s="40">
        <v>66.87</v>
      </c>
      <c r="F1213" s="40">
        <v>0.0</v>
      </c>
      <c r="G1213" s="33" t="s">
        <v>431</v>
      </c>
    </row>
    <row r="1214" ht="15.75" customHeight="1">
      <c r="A1214" s="33" t="s">
        <v>4778</v>
      </c>
      <c r="B1214" s="33" t="s">
        <v>1393</v>
      </c>
      <c r="C1214" s="39">
        <v>46017.0</v>
      </c>
      <c r="D1214" s="33" t="s">
        <v>435</v>
      </c>
      <c r="E1214" s="40">
        <v>45.75</v>
      </c>
      <c r="F1214" s="40">
        <v>0.0</v>
      </c>
      <c r="G1214" s="33" t="s">
        <v>442</v>
      </c>
    </row>
    <row r="1215" ht="15.75" customHeight="1">
      <c r="A1215" s="33" t="s">
        <v>4782</v>
      </c>
      <c r="B1215" s="33" t="s">
        <v>1198</v>
      </c>
      <c r="C1215" s="39">
        <v>45782.0</v>
      </c>
      <c r="D1215" s="33" t="s">
        <v>440</v>
      </c>
      <c r="E1215" s="40">
        <v>75.47</v>
      </c>
      <c r="F1215" s="40">
        <v>0.0</v>
      </c>
      <c r="G1215" s="33" t="s">
        <v>450</v>
      </c>
    </row>
    <row r="1216" ht="15.75" customHeight="1">
      <c r="A1216" s="33" t="s">
        <v>4785</v>
      </c>
      <c r="B1216" s="33" t="s">
        <v>618</v>
      </c>
      <c r="C1216" s="39">
        <v>45680.0</v>
      </c>
      <c r="D1216" s="33" t="s">
        <v>428</v>
      </c>
      <c r="E1216" s="40">
        <v>97.23</v>
      </c>
      <c r="F1216" s="40">
        <v>0.0</v>
      </c>
      <c r="G1216" s="33" t="s">
        <v>450</v>
      </c>
    </row>
    <row r="1217" ht="15.75" customHeight="1">
      <c r="A1217" s="33" t="s">
        <v>4789</v>
      </c>
      <c r="B1217" s="33" t="s">
        <v>2268</v>
      </c>
      <c r="C1217" s="39">
        <v>45766.0</v>
      </c>
      <c r="D1217" s="33" t="s">
        <v>479</v>
      </c>
      <c r="E1217" s="40">
        <v>80.65</v>
      </c>
      <c r="F1217" s="40">
        <v>1.34</v>
      </c>
      <c r="G1217" s="33" t="s">
        <v>450</v>
      </c>
    </row>
    <row r="1218" ht="15.75" customHeight="1">
      <c r="A1218" s="33" t="s">
        <v>4792</v>
      </c>
      <c r="B1218" s="33" t="s">
        <v>3864</v>
      </c>
      <c r="C1218" s="39">
        <v>46127.0</v>
      </c>
      <c r="D1218" s="33" t="s">
        <v>440</v>
      </c>
      <c r="E1218" s="40">
        <v>283.34</v>
      </c>
      <c r="F1218" s="40">
        <v>0.0</v>
      </c>
      <c r="G1218" s="33" t="s">
        <v>442</v>
      </c>
    </row>
    <row r="1219" ht="15.75" customHeight="1">
      <c r="A1219" s="33" t="s">
        <v>4795</v>
      </c>
      <c r="B1219" s="33" t="s">
        <v>2650</v>
      </c>
      <c r="C1219" s="39">
        <v>46014.0</v>
      </c>
      <c r="D1219" s="33" t="s">
        <v>461</v>
      </c>
      <c r="E1219" s="40">
        <v>102.32</v>
      </c>
      <c r="F1219" s="40">
        <v>1.31</v>
      </c>
      <c r="G1219" s="33" t="s">
        <v>450</v>
      </c>
    </row>
    <row r="1220" ht="15.75" customHeight="1">
      <c r="A1220" s="33" t="s">
        <v>4799</v>
      </c>
      <c r="B1220" s="33" t="s">
        <v>576</v>
      </c>
      <c r="C1220" s="39">
        <v>45889.0</v>
      </c>
      <c r="D1220" s="33" t="s">
        <v>461</v>
      </c>
      <c r="E1220" s="40">
        <v>77.93</v>
      </c>
      <c r="F1220" s="40">
        <v>0.51</v>
      </c>
      <c r="G1220" s="33" t="s">
        <v>442</v>
      </c>
    </row>
    <row r="1221" ht="15.75" customHeight="1">
      <c r="A1221" s="33" t="s">
        <v>4802</v>
      </c>
      <c r="B1221" s="33" t="s">
        <v>686</v>
      </c>
      <c r="C1221" s="39">
        <v>46248.0</v>
      </c>
      <c r="D1221" s="33" t="s">
        <v>435</v>
      </c>
      <c r="E1221" s="40">
        <v>40.23</v>
      </c>
      <c r="F1221" s="40">
        <v>0.0</v>
      </c>
      <c r="G1221" s="33" t="s">
        <v>450</v>
      </c>
    </row>
    <row r="1222" ht="15.75" customHeight="1">
      <c r="A1222" s="33" t="s">
        <v>4806</v>
      </c>
      <c r="B1222" s="33" t="s">
        <v>260</v>
      </c>
      <c r="C1222" s="39">
        <v>45892.0</v>
      </c>
      <c r="D1222" s="33" t="s">
        <v>435</v>
      </c>
      <c r="E1222" s="40">
        <v>41.07</v>
      </c>
      <c r="F1222" s="40">
        <v>0.0</v>
      </c>
      <c r="G1222" s="33" t="s">
        <v>450</v>
      </c>
    </row>
    <row r="1223" ht="15.75" customHeight="1">
      <c r="A1223" s="33" t="s">
        <v>4810</v>
      </c>
      <c r="B1223" s="33" t="s">
        <v>711</v>
      </c>
      <c r="C1223" s="39">
        <v>46190.0</v>
      </c>
      <c r="D1223" s="33" t="s">
        <v>428</v>
      </c>
      <c r="E1223" s="40">
        <v>60.66</v>
      </c>
      <c r="F1223" s="40">
        <v>0.0</v>
      </c>
      <c r="G1223" s="33" t="s">
        <v>450</v>
      </c>
    </row>
    <row r="1224" ht="15.75" customHeight="1">
      <c r="A1224" s="33" t="s">
        <v>4813</v>
      </c>
      <c r="B1224" s="33" t="s">
        <v>1207</v>
      </c>
      <c r="C1224" s="39">
        <v>45867.0</v>
      </c>
      <c r="D1224" s="33" t="s">
        <v>461</v>
      </c>
      <c r="E1224" s="40">
        <v>62.17</v>
      </c>
      <c r="F1224" s="40">
        <v>0.95</v>
      </c>
      <c r="G1224" s="33" t="s">
        <v>450</v>
      </c>
    </row>
    <row r="1225" ht="15.75" customHeight="1">
      <c r="A1225" s="33" t="s">
        <v>4816</v>
      </c>
      <c r="B1225" s="33" t="s">
        <v>1828</v>
      </c>
      <c r="C1225" s="39">
        <v>45673.0</v>
      </c>
      <c r="D1225" s="33" t="s">
        <v>440</v>
      </c>
      <c r="E1225" s="40">
        <v>60.3</v>
      </c>
      <c r="F1225" s="40">
        <v>0.0</v>
      </c>
      <c r="G1225" s="33" t="s">
        <v>450</v>
      </c>
    </row>
    <row r="1226" ht="15.75" customHeight="1">
      <c r="A1226" s="33" t="s">
        <v>4820</v>
      </c>
      <c r="B1226" s="33" t="s">
        <v>571</v>
      </c>
      <c r="C1226" s="39">
        <v>45724.0</v>
      </c>
      <c r="D1226" s="33" t="s">
        <v>428</v>
      </c>
      <c r="E1226" s="40">
        <v>105.55</v>
      </c>
      <c r="F1226" s="40">
        <v>0.0</v>
      </c>
      <c r="G1226" s="33" t="s">
        <v>450</v>
      </c>
    </row>
    <row r="1227" ht="15.75" customHeight="1">
      <c r="A1227" s="33" t="s">
        <v>4823</v>
      </c>
      <c r="B1227" s="33" t="s">
        <v>587</v>
      </c>
      <c r="C1227" s="39">
        <v>45824.0</v>
      </c>
      <c r="D1227" s="33" t="s">
        <v>435</v>
      </c>
      <c r="E1227" s="40">
        <v>158.33</v>
      </c>
      <c r="F1227" s="40">
        <v>0.0</v>
      </c>
      <c r="G1227" s="33" t="s">
        <v>450</v>
      </c>
    </row>
    <row r="1228" ht="15.75" customHeight="1">
      <c r="A1228" s="33" t="s">
        <v>4827</v>
      </c>
      <c r="B1228" s="33" t="s">
        <v>861</v>
      </c>
      <c r="C1228" s="39">
        <v>45771.0</v>
      </c>
      <c r="D1228" s="33" t="s">
        <v>428</v>
      </c>
      <c r="E1228" s="40">
        <v>127.0</v>
      </c>
      <c r="F1228" s="40">
        <v>0.0</v>
      </c>
      <c r="G1228" s="33" t="s">
        <v>442</v>
      </c>
    </row>
    <row r="1229" ht="15.75" customHeight="1">
      <c r="A1229" s="33" t="s">
        <v>4831</v>
      </c>
      <c r="B1229" s="33" t="s">
        <v>887</v>
      </c>
      <c r="C1229" s="39">
        <v>45753.0</v>
      </c>
      <c r="D1229" s="33" t="s">
        <v>435</v>
      </c>
      <c r="E1229" s="40">
        <v>116.8</v>
      </c>
      <c r="F1229" s="40">
        <v>0.0</v>
      </c>
      <c r="G1229" s="33" t="s">
        <v>450</v>
      </c>
    </row>
    <row r="1230" ht="15.75" customHeight="1">
      <c r="A1230" s="33" t="s">
        <v>4834</v>
      </c>
      <c r="B1230" s="33" t="s">
        <v>309</v>
      </c>
      <c r="C1230" s="39">
        <v>45890.0</v>
      </c>
      <c r="D1230" s="33" t="s">
        <v>461</v>
      </c>
      <c r="E1230" s="40">
        <v>36.43</v>
      </c>
      <c r="F1230" s="40">
        <v>0.28</v>
      </c>
      <c r="G1230" s="33" t="s">
        <v>450</v>
      </c>
    </row>
    <row r="1231" ht="15.75" customHeight="1">
      <c r="A1231" s="33" t="s">
        <v>4838</v>
      </c>
      <c r="B1231" s="33" t="s">
        <v>1598</v>
      </c>
      <c r="C1231" s="39">
        <v>46250.0</v>
      </c>
      <c r="D1231" s="33" t="s">
        <v>428</v>
      </c>
      <c r="E1231" s="40">
        <v>174.55</v>
      </c>
      <c r="F1231" s="40">
        <v>0.0</v>
      </c>
      <c r="G1231" s="33" t="s">
        <v>450</v>
      </c>
    </row>
    <row r="1232" ht="15.75" customHeight="1">
      <c r="A1232" s="33" t="s">
        <v>4842</v>
      </c>
      <c r="B1232" s="33" t="s">
        <v>835</v>
      </c>
      <c r="C1232" s="39">
        <v>45779.0</v>
      </c>
      <c r="D1232" s="33" t="s">
        <v>461</v>
      </c>
      <c r="E1232" s="40">
        <v>39.48</v>
      </c>
      <c r="F1232" s="40">
        <v>0.47</v>
      </c>
      <c r="G1232" s="33" t="s">
        <v>450</v>
      </c>
    </row>
    <row r="1233" ht="15.75" customHeight="1">
      <c r="A1233" s="33" t="s">
        <v>4846</v>
      </c>
      <c r="B1233" s="33" t="s">
        <v>3985</v>
      </c>
      <c r="C1233" s="39">
        <v>45801.0</v>
      </c>
      <c r="D1233" s="33" t="s">
        <v>461</v>
      </c>
      <c r="E1233" s="40">
        <v>95.49</v>
      </c>
      <c r="F1233" s="40">
        <v>0.71</v>
      </c>
      <c r="G1233" s="33" t="s">
        <v>450</v>
      </c>
    </row>
    <row r="1234" ht="15.75" customHeight="1">
      <c r="A1234" s="33" t="s">
        <v>4850</v>
      </c>
      <c r="B1234" s="33" t="s">
        <v>731</v>
      </c>
      <c r="C1234" s="39">
        <v>46262.0</v>
      </c>
      <c r="D1234" s="33" t="s">
        <v>440</v>
      </c>
      <c r="E1234" s="40">
        <v>111.81</v>
      </c>
      <c r="F1234" s="40">
        <v>0.0</v>
      </c>
      <c r="G1234" s="33" t="s">
        <v>450</v>
      </c>
    </row>
    <row r="1235" ht="15.75" customHeight="1">
      <c r="A1235" s="33" t="s">
        <v>4853</v>
      </c>
      <c r="B1235" s="33" t="s">
        <v>1065</v>
      </c>
      <c r="C1235" s="39">
        <v>45780.0</v>
      </c>
      <c r="D1235" s="33" t="s">
        <v>440</v>
      </c>
      <c r="E1235" s="40">
        <v>178.02</v>
      </c>
      <c r="F1235" s="40">
        <v>0.0</v>
      </c>
      <c r="G1235" s="33" t="s">
        <v>450</v>
      </c>
    </row>
    <row r="1236" ht="15.75" customHeight="1">
      <c r="A1236" s="33" t="s">
        <v>4856</v>
      </c>
      <c r="B1236" s="33" t="s">
        <v>1314</v>
      </c>
      <c r="C1236" s="39">
        <v>46161.0</v>
      </c>
      <c r="D1236" s="33" t="s">
        <v>440</v>
      </c>
      <c r="E1236" s="40">
        <v>250.08</v>
      </c>
      <c r="F1236" s="40">
        <v>0.0</v>
      </c>
      <c r="G1236" s="33" t="s">
        <v>450</v>
      </c>
    </row>
    <row r="1237" ht="15.75" customHeight="1">
      <c r="A1237" s="33" t="s">
        <v>4859</v>
      </c>
      <c r="B1237" s="33" t="s">
        <v>3305</v>
      </c>
      <c r="C1237" s="39">
        <v>46034.0</v>
      </c>
      <c r="D1237" s="33" t="s">
        <v>435</v>
      </c>
      <c r="E1237" s="40">
        <v>58.65</v>
      </c>
      <c r="F1237" s="40">
        <v>0.0</v>
      </c>
      <c r="G1237" s="33" t="s">
        <v>442</v>
      </c>
    </row>
    <row r="1238" ht="15.75" customHeight="1">
      <c r="A1238" s="33" t="s">
        <v>4862</v>
      </c>
      <c r="B1238" s="33" t="s">
        <v>293</v>
      </c>
      <c r="C1238" s="39">
        <v>46221.0</v>
      </c>
      <c r="D1238" s="33" t="s">
        <v>440</v>
      </c>
      <c r="E1238" s="40">
        <v>89.75</v>
      </c>
      <c r="F1238" s="40">
        <v>0.0</v>
      </c>
      <c r="G1238" s="33" t="s">
        <v>450</v>
      </c>
    </row>
    <row r="1239" ht="15.75" customHeight="1">
      <c r="A1239" s="33" t="s">
        <v>4865</v>
      </c>
      <c r="B1239" s="33" t="s">
        <v>1360</v>
      </c>
      <c r="C1239" s="39">
        <v>45995.0</v>
      </c>
      <c r="D1239" s="33" t="s">
        <v>440</v>
      </c>
      <c r="E1239" s="40">
        <v>167.17</v>
      </c>
      <c r="F1239" s="40">
        <v>0.0</v>
      </c>
      <c r="G1239" s="33" t="s">
        <v>431</v>
      </c>
    </row>
    <row r="1240" ht="15.75" customHeight="1">
      <c r="A1240" s="33" t="s">
        <v>4868</v>
      </c>
      <c r="B1240" s="33" t="s">
        <v>2622</v>
      </c>
      <c r="C1240" s="39">
        <v>46018.0</v>
      </c>
      <c r="D1240" s="33" t="s">
        <v>461</v>
      </c>
      <c r="E1240" s="40">
        <v>264.32</v>
      </c>
      <c r="F1240" s="40">
        <v>4.01</v>
      </c>
      <c r="G1240" s="33" t="s">
        <v>431</v>
      </c>
    </row>
    <row r="1241" ht="15.75" customHeight="1">
      <c r="A1241" s="33" t="s">
        <v>4871</v>
      </c>
      <c r="B1241" s="33" t="s">
        <v>2741</v>
      </c>
      <c r="C1241" s="39">
        <v>45795.0</v>
      </c>
      <c r="D1241" s="33" t="s">
        <v>440</v>
      </c>
      <c r="E1241" s="40">
        <v>63.79</v>
      </c>
      <c r="F1241" s="40">
        <v>0.0</v>
      </c>
      <c r="G1241" s="33" t="s">
        <v>450</v>
      </c>
    </row>
    <row r="1242" ht="15.75" customHeight="1">
      <c r="A1242" s="33" t="s">
        <v>4874</v>
      </c>
      <c r="B1242" s="33" t="s">
        <v>1174</v>
      </c>
      <c r="C1242" s="39">
        <v>46006.0</v>
      </c>
      <c r="D1242" s="33" t="s">
        <v>435</v>
      </c>
      <c r="E1242" s="40">
        <v>38.08</v>
      </c>
      <c r="F1242" s="40">
        <v>0.0</v>
      </c>
      <c r="G1242" s="33" t="s">
        <v>442</v>
      </c>
    </row>
    <row r="1243" ht="15.75" customHeight="1">
      <c r="A1243" s="33" t="s">
        <v>4878</v>
      </c>
      <c r="B1243" s="33" t="s">
        <v>1998</v>
      </c>
      <c r="C1243" s="39">
        <v>46064.0</v>
      </c>
      <c r="D1243" s="33" t="s">
        <v>461</v>
      </c>
      <c r="E1243" s="40">
        <v>22.6</v>
      </c>
      <c r="F1243" s="40">
        <v>0.3</v>
      </c>
      <c r="G1243" s="33" t="s">
        <v>431</v>
      </c>
    </row>
    <row r="1244" ht="15.75" customHeight="1">
      <c r="A1244" s="33" t="s">
        <v>4882</v>
      </c>
      <c r="B1244" s="33" t="s">
        <v>408</v>
      </c>
      <c r="C1244" s="39">
        <v>46257.0</v>
      </c>
      <c r="D1244" s="33" t="s">
        <v>479</v>
      </c>
      <c r="E1244" s="40">
        <v>14.23</v>
      </c>
      <c r="F1244" s="40">
        <v>0.28</v>
      </c>
      <c r="G1244" s="33" t="s">
        <v>431</v>
      </c>
    </row>
    <row r="1245" ht="15.75" customHeight="1">
      <c r="A1245" s="33" t="s">
        <v>4887</v>
      </c>
      <c r="B1245" s="33" t="s">
        <v>608</v>
      </c>
      <c r="C1245" s="39">
        <v>45716.0</v>
      </c>
      <c r="D1245" s="33" t="s">
        <v>440</v>
      </c>
      <c r="E1245" s="40">
        <v>43.84</v>
      </c>
      <c r="F1245" s="40">
        <v>0.0</v>
      </c>
      <c r="G1245" s="33" t="s">
        <v>442</v>
      </c>
    </row>
    <row r="1246" ht="15.75" customHeight="1">
      <c r="A1246" s="33" t="s">
        <v>4889</v>
      </c>
      <c r="B1246" s="33" t="s">
        <v>1554</v>
      </c>
      <c r="C1246" s="39">
        <v>45753.0</v>
      </c>
      <c r="D1246" s="33" t="s">
        <v>461</v>
      </c>
      <c r="E1246" s="40">
        <v>145.27</v>
      </c>
      <c r="F1246" s="40">
        <v>2.85</v>
      </c>
      <c r="G1246" s="33" t="s">
        <v>450</v>
      </c>
    </row>
    <row r="1247" ht="15.75" customHeight="1">
      <c r="A1247" s="33" t="s">
        <v>4894</v>
      </c>
      <c r="B1247" s="33" t="s">
        <v>534</v>
      </c>
      <c r="C1247" s="39">
        <v>45669.0</v>
      </c>
      <c r="D1247" s="33" t="s">
        <v>440</v>
      </c>
      <c r="E1247" s="40">
        <v>151.13</v>
      </c>
      <c r="F1247" s="40">
        <v>0.0</v>
      </c>
      <c r="G1247" s="33" t="s">
        <v>431</v>
      </c>
    </row>
    <row r="1248" ht="15.75" customHeight="1">
      <c r="A1248" s="33" t="s">
        <v>4898</v>
      </c>
      <c r="B1248" s="33" t="s">
        <v>1524</v>
      </c>
      <c r="C1248" s="39">
        <v>46137.0</v>
      </c>
      <c r="D1248" s="33" t="s">
        <v>461</v>
      </c>
      <c r="E1248" s="40">
        <v>102.31</v>
      </c>
      <c r="F1248" s="40">
        <v>1.61</v>
      </c>
      <c r="G1248" s="33" t="s">
        <v>431</v>
      </c>
    </row>
    <row r="1249" ht="15.75" customHeight="1">
      <c r="A1249" s="33" t="s">
        <v>4901</v>
      </c>
      <c r="B1249" s="33" t="s">
        <v>1130</v>
      </c>
      <c r="C1249" s="39">
        <v>45708.0</v>
      </c>
      <c r="D1249" s="33" t="s">
        <v>435</v>
      </c>
      <c r="E1249" s="40">
        <v>61.57</v>
      </c>
      <c r="F1249" s="40">
        <v>0.0</v>
      </c>
      <c r="G1249" s="33" t="s">
        <v>450</v>
      </c>
    </row>
    <row r="1250" ht="15.75" customHeight="1">
      <c r="A1250" s="33" t="s">
        <v>4903</v>
      </c>
      <c r="B1250" s="33" t="s">
        <v>630</v>
      </c>
      <c r="C1250" s="39">
        <v>46213.0</v>
      </c>
      <c r="D1250" s="33" t="s">
        <v>479</v>
      </c>
      <c r="E1250" s="40">
        <v>105.78</v>
      </c>
      <c r="F1250" s="40">
        <v>1.86</v>
      </c>
      <c r="G1250" s="33" t="s">
        <v>431</v>
      </c>
    </row>
    <row r="1251" ht="15.75" customHeight="1">
      <c r="A1251" s="33" t="s">
        <v>4906</v>
      </c>
      <c r="B1251" s="33" t="s">
        <v>726</v>
      </c>
      <c r="C1251" s="39">
        <v>45879.0</v>
      </c>
      <c r="D1251" s="33" t="s">
        <v>479</v>
      </c>
      <c r="E1251" s="40">
        <v>81.6</v>
      </c>
      <c r="F1251" s="40">
        <v>1.52</v>
      </c>
      <c r="G1251" s="33" t="s">
        <v>450</v>
      </c>
    </row>
    <row r="1252" ht="15.75" customHeight="1">
      <c r="A1252" s="33" t="s">
        <v>4910</v>
      </c>
      <c r="B1252" s="33" t="s">
        <v>201</v>
      </c>
      <c r="C1252" s="39">
        <v>45833.0</v>
      </c>
      <c r="D1252" s="33" t="s">
        <v>440</v>
      </c>
      <c r="E1252" s="40">
        <v>63.9</v>
      </c>
      <c r="F1252" s="40">
        <v>0.0</v>
      </c>
      <c r="G1252" s="33" t="s">
        <v>450</v>
      </c>
    </row>
    <row r="1253" ht="15.75" customHeight="1">
      <c r="A1253" s="33" t="s">
        <v>4914</v>
      </c>
      <c r="B1253" s="33" t="s">
        <v>318</v>
      </c>
      <c r="C1253" s="39">
        <v>46249.0</v>
      </c>
      <c r="D1253" s="33" t="s">
        <v>461</v>
      </c>
      <c r="E1253" s="40">
        <v>98.93</v>
      </c>
      <c r="F1253" s="40">
        <v>1.6</v>
      </c>
      <c r="G1253" s="33" t="s">
        <v>442</v>
      </c>
    </row>
    <row r="1254" ht="15.75" customHeight="1">
      <c r="A1254" s="33" t="s">
        <v>4917</v>
      </c>
      <c r="B1254" s="33" t="s">
        <v>4175</v>
      </c>
      <c r="C1254" s="39">
        <v>46095.0</v>
      </c>
      <c r="D1254" s="33" t="s">
        <v>440</v>
      </c>
      <c r="E1254" s="40">
        <v>59.46</v>
      </c>
      <c r="F1254" s="40">
        <v>0.0</v>
      </c>
      <c r="G1254" s="33" t="s">
        <v>442</v>
      </c>
    </row>
    <row r="1255" ht="15.75" customHeight="1">
      <c r="A1255" s="33" t="s">
        <v>4921</v>
      </c>
      <c r="B1255" s="33" t="s">
        <v>275</v>
      </c>
      <c r="C1255" s="39">
        <v>45990.0</v>
      </c>
      <c r="D1255" s="33" t="s">
        <v>461</v>
      </c>
      <c r="E1255" s="40">
        <v>98.58</v>
      </c>
      <c r="F1255" s="40">
        <v>0.9</v>
      </c>
      <c r="G1255" s="33" t="s">
        <v>450</v>
      </c>
    </row>
    <row r="1256" ht="15.75" customHeight="1">
      <c r="A1256" s="33" t="s">
        <v>4923</v>
      </c>
      <c r="B1256" s="33" t="s">
        <v>753</v>
      </c>
      <c r="C1256" s="39">
        <v>46197.0</v>
      </c>
      <c r="D1256" s="33" t="s">
        <v>440</v>
      </c>
      <c r="E1256" s="40">
        <v>110.04</v>
      </c>
      <c r="F1256" s="40">
        <v>0.0</v>
      </c>
      <c r="G1256" s="33" t="s">
        <v>442</v>
      </c>
    </row>
    <row r="1257" ht="15.75" customHeight="1">
      <c r="A1257" s="33" t="s">
        <v>4927</v>
      </c>
      <c r="B1257" s="33" t="s">
        <v>2048</v>
      </c>
      <c r="C1257" s="39">
        <v>46116.0</v>
      </c>
      <c r="D1257" s="33" t="s">
        <v>479</v>
      </c>
      <c r="E1257" s="40">
        <v>129.57</v>
      </c>
      <c r="F1257" s="40">
        <v>1.82</v>
      </c>
      <c r="G1257" s="33" t="s">
        <v>431</v>
      </c>
    </row>
    <row r="1258" ht="15.75" customHeight="1">
      <c r="A1258" s="33" t="s">
        <v>4930</v>
      </c>
      <c r="B1258" s="33" t="s">
        <v>1262</v>
      </c>
      <c r="C1258" s="39">
        <v>46044.0</v>
      </c>
      <c r="D1258" s="33" t="s">
        <v>461</v>
      </c>
      <c r="E1258" s="40">
        <v>17.29</v>
      </c>
      <c r="F1258" s="40">
        <v>0.18</v>
      </c>
      <c r="G1258" s="33" t="s">
        <v>442</v>
      </c>
    </row>
    <row r="1259" ht="15.75" customHeight="1">
      <c r="A1259" s="33" t="s">
        <v>4932</v>
      </c>
      <c r="B1259" s="33" t="s">
        <v>1294</v>
      </c>
      <c r="C1259" s="39">
        <v>45853.0</v>
      </c>
      <c r="D1259" s="33" t="s">
        <v>428</v>
      </c>
      <c r="E1259" s="40">
        <v>176.16</v>
      </c>
      <c r="F1259" s="40">
        <v>0.0</v>
      </c>
      <c r="G1259" s="33" t="s">
        <v>431</v>
      </c>
    </row>
    <row r="1260" ht="15.75" customHeight="1">
      <c r="A1260" s="33" t="s">
        <v>4936</v>
      </c>
      <c r="B1260" s="33" t="s">
        <v>1297</v>
      </c>
      <c r="C1260" s="39">
        <v>46256.0</v>
      </c>
      <c r="D1260" s="33" t="s">
        <v>440</v>
      </c>
      <c r="E1260" s="40">
        <v>73.75</v>
      </c>
      <c r="F1260" s="40">
        <v>0.0</v>
      </c>
      <c r="G1260" s="33" t="s">
        <v>450</v>
      </c>
    </row>
    <row r="1261" ht="15.75" customHeight="1">
      <c r="A1261" s="33" t="s">
        <v>4940</v>
      </c>
      <c r="B1261" s="33" t="s">
        <v>1368</v>
      </c>
      <c r="C1261" s="39">
        <v>46094.0</v>
      </c>
      <c r="D1261" s="33" t="s">
        <v>479</v>
      </c>
      <c r="E1261" s="40">
        <v>251.93</v>
      </c>
      <c r="F1261" s="40">
        <v>2.17</v>
      </c>
      <c r="G1261" s="33" t="s">
        <v>450</v>
      </c>
    </row>
    <row r="1262" ht="15.75" customHeight="1">
      <c r="A1262" s="33" t="s">
        <v>4943</v>
      </c>
      <c r="B1262" s="33" t="s">
        <v>1346</v>
      </c>
      <c r="C1262" s="39">
        <v>46231.0</v>
      </c>
      <c r="D1262" s="33" t="s">
        <v>479</v>
      </c>
      <c r="E1262" s="40">
        <v>145.94</v>
      </c>
      <c r="F1262" s="40">
        <v>1.01</v>
      </c>
      <c r="G1262" s="33" t="s">
        <v>442</v>
      </c>
    </row>
    <row r="1263" ht="15.75" customHeight="1">
      <c r="A1263" s="33" t="s">
        <v>4945</v>
      </c>
      <c r="B1263" s="33" t="s">
        <v>3598</v>
      </c>
      <c r="C1263" s="39">
        <v>46244.0</v>
      </c>
      <c r="D1263" s="33" t="s">
        <v>428</v>
      </c>
      <c r="E1263" s="40">
        <v>39.07</v>
      </c>
      <c r="F1263" s="40">
        <v>0.0</v>
      </c>
      <c r="G1263" s="33" t="s">
        <v>450</v>
      </c>
    </row>
    <row r="1264" ht="15.75" customHeight="1">
      <c r="A1264" s="33" t="s">
        <v>4949</v>
      </c>
      <c r="B1264" s="33" t="s">
        <v>618</v>
      </c>
      <c r="C1264" s="39">
        <v>45991.0</v>
      </c>
      <c r="D1264" s="33" t="s">
        <v>428</v>
      </c>
      <c r="E1264" s="40">
        <v>118.15</v>
      </c>
      <c r="F1264" s="40">
        <v>0.0</v>
      </c>
      <c r="G1264" s="33" t="s">
        <v>450</v>
      </c>
    </row>
    <row r="1265" ht="15.75" customHeight="1">
      <c r="A1265" s="33" t="s">
        <v>4951</v>
      </c>
      <c r="B1265" s="33" t="s">
        <v>879</v>
      </c>
      <c r="C1265" s="39">
        <v>45875.0</v>
      </c>
      <c r="D1265" s="33" t="s">
        <v>461</v>
      </c>
      <c r="E1265" s="40">
        <v>167.57</v>
      </c>
      <c r="F1265" s="40">
        <v>1.56</v>
      </c>
      <c r="G1265" s="33" t="s">
        <v>450</v>
      </c>
    </row>
    <row r="1266" ht="15.75" customHeight="1">
      <c r="A1266" s="33" t="s">
        <v>4955</v>
      </c>
      <c r="B1266" s="33" t="s">
        <v>534</v>
      </c>
      <c r="C1266" s="39">
        <v>46232.0</v>
      </c>
      <c r="D1266" s="33" t="s">
        <v>428</v>
      </c>
      <c r="E1266" s="40">
        <v>66.4</v>
      </c>
      <c r="F1266" s="40">
        <v>0.0</v>
      </c>
      <c r="G1266" s="33" t="s">
        <v>450</v>
      </c>
    </row>
    <row r="1267" ht="15.75" customHeight="1">
      <c r="A1267" s="33" t="s">
        <v>4957</v>
      </c>
      <c r="B1267" s="33" t="s">
        <v>984</v>
      </c>
      <c r="C1267" s="39">
        <v>46264.0</v>
      </c>
      <c r="D1267" s="33" t="s">
        <v>435</v>
      </c>
      <c r="E1267" s="40">
        <v>36.54</v>
      </c>
      <c r="F1267" s="40">
        <v>0.0</v>
      </c>
      <c r="G1267" s="33" t="s">
        <v>442</v>
      </c>
    </row>
    <row r="1268" ht="15.75" customHeight="1">
      <c r="A1268" s="33" t="s">
        <v>4960</v>
      </c>
      <c r="B1268" s="33" t="s">
        <v>3807</v>
      </c>
      <c r="C1268" s="39">
        <v>45732.0</v>
      </c>
      <c r="D1268" s="33" t="s">
        <v>461</v>
      </c>
      <c r="E1268" s="40">
        <v>31.33</v>
      </c>
      <c r="F1268" s="40">
        <v>0.39</v>
      </c>
      <c r="G1268" s="33" t="s">
        <v>442</v>
      </c>
    </row>
    <row r="1269" ht="15.75" customHeight="1">
      <c r="A1269" s="33" t="s">
        <v>4964</v>
      </c>
      <c r="B1269" s="33" t="s">
        <v>558</v>
      </c>
      <c r="C1269" s="39">
        <v>46045.0</v>
      </c>
      <c r="D1269" s="33" t="s">
        <v>428</v>
      </c>
      <c r="E1269" s="40">
        <v>21.93</v>
      </c>
      <c r="F1269" s="40">
        <v>0.0</v>
      </c>
      <c r="G1269" s="33" t="s">
        <v>442</v>
      </c>
    </row>
    <row r="1270" ht="15.75" customHeight="1">
      <c r="A1270" s="33" t="s">
        <v>4967</v>
      </c>
      <c r="B1270" s="33" t="s">
        <v>186</v>
      </c>
      <c r="C1270" s="39">
        <v>46023.0</v>
      </c>
      <c r="D1270" s="33" t="s">
        <v>461</v>
      </c>
      <c r="E1270" s="40">
        <v>9.38</v>
      </c>
      <c r="F1270" s="40">
        <v>0.05</v>
      </c>
      <c r="G1270" s="33" t="s">
        <v>431</v>
      </c>
    </row>
    <row r="1271" ht="15.75" customHeight="1">
      <c r="A1271" s="33" t="s">
        <v>4970</v>
      </c>
      <c r="B1271" s="33" t="s">
        <v>2752</v>
      </c>
      <c r="C1271" s="39">
        <v>46112.0</v>
      </c>
      <c r="D1271" s="33" t="s">
        <v>479</v>
      </c>
      <c r="E1271" s="40">
        <v>74.86</v>
      </c>
      <c r="F1271" s="40">
        <v>1.08</v>
      </c>
      <c r="G1271" s="33" t="s">
        <v>442</v>
      </c>
    </row>
    <row r="1272" ht="15.75" customHeight="1">
      <c r="A1272" s="33" t="s">
        <v>4973</v>
      </c>
      <c r="B1272" s="33" t="s">
        <v>558</v>
      </c>
      <c r="C1272" s="39">
        <v>46250.0</v>
      </c>
      <c r="D1272" s="33" t="s">
        <v>428</v>
      </c>
      <c r="E1272" s="40">
        <v>32.81</v>
      </c>
      <c r="F1272" s="40">
        <v>0.0</v>
      </c>
      <c r="G1272" s="33" t="s">
        <v>450</v>
      </c>
    </row>
    <row r="1273" ht="15.75" customHeight="1">
      <c r="A1273" s="33" t="s">
        <v>4976</v>
      </c>
      <c r="B1273" s="33" t="s">
        <v>2086</v>
      </c>
      <c r="C1273" s="39">
        <v>45811.0</v>
      </c>
      <c r="D1273" s="33" t="s">
        <v>461</v>
      </c>
      <c r="E1273" s="40">
        <v>47.61</v>
      </c>
      <c r="F1273" s="40">
        <v>0.48</v>
      </c>
      <c r="G1273" s="33" t="s">
        <v>450</v>
      </c>
    </row>
    <row r="1274" ht="15.75" customHeight="1">
      <c r="A1274" s="33" t="s">
        <v>4979</v>
      </c>
      <c r="B1274" s="33" t="s">
        <v>1239</v>
      </c>
      <c r="C1274" s="39">
        <v>46250.0</v>
      </c>
      <c r="D1274" s="33" t="s">
        <v>428</v>
      </c>
      <c r="E1274" s="40">
        <v>255.87</v>
      </c>
      <c r="F1274" s="40">
        <v>0.0</v>
      </c>
      <c r="G1274" s="33" t="s">
        <v>450</v>
      </c>
    </row>
    <row r="1275" ht="15.75" customHeight="1">
      <c r="A1275" s="33" t="s">
        <v>4982</v>
      </c>
      <c r="B1275" s="33" t="s">
        <v>1799</v>
      </c>
      <c r="C1275" s="39">
        <v>46048.0</v>
      </c>
      <c r="D1275" s="33" t="s">
        <v>435</v>
      </c>
      <c r="E1275" s="40">
        <v>110.41</v>
      </c>
      <c r="F1275" s="40">
        <v>0.0</v>
      </c>
      <c r="G1275" s="33" t="s">
        <v>431</v>
      </c>
    </row>
    <row r="1276" ht="15.75" customHeight="1">
      <c r="A1276" s="33" t="s">
        <v>4986</v>
      </c>
      <c r="B1276" s="33" t="s">
        <v>220</v>
      </c>
      <c r="C1276" s="39">
        <v>45708.0</v>
      </c>
      <c r="D1276" s="33" t="s">
        <v>461</v>
      </c>
      <c r="E1276" s="40">
        <v>38.04</v>
      </c>
      <c r="F1276" s="40">
        <v>0.42</v>
      </c>
      <c r="G1276" s="33" t="s">
        <v>442</v>
      </c>
    </row>
    <row r="1277" ht="15.75" customHeight="1">
      <c r="A1277" s="33" t="s">
        <v>4989</v>
      </c>
      <c r="B1277" s="33" t="s">
        <v>3452</v>
      </c>
      <c r="C1277" s="39">
        <v>45968.0</v>
      </c>
      <c r="D1277" s="33" t="s">
        <v>479</v>
      </c>
      <c r="E1277" s="40">
        <v>334.78</v>
      </c>
      <c r="F1277" s="40">
        <v>2.11</v>
      </c>
      <c r="G1277" s="33" t="s">
        <v>450</v>
      </c>
    </row>
    <row r="1278" ht="15.75" customHeight="1">
      <c r="A1278" s="33" t="s">
        <v>4993</v>
      </c>
      <c r="B1278" s="33" t="s">
        <v>267</v>
      </c>
      <c r="C1278" s="39">
        <v>45739.0</v>
      </c>
      <c r="D1278" s="33" t="s">
        <v>428</v>
      </c>
      <c r="E1278" s="40">
        <v>98.02</v>
      </c>
      <c r="F1278" s="40">
        <v>0.0</v>
      </c>
      <c r="G1278" s="33" t="s">
        <v>431</v>
      </c>
    </row>
    <row r="1279" ht="15.75" customHeight="1">
      <c r="A1279" s="33" t="s">
        <v>4996</v>
      </c>
      <c r="B1279" s="33" t="s">
        <v>251</v>
      </c>
      <c r="C1279" s="39">
        <v>46238.0</v>
      </c>
      <c r="D1279" s="33" t="s">
        <v>428</v>
      </c>
      <c r="E1279" s="40">
        <v>315.74</v>
      </c>
      <c r="F1279" s="40">
        <v>0.0</v>
      </c>
      <c r="G1279" s="33" t="s">
        <v>450</v>
      </c>
    </row>
    <row r="1280" ht="15.75" customHeight="1">
      <c r="A1280" s="33" t="s">
        <v>4999</v>
      </c>
      <c r="B1280" s="33" t="s">
        <v>1076</v>
      </c>
      <c r="C1280" s="39">
        <v>46121.0</v>
      </c>
      <c r="D1280" s="33" t="s">
        <v>428</v>
      </c>
      <c r="E1280" s="40">
        <v>216.42</v>
      </c>
      <c r="F1280" s="40">
        <v>0.0</v>
      </c>
      <c r="G1280" s="33" t="s">
        <v>442</v>
      </c>
    </row>
    <row r="1281" ht="15.75" customHeight="1">
      <c r="A1281" s="33" t="s">
        <v>5002</v>
      </c>
      <c r="B1281" s="33" t="s">
        <v>534</v>
      </c>
      <c r="C1281" s="39">
        <v>46207.0</v>
      </c>
      <c r="D1281" s="33" t="s">
        <v>440</v>
      </c>
      <c r="E1281" s="40">
        <v>100.51</v>
      </c>
      <c r="F1281" s="40">
        <v>0.0</v>
      </c>
      <c r="G1281" s="33" t="s">
        <v>450</v>
      </c>
    </row>
    <row r="1282" ht="15.75" customHeight="1">
      <c r="A1282" s="33" t="s">
        <v>5004</v>
      </c>
      <c r="B1282" s="33" t="s">
        <v>1941</v>
      </c>
      <c r="C1282" s="39">
        <v>46023.0</v>
      </c>
      <c r="D1282" s="33" t="s">
        <v>479</v>
      </c>
      <c r="E1282" s="40">
        <v>74.4</v>
      </c>
      <c r="F1282" s="40">
        <v>0.73</v>
      </c>
      <c r="G1282" s="33" t="s">
        <v>442</v>
      </c>
    </row>
    <row r="1283" ht="15.75" customHeight="1">
      <c r="A1283" s="33" t="s">
        <v>5008</v>
      </c>
      <c r="B1283" s="33" t="s">
        <v>753</v>
      </c>
      <c r="C1283" s="39">
        <v>45898.0</v>
      </c>
      <c r="D1283" s="33" t="s">
        <v>435</v>
      </c>
      <c r="E1283" s="40">
        <v>143.91</v>
      </c>
      <c r="F1283" s="40">
        <v>0.0</v>
      </c>
      <c r="G1283" s="33" t="s">
        <v>450</v>
      </c>
    </row>
    <row r="1284" ht="15.75" customHeight="1">
      <c r="A1284" s="33" t="s">
        <v>5012</v>
      </c>
      <c r="B1284" s="33" t="s">
        <v>1145</v>
      </c>
      <c r="C1284" s="39">
        <v>45918.0</v>
      </c>
      <c r="D1284" s="33" t="s">
        <v>428</v>
      </c>
      <c r="E1284" s="40">
        <v>94.34</v>
      </c>
      <c r="F1284" s="40">
        <v>0.0</v>
      </c>
      <c r="G1284" s="33" t="s">
        <v>442</v>
      </c>
    </row>
    <row r="1285" ht="15.75" customHeight="1">
      <c r="A1285" s="33" t="s">
        <v>5015</v>
      </c>
      <c r="B1285" s="33" t="s">
        <v>2161</v>
      </c>
      <c r="C1285" s="39">
        <v>46232.0</v>
      </c>
      <c r="D1285" s="33" t="s">
        <v>440</v>
      </c>
      <c r="E1285" s="40">
        <v>55.56</v>
      </c>
      <c r="F1285" s="40">
        <v>0.0</v>
      </c>
      <c r="G1285" s="33" t="s">
        <v>450</v>
      </c>
    </row>
    <row r="1286" ht="15.75" customHeight="1">
      <c r="A1286" s="33" t="s">
        <v>5019</v>
      </c>
      <c r="B1286" s="33" t="s">
        <v>571</v>
      </c>
      <c r="C1286" s="39">
        <v>45750.0</v>
      </c>
      <c r="D1286" s="33" t="s">
        <v>461</v>
      </c>
      <c r="E1286" s="40">
        <v>52.81</v>
      </c>
      <c r="F1286" s="40">
        <v>0.89</v>
      </c>
      <c r="G1286" s="33" t="s">
        <v>450</v>
      </c>
    </row>
    <row r="1287" ht="15.75" customHeight="1">
      <c r="A1287" s="33" t="s">
        <v>5022</v>
      </c>
      <c r="B1287" s="33" t="s">
        <v>786</v>
      </c>
      <c r="C1287" s="39">
        <v>46195.0</v>
      </c>
      <c r="D1287" s="33" t="s">
        <v>479</v>
      </c>
      <c r="E1287" s="40">
        <v>159.97</v>
      </c>
      <c r="F1287" s="40">
        <v>2.53</v>
      </c>
      <c r="G1287" s="33" t="s">
        <v>450</v>
      </c>
    </row>
    <row r="1288" ht="15.75" customHeight="1">
      <c r="A1288" s="33" t="s">
        <v>5025</v>
      </c>
      <c r="B1288" s="33" t="s">
        <v>493</v>
      </c>
      <c r="C1288" s="39">
        <v>45914.0</v>
      </c>
      <c r="D1288" s="33" t="s">
        <v>428</v>
      </c>
      <c r="E1288" s="40">
        <v>37.96</v>
      </c>
      <c r="F1288" s="40">
        <v>0.0</v>
      </c>
      <c r="G1288" s="33" t="s">
        <v>450</v>
      </c>
    </row>
    <row r="1289" ht="15.75" customHeight="1">
      <c r="A1289" s="33" t="s">
        <v>5029</v>
      </c>
      <c r="B1289" s="33" t="s">
        <v>1217</v>
      </c>
      <c r="C1289" s="39">
        <v>46016.0</v>
      </c>
      <c r="D1289" s="33" t="s">
        <v>428</v>
      </c>
      <c r="E1289" s="40">
        <v>158.44</v>
      </c>
      <c r="F1289" s="40">
        <v>0.0</v>
      </c>
      <c r="G1289" s="33" t="s">
        <v>450</v>
      </c>
    </row>
    <row r="1290" ht="15.75" customHeight="1">
      <c r="A1290" s="33" t="s">
        <v>5032</v>
      </c>
      <c r="B1290" s="33" t="s">
        <v>2104</v>
      </c>
      <c r="C1290" s="39">
        <v>46062.0</v>
      </c>
      <c r="D1290" s="33" t="s">
        <v>461</v>
      </c>
      <c r="E1290" s="40">
        <v>83.26</v>
      </c>
      <c r="F1290" s="40">
        <v>1.13</v>
      </c>
      <c r="G1290" s="33" t="s">
        <v>442</v>
      </c>
    </row>
    <row r="1291" ht="15.75" customHeight="1">
      <c r="A1291" s="33" t="s">
        <v>5036</v>
      </c>
      <c r="B1291" s="33" t="s">
        <v>786</v>
      </c>
      <c r="C1291" s="39">
        <v>45707.0</v>
      </c>
      <c r="D1291" s="33" t="s">
        <v>461</v>
      </c>
      <c r="E1291" s="40">
        <v>18.05</v>
      </c>
      <c r="F1291" s="40">
        <v>0.14</v>
      </c>
      <c r="G1291" s="33" t="s">
        <v>450</v>
      </c>
    </row>
    <row r="1292" ht="15.75" customHeight="1">
      <c r="A1292" s="33" t="s">
        <v>5040</v>
      </c>
      <c r="B1292" s="33" t="s">
        <v>572</v>
      </c>
      <c r="C1292" s="39">
        <v>45748.0</v>
      </c>
      <c r="D1292" s="33" t="s">
        <v>435</v>
      </c>
      <c r="E1292" s="40">
        <v>167.17</v>
      </c>
      <c r="F1292" s="40">
        <v>0.0</v>
      </c>
      <c r="G1292" s="33" t="s">
        <v>431</v>
      </c>
    </row>
    <row r="1293" ht="15.75" customHeight="1">
      <c r="A1293" s="33" t="s">
        <v>5044</v>
      </c>
      <c r="B1293" s="33" t="s">
        <v>213</v>
      </c>
      <c r="C1293" s="39">
        <v>45755.0</v>
      </c>
      <c r="D1293" s="33" t="s">
        <v>428</v>
      </c>
      <c r="E1293" s="40">
        <v>38.85</v>
      </c>
      <c r="F1293" s="40">
        <v>0.0</v>
      </c>
      <c r="G1293" s="33" t="s">
        <v>450</v>
      </c>
    </row>
    <row r="1294" ht="15.75" customHeight="1">
      <c r="A1294" s="33" t="s">
        <v>5047</v>
      </c>
      <c r="B1294" s="33" t="s">
        <v>2987</v>
      </c>
      <c r="C1294" s="39">
        <v>46130.0</v>
      </c>
      <c r="D1294" s="33" t="s">
        <v>435</v>
      </c>
      <c r="E1294" s="40">
        <v>43.55</v>
      </c>
      <c r="F1294" s="40">
        <v>0.0</v>
      </c>
      <c r="G1294" s="33" t="s">
        <v>450</v>
      </c>
    </row>
    <row r="1295" ht="15.75" customHeight="1">
      <c r="A1295" s="33" t="s">
        <v>5050</v>
      </c>
      <c r="B1295" s="33" t="s">
        <v>2515</v>
      </c>
      <c r="C1295" s="39">
        <v>45704.0</v>
      </c>
      <c r="D1295" s="33" t="s">
        <v>479</v>
      </c>
      <c r="E1295" s="40">
        <v>68.84</v>
      </c>
      <c r="F1295" s="40">
        <v>1.11</v>
      </c>
      <c r="G1295" s="33" t="s">
        <v>431</v>
      </c>
    </row>
    <row r="1296" ht="15.75" customHeight="1">
      <c r="A1296" s="33" t="s">
        <v>5054</v>
      </c>
      <c r="B1296" s="33" t="s">
        <v>518</v>
      </c>
      <c r="C1296" s="39">
        <v>46028.0</v>
      </c>
      <c r="D1296" s="33" t="s">
        <v>440</v>
      </c>
      <c r="E1296" s="40">
        <v>77.65</v>
      </c>
      <c r="F1296" s="40">
        <v>0.0</v>
      </c>
      <c r="G1296" s="33" t="s">
        <v>450</v>
      </c>
    </row>
    <row r="1297" ht="15.75" customHeight="1">
      <c r="A1297" s="33" t="s">
        <v>5056</v>
      </c>
      <c r="B1297" s="33" t="s">
        <v>1198</v>
      </c>
      <c r="C1297" s="39">
        <v>45723.0</v>
      </c>
      <c r="D1297" s="33" t="s">
        <v>440</v>
      </c>
      <c r="E1297" s="40">
        <v>100.99</v>
      </c>
      <c r="F1297" s="40">
        <v>0.0</v>
      </c>
      <c r="G1297" s="33" t="s">
        <v>450</v>
      </c>
    </row>
    <row r="1298" ht="15.75" customHeight="1">
      <c r="A1298" s="33" t="s">
        <v>5060</v>
      </c>
      <c r="B1298" s="33" t="s">
        <v>1400</v>
      </c>
      <c r="C1298" s="39">
        <v>46124.0</v>
      </c>
      <c r="D1298" s="33" t="s">
        <v>428</v>
      </c>
      <c r="E1298" s="40">
        <v>161.3</v>
      </c>
      <c r="F1298" s="40">
        <v>0.0</v>
      </c>
      <c r="G1298" s="33" t="s">
        <v>431</v>
      </c>
    </row>
    <row r="1299" ht="15.75" customHeight="1">
      <c r="A1299" s="33" t="s">
        <v>5063</v>
      </c>
      <c r="B1299" s="33" t="s">
        <v>1181</v>
      </c>
      <c r="C1299" s="39">
        <v>46251.0</v>
      </c>
      <c r="D1299" s="33" t="s">
        <v>440</v>
      </c>
      <c r="E1299" s="40">
        <v>157.64</v>
      </c>
      <c r="F1299" s="40">
        <v>0.0</v>
      </c>
      <c r="G1299" s="33" t="s">
        <v>450</v>
      </c>
    </row>
    <row r="1300" ht="15.75" customHeight="1">
      <c r="A1300" s="33" t="s">
        <v>5066</v>
      </c>
      <c r="B1300" s="33" t="s">
        <v>1656</v>
      </c>
      <c r="C1300" s="39">
        <v>45909.0</v>
      </c>
      <c r="D1300" s="33" t="s">
        <v>479</v>
      </c>
      <c r="E1300" s="40">
        <v>51.49</v>
      </c>
      <c r="F1300" s="40">
        <v>0.31</v>
      </c>
      <c r="G1300" s="33" t="s">
        <v>450</v>
      </c>
    </row>
    <row r="1301" ht="15.75" customHeight="1">
      <c r="A1301" s="33" t="s">
        <v>5069</v>
      </c>
      <c r="B1301" s="33" t="s">
        <v>2589</v>
      </c>
      <c r="C1301" s="39">
        <v>45786.0</v>
      </c>
      <c r="D1301" s="33" t="s">
        <v>440</v>
      </c>
      <c r="E1301" s="40">
        <v>52.89</v>
      </c>
      <c r="F1301" s="40">
        <v>0.0</v>
      </c>
      <c r="G1301" s="33" t="s">
        <v>450</v>
      </c>
    </row>
    <row r="1302" ht="15.75" customHeight="1">
      <c r="A1302" s="33" t="s">
        <v>5072</v>
      </c>
      <c r="B1302" s="33" t="s">
        <v>1001</v>
      </c>
      <c r="C1302" s="39">
        <v>45928.0</v>
      </c>
      <c r="D1302" s="33" t="s">
        <v>428</v>
      </c>
      <c r="E1302" s="40">
        <v>149.59</v>
      </c>
      <c r="F1302" s="40">
        <v>0.0</v>
      </c>
      <c r="G1302" s="33" t="s">
        <v>442</v>
      </c>
    </row>
    <row r="1303" ht="15.75" customHeight="1">
      <c r="A1303" s="33" t="s">
        <v>5077</v>
      </c>
      <c r="B1303" s="33" t="s">
        <v>1802</v>
      </c>
      <c r="C1303" s="39">
        <v>46077.0</v>
      </c>
      <c r="D1303" s="33" t="s">
        <v>461</v>
      </c>
      <c r="E1303" s="40">
        <v>33.03</v>
      </c>
      <c r="F1303" s="40">
        <v>0.31</v>
      </c>
      <c r="G1303" s="33" t="s">
        <v>442</v>
      </c>
    </row>
    <row r="1304" ht="15.75" customHeight="1">
      <c r="A1304" s="33" t="s">
        <v>5081</v>
      </c>
      <c r="B1304" s="33" t="s">
        <v>381</v>
      </c>
      <c r="C1304" s="39">
        <v>46099.0</v>
      </c>
      <c r="D1304" s="33" t="s">
        <v>479</v>
      </c>
      <c r="E1304" s="40">
        <v>83.22</v>
      </c>
      <c r="F1304" s="40">
        <v>1.25</v>
      </c>
      <c r="G1304" s="33" t="s">
        <v>450</v>
      </c>
    </row>
    <row r="1305" ht="15.75" customHeight="1">
      <c r="A1305" s="33" t="s">
        <v>5084</v>
      </c>
      <c r="B1305" s="33" t="s">
        <v>2110</v>
      </c>
      <c r="C1305" s="39">
        <v>46044.0</v>
      </c>
      <c r="D1305" s="33" t="s">
        <v>435</v>
      </c>
      <c r="E1305" s="40">
        <v>205.85</v>
      </c>
      <c r="F1305" s="40">
        <v>0.0</v>
      </c>
      <c r="G1305" s="33" t="s">
        <v>450</v>
      </c>
    </row>
    <row r="1306" ht="15.75" customHeight="1">
      <c r="A1306" s="33" t="s">
        <v>5087</v>
      </c>
      <c r="B1306" s="33" t="s">
        <v>959</v>
      </c>
      <c r="C1306" s="39">
        <v>46011.0</v>
      </c>
      <c r="D1306" s="33" t="s">
        <v>435</v>
      </c>
      <c r="E1306" s="40">
        <v>57.96</v>
      </c>
      <c r="F1306" s="40">
        <v>0.0</v>
      </c>
      <c r="G1306" s="33" t="s">
        <v>450</v>
      </c>
    </row>
    <row r="1307" ht="15.75" customHeight="1">
      <c r="A1307" s="33" t="s">
        <v>5091</v>
      </c>
      <c r="B1307" s="33" t="s">
        <v>569</v>
      </c>
      <c r="C1307" s="39">
        <v>46041.0</v>
      </c>
      <c r="D1307" s="33" t="s">
        <v>440</v>
      </c>
      <c r="E1307" s="40">
        <v>21.57</v>
      </c>
      <c r="F1307" s="40">
        <v>0.0</v>
      </c>
      <c r="G1307" s="33" t="s">
        <v>450</v>
      </c>
    </row>
    <row r="1308" ht="15.75" customHeight="1">
      <c r="A1308" s="33" t="s">
        <v>5093</v>
      </c>
      <c r="B1308" s="33" t="s">
        <v>999</v>
      </c>
      <c r="C1308" s="39">
        <v>45789.0</v>
      </c>
      <c r="D1308" s="33" t="s">
        <v>479</v>
      </c>
      <c r="E1308" s="40">
        <v>38.86</v>
      </c>
      <c r="F1308" s="40">
        <v>0.27</v>
      </c>
      <c r="G1308" s="33" t="s">
        <v>431</v>
      </c>
    </row>
    <row r="1309" ht="15.75" customHeight="1">
      <c r="A1309" s="33" t="s">
        <v>5097</v>
      </c>
      <c r="B1309" s="33" t="s">
        <v>1062</v>
      </c>
      <c r="C1309" s="39">
        <v>45783.0</v>
      </c>
      <c r="D1309" s="33" t="s">
        <v>428</v>
      </c>
      <c r="E1309" s="40">
        <v>41.07</v>
      </c>
      <c r="F1309" s="40">
        <v>0.0</v>
      </c>
      <c r="G1309" s="33" t="s">
        <v>442</v>
      </c>
    </row>
    <row r="1310" ht="15.75" customHeight="1">
      <c r="A1310" s="33" t="s">
        <v>5099</v>
      </c>
      <c r="B1310" s="33" t="s">
        <v>2040</v>
      </c>
      <c r="C1310" s="39">
        <v>46223.0</v>
      </c>
      <c r="D1310" s="33" t="s">
        <v>435</v>
      </c>
      <c r="E1310" s="40">
        <v>36.06</v>
      </c>
      <c r="F1310" s="40">
        <v>0.0</v>
      </c>
      <c r="G1310" s="33" t="s">
        <v>442</v>
      </c>
    </row>
    <row r="1311" ht="15.75" customHeight="1">
      <c r="A1311" s="33" t="s">
        <v>5101</v>
      </c>
      <c r="B1311" s="33" t="s">
        <v>1359</v>
      </c>
      <c r="C1311" s="39">
        <v>46009.0</v>
      </c>
      <c r="D1311" s="33" t="s">
        <v>479</v>
      </c>
      <c r="E1311" s="40">
        <v>66.32</v>
      </c>
      <c r="F1311" s="40">
        <v>1.08</v>
      </c>
      <c r="G1311" s="33" t="s">
        <v>450</v>
      </c>
    </row>
    <row r="1312" ht="15.75" customHeight="1">
      <c r="A1312" s="33" t="s">
        <v>5104</v>
      </c>
      <c r="B1312" s="33" t="s">
        <v>1482</v>
      </c>
      <c r="C1312" s="39">
        <v>46180.0</v>
      </c>
      <c r="D1312" s="33" t="s">
        <v>440</v>
      </c>
      <c r="E1312" s="40">
        <v>311.68</v>
      </c>
      <c r="F1312" s="40">
        <v>0.0</v>
      </c>
      <c r="G1312" s="33" t="s">
        <v>450</v>
      </c>
    </row>
    <row r="1313" ht="15.75" customHeight="1">
      <c r="A1313" s="33" t="s">
        <v>5108</v>
      </c>
      <c r="B1313" s="33" t="s">
        <v>306</v>
      </c>
      <c r="C1313" s="39">
        <v>46037.0</v>
      </c>
      <c r="D1313" s="33" t="s">
        <v>435</v>
      </c>
      <c r="E1313" s="40">
        <v>115.92</v>
      </c>
      <c r="F1313" s="40">
        <v>0.0</v>
      </c>
      <c r="G1313" s="33" t="s">
        <v>450</v>
      </c>
    </row>
    <row r="1314" ht="15.75" customHeight="1">
      <c r="A1314" s="33" t="s">
        <v>5110</v>
      </c>
      <c r="B1314" s="33" t="s">
        <v>1883</v>
      </c>
      <c r="C1314" s="39">
        <v>45934.0</v>
      </c>
      <c r="D1314" s="33" t="s">
        <v>461</v>
      </c>
      <c r="E1314" s="40">
        <v>71.41</v>
      </c>
      <c r="F1314" s="40">
        <v>0.62</v>
      </c>
      <c r="G1314" s="33" t="s">
        <v>431</v>
      </c>
    </row>
    <row r="1315" ht="15.75" customHeight="1">
      <c r="A1315" s="33" t="s">
        <v>5114</v>
      </c>
      <c r="B1315" s="33" t="s">
        <v>1561</v>
      </c>
      <c r="C1315" s="39">
        <v>46004.0</v>
      </c>
      <c r="D1315" s="33" t="s">
        <v>461</v>
      </c>
      <c r="E1315" s="40">
        <v>76.21</v>
      </c>
      <c r="F1315" s="40">
        <v>0.95</v>
      </c>
      <c r="G1315" s="33" t="s">
        <v>431</v>
      </c>
    </row>
    <row r="1316" ht="15.75" customHeight="1">
      <c r="A1316" s="33" t="s">
        <v>5118</v>
      </c>
      <c r="B1316" s="33" t="s">
        <v>1065</v>
      </c>
      <c r="C1316" s="39">
        <v>46077.0</v>
      </c>
      <c r="D1316" s="33" t="s">
        <v>428</v>
      </c>
      <c r="E1316" s="40">
        <v>45.83</v>
      </c>
      <c r="F1316" s="40">
        <v>0.0</v>
      </c>
      <c r="G1316" s="33" t="s">
        <v>450</v>
      </c>
    </row>
    <row r="1317" ht="15.75" customHeight="1">
      <c r="A1317" s="33" t="s">
        <v>5121</v>
      </c>
      <c r="B1317" s="33" t="s">
        <v>322</v>
      </c>
      <c r="C1317" s="39">
        <v>45771.0</v>
      </c>
      <c r="D1317" s="33" t="s">
        <v>479</v>
      </c>
      <c r="E1317" s="40">
        <v>75.99</v>
      </c>
      <c r="F1317" s="40">
        <v>0.48</v>
      </c>
      <c r="G1317" s="33" t="s">
        <v>450</v>
      </c>
    </row>
    <row r="1318" ht="15.75" customHeight="1">
      <c r="A1318" s="33" t="s">
        <v>5125</v>
      </c>
      <c r="B1318" s="33" t="s">
        <v>426</v>
      </c>
      <c r="C1318" s="39">
        <v>45938.0</v>
      </c>
      <c r="D1318" s="33" t="s">
        <v>440</v>
      </c>
      <c r="E1318" s="40">
        <v>199.81</v>
      </c>
      <c r="F1318" s="40">
        <v>0.0</v>
      </c>
      <c r="G1318" s="33" t="s">
        <v>442</v>
      </c>
    </row>
    <row r="1319" ht="15.75" customHeight="1">
      <c r="A1319" s="33" t="s">
        <v>5128</v>
      </c>
      <c r="B1319" s="33" t="s">
        <v>788</v>
      </c>
      <c r="C1319" s="39">
        <v>46096.0</v>
      </c>
      <c r="D1319" s="33" t="s">
        <v>428</v>
      </c>
      <c r="E1319" s="40">
        <v>85.34</v>
      </c>
      <c r="F1319" s="40">
        <v>0.0</v>
      </c>
      <c r="G1319" s="33" t="s">
        <v>450</v>
      </c>
    </row>
    <row r="1320" ht="15.75" customHeight="1">
      <c r="A1320" s="33" t="s">
        <v>5129</v>
      </c>
      <c r="B1320" s="33" t="s">
        <v>2086</v>
      </c>
      <c r="C1320" s="39">
        <v>45710.0</v>
      </c>
      <c r="D1320" s="33" t="s">
        <v>440</v>
      </c>
      <c r="E1320" s="40">
        <v>156.97</v>
      </c>
      <c r="F1320" s="40">
        <v>0.0</v>
      </c>
      <c r="G1320" s="33" t="s">
        <v>450</v>
      </c>
    </row>
    <row r="1321" ht="15.75" customHeight="1">
      <c r="A1321" s="33" t="s">
        <v>5130</v>
      </c>
      <c r="B1321" s="33" t="s">
        <v>630</v>
      </c>
      <c r="C1321" s="39">
        <v>45702.0</v>
      </c>
      <c r="D1321" s="33" t="s">
        <v>461</v>
      </c>
      <c r="E1321" s="40">
        <v>142.89</v>
      </c>
      <c r="F1321" s="40">
        <v>1.83</v>
      </c>
      <c r="G1321" s="33" t="s">
        <v>450</v>
      </c>
    </row>
    <row r="1322" ht="15.75" customHeight="1">
      <c r="A1322" s="33" t="s">
        <v>5132</v>
      </c>
      <c r="B1322" s="33" t="s">
        <v>1645</v>
      </c>
      <c r="C1322" s="39">
        <v>45755.0</v>
      </c>
      <c r="D1322" s="33" t="s">
        <v>428</v>
      </c>
      <c r="E1322" s="40">
        <v>302.31</v>
      </c>
      <c r="F1322" s="40">
        <v>0.0</v>
      </c>
      <c r="G1322" s="33" t="s">
        <v>450</v>
      </c>
    </row>
    <row r="1323" ht="15.75" customHeight="1">
      <c r="A1323" s="33" t="s">
        <v>5134</v>
      </c>
      <c r="B1323" s="33" t="s">
        <v>2177</v>
      </c>
      <c r="C1323" s="39">
        <v>46016.0</v>
      </c>
      <c r="D1323" s="33" t="s">
        <v>435</v>
      </c>
      <c r="E1323" s="40">
        <v>141.1</v>
      </c>
      <c r="F1323" s="40">
        <v>0.0</v>
      </c>
      <c r="G1323" s="33" t="s">
        <v>442</v>
      </c>
    </row>
    <row r="1324" ht="15.75" customHeight="1">
      <c r="A1324" s="33" t="s">
        <v>5136</v>
      </c>
      <c r="B1324" s="33" t="s">
        <v>206</v>
      </c>
      <c r="C1324" s="39">
        <v>45802.0</v>
      </c>
      <c r="D1324" s="33" t="s">
        <v>428</v>
      </c>
      <c r="E1324" s="40">
        <v>288.68</v>
      </c>
      <c r="F1324" s="40">
        <v>0.0</v>
      </c>
      <c r="G1324" s="33" t="s">
        <v>442</v>
      </c>
    </row>
    <row r="1325" ht="15.75" customHeight="1">
      <c r="A1325" s="33" t="s">
        <v>5137</v>
      </c>
      <c r="B1325" s="33" t="s">
        <v>1069</v>
      </c>
      <c r="C1325" s="39">
        <v>45922.0</v>
      </c>
      <c r="D1325" s="33" t="s">
        <v>440</v>
      </c>
      <c r="E1325" s="40">
        <v>165.09</v>
      </c>
      <c r="F1325" s="40">
        <v>0.0</v>
      </c>
      <c r="G1325" s="33" t="s">
        <v>450</v>
      </c>
    </row>
    <row r="1326" ht="15.75" customHeight="1">
      <c r="A1326" s="33" t="s">
        <v>5139</v>
      </c>
      <c r="B1326" s="33" t="s">
        <v>3612</v>
      </c>
      <c r="C1326" s="39">
        <v>45739.0</v>
      </c>
      <c r="D1326" s="33" t="s">
        <v>479</v>
      </c>
      <c r="E1326" s="40">
        <v>101.03</v>
      </c>
      <c r="F1326" s="40">
        <v>1.96</v>
      </c>
      <c r="G1326" s="33" t="s">
        <v>450</v>
      </c>
    </row>
    <row r="1327" ht="15.75" customHeight="1">
      <c r="A1327" s="33" t="s">
        <v>5141</v>
      </c>
      <c r="B1327" s="33" t="s">
        <v>1383</v>
      </c>
      <c r="C1327" s="39">
        <v>45809.0</v>
      </c>
      <c r="D1327" s="33" t="s">
        <v>440</v>
      </c>
      <c r="E1327" s="40">
        <v>42.54</v>
      </c>
      <c r="F1327" s="40">
        <v>0.0</v>
      </c>
      <c r="G1327" s="33" t="s">
        <v>450</v>
      </c>
    </row>
    <row r="1328" ht="15.75" customHeight="1">
      <c r="A1328" s="33" t="s">
        <v>5143</v>
      </c>
      <c r="B1328" s="33" t="s">
        <v>1517</v>
      </c>
      <c r="C1328" s="39">
        <v>45668.0</v>
      </c>
      <c r="D1328" s="33" t="s">
        <v>435</v>
      </c>
      <c r="E1328" s="40">
        <v>156.33</v>
      </c>
      <c r="F1328" s="40">
        <v>0.0</v>
      </c>
      <c r="G1328" s="33" t="s">
        <v>442</v>
      </c>
    </row>
    <row r="1329" ht="15.75" customHeight="1">
      <c r="A1329" s="33" t="s">
        <v>5144</v>
      </c>
      <c r="B1329" s="33" t="s">
        <v>3344</v>
      </c>
      <c r="C1329" s="39">
        <v>46148.0</v>
      </c>
      <c r="D1329" s="33" t="s">
        <v>461</v>
      </c>
      <c r="E1329" s="40">
        <v>165.53</v>
      </c>
      <c r="F1329" s="40">
        <v>1.59</v>
      </c>
      <c r="G1329" s="33" t="s">
        <v>450</v>
      </c>
    </row>
    <row r="1330" ht="15.75" customHeight="1">
      <c r="A1330" s="33" t="s">
        <v>5146</v>
      </c>
      <c r="B1330" s="33" t="s">
        <v>700</v>
      </c>
      <c r="C1330" s="39">
        <v>45941.0</v>
      </c>
      <c r="D1330" s="33" t="s">
        <v>479</v>
      </c>
      <c r="E1330" s="40">
        <v>168.57</v>
      </c>
      <c r="F1330" s="40">
        <v>0.93</v>
      </c>
      <c r="G1330" s="33" t="s">
        <v>450</v>
      </c>
    </row>
    <row r="1331" ht="15.75" customHeight="1">
      <c r="A1331" s="33" t="s">
        <v>5147</v>
      </c>
      <c r="B1331" s="33" t="s">
        <v>1118</v>
      </c>
      <c r="C1331" s="39">
        <v>45764.0</v>
      </c>
      <c r="D1331" s="33" t="s">
        <v>479</v>
      </c>
      <c r="E1331" s="40">
        <v>3.61</v>
      </c>
      <c r="F1331" s="40">
        <v>0.04</v>
      </c>
      <c r="G1331" s="33" t="s">
        <v>450</v>
      </c>
    </row>
    <row r="1332" ht="15.75" customHeight="1">
      <c r="A1332" s="33" t="s">
        <v>5148</v>
      </c>
      <c r="B1332" s="33" t="s">
        <v>220</v>
      </c>
      <c r="C1332" s="39">
        <v>45977.0</v>
      </c>
      <c r="D1332" s="33" t="s">
        <v>479</v>
      </c>
      <c r="E1332" s="40">
        <v>56.75</v>
      </c>
      <c r="F1332" s="40">
        <v>0.49</v>
      </c>
      <c r="G1332" s="33" t="s">
        <v>450</v>
      </c>
    </row>
    <row r="1333" ht="15.75" customHeight="1">
      <c r="A1333" s="33" t="s">
        <v>5150</v>
      </c>
      <c r="B1333" s="33" t="s">
        <v>524</v>
      </c>
      <c r="C1333" s="39">
        <v>46224.0</v>
      </c>
      <c r="D1333" s="33" t="s">
        <v>461</v>
      </c>
      <c r="E1333" s="40">
        <v>114.86</v>
      </c>
      <c r="F1333" s="40">
        <v>1.89</v>
      </c>
      <c r="G1333" s="33" t="s">
        <v>450</v>
      </c>
    </row>
    <row r="1334" ht="15.75" customHeight="1">
      <c r="A1334" s="33" t="s">
        <v>5151</v>
      </c>
      <c r="B1334" s="33" t="s">
        <v>1141</v>
      </c>
      <c r="C1334" s="39">
        <v>46158.0</v>
      </c>
      <c r="D1334" s="33" t="s">
        <v>428</v>
      </c>
      <c r="E1334" s="40">
        <v>60.27</v>
      </c>
      <c r="F1334" s="40">
        <v>0.0</v>
      </c>
      <c r="G1334" s="33" t="s">
        <v>450</v>
      </c>
    </row>
    <row r="1335" ht="15.75" customHeight="1">
      <c r="A1335" s="33" t="s">
        <v>5152</v>
      </c>
      <c r="B1335" s="33" t="s">
        <v>1737</v>
      </c>
      <c r="C1335" s="39">
        <v>46194.0</v>
      </c>
      <c r="D1335" s="33" t="s">
        <v>479</v>
      </c>
      <c r="E1335" s="40">
        <v>52.56</v>
      </c>
      <c r="F1335" s="40">
        <v>0.69</v>
      </c>
      <c r="G1335" s="33" t="s">
        <v>450</v>
      </c>
    </row>
    <row r="1336" ht="15.75" customHeight="1">
      <c r="A1336" s="33" t="s">
        <v>5154</v>
      </c>
      <c r="B1336" s="33" t="s">
        <v>4000</v>
      </c>
      <c r="C1336" s="39">
        <v>45904.0</v>
      </c>
      <c r="D1336" s="33" t="s">
        <v>435</v>
      </c>
      <c r="E1336" s="40">
        <v>45.67</v>
      </c>
      <c r="F1336" s="40">
        <v>0.0</v>
      </c>
      <c r="G1336" s="33" t="s">
        <v>450</v>
      </c>
    </row>
    <row r="1337" ht="15.75" customHeight="1">
      <c r="A1337" s="33" t="s">
        <v>5155</v>
      </c>
      <c r="B1337" s="33" t="s">
        <v>2562</v>
      </c>
      <c r="C1337" s="39">
        <v>45876.0</v>
      </c>
      <c r="D1337" s="33" t="s">
        <v>440</v>
      </c>
      <c r="E1337" s="40">
        <v>18.64</v>
      </c>
      <c r="F1337" s="40">
        <v>0.0</v>
      </c>
      <c r="G1337" s="33" t="s">
        <v>450</v>
      </c>
    </row>
    <row r="1338" ht="15.75" customHeight="1">
      <c r="A1338" s="33" t="s">
        <v>5156</v>
      </c>
      <c r="B1338" s="33" t="s">
        <v>3598</v>
      </c>
      <c r="C1338" s="39">
        <v>45849.0</v>
      </c>
      <c r="D1338" s="33" t="s">
        <v>479</v>
      </c>
      <c r="E1338" s="40">
        <v>110.5</v>
      </c>
      <c r="F1338" s="40">
        <v>2.0</v>
      </c>
      <c r="G1338" s="33" t="s">
        <v>450</v>
      </c>
    </row>
    <row r="1339" ht="15.75" customHeight="1">
      <c r="A1339" s="33" t="s">
        <v>5158</v>
      </c>
      <c r="B1339" s="33" t="s">
        <v>1528</v>
      </c>
      <c r="C1339" s="39">
        <v>45843.0</v>
      </c>
      <c r="D1339" s="33" t="s">
        <v>435</v>
      </c>
      <c r="E1339" s="40">
        <v>49.59</v>
      </c>
      <c r="F1339" s="40">
        <v>0.0</v>
      </c>
      <c r="G1339" s="33" t="s">
        <v>450</v>
      </c>
    </row>
    <row r="1340" ht="15.75" customHeight="1">
      <c r="A1340" s="33" t="s">
        <v>5159</v>
      </c>
      <c r="B1340" s="33" t="s">
        <v>1402</v>
      </c>
      <c r="C1340" s="39">
        <v>46216.0</v>
      </c>
      <c r="D1340" s="33" t="s">
        <v>440</v>
      </c>
      <c r="E1340" s="40">
        <v>58.04</v>
      </c>
      <c r="F1340" s="40">
        <v>0.0</v>
      </c>
      <c r="G1340" s="33" t="s">
        <v>431</v>
      </c>
    </row>
    <row r="1341" ht="15.75" customHeight="1">
      <c r="A1341" s="33" t="s">
        <v>5160</v>
      </c>
      <c r="B1341" s="33" t="s">
        <v>2019</v>
      </c>
      <c r="C1341" s="39">
        <v>45741.0</v>
      </c>
      <c r="D1341" s="33" t="s">
        <v>440</v>
      </c>
      <c r="E1341" s="40">
        <v>71.41</v>
      </c>
      <c r="F1341" s="40">
        <v>0.0</v>
      </c>
      <c r="G1341" s="33" t="s">
        <v>431</v>
      </c>
    </row>
    <row r="1342" ht="15.75" customHeight="1">
      <c r="A1342" s="33" t="s">
        <v>5161</v>
      </c>
      <c r="B1342" s="33" t="s">
        <v>349</v>
      </c>
      <c r="C1342" s="39">
        <v>46174.0</v>
      </c>
      <c r="D1342" s="33" t="s">
        <v>428</v>
      </c>
      <c r="E1342" s="40">
        <v>123.57</v>
      </c>
      <c r="F1342" s="40">
        <v>0.0</v>
      </c>
      <c r="G1342" s="33" t="s">
        <v>450</v>
      </c>
    </row>
    <row r="1343" ht="15.75" customHeight="1">
      <c r="A1343" s="33" t="s">
        <v>5163</v>
      </c>
      <c r="B1343" s="33" t="s">
        <v>1340</v>
      </c>
      <c r="C1343" s="39">
        <v>46214.0</v>
      </c>
      <c r="D1343" s="33" t="s">
        <v>479</v>
      </c>
      <c r="E1343" s="40">
        <v>99.05</v>
      </c>
      <c r="F1343" s="40">
        <v>1.15</v>
      </c>
      <c r="G1343" s="33" t="s">
        <v>442</v>
      </c>
    </row>
    <row r="1344" ht="15.75" customHeight="1">
      <c r="A1344" s="33" t="s">
        <v>5165</v>
      </c>
      <c r="B1344" s="33" t="s">
        <v>1200</v>
      </c>
      <c r="C1344" s="39">
        <v>46170.0</v>
      </c>
      <c r="D1344" s="33" t="s">
        <v>428</v>
      </c>
      <c r="E1344" s="40">
        <v>95.71</v>
      </c>
      <c r="F1344" s="40">
        <v>0.0</v>
      </c>
      <c r="G1344" s="33" t="s">
        <v>450</v>
      </c>
    </row>
    <row r="1345" ht="15.75" customHeight="1">
      <c r="A1345" s="33" t="s">
        <v>5166</v>
      </c>
      <c r="B1345" s="33" t="s">
        <v>801</v>
      </c>
      <c r="C1345" s="39">
        <v>46038.0</v>
      </c>
      <c r="D1345" s="33" t="s">
        <v>479</v>
      </c>
      <c r="E1345" s="40">
        <v>7.61</v>
      </c>
      <c r="F1345" s="40">
        <v>0.15</v>
      </c>
      <c r="G1345" s="33" t="s">
        <v>450</v>
      </c>
    </row>
    <row r="1346" ht="15.75" customHeight="1">
      <c r="A1346" s="33" t="s">
        <v>5167</v>
      </c>
      <c r="B1346" s="33" t="s">
        <v>731</v>
      </c>
      <c r="C1346" s="39">
        <v>46177.0</v>
      </c>
      <c r="D1346" s="33" t="s">
        <v>479</v>
      </c>
      <c r="E1346" s="40">
        <v>159.07</v>
      </c>
      <c r="F1346" s="40">
        <v>1.65</v>
      </c>
      <c r="G1346" s="33" t="s">
        <v>450</v>
      </c>
    </row>
    <row r="1347" ht="15.75" customHeight="1">
      <c r="A1347" s="33" t="s">
        <v>5169</v>
      </c>
      <c r="B1347" s="33" t="s">
        <v>318</v>
      </c>
      <c r="C1347" s="39">
        <v>45677.0</v>
      </c>
      <c r="D1347" s="33" t="s">
        <v>428</v>
      </c>
      <c r="E1347" s="40">
        <v>241.79</v>
      </c>
      <c r="F1347" s="40">
        <v>0.0</v>
      </c>
      <c r="G1347" s="33" t="s">
        <v>450</v>
      </c>
    </row>
    <row r="1348" ht="15.75" customHeight="1">
      <c r="A1348" s="33" t="s">
        <v>5170</v>
      </c>
      <c r="B1348" s="33" t="s">
        <v>4175</v>
      </c>
      <c r="C1348" s="39">
        <v>46154.0</v>
      </c>
      <c r="D1348" s="33" t="s">
        <v>461</v>
      </c>
      <c r="E1348" s="40">
        <v>93.79</v>
      </c>
      <c r="F1348" s="40">
        <v>0.61</v>
      </c>
      <c r="G1348" s="33" t="s">
        <v>450</v>
      </c>
    </row>
    <row r="1349" ht="15.75" customHeight="1">
      <c r="A1349" s="33" t="s">
        <v>5171</v>
      </c>
      <c r="B1349" s="33" t="s">
        <v>1162</v>
      </c>
      <c r="C1349" s="39">
        <v>45968.0</v>
      </c>
      <c r="D1349" s="33" t="s">
        <v>440</v>
      </c>
      <c r="E1349" s="40">
        <v>31.96</v>
      </c>
      <c r="F1349" s="40">
        <v>0.0</v>
      </c>
      <c r="G1349" s="33" t="s">
        <v>442</v>
      </c>
    </row>
    <row r="1350" ht="15.75" customHeight="1">
      <c r="A1350" s="33" t="s">
        <v>5172</v>
      </c>
      <c r="B1350" s="33" t="s">
        <v>311</v>
      </c>
      <c r="C1350" s="39">
        <v>46239.0</v>
      </c>
      <c r="D1350" s="33" t="s">
        <v>440</v>
      </c>
      <c r="E1350" s="40">
        <v>53.7</v>
      </c>
      <c r="F1350" s="40">
        <v>0.0</v>
      </c>
      <c r="G1350" s="33" t="s">
        <v>442</v>
      </c>
    </row>
    <row r="1351" ht="15.75" customHeight="1">
      <c r="A1351" s="33" t="s">
        <v>5173</v>
      </c>
      <c r="B1351" s="33" t="s">
        <v>2158</v>
      </c>
      <c r="C1351" s="39">
        <v>45710.0</v>
      </c>
      <c r="D1351" s="33" t="s">
        <v>461</v>
      </c>
      <c r="E1351" s="40">
        <v>33.3</v>
      </c>
      <c r="F1351" s="40">
        <v>0.64</v>
      </c>
      <c r="G1351" s="33" t="s">
        <v>442</v>
      </c>
    </row>
    <row r="1352" ht="15.75" customHeight="1">
      <c r="A1352" s="33" t="s">
        <v>5174</v>
      </c>
      <c r="B1352" s="33" t="s">
        <v>1014</v>
      </c>
      <c r="C1352" s="39">
        <v>46222.0</v>
      </c>
      <c r="D1352" s="33" t="s">
        <v>435</v>
      </c>
      <c r="E1352" s="40">
        <v>223.05</v>
      </c>
      <c r="F1352" s="40">
        <v>0.0</v>
      </c>
      <c r="G1352" s="33" t="s">
        <v>450</v>
      </c>
    </row>
    <row r="1353" ht="15.75" customHeight="1">
      <c r="A1353" s="33" t="s">
        <v>5175</v>
      </c>
      <c r="B1353" s="33" t="s">
        <v>4533</v>
      </c>
      <c r="C1353" s="39">
        <v>46006.0</v>
      </c>
      <c r="D1353" s="33" t="s">
        <v>435</v>
      </c>
      <c r="E1353" s="40">
        <v>57.79</v>
      </c>
      <c r="F1353" s="40">
        <v>0.0</v>
      </c>
      <c r="G1353" s="33" t="s">
        <v>450</v>
      </c>
    </row>
    <row r="1354" ht="15.75" customHeight="1">
      <c r="A1354" s="33" t="s">
        <v>5176</v>
      </c>
      <c r="B1354" s="33" t="s">
        <v>852</v>
      </c>
      <c r="C1354" s="39">
        <v>45721.0</v>
      </c>
      <c r="D1354" s="33" t="s">
        <v>435</v>
      </c>
      <c r="E1354" s="40">
        <v>96.99</v>
      </c>
      <c r="F1354" s="40">
        <v>0.0</v>
      </c>
      <c r="G1354" s="33" t="s">
        <v>450</v>
      </c>
    </row>
    <row r="1355" ht="15.75" customHeight="1">
      <c r="A1355" s="33" t="s">
        <v>5178</v>
      </c>
      <c r="B1355" s="33" t="s">
        <v>1023</v>
      </c>
      <c r="C1355" s="39">
        <v>45966.0</v>
      </c>
      <c r="D1355" s="33" t="s">
        <v>461</v>
      </c>
      <c r="E1355" s="40">
        <v>69.17</v>
      </c>
      <c r="F1355" s="40">
        <v>0.92</v>
      </c>
      <c r="G1355" s="33" t="s">
        <v>450</v>
      </c>
    </row>
    <row r="1356" ht="15.75" customHeight="1">
      <c r="A1356" s="33" t="s">
        <v>5179</v>
      </c>
      <c r="B1356" s="33" t="s">
        <v>952</v>
      </c>
      <c r="C1356" s="39">
        <v>45680.0</v>
      </c>
      <c r="D1356" s="33" t="s">
        <v>479</v>
      </c>
      <c r="E1356" s="40">
        <v>119.54</v>
      </c>
      <c r="F1356" s="40">
        <v>1.79</v>
      </c>
      <c r="G1356" s="33" t="s">
        <v>450</v>
      </c>
    </row>
    <row r="1357" ht="15.75" customHeight="1">
      <c r="A1357" s="33" t="s">
        <v>5180</v>
      </c>
      <c r="B1357" s="33" t="s">
        <v>268</v>
      </c>
      <c r="C1357" s="39">
        <v>45708.0</v>
      </c>
      <c r="D1357" s="33" t="s">
        <v>435</v>
      </c>
      <c r="E1357" s="40">
        <v>40.14</v>
      </c>
      <c r="F1357" s="40">
        <v>0.0</v>
      </c>
      <c r="G1357" s="33" t="s">
        <v>450</v>
      </c>
    </row>
    <row r="1358" ht="15.75" customHeight="1">
      <c r="A1358" s="33" t="s">
        <v>5182</v>
      </c>
      <c r="B1358" s="33" t="s">
        <v>220</v>
      </c>
      <c r="C1358" s="39">
        <v>45980.0</v>
      </c>
      <c r="D1358" s="33" t="s">
        <v>461</v>
      </c>
      <c r="E1358" s="40">
        <v>94.21</v>
      </c>
      <c r="F1358" s="40">
        <v>0.71</v>
      </c>
      <c r="G1358" s="33" t="s">
        <v>450</v>
      </c>
    </row>
    <row r="1359" ht="15.75" customHeight="1">
      <c r="A1359" s="33" t="s">
        <v>5184</v>
      </c>
      <c r="B1359" s="33" t="s">
        <v>2860</v>
      </c>
      <c r="C1359" s="39">
        <v>46153.0</v>
      </c>
      <c r="D1359" s="33" t="s">
        <v>461</v>
      </c>
      <c r="E1359" s="40">
        <v>58.24</v>
      </c>
      <c r="F1359" s="40">
        <v>0.41</v>
      </c>
      <c r="G1359" s="33" t="s">
        <v>450</v>
      </c>
    </row>
    <row r="1360" ht="15.75" customHeight="1">
      <c r="A1360" s="33" t="s">
        <v>5185</v>
      </c>
      <c r="B1360" s="33" t="s">
        <v>1649</v>
      </c>
      <c r="C1360" s="39">
        <v>45723.0</v>
      </c>
      <c r="D1360" s="33" t="s">
        <v>461</v>
      </c>
      <c r="E1360" s="40">
        <v>173.68</v>
      </c>
      <c r="F1360" s="40">
        <v>2.83</v>
      </c>
      <c r="G1360" s="33" t="s">
        <v>450</v>
      </c>
    </row>
    <row r="1361" ht="15.75" customHeight="1">
      <c r="A1361" s="33" t="s">
        <v>5187</v>
      </c>
      <c r="B1361" s="33" t="s">
        <v>546</v>
      </c>
      <c r="C1361" s="39">
        <v>45817.0</v>
      </c>
      <c r="D1361" s="33" t="s">
        <v>435</v>
      </c>
      <c r="E1361" s="40">
        <v>8.66</v>
      </c>
      <c r="F1361" s="40">
        <v>0.0</v>
      </c>
      <c r="G1361" s="33" t="s">
        <v>450</v>
      </c>
    </row>
    <row r="1362" ht="15.75" customHeight="1">
      <c r="A1362" s="33" t="s">
        <v>5189</v>
      </c>
      <c r="B1362" s="33" t="s">
        <v>1955</v>
      </c>
      <c r="C1362" s="39">
        <v>45895.0</v>
      </c>
      <c r="D1362" s="33" t="s">
        <v>428</v>
      </c>
      <c r="E1362" s="40">
        <v>63.5</v>
      </c>
      <c r="F1362" s="40">
        <v>0.0</v>
      </c>
      <c r="G1362" s="33" t="s">
        <v>450</v>
      </c>
    </row>
    <row r="1363" ht="15.75" customHeight="1">
      <c r="A1363" s="33" t="s">
        <v>5190</v>
      </c>
      <c r="B1363" s="33" t="s">
        <v>1605</v>
      </c>
      <c r="C1363" s="39">
        <v>45986.0</v>
      </c>
      <c r="D1363" s="33" t="s">
        <v>435</v>
      </c>
      <c r="E1363" s="40">
        <v>162.46</v>
      </c>
      <c r="F1363" s="40">
        <v>0.0</v>
      </c>
      <c r="G1363" s="33" t="s">
        <v>450</v>
      </c>
    </row>
    <row r="1364" ht="15.75" customHeight="1">
      <c r="A1364" s="33" t="s">
        <v>5191</v>
      </c>
      <c r="B1364" s="33" t="s">
        <v>2048</v>
      </c>
      <c r="C1364" s="39">
        <v>45658.0</v>
      </c>
      <c r="D1364" s="33" t="s">
        <v>479</v>
      </c>
      <c r="E1364" s="40">
        <v>149.65</v>
      </c>
      <c r="F1364" s="40">
        <v>2.29</v>
      </c>
      <c r="G1364" s="33" t="s">
        <v>442</v>
      </c>
    </row>
    <row r="1365" ht="15.75" customHeight="1">
      <c r="A1365" s="33" t="s">
        <v>5193</v>
      </c>
      <c r="B1365" s="33" t="s">
        <v>1077</v>
      </c>
      <c r="C1365" s="39">
        <v>46045.0</v>
      </c>
      <c r="D1365" s="33" t="s">
        <v>479</v>
      </c>
      <c r="E1365" s="40">
        <v>20.11</v>
      </c>
      <c r="F1365" s="40">
        <v>0.25</v>
      </c>
      <c r="G1365" s="33" t="s">
        <v>442</v>
      </c>
    </row>
    <row r="1366" ht="15.75" customHeight="1">
      <c r="A1366" s="33" t="s">
        <v>5195</v>
      </c>
      <c r="B1366" s="33" t="s">
        <v>326</v>
      </c>
      <c r="C1366" s="39">
        <v>45960.0</v>
      </c>
      <c r="D1366" s="33" t="s">
        <v>440</v>
      </c>
      <c r="E1366" s="40">
        <v>138.46</v>
      </c>
      <c r="F1366" s="40">
        <v>0.0</v>
      </c>
      <c r="G1366" s="33" t="s">
        <v>450</v>
      </c>
    </row>
    <row r="1367" ht="15.75" customHeight="1">
      <c r="A1367" s="33" t="s">
        <v>5197</v>
      </c>
      <c r="B1367" s="33" t="s">
        <v>1703</v>
      </c>
      <c r="C1367" s="39">
        <v>46242.0</v>
      </c>
      <c r="D1367" s="33" t="s">
        <v>440</v>
      </c>
      <c r="E1367" s="40">
        <v>36.93</v>
      </c>
      <c r="F1367" s="40">
        <v>0.0</v>
      </c>
      <c r="G1367" s="33" t="s">
        <v>450</v>
      </c>
    </row>
    <row r="1368" ht="15.75" customHeight="1">
      <c r="A1368" s="33" t="s">
        <v>5198</v>
      </c>
      <c r="B1368" s="33" t="s">
        <v>3195</v>
      </c>
      <c r="C1368" s="39">
        <v>45840.0</v>
      </c>
      <c r="D1368" s="33" t="s">
        <v>435</v>
      </c>
      <c r="E1368" s="40">
        <v>47.06</v>
      </c>
      <c r="F1368" s="40">
        <v>0.0</v>
      </c>
      <c r="G1368" s="33" t="s">
        <v>450</v>
      </c>
    </row>
    <row r="1369" ht="15.75" customHeight="1">
      <c r="A1369" s="33" t="s">
        <v>5199</v>
      </c>
      <c r="B1369" s="33" t="s">
        <v>337</v>
      </c>
      <c r="C1369" s="39">
        <v>45957.0</v>
      </c>
      <c r="D1369" s="33" t="s">
        <v>479</v>
      </c>
      <c r="E1369" s="40">
        <v>156.39</v>
      </c>
      <c r="F1369" s="40">
        <v>2.35</v>
      </c>
      <c r="G1369" s="33" t="s">
        <v>450</v>
      </c>
    </row>
    <row r="1370" ht="15.75" customHeight="1">
      <c r="A1370" s="33" t="s">
        <v>5201</v>
      </c>
      <c r="B1370" s="33" t="s">
        <v>1451</v>
      </c>
      <c r="C1370" s="39">
        <v>45707.0</v>
      </c>
      <c r="D1370" s="33" t="s">
        <v>461</v>
      </c>
      <c r="E1370" s="40">
        <v>62.46</v>
      </c>
      <c r="F1370" s="40">
        <v>0.92</v>
      </c>
      <c r="G1370" s="33" t="s">
        <v>450</v>
      </c>
    </row>
    <row r="1371" ht="15.75" customHeight="1">
      <c r="A1371" s="33" t="s">
        <v>5202</v>
      </c>
      <c r="B1371" s="33" t="s">
        <v>801</v>
      </c>
      <c r="C1371" s="39">
        <v>46214.0</v>
      </c>
      <c r="D1371" s="33" t="s">
        <v>440</v>
      </c>
      <c r="E1371" s="40">
        <v>18.72</v>
      </c>
      <c r="F1371" s="40">
        <v>0.0</v>
      </c>
      <c r="G1371" s="33" t="s">
        <v>450</v>
      </c>
    </row>
    <row r="1372" ht="15.75" customHeight="1">
      <c r="A1372" s="33" t="s">
        <v>5203</v>
      </c>
      <c r="B1372" s="33" t="s">
        <v>371</v>
      </c>
      <c r="C1372" s="39">
        <v>46164.0</v>
      </c>
      <c r="D1372" s="33" t="s">
        <v>479</v>
      </c>
      <c r="E1372" s="40">
        <v>29.08</v>
      </c>
      <c r="F1372" s="40">
        <v>0.33</v>
      </c>
      <c r="G1372" s="33" t="s">
        <v>450</v>
      </c>
    </row>
    <row r="1373" ht="15.75" customHeight="1">
      <c r="A1373" s="33" t="s">
        <v>5204</v>
      </c>
      <c r="B1373" s="33" t="s">
        <v>1318</v>
      </c>
      <c r="C1373" s="39">
        <v>45873.0</v>
      </c>
      <c r="D1373" s="33" t="s">
        <v>428</v>
      </c>
      <c r="E1373" s="40">
        <v>83.97</v>
      </c>
      <c r="F1373" s="40">
        <v>0.0</v>
      </c>
      <c r="G1373" s="33" t="s">
        <v>450</v>
      </c>
    </row>
    <row r="1374" ht="15.75" customHeight="1">
      <c r="A1374" s="33" t="s">
        <v>5206</v>
      </c>
      <c r="B1374" s="33" t="s">
        <v>879</v>
      </c>
      <c r="C1374" s="39">
        <v>45937.0</v>
      </c>
      <c r="D1374" s="33" t="s">
        <v>440</v>
      </c>
      <c r="E1374" s="40">
        <v>60.83</v>
      </c>
      <c r="F1374" s="40">
        <v>0.0</v>
      </c>
      <c r="G1374" s="33" t="s">
        <v>450</v>
      </c>
    </row>
    <row r="1375" ht="15.75" customHeight="1">
      <c r="A1375" s="33" t="s">
        <v>5207</v>
      </c>
      <c r="B1375" s="33" t="s">
        <v>804</v>
      </c>
      <c r="C1375" s="39">
        <v>46178.0</v>
      </c>
      <c r="D1375" s="33" t="s">
        <v>440</v>
      </c>
      <c r="E1375" s="40">
        <v>59.93</v>
      </c>
      <c r="F1375" s="40">
        <v>0.0</v>
      </c>
      <c r="G1375" s="33" t="s">
        <v>450</v>
      </c>
    </row>
    <row r="1376" ht="15.75" customHeight="1">
      <c r="A1376" s="33" t="s">
        <v>5208</v>
      </c>
      <c r="B1376" s="33" t="s">
        <v>4153</v>
      </c>
      <c r="C1376" s="39">
        <v>45837.0</v>
      </c>
      <c r="D1376" s="33" t="s">
        <v>435</v>
      </c>
      <c r="E1376" s="40">
        <v>118.06</v>
      </c>
      <c r="F1376" s="40">
        <v>0.0</v>
      </c>
      <c r="G1376" s="33" t="s">
        <v>442</v>
      </c>
    </row>
    <row r="1377" ht="15.75" customHeight="1">
      <c r="A1377" s="33" t="s">
        <v>5210</v>
      </c>
      <c r="B1377" s="33" t="s">
        <v>2589</v>
      </c>
      <c r="C1377" s="39">
        <v>45801.0</v>
      </c>
      <c r="D1377" s="33" t="s">
        <v>479</v>
      </c>
      <c r="E1377" s="40">
        <v>103.23</v>
      </c>
      <c r="F1377" s="40">
        <v>1.82</v>
      </c>
      <c r="G1377" s="33" t="s">
        <v>442</v>
      </c>
    </row>
    <row r="1378" ht="15.75" customHeight="1">
      <c r="A1378" s="33" t="s">
        <v>5211</v>
      </c>
      <c r="B1378" s="33" t="s">
        <v>294</v>
      </c>
      <c r="C1378" s="39">
        <v>45804.0</v>
      </c>
      <c r="D1378" s="33" t="s">
        <v>440</v>
      </c>
      <c r="E1378" s="40">
        <v>64.34</v>
      </c>
      <c r="F1378" s="40">
        <v>0.0</v>
      </c>
      <c r="G1378" s="33" t="s">
        <v>450</v>
      </c>
    </row>
    <row r="1379" ht="15.75" customHeight="1">
      <c r="A1379" s="33" t="s">
        <v>5212</v>
      </c>
      <c r="B1379" s="33" t="s">
        <v>1259</v>
      </c>
      <c r="C1379" s="39">
        <v>46087.0</v>
      </c>
      <c r="D1379" s="33" t="s">
        <v>428</v>
      </c>
      <c r="E1379" s="40">
        <v>151.4</v>
      </c>
      <c r="F1379" s="40">
        <v>0.0</v>
      </c>
      <c r="G1379" s="33" t="s">
        <v>450</v>
      </c>
    </row>
    <row r="1380" ht="15.75" customHeight="1">
      <c r="A1380" s="33" t="s">
        <v>5214</v>
      </c>
      <c r="B1380" s="33" t="s">
        <v>4287</v>
      </c>
      <c r="C1380" s="39">
        <v>45786.0</v>
      </c>
      <c r="D1380" s="33" t="s">
        <v>440</v>
      </c>
      <c r="E1380" s="40">
        <v>118.78</v>
      </c>
      <c r="F1380" s="40">
        <v>0.0</v>
      </c>
      <c r="G1380" s="33" t="s">
        <v>450</v>
      </c>
    </row>
    <row r="1381" ht="15.75" customHeight="1">
      <c r="A1381" s="33" t="s">
        <v>5215</v>
      </c>
      <c r="B1381" s="33" t="s">
        <v>1616</v>
      </c>
      <c r="C1381" s="39">
        <v>45711.0</v>
      </c>
      <c r="D1381" s="33" t="s">
        <v>461</v>
      </c>
      <c r="E1381" s="40">
        <v>98.79</v>
      </c>
      <c r="F1381" s="40">
        <v>1.81</v>
      </c>
      <c r="G1381" s="33" t="s">
        <v>450</v>
      </c>
    </row>
    <row r="1382" ht="15.75" customHeight="1">
      <c r="A1382" s="33" t="s">
        <v>5216</v>
      </c>
      <c r="B1382" s="33" t="s">
        <v>1605</v>
      </c>
      <c r="C1382" s="39">
        <v>45758.0</v>
      </c>
      <c r="D1382" s="33" t="s">
        <v>435</v>
      </c>
      <c r="E1382" s="40">
        <v>53.33</v>
      </c>
      <c r="F1382" s="40">
        <v>0.0</v>
      </c>
      <c r="G1382" s="33" t="s">
        <v>442</v>
      </c>
    </row>
    <row r="1383" ht="15.75" customHeight="1">
      <c r="A1383" s="33" t="s">
        <v>5218</v>
      </c>
      <c r="B1383" s="33" t="s">
        <v>1722</v>
      </c>
      <c r="C1383" s="39">
        <v>46256.0</v>
      </c>
      <c r="D1383" s="33" t="s">
        <v>440</v>
      </c>
      <c r="E1383" s="40">
        <v>168.06</v>
      </c>
      <c r="F1383" s="40">
        <v>0.0</v>
      </c>
      <c r="G1383" s="33" t="s">
        <v>450</v>
      </c>
    </row>
    <row r="1384" ht="15.75" customHeight="1">
      <c r="A1384" s="33" t="s">
        <v>5219</v>
      </c>
      <c r="B1384" s="33" t="s">
        <v>460</v>
      </c>
      <c r="C1384" s="39">
        <v>46187.0</v>
      </c>
      <c r="D1384" s="33" t="s">
        <v>435</v>
      </c>
      <c r="E1384" s="40">
        <v>59.36</v>
      </c>
      <c r="F1384" s="40">
        <v>0.0</v>
      </c>
      <c r="G1384" s="33" t="s">
        <v>450</v>
      </c>
    </row>
    <row r="1385" ht="15.75" customHeight="1">
      <c r="A1385" s="33" t="s">
        <v>5220</v>
      </c>
      <c r="B1385" s="33" t="s">
        <v>1294</v>
      </c>
      <c r="C1385" s="39">
        <v>46237.0</v>
      </c>
      <c r="D1385" s="33" t="s">
        <v>479</v>
      </c>
      <c r="E1385" s="40">
        <v>63.76</v>
      </c>
      <c r="F1385" s="40">
        <v>0.88</v>
      </c>
      <c r="G1385" s="33" t="s">
        <v>431</v>
      </c>
    </row>
    <row r="1386" ht="15.75" customHeight="1">
      <c r="A1386" s="33" t="s">
        <v>5221</v>
      </c>
      <c r="B1386" s="33" t="s">
        <v>642</v>
      </c>
      <c r="C1386" s="39">
        <v>45826.0</v>
      </c>
      <c r="D1386" s="33" t="s">
        <v>435</v>
      </c>
      <c r="E1386" s="40">
        <v>226.41</v>
      </c>
      <c r="F1386" s="40">
        <v>0.0</v>
      </c>
      <c r="G1386" s="33" t="s">
        <v>431</v>
      </c>
    </row>
    <row r="1387" ht="15.75" customHeight="1">
      <c r="A1387" s="33" t="s">
        <v>5223</v>
      </c>
      <c r="B1387" s="33" t="s">
        <v>1067</v>
      </c>
      <c r="C1387" s="39">
        <v>45926.0</v>
      </c>
      <c r="D1387" s="33" t="s">
        <v>435</v>
      </c>
      <c r="E1387" s="40">
        <v>38.72</v>
      </c>
      <c r="F1387" s="40">
        <v>0.0</v>
      </c>
      <c r="G1387" s="33" t="s">
        <v>431</v>
      </c>
    </row>
    <row r="1388" ht="15.75" customHeight="1">
      <c r="A1388" s="33" t="s">
        <v>5224</v>
      </c>
      <c r="B1388" s="33" t="s">
        <v>1908</v>
      </c>
      <c r="C1388" s="39">
        <v>45955.0</v>
      </c>
      <c r="D1388" s="33" t="s">
        <v>479</v>
      </c>
      <c r="E1388" s="40">
        <v>38.26</v>
      </c>
      <c r="F1388" s="40">
        <v>0.71</v>
      </c>
      <c r="G1388" s="33" t="s">
        <v>431</v>
      </c>
    </row>
    <row r="1389" ht="15.75" customHeight="1">
      <c r="A1389" s="33" t="s">
        <v>5226</v>
      </c>
      <c r="B1389" s="33" t="s">
        <v>481</v>
      </c>
      <c r="C1389" s="39">
        <v>45976.0</v>
      </c>
      <c r="D1389" s="33" t="s">
        <v>479</v>
      </c>
      <c r="E1389" s="40">
        <v>65.73</v>
      </c>
      <c r="F1389" s="40">
        <v>0.74</v>
      </c>
      <c r="G1389" s="33" t="s">
        <v>450</v>
      </c>
    </row>
    <row r="1390" ht="15.75" customHeight="1">
      <c r="A1390" s="33" t="s">
        <v>5228</v>
      </c>
      <c r="B1390" s="33" t="s">
        <v>1216</v>
      </c>
      <c r="C1390" s="39">
        <v>45674.0</v>
      </c>
      <c r="D1390" s="33" t="s">
        <v>440</v>
      </c>
      <c r="E1390" s="40">
        <v>31.7</v>
      </c>
      <c r="F1390" s="40">
        <v>0.0</v>
      </c>
      <c r="G1390" s="33" t="s">
        <v>431</v>
      </c>
    </row>
    <row r="1391" ht="15.75" customHeight="1">
      <c r="A1391" s="33" t="s">
        <v>5229</v>
      </c>
      <c r="B1391" s="33" t="s">
        <v>1789</v>
      </c>
      <c r="C1391" s="39">
        <v>46020.0</v>
      </c>
      <c r="D1391" s="33" t="s">
        <v>479</v>
      </c>
      <c r="E1391" s="40">
        <v>32.46</v>
      </c>
      <c r="F1391" s="40">
        <v>0.37</v>
      </c>
      <c r="G1391" s="33" t="s">
        <v>442</v>
      </c>
    </row>
    <row r="1392" ht="15.75" customHeight="1">
      <c r="A1392" s="33" t="s">
        <v>5231</v>
      </c>
      <c r="B1392" s="33" t="s">
        <v>448</v>
      </c>
      <c r="C1392" s="39">
        <v>45681.0</v>
      </c>
      <c r="D1392" s="33" t="s">
        <v>479</v>
      </c>
      <c r="E1392" s="40">
        <v>222.05</v>
      </c>
      <c r="F1392" s="40">
        <v>3.55</v>
      </c>
      <c r="G1392" s="33" t="s">
        <v>431</v>
      </c>
    </row>
    <row r="1393" ht="15.75" customHeight="1">
      <c r="A1393" s="33" t="s">
        <v>5232</v>
      </c>
      <c r="B1393" s="33" t="s">
        <v>2259</v>
      </c>
      <c r="C1393" s="39">
        <v>45824.0</v>
      </c>
      <c r="D1393" s="33" t="s">
        <v>461</v>
      </c>
      <c r="E1393" s="40">
        <v>64.9</v>
      </c>
      <c r="F1393" s="40">
        <v>0.79</v>
      </c>
      <c r="G1393" s="33" t="s">
        <v>450</v>
      </c>
    </row>
    <row r="1394" ht="15.75" customHeight="1">
      <c r="A1394" s="33" t="s">
        <v>5234</v>
      </c>
      <c r="B1394" s="33" t="s">
        <v>2953</v>
      </c>
      <c r="C1394" s="39">
        <v>45835.0</v>
      </c>
      <c r="D1394" s="33" t="s">
        <v>479</v>
      </c>
      <c r="E1394" s="40">
        <v>101.19</v>
      </c>
      <c r="F1394" s="40">
        <v>1.62</v>
      </c>
      <c r="G1394" s="33" t="s">
        <v>450</v>
      </c>
    </row>
    <row r="1395" ht="15.75" customHeight="1">
      <c r="A1395" s="33" t="s">
        <v>5235</v>
      </c>
      <c r="B1395" s="33" t="s">
        <v>297</v>
      </c>
      <c r="C1395" s="39">
        <v>46067.0</v>
      </c>
      <c r="D1395" s="33" t="s">
        <v>428</v>
      </c>
      <c r="E1395" s="40">
        <v>22.08</v>
      </c>
      <c r="F1395" s="40">
        <v>0.0</v>
      </c>
      <c r="G1395" s="33" t="s">
        <v>450</v>
      </c>
    </row>
    <row r="1396" ht="15.75" customHeight="1">
      <c r="A1396" s="33" t="s">
        <v>5237</v>
      </c>
      <c r="B1396" s="33" t="s">
        <v>350</v>
      </c>
      <c r="C1396" s="39">
        <v>46202.0</v>
      </c>
      <c r="D1396" s="33" t="s">
        <v>440</v>
      </c>
      <c r="E1396" s="40">
        <v>35.85</v>
      </c>
      <c r="F1396" s="40">
        <v>0.0</v>
      </c>
      <c r="G1396" s="33" t="s">
        <v>431</v>
      </c>
    </row>
    <row r="1397" ht="15.75" customHeight="1">
      <c r="A1397" s="33" t="s">
        <v>5238</v>
      </c>
      <c r="B1397" s="33" t="s">
        <v>2116</v>
      </c>
      <c r="C1397" s="39">
        <v>46082.0</v>
      </c>
      <c r="D1397" s="33" t="s">
        <v>435</v>
      </c>
      <c r="E1397" s="40">
        <v>242.67</v>
      </c>
      <c r="F1397" s="40">
        <v>0.0</v>
      </c>
      <c r="G1397" s="33" t="s">
        <v>450</v>
      </c>
    </row>
    <row r="1398" ht="15.75" customHeight="1">
      <c r="A1398" s="33" t="s">
        <v>5239</v>
      </c>
      <c r="B1398" s="33" t="s">
        <v>312</v>
      </c>
      <c r="C1398" s="39">
        <v>45922.0</v>
      </c>
      <c r="D1398" s="33" t="s">
        <v>479</v>
      </c>
      <c r="E1398" s="40">
        <v>31.98</v>
      </c>
      <c r="F1398" s="40">
        <v>0.41</v>
      </c>
      <c r="G1398" s="33" t="s">
        <v>450</v>
      </c>
    </row>
    <row r="1399" ht="15.75" customHeight="1">
      <c r="A1399" s="33" t="s">
        <v>5240</v>
      </c>
      <c r="B1399" s="33" t="s">
        <v>3613</v>
      </c>
      <c r="C1399" s="39">
        <v>45976.0</v>
      </c>
      <c r="D1399" s="33" t="s">
        <v>435</v>
      </c>
      <c r="E1399" s="40">
        <v>103.5</v>
      </c>
      <c r="F1399" s="40">
        <v>0.0</v>
      </c>
      <c r="G1399" s="33" t="s">
        <v>442</v>
      </c>
    </row>
    <row r="1400" ht="15.75" customHeight="1">
      <c r="A1400" s="33" t="s">
        <v>5241</v>
      </c>
      <c r="B1400" s="33" t="s">
        <v>4153</v>
      </c>
      <c r="C1400" s="39">
        <v>45969.0</v>
      </c>
      <c r="D1400" s="33" t="s">
        <v>461</v>
      </c>
      <c r="E1400" s="40">
        <v>3.15</v>
      </c>
      <c r="F1400" s="40">
        <v>0.05</v>
      </c>
      <c r="G1400" s="33" t="s">
        <v>442</v>
      </c>
    </row>
    <row r="1401" ht="15.75" customHeight="1">
      <c r="A1401" s="33" t="s">
        <v>5242</v>
      </c>
      <c r="B1401" s="33" t="s">
        <v>1884</v>
      </c>
      <c r="C1401" s="39">
        <v>45747.0</v>
      </c>
      <c r="D1401" s="33" t="s">
        <v>440</v>
      </c>
      <c r="E1401" s="40">
        <v>20.45</v>
      </c>
      <c r="F1401" s="40">
        <v>0.0</v>
      </c>
      <c r="G1401" s="33" t="s">
        <v>431</v>
      </c>
    </row>
    <row r="1402" ht="15.75" customHeight="1">
      <c r="A1402" s="33" t="s">
        <v>5244</v>
      </c>
      <c r="B1402" s="33" t="s">
        <v>504</v>
      </c>
      <c r="C1402" s="39">
        <v>46239.0</v>
      </c>
      <c r="D1402" s="33" t="s">
        <v>440</v>
      </c>
      <c r="E1402" s="40">
        <v>64.08</v>
      </c>
      <c r="F1402" s="40">
        <v>0.0</v>
      </c>
      <c r="G1402" s="33" t="s">
        <v>450</v>
      </c>
    </row>
    <row r="1403" ht="15.75" customHeight="1">
      <c r="A1403" s="33" t="s">
        <v>5246</v>
      </c>
      <c r="B1403" s="33" t="s">
        <v>444</v>
      </c>
      <c r="C1403" s="39">
        <v>46215.0</v>
      </c>
      <c r="D1403" s="33" t="s">
        <v>479</v>
      </c>
      <c r="E1403" s="40">
        <v>148.22</v>
      </c>
      <c r="F1403" s="40">
        <v>2.13</v>
      </c>
      <c r="G1403" s="33" t="s">
        <v>442</v>
      </c>
    </row>
    <row r="1404" ht="15.75" customHeight="1">
      <c r="A1404" s="33" t="s">
        <v>5247</v>
      </c>
      <c r="B1404" s="33" t="s">
        <v>1266</v>
      </c>
      <c r="C1404" s="39">
        <v>45803.0</v>
      </c>
      <c r="D1404" s="33" t="s">
        <v>435</v>
      </c>
      <c r="E1404" s="40">
        <v>80.48</v>
      </c>
      <c r="F1404" s="40">
        <v>0.0</v>
      </c>
      <c r="G1404" s="33" t="s">
        <v>442</v>
      </c>
    </row>
    <row r="1405" ht="15.75" customHeight="1">
      <c r="A1405" s="33" t="s">
        <v>5249</v>
      </c>
      <c r="B1405" s="33" t="s">
        <v>1127</v>
      </c>
      <c r="C1405" s="39">
        <v>45727.0</v>
      </c>
      <c r="D1405" s="33" t="s">
        <v>440</v>
      </c>
      <c r="E1405" s="40">
        <v>68.64</v>
      </c>
      <c r="F1405" s="40">
        <v>0.0</v>
      </c>
      <c r="G1405" s="33" t="s">
        <v>442</v>
      </c>
    </row>
    <row r="1406" ht="15.75" customHeight="1">
      <c r="A1406" s="33" t="s">
        <v>5250</v>
      </c>
      <c r="B1406" s="33" t="s">
        <v>287</v>
      </c>
      <c r="C1406" s="39">
        <v>45758.0</v>
      </c>
      <c r="D1406" s="33" t="s">
        <v>428</v>
      </c>
      <c r="E1406" s="40">
        <v>125.61</v>
      </c>
      <c r="F1406" s="40">
        <v>0.0</v>
      </c>
      <c r="G1406" s="33" t="s">
        <v>450</v>
      </c>
    </row>
    <row r="1407" ht="15.75" customHeight="1">
      <c r="A1407" s="33" t="s">
        <v>5251</v>
      </c>
      <c r="B1407" s="33" t="s">
        <v>1742</v>
      </c>
      <c r="C1407" s="39">
        <v>46039.0</v>
      </c>
      <c r="D1407" s="33" t="s">
        <v>461</v>
      </c>
      <c r="E1407" s="40">
        <v>93.2</v>
      </c>
      <c r="F1407" s="40">
        <v>1.04</v>
      </c>
      <c r="G1407" s="33" t="s">
        <v>450</v>
      </c>
    </row>
    <row r="1408" ht="15.75" customHeight="1">
      <c r="A1408" s="33" t="s">
        <v>5252</v>
      </c>
      <c r="B1408" s="33" t="s">
        <v>4287</v>
      </c>
      <c r="C1408" s="39">
        <v>45675.0</v>
      </c>
      <c r="D1408" s="33" t="s">
        <v>479</v>
      </c>
      <c r="E1408" s="40">
        <v>15.22</v>
      </c>
      <c r="F1408" s="40">
        <v>0.08</v>
      </c>
      <c r="G1408" s="33" t="s">
        <v>450</v>
      </c>
    </row>
    <row r="1409" ht="15.75" customHeight="1">
      <c r="A1409" s="33" t="s">
        <v>5253</v>
      </c>
      <c r="B1409" s="33" t="s">
        <v>527</v>
      </c>
      <c r="C1409" s="39">
        <v>45720.0</v>
      </c>
      <c r="D1409" s="33" t="s">
        <v>479</v>
      </c>
      <c r="E1409" s="40">
        <v>76.55</v>
      </c>
      <c r="F1409" s="40">
        <v>1.23</v>
      </c>
      <c r="G1409" s="33" t="s">
        <v>431</v>
      </c>
    </row>
    <row r="1410" ht="15.75" customHeight="1">
      <c r="A1410" s="33" t="s">
        <v>5254</v>
      </c>
      <c r="B1410" s="33" t="s">
        <v>1669</v>
      </c>
      <c r="C1410" s="39">
        <v>46051.0</v>
      </c>
      <c r="D1410" s="33" t="s">
        <v>479</v>
      </c>
      <c r="E1410" s="40">
        <v>54.27</v>
      </c>
      <c r="F1410" s="40">
        <v>0.75</v>
      </c>
      <c r="G1410" s="33" t="s">
        <v>450</v>
      </c>
    </row>
    <row r="1411" ht="15.75" customHeight="1">
      <c r="A1411" s="33" t="s">
        <v>5256</v>
      </c>
      <c r="B1411" s="33" t="s">
        <v>1207</v>
      </c>
      <c r="C1411" s="39">
        <v>45746.0</v>
      </c>
      <c r="D1411" s="33" t="s">
        <v>428</v>
      </c>
      <c r="E1411" s="40">
        <v>66.67</v>
      </c>
      <c r="F1411" s="40">
        <v>0.0</v>
      </c>
      <c r="G1411" s="33" t="s">
        <v>450</v>
      </c>
    </row>
    <row r="1412" ht="15.75" customHeight="1">
      <c r="A1412" s="33" t="s">
        <v>5258</v>
      </c>
      <c r="B1412" s="33" t="s">
        <v>863</v>
      </c>
      <c r="C1412" s="39">
        <v>45699.0</v>
      </c>
      <c r="D1412" s="33" t="s">
        <v>428</v>
      </c>
      <c r="E1412" s="40">
        <v>53.0</v>
      </c>
      <c r="F1412" s="40">
        <v>0.0</v>
      </c>
      <c r="G1412" s="33" t="s">
        <v>431</v>
      </c>
    </row>
    <row r="1413" ht="15.75" customHeight="1">
      <c r="A1413" s="33" t="s">
        <v>5260</v>
      </c>
      <c r="B1413" s="33" t="s">
        <v>2308</v>
      </c>
      <c r="C1413" s="39">
        <v>45670.0</v>
      </c>
      <c r="D1413" s="33" t="s">
        <v>479</v>
      </c>
      <c r="E1413" s="40">
        <v>77.33</v>
      </c>
      <c r="F1413" s="40">
        <v>1.1</v>
      </c>
      <c r="G1413" s="33" t="s">
        <v>431</v>
      </c>
    </row>
    <row r="1414" ht="15.75" customHeight="1">
      <c r="A1414" s="33" t="s">
        <v>5262</v>
      </c>
      <c r="B1414" s="33" t="s">
        <v>2497</v>
      </c>
      <c r="C1414" s="39">
        <v>46086.0</v>
      </c>
      <c r="D1414" s="33" t="s">
        <v>428</v>
      </c>
      <c r="E1414" s="40">
        <v>106.07</v>
      </c>
      <c r="F1414" s="40">
        <v>0.0</v>
      </c>
      <c r="G1414" s="33" t="s">
        <v>450</v>
      </c>
    </row>
    <row r="1415" ht="15.75" customHeight="1">
      <c r="A1415" s="33" t="s">
        <v>5263</v>
      </c>
      <c r="B1415" s="33" t="s">
        <v>1092</v>
      </c>
      <c r="C1415" s="39">
        <v>45878.0</v>
      </c>
      <c r="D1415" s="33" t="s">
        <v>435</v>
      </c>
      <c r="E1415" s="40">
        <v>24.85</v>
      </c>
      <c r="F1415" s="40">
        <v>0.0</v>
      </c>
      <c r="G1415" s="33" t="s">
        <v>450</v>
      </c>
    </row>
    <row r="1416" ht="15.75" customHeight="1">
      <c r="A1416" s="33" t="s">
        <v>5264</v>
      </c>
      <c r="B1416" s="33" t="s">
        <v>815</v>
      </c>
      <c r="C1416" s="39">
        <v>45830.0</v>
      </c>
      <c r="D1416" s="33" t="s">
        <v>440</v>
      </c>
      <c r="E1416" s="40">
        <v>44.33</v>
      </c>
      <c r="F1416" s="40">
        <v>0.0</v>
      </c>
      <c r="G1416" s="33" t="s">
        <v>450</v>
      </c>
    </row>
    <row r="1417" ht="15.75" customHeight="1">
      <c r="A1417" s="33" t="s">
        <v>5265</v>
      </c>
      <c r="B1417" s="33" t="s">
        <v>1025</v>
      </c>
      <c r="C1417" s="39">
        <v>46046.0</v>
      </c>
      <c r="D1417" s="33" t="s">
        <v>440</v>
      </c>
      <c r="E1417" s="40">
        <v>122.75</v>
      </c>
      <c r="F1417" s="40">
        <v>0.0</v>
      </c>
      <c r="G1417" s="33" t="s">
        <v>450</v>
      </c>
    </row>
    <row r="1418" ht="15.75" customHeight="1">
      <c r="A1418" s="33" t="s">
        <v>5267</v>
      </c>
      <c r="B1418" s="33" t="s">
        <v>2723</v>
      </c>
      <c r="C1418" s="39">
        <v>45761.0</v>
      </c>
      <c r="D1418" s="33" t="s">
        <v>461</v>
      </c>
      <c r="E1418" s="40">
        <v>133.78</v>
      </c>
      <c r="F1418" s="40">
        <v>0.82</v>
      </c>
      <c r="G1418" s="33" t="s">
        <v>450</v>
      </c>
    </row>
    <row r="1419" ht="15.75" customHeight="1">
      <c r="A1419" s="33" t="s">
        <v>5268</v>
      </c>
      <c r="B1419" s="33" t="s">
        <v>2676</v>
      </c>
      <c r="C1419" s="39">
        <v>45974.0</v>
      </c>
      <c r="D1419" s="33" t="s">
        <v>461</v>
      </c>
      <c r="E1419" s="40">
        <v>201.19</v>
      </c>
      <c r="F1419" s="40">
        <v>2.86</v>
      </c>
      <c r="G1419" s="33" t="s">
        <v>450</v>
      </c>
    </row>
    <row r="1420" ht="15.75" customHeight="1">
      <c r="A1420" s="33" t="s">
        <v>5269</v>
      </c>
      <c r="B1420" s="33" t="s">
        <v>497</v>
      </c>
      <c r="C1420" s="39">
        <v>45951.0</v>
      </c>
      <c r="D1420" s="33" t="s">
        <v>479</v>
      </c>
      <c r="E1420" s="40">
        <v>81.71</v>
      </c>
      <c r="F1420" s="40">
        <v>0.86</v>
      </c>
      <c r="G1420" s="33" t="s">
        <v>431</v>
      </c>
    </row>
    <row r="1421" ht="15.75" customHeight="1">
      <c r="A1421" s="33" t="s">
        <v>5271</v>
      </c>
      <c r="B1421" s="33" t="s">
        <v>1157</v>
      </c>
      <c r="C1421" s="39">
        <v>46067.0</v>
      </c>
      <c r="D1421" s="33" t="s">
        <v>440</v>
      </c>
      <c r="E1421" s="40">
        <v>42.19</v>
      </c>
      <c r="F1421" s="40">
        <v>0.0</v>
      </c>
      <c r="G1421" s="33" t="s">
        <v>450</v>
      </c>
    </row>
    <row r="1422" ht="15.75" customHeight="1">
      <c r="A1422" s="33" t="s">
        <v>5273</v>
      </c>
      <c r="B1422" s="33" t="s">
        <v>848</v>
      </c>
      <c r="C1422" s="39">
        <v>46036.0</v>
      </c>
      <c r="D1422" s="33" t="s">
        <v>479</v>
      </c>
      <c r="E1422" s="40">
        <v>44.99</v>
      </c>
      <c r="F1422" s="40">
        <v>0.86</v>
      </c>
      <c r="G1422" s="33" t="s">
        <v>442</v>
      </c>
    </row>
    <row r="1423" ht="15.75" customHeight="1">
      <c r="A1423" s="33" t="s">
        <v>5274</v>
      </c>
      <c r="B1423" s="33" t="s">
        <v>2169</v>
      </c>
      <c r="C1423" s="39">
        <v>46067.0</v>
      </c>
      <c r="D1423" s="33" t="s">
        <v>440</v>
      </c>
      <c r="E1423" s="40">
        <v>79.76</v>
      </c>
      <c r="F1423" s="40">
        <v>0.0</v>
      </c>
      <c r="G1423" s="33" t="s">
        <v>450</v>
      </c>
    </row>
    <row r="1424" ht="15.75" customHeight="1">
      <c r="A1424" s="33" t="s">
        <v>5275</v>
      </c>
      <c r="B1424" s="33" t="s">
        <v>1198</v>
      </c>
      <c r="C1424" s="39">
        <v>45787.0</v>
      </c>
      <c r="D1424" s="33" t="s">
        <v>479</v>
      </c>
      <c r="E1424" s="40">
        <v>35.74</v>
      </c>
      <c r="F1424" s="40">
        <v>0.28</v>
      </c>
      <c r="G1424" s="33" t="s">
        <v>450</v>
      </c>
    </row>
    <row r="1425" ht="15.75" customHeight="1">
      <c r="A1425" s="33" t="s">
        <v>5276</v>
      </c>
      <c r="B1425" s="33" t="s">
        <v>2197</v>
      </c>
      <c r="C1425" s="39">
        <v>45743.0</v>
      </c>
      <c r="D1425" s="33" t="s">
        <v>440</v>
      </c>
      <c r="E1425" s="40">
        <v>191.96</v>
      </c>
      <c r="F1425" s="40">
        <v>0.0</v>
      </c>
      <c r="G1425" s="33" t="s">
        <v>442</v>
      </c>
    </row>
    <row r="1426" ht="15.75" customHeight="1">
      <c r="A1426" s="33" t="s">
        <v>5278</v>
      </c>
      <c r="B1426" s="33" t="s">
        <v>697</v>
      </c>
      <c r="C1426" s="39">
        <v>45982.0</v>
      </c>
      <c r="D1426" s="33" t="s">
        <v>428</v>
      </c>
      <c r="E1426" s="40">
        <v>52.71</v>
      </c>
      <c r="F1426" s="40">
        <v>0.0</v>
      </c>
      <c r="G1426" s="33" t="s">
        <v>450</v>
      </c>
    </row>
    <row r="1427" ht="15.75" customHeight="1">
      <c r="A1427" s="33" t="s">
        <v>5279</v>
      </c>
      <c r="B1427" s="33" t="s">
        <v>750</v>
      </c>
      <c r="C1427" s="39">
        <v>45692.0</v>
      </c>
      <c r="D1427" s="33" t="s">
        <v>461</v>
      </c>
      <c r="E1427" s="40">
        <v>174.04</v>
      </c>
      <c r="F1427" s="40">
        <v>1.31</v>
      </c>
      <c r="G1427" s="33" t="s">
        <v>442</v>
      </c>
    </row>
    <row r="1428" ht="15.75" customHeight="1">
      <c r="A1428" s="33" t="s">
        <v>5281</v>
      </c>
      <c r="B1428" s="33" t="s">
        <v>838</v>
      </c>
      <c r="C1428" s="39">
        <v>45933.0</v>
      </c>
      <c r="D1428" s="33" t="s">
        <v>435</v>
      </c>
      <c r="E1428" s="40">
        <v>31.67</v>
      </c>
      <c r="F1428" s="40">
        <v>0.0</v>
      </c>
      <c r="G1428" s="33" t="s">
        <v>431</v>
      </c>
    </row>
    <row r="1429" ht="15.75" customHeight="1">
      <c r="A1429" s="33" t="s">
        <v>5282</v>
      </c>
      <c r="B1429" s="33" t="s">
        <v>1505</v>
      </c>
      <c r="C1429" s="39">
        <v>46037.0</v>
      </c>
      <c r="D1429" s="33" t="s">
        <v>428</v>
      </c>
      <c r="E1429" s="40">
        <v>66.88</v>
      </c>
      <c r="F1429" s="40">
        <v>0.0</v>
      </c>
      <c r="G1429" s="33" t="s">
        <v>450</v>
      </c>
    </row>
    <row r="1430" ht="15.75" customHeight="1">
      <c r="A1430" s="33" t="s">
        <v>5283</v>
      </c>
      <c r="B1430" s="33" t="s">
        <v>3055</v>
      </c>
      <c r="C1430" s="39">
        <v>46156.0</v>
      </c>
      <c r="D1430" s="33" t="s">
        <v>461</v>
      </c>
      <c r="E1430" s="40">
        <v>59.2</v>
      </c>
      <c r="F1430" s="40">
        <v>0.66</v>
      </c>
      <c r="G1430" s="33" t="s">
        <v>442</v>
      </c>
    </row>
    <row r="1431" ht="15.75" customHeight="1">
      <c r="A1431" s="33" t="s">
        <v>5284</v>
      </c>
      <c r="B1431" s="33" t="s">
        <v>1329</v>
      </c>
      <c r="C1431" s="39">
        <v>46054.0</v>
      </c>
      <c r="D1431" s="33" t="s">
        <v>440</v>
      </c>
      <c r="E1431" s="40">
        <v>21.46</v>
      </c>
      <c r="F1431" s="40">
        <v>0.0</v>
      </c>
      <c r="G1431" s="33" t="s">
        <v>450</v>
      </c>
    </row>
    <row r="1432" ht="15.75" customHeight="1">
      <c r="A1432" s="33" t="s">
        <v>5286</v>
      </c>
      <c r="B1432" s="33" t="s">
        <v>2669</v>
      </c>
      <c r="C1432" s="39">
        <v>46261.0</v>
      </c>
      <c r="D1432" s="33" t="s">
        <v>479</v>
      </c>
      <c r="E1432" s="40">
        <v>62.89</v>
      </c>
      <c r="F1432" s="40">
        <v>0.82</v>
      </c>
      <c r="G1432" s="33" t="s">
        <v>431</v>
      </c>
    </row>
    <row r="1433" ht="15.75" customHeight="1">
      <c r="A1433" s="33" t="s">
        <v>5288</v>
      </c>
      <c r="B1433" s="33" t="s">
        <v>3177</v>
      </c>
      <c r="C1433" s="39">
        <v>45995.0</v>
      </c>
      <c r="D1433" s="33" t="s">
        <v>435</v>
      </c>
      <c r="E1433" s="40">
        <v>92.95</v>
      </c>
      <c r="F1433" s="40">
        <v>0.0</v>
      </c>
      <c r="G1433" s="33" t="s">
        <v>450</v>
      </c>
    </row>
    <row r="1434" ht="15.75" customHeight="1">
      <c r="A1434" s="33" t="s">
        <v>5289</v>
      </c>
      <c r="B1434" s="33" t="s">
        <v>929</v>
      </c>
      <c r="C1434" s="39">
        <v>45928.0</v>
      </c>
      <c r="D1434" s="33" t="s">
        <v>435</v>
      </c>
      <c r="E1434" s="40">
        <v>7.87</v>
      </c>
      <c r="F1434" s="40">
        <v>0.0</v>
      </c>
      <c r="G1434" s="33" t="s">
        <v>431</v>
      </c>
    </row>
    <row r="1435" ht="15.75" customHeight="1">
      <c r="A1435" s="33" t="s">
        <v>5291</v>
      </c>
      <c r="B1435" s="33" t="s">
        <v>3140</v>
      </c>
      <c r="C1435" s="39">
        <v>45807.0</v>
      </c>
      <c r="D1435" s="33" t="s">
        <v>479</v>
      </c>
      <c r="E1435" s="40">
        <v>113.18</v>
      </c>
      <c r="F1435" s="40">
        <v>2.13</v>
      </c>
      <c r="G1435" s="33" t="s">
        <v>450</v>
      </c>
    </row>
    <row r="1436" ht="15.75" customHeight="1">
      <c r="A1436" s="33" t="s">
        <v>5293</v>
      </c>
      <c r="B1436" s="33" t="s">
        <v>2340</v>
      </c>
      <c r="C1436" s="39">
        <v>46066.0</v>
      </c>
      <c r="D1436" s="33" t="s">
        <v>461</v>
      </c>
      <c r="E1436" s="40">
        <v>98.83</v>
      </c>
      <c r="F1436" s="40">
        <v>0.87</v>
      </c>
      <c r="G1436" s="33" t="s">
        <v>450</v>
      </c>
    </row>
    <row r="1437" ht="15.75" customHeight="1">
      <c r="A1437" s="33" t="s">
        <v>5294</v>
      </c>
      <c r="B1437" s="33" t="s">
        <v>1451</v>
      </c>
      <c r="C1437" s="39">
        <v>46150.0</v>
      </c>
      <c r="D1437" s="33" t="s">
        <v>440</v>
      </c>
      <c r="E1437" s="40">
        <v>75.96</v>
      </c>
      <c r="F1437" s="40">
        <v>0.0</v>
      </c>
      <c r="G1437" s="33" t="s">
        <v>450</v>
      </c>
    </row>
    <row r="1438" ht="15.75" customHeight="1">
      <c r="A1438" s="33" t="s">
        <v>5296</v>
      </c>
      <c r="B1438" s="33" t="s">
        <v>2926</v>
      </c>
      <c r="C1438" s="39">
        <v>45852.0</v>
      </c>
      <c r="D1438" s="33" t="s">
        <v>440</v>
      </c>
      <c r="E1438" s="40">
        <v>129.6</v>
      </c>
      <c r="F1438" s="40">
        <v>0.0</v>
      </c>
      <c r="G1438" s="33" t="s">
        <v>431</v>
      </c>
    </row>
    <row r="1439" ht="15.75" customHeight="1">
      <c r="A1439" s="33" t="s">
        <v>5297</v>
      </c>
      <c r="B1439" s="33" t="s">
        <v>1620</v>
      </c>
      <c r="C1439" s="39">
        <v>45703.0</v>
      </c>
      <c r="D1439" s="33" t="s">
        <v>428</v>
      </c>
      <c r="E1439" s="40">
        <v>135.87</v>
      </c>
      <c r="F1439" s="40">
        <v>0.0</v>
      </c>
      <c r="G1439" s="33" t="s">
        <v>442</v>
      </c>
    </row>
    <row r="1440" ht="15.75" customHeight="1">
      <c r="A1440" s="33" t="s">
        <v>5299</v>
      </c>
      <c r="B1440" s="33" t="s">
        <v>3344</v>
      </c>
      <c r="C1440" s="39">
        <v>45664.0</v>
      </c>
      <c r="D1440" s="33" t="s">
        <v>428</v>
      </c>
      <c r="E1440" s="40">
        <v>383.09</v>
      </c>
      <c r="F1440" s="40">
        <v>0.0</v>
      </c>
      <c r="G1440" s="33" t="s">
        <v>450</v>
      </c>
    </row>
    <row r="1441" ht="15.75" customHeight="1">
      <c r="A1441" s="33" t="s">
        <v>5300</v>
      </c>
      <c r="B1441" s="33" t="s">
        <v>4154</v>
      </c>
      <c r="C1441" s="39">
        <v>46041.0</v>
      </c>
      <c r="D1441" s="33" t="s">
        <v>479</v>
      </c>
      <c r="E1441" s="40">
        <v>20.38</v>
      </c>
      <c r="F1441" s="40">
        <v>0.31</v>
      </c>
      <c r="G1441" s="33" t="s">
        <v>431</v>
      </c>
    </row>
    <row r="1442" ht="15.75" customHeight="1">
      <c r="A1442" s="33" t="s">
        <v>5301</v>
      </c>
      <c r="B1442" s="33" t="s">
        <v>504</v>
      </c>
      <c r="C1442" s="39">
        <v>46060.0</v>
      </c>
      <c r="D1442" s="33" t="s">
        <v>435</v>
      </c>
      <c r="E1442" s="40">
        <v>211.18</v>
      </c>
      <c r="F1442" s="40">
        <v>0.0</v>
      </c>
      <c r="G1442" s="33" t="s">
        <v>442</v>
      </c>
    </row>
    <row r="1443" ht="15.75" customHeight="1">
      <c r="A1443" s="33" t="s">
        <v>5303</v>
      </c>
      <c r="B1443" s="33" t="s">
        <v>815</v>
      </c>
      <c r="C1443" s="39">
        <v>45731.0</v>
      </c>
      <c r="D1443" s="33" t="s">
        <v>461</v>
      </c>
      <c r="E1443" s="40">
        <v>153.39</v>
      </c>
      <c r="F1443" s="40">
        <v>2.79</v>
      </c>
      <c r="G1443" s="33" t="s">
        <v>450</v>
      </c>
    </row>
    <row r="1444" ht="15.75" customHeight="1">
      <c r="A1444" s="33" t="s">
        <v>5304</v>
      </c>
      <c r="B1444" s="33" t="s">
        <v>285</v>
      </c>
      <c r="C1444" s="39">
        <v>45671.0</v>
      </c>
      <c r="D1444" s="33" t="s">
        <v>461</v>
      </c>
      <c r="E1444" s="40">
        <v>98.78</v>
      </c>
      <c r="F1444" s="40">
        <v>1.85</v>
      </c>
      <c r="G1444" s="33" t="s">
        <v>450</v>
      </c>
    </row>
    <row r="1445" ht="15.75" customHeight="1">
      <c r="A1445" s="33" t="s">
        <v>5305</v>
      </c>
      <c r="B1445" s="33" t="s">
        <v>1222</v>
      </c>
      <c r="C1445" s="39">
        <v>46055.0</v>
      </c>
      <c r="D1445" s="33" t="s">
        <v>428</v>
      </c>
      <c r="E1445" s="40">
        <v>32.23</v>
      </c>
      <c r="F1445" s="40">
        <v>0.0</v>
      </c>
      <c r="G1445" s="33" t="s">
        <v>442</v>
      </c>
    </row>
    <row r="1446" ht="15.75" customHeight="1">
      <c r="A1446" s="33" t="s">
        <v>5307</v>
      </c>
      <c r="B1446" s="33" t="s">
        <v>1883</v>
      </c>
      <c r="C1446" s="39">
        <v>45899.0</v>
      </c>
      <c r="D1446" s="33" t="s">
        <v>428</v>
      </c>
      <c r="E1446" s="40">
        <v>55.81</v>
      </c>
      <c r="F1446" s="40">
        <v>0.0</v>
      </c>
      <c r="G1446" s="33" t="s">
        <v>431</v>
      </c>
    </row>
    <row r="1447" ht="15.75" customHeight="1">
      <c r="A1447" s="33" t="s">
        <v>5308</v>
      </c>
      <c r="B1447" s="33" t="s">
        <v>548</v>
      </c>
      <c r="C1447" s="39">
        <v>45911.0</v>
      </c>
      <c r="D1447" s="33" t="s">
        <v>461</v>
      </c>
      <c r="E1447" s="40">
        <v>49.56</v>
      </c>
      <c r="F1447" s="40">
        <v>0.28</v>
      </c>
      <c r="G1447" s="33" t="s">
        <v>450</v>
      </c>
    </row>
    <row r="1448" ht="15.75" customHeight="1">
      <c r="A1448" s="33" t="s">
        <v>5309</v>
      </c>
      <c r="B1448" s="33" t="s">
        <v>887</v>
      </c>
      <c r="C1448" s="39">
        <v>45817.0</v>
      </c>
      <c r="D1448" s="33" t="s">
        <v>435</v>
      </c>
      <c r="E1448" s="40">
        <v>70.1</v>
      </c>
      <c r="F1448" s="40">
        <v>0.0</v>
      </c>
      <c r="G1448" s="33" t="s">
        <v>431</v>
      </c>
    </row>
    <row r="1449" ht="15.75" customHeight="1">
      <c r="A1449" s="33" t="s">
        <v>5311</v>
      </c>
      <c r="B1449" s="33" t="s">
        <v>1374</v>
      </c>
      <c r="C1449" s="39">
        <v>46093.0</v>
      </c>
      <c r="D1449" s="33" t="s">
        <v>440</v>
      </c>
      <c r="E1449" s="40">
        <v>126.07</v>
      </c>
      <c r="F1449" s="40">
        <v>0.0</v>
      </c>
      <c r="G1449" s="33" t="s">
        <v>442</v>
      </c>
    </row>
    <row r="1450" ht="15.75" customHeight="1">
      <c r="A1450" s="33" t="s">
        <v>5313</v>
      </c>
      <c r="B1450" s="33" t="s">
        <v>731</v>
      </c>
      <c r="C1450" s="39">
        <v>46109.0</v>
      </c>
      <c r="D1450" s="33" t="s">
        <v>461</v>
      </c>
      <c r="E1450" s="40">
        <v>184.91</v>
      </c>
      <c r="F1450" s="40">
        <v>3.14</v>
      </c>
      <c r="G1450" s="33" t="s">
        <v>450</v>
      </c>
    </row>
    <row r="1451" ht="15.75" customHeight="1">
      <c r="A1451" s="33" t="s">
        <v>5315</v>
      </c>
      <c r="B1451" s="33" t="s">
        <v>884</v>
      </c>
      <c r="C1451" s="39">
        <v>45689.0</v>
      </c>
      <c r="D1451" s="33" t="s">
        <v>461</v>
      </c>
      <c r="E1451" s="40">
        <v>252.02</v>
      </c>
      <c r="F1451" s="40">
        <v>4.91</v>
      </c>
      <c r="G1451" s="33" t="s">
        <v>442</v>
      </c>
    </row>
    <row r="1452" ht="15.75" customHeight="1">
      <c r="A1452" s="33" t="s">
        <v>5316</v>
      </c>
      <c r="B1452" s="33" t="s">
        <v>362</v>
      </c>
      <c r="C1452" s="39">
        <v>45712.0</v>
      </c>
      <c r="D1452" s="33" t="s">
        <v>479</v>
      </c>
      <c r="E1452" s="40">
        <v>56.16</v>
      </c>
      <c r="F1452" s="40">
        <v>0.41</v>
      </c>
      <c r="G1452" s="33" t="s">
        <v>450</v>
      </c>
    </row>
    <row r="1453" ht="15.75" customHeight="1">
      <c r="A1453" s="33" t="s">
        <v>5318</v>
      </c>
      <c r="B1453" s="33" t="s">
        <v>1473</v>
      </c>
      <c r="C1453" s="39">
        <v>45994.0</v>
      </c>
      <c r="D1453" s="33" t="s">
        <v>479</v>
      </c>
      <c r="E1453" s="40">
        <v>87.66</v>
      </c>
      <c r="F1453" s="40">
        <v>0.81</v>
      </c>
      <c r="G1453" s="33" t="s">
        <v>450</v>
      </c>
    </row>
    <row r="1454" ht="15.75" customHeight="1">
      <c r="A1454" s="33" t="s">
        <v>5320</v>
      </c>
      <c r="B1454" s="33" t="s">
        <v>1482</v>
      </c>
      <c r="C1454" s="39">
        <v>46024.0</v>
      </c>
      <c r="D1454" s="33" t="s">
        <v>461</v>
      </c>
      <c r="E1454" s="40">
        <v>37.91</v>
      </c>
      <c r="F1454" s="40">
        <v>0.49</v>
      </c>
      <c r="G1454" s="33" t="s">
        <v>442</v>
      </c>
    </row>
    <row r="1455" ht="15.75" customHeight="1">
      <c r="A1455" s="33" t="s">
        <v>5321</v>
      </c>
      <c r="B1455" s="33" t="s">
        <v>2521</v>
      </c>
      <c r="C1455" s="39">
        <v>45745.0</v>
      </c>
      <c r="D1455" s="33" t="s">
        <v>479</v>
      </c>
      <c r="E1455" s="40">
        <v>158.25</v>
      </c>
      <c r="F1455" s="40">
        <v>1.81</v>
      </c>
      <c r="G1455" s="33" t="s">
        <v>450</v>
      </c>
    </row>
    <row r="1456" ht="15.75" customHeight="1">
      <c r="A1456" s="33" t="s">
        <v>5322</v>
      </c>
      <c r="B1456" s="33" t="s">
        <v>2658</v>
      </c>
      <c r="C1456" s="39">
        <v>45753.0</v>
      </c>
      <c r="D1456" s="33" t="s">
        <v>435</v>
      </c>
      <c r="E1456" s="40">
        <v>103.39</v>
      </c>
      <c r="F1456" s="40">
        <v>0.0</v>
      </c>
      <c r="G1456" s="33" t="s">
        <v>431</v>
      </c>
    </row>
    <row r="1457" ht="15.75" customHeight="1">
      <c r="A1457" s="33" t="s">
        <v>5324</v>
      </c>
      <c r="B1457" s="33" t="s">
        <v>378</v>
      </c>
      <c r="C1457" s="39">
        <v>46072.0</v>
      </c>
      <c r="D1457" s="33" t="s">
        <v>428</v>
      </c>
      <c r="E1457" s="40">
        <v>65.16</v>
      </c>
      <c r="F1457" s="40">
        <v>0.0</v>
      </c>
      <c r="G1457" s="33" t="s">
        <v>431</v>
      </c>
    </row>
    <row r="1458" ht="15.75" customHeight="1">
      <c r="A1458" s="33" t="s">
        <v>5326</v>
      </c>
      <c r="B1458" s="33" t="s">
        <v>489</v>
      </c>
      <c r="C1458" s="39">
        <v>45934.0</v>
      </c>
      <c r="D1458" s="33" t="s">
        <v>440</v>
      </c>
      <c r="E1458" s="40">
        <v>19.11</v>
      </c>
      <c r="F1458" s="40">
        <v>0.0</v>
      </c>
      <c r="G1458" s="33" t="s">
        <v>431</v>
      </c>
    </row>
    <row r="1459" ht="15.75" customHeight="1">
      <c r="A1459" s="33" t="s">
        <v>5327</v>
      </c>
      <c r="B1459" s="33" t="s">
        <v>1340</v>
      </c>
      <c r="C1459" s="39">
        <v>45730.0</v>
      </c>
      <c r="D1459" s="33" t="s">
        <v>440</v>
      </c>
      <c r="E1459" s="40">
        <v>88.57</v>
      </c>
      <c r="F1459" s="40">
        <v>0.0</v>
      </c>
      <c r="G1459" s="33" t="s">
        <v>442</v>
      </c>
    </row>
    <row r="1460" ht="15.75" customHeight="1">
      <c r="A1460" s="33" t="s">
        <v>5329</v>
      </c>
      <c r="B1460" s="33" t="s">
        <v>220</v>
      </c>
      <c r="C1460" s="39">
        <v>46027.0</v>
      </c>
      <c r="D1460" s="33" t="s">
        <v>435</v>
      </c>
      <c r="E1460" s="40">
        <v>95.54</v>
      </c>
      <c r="F1460" s="40">
        <v>0.0</v>
      </c>
      <c r="G1460" s="33" t="s">
        <v>450</v>
      </c>
    </row>
    <row r="1461" ht="15.75" customHeight="1">
      <c r="A1461" s="33" t="s">
        <v>5331</v>
      </c>
      <c r="B1461" s="33" t="s">
        <v>728</v>
      </c>
      <c r="C1461" s="39">
        <v>45702.0</v>
      </c>
      <c r="D1461" s="33" t="s">
        <v>479</v>
      </c>
      <c r="E1461" s="40">
        <v>13.56</v>
      </c>
      <c r="F1461" s="40">
        <v>0.07</v>
      </c>
      <c r="G1461" s="33" t="s">
        <v>442</v>
      </c>
    </row>
    <row r="1462" ht="15.75" customHeight="1">
      <c r="A1462" s="33" t="s">
        <v>5332</v>
      </c>
      <c r="B1462" s="33" t="s">
        <v>2197</v>
      </c>
      <c r="C1462" s="39">
        <v>45797.0</v>
      </c>
      <c r="D1462" s="33" t="s">
        <v>428</v>
      </c>
      <c r="E1462" s="40">
        <v>25.23</v>
      </c>
      <c r="F1462" s="40">
        <v>0.0</v>
      </c>
      <c r="G1462" s="33" t="s">
        <v>450</v>
      </c>
    </row>
    <row r="1463" ht="15.75" customHeight="1">
      <c r="A1463" s="33" t="s">
        <v>5333</v>
      </c>
      <c r="B1463" s="33" t="s">
        <v>483</v>
      </c>
      <c r="C1463" s="39">
        <v>46090.0</v>
      </c>
      <c r="D1463" s="33" t="s">
        <v>435</v>
      </c>
      <c r="E1463" s="40">
        <v>86.97</v>
      </c>
      <c r="F1463" s="40">
        <v>0.0</v>
      </c>
      <c r="G1463" s="33" t="s">
        <v>450</v>
      </c>
    </row>
    <row r="1464" ht="15.75" customHeight="1">
      <c r="A1464" s="33" t="s">
        <v>5335</v>
      </c>
      <c r="B1464" s="33" t="s">
        <v>1576</v>
      </c>
      <c r="C1464" s="39">
        <v>45792.0</v>
      </c>
      <c r="D1464" s="33" t="s">
        <v>440</v>
      </c>
      <c r="E1464" s="40">
        <v>237.54</v>
      </c>
      <c r="F1464" s="40">
        <v>0.0</v>
      </c>
      <c r="G1464" s="33" t="s">
        <v>431</v>
      </c>
    </row>
    <row r="1465" ht="15.75" customHeight="1">
      <c r="A1465" s="33" t="s">
        <v>5336</v>
      </c>
      <c r="B1465" s="33" t="s">
        <v>526</v>
      </c>
      <c r="C1465" s="39">
        <v>45696.0</v>
      </c>
      <c r="D1465" s="33" t="s">
        <v>435</v>
      </c>
      <c r="E1465" s="40">
        <v>169.7</v>
      </c>
      <c r="F1465" s="40">
        <v>0.0</v>
      </c>
      <c r="G1465" s="33" t="s">
        <v>450</v>
      </c>
    </row>
    <row r="1466" ht="15.75" customHeight="1">
      <c r="A1466" s="33" t="s">
        <v>5337</v>
      </c>
      <c r="B1466" s="33" t="s">
        <v>2879</v>
      </c>
      <c r="C1466" s="39">
        <v>46240.0</v>
      </c>
      <c r="D1466" s="33" t="s">
        <v>435</v>
      </c>
      <c r="E1466" s="40">
        <v>66.61</v>
      </c>
      <c r="F1466" s="40">
        <v>0.0</v>
      </c>
      <c r="G1466" s="33" t="s">
        <v>450</v>
      </c>
    </row>
    <row r="1467" ht="15.75" customHeight="1">
      <c r="A1467" s="33" t="s">
        <v>5338</v>
      </c>
      <c r="B1467" s="33" t="s">
        <v>3687</v>
      </c>
      <c r="C1467" s="39">
        <v>45794.0</v>
      </c>
      <c r="D1467" s="33" t="s">
        <v>461</v>
      </c>
      <c r="E1467" s="40">
        <v>59.0</v>
      </c>
      <c r="F1467" s="40">
        <v>0.98</v>
      </c>
      <c r="G1467" s="33" t="s">
        <v>450</v>
      </c>
    </row>
    <row r="1468" ht="15.75" customHeight="1">
      <c r="A1468" s="33" t="s">
        <v>5340</v>
      </c>
      <c r="B1468" s="33" t="s">
        <v>1127</v>
      </c>
      <c r="C1468" s="39">
        <v>45970.0</v>
      </c>
      <c r="D1468" s="33" t="s">
        <v>440</v>
      </c>
      <c r="E1468" s="40">
        <v>43.21</v>
      </c>
      <c r="F1468" s="40">
        <v>0.0</v>
      </c>
      <c r="G1468" s="33" t="s">
        <v>431</v>
      </c>
    </row>
    <row r="1469" ht="15.75" customHeight="1">
      <c r="A1469" s="33" t="s">
        <v>5342</v>
      </c>
      <c r="B1469" s="33" t="s">
        <v>1375</v>
      </c>
      <c r="C1469" s="39">
        <v>46158.0</v>
      </c>
      <c r="D1469" s="33" t="s">
        <v>461</v>
      </c>
      <c r="E1469" s="40">
        <v>39.48</v>
      </c>
      <c r="F1469" s="40">
        <v>0.64</v>
      </c>
      <c r="G1469" s="33" t="s">
        <v>450</v>
      </c>
    </row>
    <row r="1470" ht="15.75" customHeight="1">
      <c r="A1470" s="33" t="s">
        <v>5343</v>
      </c>
      <c r="B1470" s="33" t="s">
        <v>2158</v>
      </c>
      <c r="C1470" s="39">
        <v>46258.0</v>
      </c>
      <c r="D1470" s="33" t="s">
        <v>479</v>
      </c>
      <c r="E1470" s="40">
        <v>62.46</v>
      </c>
      <c r="F1470" s="40">
        <v>0.85</v>
      </c>
      <c r="G1470" s="33" t="s">
        <v>450</v>
      </c>
    </row>
    <row r="1471" ht="15.75" customHeight="1">
      <c r="A1471" s="33" t="s">
        <v>5345</v>
      </c>
      <c r="B1471" s="33" t="s">
        <v>759</v>
      </c>
      <c r="C1471" s="39">
        <v>46149.0</v>
      </c>
      <c r="D1471" s="33" t="s">
        <v>461</v>
      </c>
      <c r="E1471" s="40">
        <v>285.22</v>
      </c>
      <c r="F1471" s="40">
        <v>2.17</v>
      </c>
      <c r="G1471" s="33" t="s">
        <v>450</v>
      </c>
    </row>
    <row r="1472" ht="15.75" customHeight="1">
      <c r="A1472" s="33" t="s">
        <v>5346</v>
      </c>
      <c r="B1472" s="33" t="s">
        <v>1616</v>
      </c>
      <c r="C1472" s="39">
        <v>45864.0</v>
      </c>
      <c r="D1472" s="33" t="s">
        <v>435</v>
      </c>
      <c r="E1472" s="40">
        <v>58.65</v>
      </c>
      <c r="F1472" s="40">
        <v>0.0</v>
      </c>
      <c r="G1472" s="33" t="s">
        <v>450</v>
      </c>
    </row>
    <row r="1473" ht="15.75" customHeight="1">
      <c r="A1473" s="33" t="s">
        <v>5348</v>
      </c>
      <c r="B1473" s="33" t="s">
        <v>1812</v>
      </c>
      <c r="C1473" s="39">
        <v>46176.0</v>
      </c>
      <c r="D1473" s="33" t="s">
        <v>440</v>
      </c>
      <c r="E1473" s="40">
        <v>77.41</v>
      </c>
      <c r="F1473" s="40">
        <v>0.0</v>
      </c>
      <c r="G1473" s="33" t="s">
        <v>450</v>
      </c>
    </row>
    <row r="1474" ht="15.75" customHeight="1">
      <c r="A1474" s="33" t="s">
        <v>5350</v>
      </c>
      <c r="B1474" s="33" t="s">
        <v>3092</v>
      </c>
      <c r="C1474" s="39">
        <v>45665.0</v>
      </c>
      <c r="D1474" s="33" t="s">
        <v>479</v>
      </c>
      <c r="E1474" s="40">
        <v>26.96</v>
      </c>
      <c r="F1474" s="40">
        <v>0.32</v>
      </c>
      <c r="G1474" s="33" t="s">
        <v>442</v>
      </c>
    </row>
    <row r="1475" ht="15.75" customHeight="1">
      <c r="A1475" s="33" t="s">
        <v>5352</v>
      </c>
      <c r="B1475" s="33" t="s">
        <v>186</v>
      </c>
      <c r="C1475" s="39">
        <v>45855.0</v>
      </c>
      <c r="D1475" s="33" t="s">
        <v>435</v>
      </c>
      <c r="E1475" s="40">
        <v>116.29</v>
      </c>
      <c r="F1475" s="40">
        <v>0.0</v>
      </c>
      <c r="G1475" s="33" t="s">
        <v>442</v>
      </c>
    </row>
    <row r="1476" ht="15.75" customHeight="1">
      <c r="A1476" s="33" t="s">
        <v>5354</v>
      </c>
      <c r="B1476" s="33" t="s">
        <v>285</v>
      </c>
      <c r="C1476" s="39">
        <v>45779.0</v>
      </c>
      <c r="D1476" s="33" t="s">
        <v>479</v>
      </c>
      <c r="E1476" s="40">
        <v>76.4</v>
      </c>
      <c r="F1476" s="40">
        <v>0.65</v>
      </c>
      <c r="G1476" s="33" t="s">
        <v>450</v>
      </c>
    </row>
    <row r="1477" ht="15.75" customHeight="1">
      <c r="A1477" s="33" t="s">
        <v>5355</v>
      </c>
      <c r="B1477" s="33" t="s">
        <v>2276</v>
      </c>
      <c r="C1477" s="39">
        <v>45978.0</v>
      </c>
      <c r="D1477" s="33" t="s">
        <v>479</v>
      </c>
      <c r="E1477" s="40">
        <v>55.92</v>
      </c>
      <c r="F1477" s="40">
        <v>0.62</v>
      </c>
      <c r="G1477" s="33" t="s">
        <v>450</v>
      </c>
    </row>
    <row r="1478" ht="15.75" customHeight="1">
      <c r="A1478" s="33" t="s">
        <v>5357</v>
      </c>
      <c r="B1478" s="33" t="s">
        <v>2153</v>
      </c>
      <c r="C1478" s="39">
        <v>46199.0</v>
      </c>
      <c r="D1478" s="33" t="s">
        <v>479</v>
      </c>
      <c r="E1478" s="40">
        <v>33.26</v>
      </c>
      <c r="F1478" s="40">
        <v>0.23</v>
      </c>
      <c r="G1478" s="33" t="s">
        <v>442</v>
      </c>
    </row>
    <row r="1479" ht="15.75" customHeight="1">
      <c r="A1479" s="33" t="s">
        <v>5358</v>
      </c>
      <c r="B1479" s="33" t="s">
        <v>2456</v>
      </c>
      <c r="C1479" s="39">
        <v>46127.0</v>
      </c>
      <c r="D1479" s="33" t="s">
        <v>479</v>
      </c>
      <c r="E1479" s="40">
        <v>41.15</v>
      </c>
      <c r="F1479" s="40">
        <v>0.46</v>
      </c>
      <c r="G1479" s="33" t="s">
        <v>442</v>
      </c>
    </row>
    <row r="1480" ht="15.75" customHeight="1">
      <c r="A1480" s="33" t="s">
        <v>5359</v>
      </c>
      <c r="B1480" s="33" t="s">
        <v>1183</v>
      </c>
      <c r="C1480" s="39">
        <v>46263.0</v>
      </c>
      <c r="D1480" s="33" t="s">
        <v>461</v>
      </c>
      <c r="E1480" s="40">
        <v>52.95</v>
      </c>
      <c r="F1480" s="40">
        <v>0.64</v>
      </c>
      <c r="G1480" s="33" t="s">
        <v>450</v>
      </c>
    </row>
    <row r="1481" ht="15.75" customHeight="1">
      <c r="A1481" s="33" t="s">
        <v>5361</v>
      </c>
      <c r="B1481" s="33" t="s">
        <v>501</v>
      </c>
      <c r="C1481" s="39">
        <v>45741.0</v>
      </c>
      <c r="D1481" s="33" t="s">
        <v>461</v>
      </c>
      <c r="E1481" s="40">
        <v>55.71</v>
      </c>
      <c r="F1481" s="40">
        <v>1.0</v>
      </c>
      <c r="G1481" s="33" t="s">
        <v>450</v>
      </c>
    </row>
    <row r="1482" ht="15.75" customHeight="1">
      <c r="A1482" s="33" t="s">
        <v>5363</v>
      </c>
      <c r="B1482" s="33" t="s">
        <v>1001</v>
      </c>
      <c r="C1482" s="39">
        <v>46114.0</v>
      </c>
      <c r="D1482" s="33" t="s">
        <v>435</v>
      </c>
      <c r="E1482" s="40">
        <v>32.96</v>
      </c>
      <c r="F1482" s="40">
        <v>0.0</v>
      </c>
      <c r="G1482" s="33" t="s">
        <v>450</v>
      </c>
    </row>
    <row r="1483" ht="15.75" customHeight="1">
      <c r="A1483" s="33" t="s">
        <v>5365</v>
      </c>
      <c r="B1483" s="33" t="s">
        <v>1799</v>
      </c>
      <c r="C1483" s="39">
        <v>46097.0</v>
      </c>
      <c r="D1483" s="33" t="s">
        <v>461</v>
      </c>
      <c r="E1483" s="40">
        <v>71.09</v>
      </c>
      <c r="F1483" s="40">
        <v>1.32</v>
      </c>
      <c r="G1483" s="33" t="s">
        <v>450</v>
      </c>
    </row>
    <row r="1484" ht="15.75" customHeight="1">
      <c r="A1484" s="33" t="s">
        <v>5366</v>
      </c>
      <c r="B1484" s="33" t="s">
        <v>1700</v>
      </c>
      <c r="C1484" s="39">
        <v>45935.0</v>
      </c>
      <c r="D1484" s="33" t="s">
        <v>428</v>
      </c>
      <c r="E1484" s="40">
        <v>90.11</v>
      </c>
      <c r="F1484" s="40">
        <v>0.0</v>
      </c>
      <c r="G1484" s="33" t="s">
        <v>431</v>
      </c>
    </row>
    <row r="1485" ht="15.75" customHeight="1">
      <c r="A1485" s="33" t="s">
        <v>5368</v>
      </c>
      <c r="B1485" s="33" t="s">
        <v>553</v>
      </c>
      <c r="C1485" s="39">
        <v>45717.0</v>
      </c>
      <c r="D1485" s="33" t="s">
        <v>428</v>
      </c>
      <c r="E1485" s="40">
        <v>131.15</v>
      </c>
      <c r="F1485" s="40">
        <v>0.0</v>
      </c>
      <c r="G1485" s="33" t="s">
        <v>450</v>
      </c>
    </row>
    <row r="1486" ht="15.75" customHeight="1">
      <c r="A1486" s="33" t="s">
        <v>5369</v>
      </c>
      <c r="B1486" s="33" t="s">
        <v>2397</v>
      </c>
      <c r="C1486" s="39">
        <v>45721.0</v>
      </c>
      <c r="D1486" s="33" t="s">
        <v>440</v>
      </c>
      <c r="E1486" s="40">
        <v>228.83</v>
      </c>
      <c r="F1486" s="40">
        <v>0.0</v>
      </c>
      <c r="G1486" s="33" t="s">
        <v>442</v>
      </c>
    </row>
    <row r="1487" ht="15.75" customHeight="1">
      <c r="A1487" s="33" t="s">
        <v>5371</v>
      </c>
      <c r="B1487" s="33" t="s">
        <v>964</v>
      </c>
      <c r="C1487" s="39">
        <v>46212.0</v>
      </c>
      <c r="D1487" s="33" t="s">
        <v>461</v>
      </c>
      <c r="E1487" s="40">
        <v>13.18</v>
      </c>
      <c r="F1487" s="40">
        <v>0.13</v>
      </c>
      <c r="G1487" s="33" t="s">
        <v>442</v>
      </c>
    </row>
    <row r="1488" ht="15.75" customHeight="1">
      <c r="A1488" s="33" t="s">
        <v>5373</v>
      </c>
      <c r="B1488" s="33" t="s">
        <v>326</v>
      </c>
      <c r="C1488" s="39">
        <v>45837.0</v>
      </c>
      <c r="D1488" s="33" t="s">
        <v>428</v>
      </c>
      <c r="E1488" s="40">
        <v>100.16</v>
      </c>
      <c r="F1488" s="40">
        <v>0.0</v>
      </c>
      <c r="G1488" s="33" t="s">
        <v>431</v>
      </c>
    </row>
    <row r="1489" ht="15.75" customHeight="1">
      <c r="A1489" s="33" t="s">
        <v>5375</v>
      </c>
      <c r="B1489" s="33" t="s">
        <v>1669</v>
      </c>
      <c r="C1489" s="39">
        <v>46044.0</v>
      </c>
      <c r="D1489" s="33" t="s">
        <v>440</v>
      </c>
      <c r="E1489" s="40">
        <v>60.91</v>
      </c>
      <c r="F1489" s="40">
        <v>0.0</v>
      </c>
      <c r="G1489" s="33" t="s">
        <v>450</v>
      </c>
    </row>
    <row r="1490" ht="15.75" customHeight="1">
      <c r="A1490" s="33" t="s">
        <v>5377</v>
      </c>
      <c r="B1490" s="33" t="s">
        <v>3440</v>
      </c>
      <c r="C1490" s="39">
        <v>46231.0</v>
      </c>
      <c r="D1490" s="33" t="s">
        <v>428</v>
      </c>
      <c r="E1490" s="40">
        <v>9.23</v>
      </c>
      <c r="F1490" s="40">
        <v>0.0</v>
      </c>
      <c r="G1490" s="33" t="s">
        <v>431</v>
      </c>
    </row>
    <row r="1491" ht="15.75" customHeight="1">
      <c r="A1491" s="33" t="s">
        <v>5379</v>
      </c>
      <c r="B1491" s="33" t="s">
        <v>4533</v>
      </c>
      <c r="C1491" s="39">
        <v>45957.0</v>
      </c>
      <c r="D1491" s="33" t="s">
        <v>461</v>
      </c>
      <c r="E1491" s="40">
        <v>45.87</v>
      </c>
      <c r="F1491" s="40">
        <v>0.38</v>
      </c>
      <c r="G1491" s="33" t="s">
        <v>450</v>
      </c>
    </row>
    <row r="1492" ht="15.75" customHeight="1">
      <c r="A1492" s="33" t="s">
        <v>5381</v>
      </c>
      <c r="B1492" s="33" t="s">
        <v>1232</v>
      </c>
      <c r="C1492" s="39">
        <v>45785.0</v>
      </c>
      <c r="D1492" s="33" t="s">
        <v>461</v>
      </c>
      <c r="E1492" s="40">
        <v>121.74</v>
      </c>
      <c r="F1492" s="40">
        <v>1.84</v>
      </c>
      <c r="G1492" s="33" t="s">
        <v>450</v>
      </c>
    </row>
    <row r="1493" ht="15.75" customHeight="1">
      <c r="A1493" s="33" t="s">
        <v>5383</v>
      </c>
      <c r="B1493" s="33" t="s">
        <v>2187</v>
      </c>
      <c r="C1493" s="39">
        <v>45952.0</v>
      </c>
      <c r="D1493" s="33" t="s">
        <v>461</v>
      </c>
      <c r="E1493" s="40">
        <v>110.77</v>
      </c>
      <c r="F1493" s="40">
        <v>0.69</v>
      </c>
      <c r="G1493" s="33" t="s">
        <v>431</v>
      </c>
    </row>
    <row r="1494" ht="15.75" customHeight="1">
      <c r="A1494" s="33" t="s">
        <v>5384</v>
      </c>
      <c r="B1494" s="33" t="s">
        <v>3612</v>
      </c>
      <c r="C1494" s="39">
        <v>45797.0</v>
      </c>
      <c r="D1494" s="33" t="s">
        <v>461</v>
      </c>
      <c r="E1494" s="40">
        <v>83.95</v>
      </c>
      <c r="F1494" s="40">
        <v>0.9</v>
      </c>
      <c r="G1494" s="33" t="s">
        <v>450</v>
      </c>
    </row>
    <row r="1495" ht="15.75" customHeight="1">
      <c r="A1495" s="33" t="s">
        <v>5385</v>
      </c>
      <c r="B1495" s="33" t="s">
        <v>1743</v>
      </c>
      <c r="C1495" s="39">
        <v>45768.0</v>
      </c>
      <c r="D1495" s="33" t="s">
        <v>428</v>
      </c>
      <c r="E1495" s="40">
        <v>42.02</v>
      </c>
      <c r="F1495" s="40">
        <v>0.0</v>
      </c>
      <c r="G1495" s="33" t="s">
        <v>450</v>
      </c>
    </row>
    <row r="1496" ht="15.75" customHeight="1">
      <c r="A1496" s="33" t="s">
        <v>5387</v>
      </c>
      <c r="B1496" s="33" t="s">
        <v>3633</v>
      </c>
      <c r="C1496" s="39">
        <v>46150.0</v>
      </c>
      <c r="D1496" s="33" t="s">
        <v>428</v>
      </c>
      <c r="E1496" s="40">
        <v>189.57</v>
      </c>
      <c r="F1496" s="40">
        <v>0.0</v>
      </c>
      <c r="G1496" s="33" t="s">
        <v>442</v>
      </c>
    </row>
    <row r="1497" ht="15.75" customHeight="1">
      <c r="A1497" s="33" t="s">
        <v>5389</v>
      </c>
      <c r="B1497" s="33" t="s">
        <v>887</v>
      </c>
      <c r="C1497" s="39">
        <v>45867.0</v>
      </c>
      <c r="D1497" s="33" t="s">
        <v>479</v>
      </c>
      <c r="E1497" s="40">
        <v>29.39</v>
      </c>
      <c r="F1497" s="40">
        <v>0.45</v>
      </c>
      <c r="G1497" s="33" t="s">
        <v>450</v>
      </c>
    </row>
    <row r="1498" ht="15.75" customHeight="1">
      <c r="A1498" s="33" t="s">
        <v>5390</v>
      </c>
      <c r="B1498" s="33" t="s">
        <v>1495</v>
      </c>
      <c r="C1498" s="39">
        <v>46073.0</v>
      </c>
      <c r="D1498" s="33" t="s">
        <v>479</v>
      </c>
      <c r="E1498" s="40">
        <v>56.56</v>
      </c>
      <c r="F1498" s="40">
        <v>0.86</v>
      </c>
      <c r="G1498" s="33" t="s">
        <v>442</v>
      </c>
    </row>
    <row r="1499" ht="15.75" customHeight="1">
      <c r="A1499" s="33" t="s">
        <v>5392</v>
      </c>
      <c r="B1499" s="33" t="s">
        <v>583</v>
      </c>
      <c r="C1499" s="39">
        <v>46099.0</v>
      </c>
      <c r="D1499" s="33" t="s">
        <v>461</v>
      </c>
      <c r="E1499" s="40">
        <v>64.93</v>
      </c>
      <c r="F1499" s="40">
        <v>0.64</v>
      </c>
      <c r="G1499" s="33" t="s">
        <v>442</v>
      </c>
    </row>
    <row r="1500" ht="15.75" customHeight="1">
      <c r="A1500" s="33" t="s">
        <v>5393</v>
      </c>
      <c r="B1500" s="33" t="s">
        <v>540</v>
      </c>
      <c r="C1500" s="39">
        <v>45991.0</v>
      </c>
      <c r="D1500" s="33" t="s">
        <v>428</v>
      </c>
      <c r="E1500" s="40">
        <v>72.18</v>
      </c>
      <c r="F1500" s="40">
        <v>0.0</v>
      </c>
      <c r="G1500" s="33" t="s">
        <v>450</v>
      </c>
    </row>
    <row r="1501" ht="15.75" customHeight="1">
      <c r="A1501" s="33" t="s">
        <v>5394</v>
      </c>
      <c r="B1501" s="33" t="s">
        <v>1135</v>
      </c>
      <c r="C1501" s="39">
        <v>45986.0</v>
      </c>
      <c r="D1501" s="33" t="s">
        <v>440</v>
      </c>
      <c r="E1501" s="40">
        <v>320.67</v>
      </c>
      <c r="F1501" s="40">
        <v>0.0</v>
      </c>
      <c r="G1501" s="33" t="s">
        <v>450</v>
      </c>
    </row>
    <row r="1502" ht="15.75" customHeight="1">
      <c r="A1502" s="33" t="s">
        <v>5396</v>
      </c>
      <c r="B1502" s="33" t="s">
        <v>3048</v>
      </c>
      <c r="C1502" s="39">
        <v>45767.0</v>
      </c>
      <c r="D1502" s="33" t="s">
        <v>440</v>
      </c>
      <c r="E1502" s="40">
        <v>216.31</v>
      </c>
      <c r="F1502" s="40">
        <v>0.0</v>
      </c>
      <c r="G1502" s="33" t="s">
        <v>431</v>
      </c>
    </row>
    <row r="1503" ht="15.75" customHeight="1">
      <c r="A1503" s="33" t="s">
        <v>5397</v>
      </c>
      <c r="B1503" s="33" t="s">
        <v>236</v>
      </c>
      <c r="C1503" s="39">
        <v>45979.0</v>
      </c>
      <c r="D1503" s="33" t="s">
        <v>461</v>
      </c>
      <c r="E1503" s="40">
        <v>108.26</v>
      </c>
      <c r="F1503" s="40">
        <v>1.64</v>
      </c>
      <c r="G1503" s="33" t="s">
        <v>442</v>
      </c>
    </row>
    <row r="1504" ht="15.75" customHeight="1">
      <c r="A1504" s="33" t="s">
        <v>5398</v>
      </c>
      <c r="B1504" s="33" t="s">
        <v>2259</v>
      </c>
      <c r="C1504" s="39">
        <v>46114.0</v>
      </c>
      <c r="D1504" s="33" t="s">
        <v>428</v>
      </c>
      <c r="E1504" s="40">
        <v>76.82</v>
      </c>
      <c r="F1504" s="40">
        <v>0.0</v>
      </c>
      <c r="G1504" s="33" t="s">
        <v>442</v>
      </c>
    </row>
    <row r="1505" ht="15.75" customHeight="1">
      <c r="A1505" s="33" t="s">
        <v>5400</v>
      </c>
      <c r="B1505" s="33" t="s">
        <v>726</v>
      </c>
      <c r="C1505" s="39">
        <v>45776.0</v>
      </c>
      <c r="D1505" s="33" t="s">
        <v>428</v>
      </c>
      <c r="E1505" s="40">
        <v>76.17</v>
      </c>
      <c r="F1505" s="40">
        <v>0.0</v>
      </c>
      <c r="G1505" s="33" t="s">
        <v>431</v>
      </c>
    </row>
    <row r="1506" ht="15.75" customHeight="1">
      <c r="A1506" s="33" t="s">
        <v>5401</v>
      </c>
      <c r="B1506" s="33" t="s">
        <v>845</v>
      </c>
      <c r="C1506" s="39">
        <v>45798.0</v>
      </c>
      <c r="D1506" s="33" t="s">
        <v>435</v>
      </c>
      <c r="E1506" s="40">
        <v>128.07</v>
      </c>
      <c r="F1506" s="40">
        <v>0.0</v>
      </c>
      <c r="G1506" s="33" t="s">
        <v>450</v>
      </c>
    </row>
    <row r="1507" ht="15.75" customHeight="1">
      <c r="A1507" s="33" t="s">
        <v>5402</v>
      </c>
      <c r="B1507" s="33" t="s">
        <v>952</v>
      </c>
      <c r="C1507" s="39">
        <v>46077.0</v>
      </c>
      <c r="D1507" s="33" t="s">
        <v>428</v>
      </c>
      <c r="E1507" s="40">
        <v>165.57</v>
      </c>
      <c r="F1507" s="40">
        <v>0.0</v>
      </c>
      <c r="G1507" s="33" t="s">
        <v>442</v>
      </c>
    </row>
    <row r="1508" ht="15.75" customHeight="1">
      <c r="A1508" s="33" t="s">
        <v>5404</v>
      </c>
      <c r="B1508" s="33" t="s">
        <v>740</v>
      </c>
      <c r="C1508" s="39">
        <v>46253.0</v>
      </c>
      <c r="D1508" s="33" t="s">
        <v>461</v>
      </c>
      <c r="E1508" s="40">
        <v>28.75</v>
      </c>
      <c r="F1508" s="40">
        <v>0.23</v>
      </c>
      <c r="G1508" s="33" t="s">
        <v>450</v>
      </c>
    </row>
    <row r="1509" ht="15.75" customHeight="1">
      <c r="A1509" s="33" t="s">
        <v>5406</v>
      </c>
      <c r="B1509" s="33" t="s">
        <v>1207</v>
      </c>
      <c r="C1509" s="39">
        <v>45895.0</v>
      </c>
      <c r="D1509" s="33" t="s">
        <v>435</v>
      </c>
      <c r="E1509" s="40">
        <v>230.27</v>
      </c>
      <c r="F1509" s="40">
        <v>0.0</v>
      </c>
      <c r="G1509" s="33" t="s">
        <v>450</v>
      </c>
    </row>
    <row r="1510" ht="15.75" customHeight="1">
      <c r="A1510" s="33" t="s">
        <v>5408</v>
      </c>
      <c r="B1510" s="33" t="s">
        <v>875</v>
      </c>
      <c r="C1510" s="39">
        <v>46160.0</v>
      </c>
      <c r="D1510" s="33" t="s">
        <v>435</v>
      </c>
      <c r="E1510" s="40">
        <v>104.46</v>
      </c>
      <c r="F1510" s="40">
        <v>0.0</v>
      </c>
      <c r="G1510" s="33" t="s">
        <v>442</v>
      </c>
    </row>
    <row r="1511" ht="15.75" customHeight="1">
      <c r="A1511" s="33" t="s">
        <v>5409</v>
      </c>
      <c r="B1511" s="33" t="s">
        <v>1737</v>
      </c>
      <c r="C1511" s="39">
        <v>45768.0</v>
      </c>
      <c r="D1511" s="33" t="s">
        <v>440</v>
      </c>
      <c r="E1511" s="40">
        <v>49.39</v>
      </c>
      <c r="F1511" s="40">
        <v>0.0</v>
      </c>
      <c r="G1511" s="33" t="s">
        <v>450</v>
      </c>
    </row>
    <row r="1512" ht="15.75" customHeight="1">
      <c r="A1512" s="33" t="s">
        <v>5410</v>
      </c>
      <c r="B1512" s="33" t="s">
        <v>527</v>
      </c>
      <c r="C1512" s="39">
        <v>46003.0</v>
      </c>
      <c r="D1512" s="33" t="s">
        <v>428</v>
      </c>
      <c r="E1512" s="40">
        <v>69.01</v>
      </c>
      <c r="F1512" s="40">
        <v>0.0</v>
      </c>
      <c r="G1512" s="33" t="s">
        <v>442</v>
      </c>
    </row>
    <row r="1513" ht="15.75" customHeight="1">
      <c r="A1513" s="33" t="s">
        <v>5412</v>
      </c>
      <c r="B1513" s="33" t="s">
        <v>668</v>
      </c>
      <c r="C1513" s="39">
        <v>46230.0</v>
      </c>
      <c r="D1513" s="33" t="s">
        <v>461</v>
      </c>
      <c r="E1513" s="40">
        <v>108.52</v>
      </c>
      <c r="F1513" s="40">
        <v>1.81</v>
      </c>
      <c r="G1513" s="33" t="s">
        <v>431</v>
      </c>
    </row>
    <row r="1514" ht="15.75" customHeight="1">
      <c r="A1514" s="33" t="s">
        <v>5414</v>
      </c>
      <c r="B1514" s="33" t="s">
        <v>1876</v>
      </c>
      <c r="C1514" s="39">
        <v>45926.0</v>
      </c>
      <c r="D1514" s="33" t="s">
        <v>479</v>
      </c>
      <c r="E1514" s="40">
        <v>112.3</v>
      </c>
      <c r="F1514" s="40">
        <v>1.91</v>
      </c>
      <c r="G1514" s="33" t="s">
        <v>431</v>
      </c>
    </row>
    <row r="1515" ht="15.75" customHeight="1">
      <c r="A1515" s="33" t="s">
        <v>5416</v>
      </c>
      <c r="B1515" s="33" t="s">
        <v>2741</v>
      </c>
      <c r="C1515" s="39">
        <v>45965.0</v>
      </c>
      <c r="D1515" s="33" t="s">
        <v>461</v>
      </c>
      <c r="E1515" s="40">
        <v>33.45</v>
      </c>
      <c r="F1515" s="40">
        <v>0.37</v>
      </c>
      <c r="G1515" s="33" t="s">
        <v>450</v>
      </c>
    </row>
    <row r="1516" ht="15.75" customHeight="1">
      <c r="A1516" s="33" t="s">
        <v>5417</v>
      </c>
      <c r="B1516" s="33" t="s">
        <v>705</v>
      </c>
      <c r="C1516" s="39">
        <v>45752.0</v>
      </c>
      <c r="D1516" s="33" t="s">
        <v>479</v>
      </c>
      <c r="E1516" s="40">
        <v>73.93</v>
      </c>
      <c r="F1516" s="40">
        <v>0.6</v>
      </c>
      <c r="G1516" s="33" t="s">
        <v>450</v>
      </c>
    </row>
    <row r="1517" ht="15.75" customHeight="1">
      <c r="A1517" s="33" t="s">
        <v>5419</v>
      </c>
      <c r="B1517" s="33" t="s">
        <v>1416</v>
      </c>
      <c r="C1517" s="39">
        <v>45978.0</v>
      </c>
      <c r="D1517" s="33" t="s">
        <v>428</v>
      </c>
      <c r="E1517" s="40">
        <v>89.89</v>
      </c>
      <c r="F1517" s="40">
        <v>0.0</v>
      </c>
      <c r="G1517" s="33" t="s">
        <v>450</v>
      </c>
    </row>
    <row r="1518" ht="15.75" customHeight="1">
      <c r="A1518" s="33" t="s">
        <v>5421</v>
      </c>
      <c r="B1518" s="33" t="s">
        <v>662</v>
      </c>
      <c r="C1518" s="39">
        <v>46013.0</v>
      </c>
      <c r="D1518" s="33" t="s">
        <v>435</v>
      </c>
      <c r="E1518" s="40">
        <v>167.3</v>
      </c>
      <c r="F1518" s="40">
        <v>0.0</v>
      </c>
      <c r="G1518" s="33" t="s">
        <v>450</v>
      </c>
    </row>
    <row r="1519" ht="15.75" customHeight="1">
      <c r="A1519" s="33" t="s">
        <v>5422</v>
      </c>
      <c r="B1519" s="33" t="s">
        <v>697</v>
      </c>
      <c r="C1519" s="39">
        <v>46253.0</v>
      </c>
      <c r="D1519" s="33" t="s">
        <v>440</v>
      </c>
      <c r="E1519" s="40">
        <v>179.64</v>
      </c>
      <c r="F1519" s="40">
        <v>0.0</v>
      </c>
      <c r="G1519" s="33" t="s">
        <v>431</v>
      </c>
    </row>
    <row r="1520" ht="15.75" customHeight="1">
      <c r="A1520" s="33" t="s">
        <v>5424</v>
      </c>
      <c r="B1520" s="33" t="s">
        <v>2023</v>
      </c>
      <c r="C1520" s="39">
        <v>45779.0</v>
      </c>
      <c r="D1520" s="33" t="s">
        <v>440</v>
      </c>
      <c r="E1520" s="40">
        <v>25.69</v>
      </c>
      <c r="F1520" s="40">
        <v>0.0</v>
      </c>
      <c r="G1520" s="33" t="s">
        <v>431</v>
      </c>
    </row>
    <row r="1521" ht="15.75" customHeight="1">
      <c r="A1521" s="33" t="s">
        <v>5425</v>
      </c>
      <c r="B1521" s="33" t="s">
        <v>206</v>
      </c>
      <c r="C1521" s="39">
        <v>45880.0</v>
      </c>
      <c r="D1521" s="33" t="s">
        <v>428</v>
      </c>
      <c r="E1521" s="40">
        <v>79.76</v>
      </c>
      <c r="F1521" s="40">
        <v>0.0</v>
      </c>
      <c r="G1521" s="33" t="s">
        <v>442</v>
      </c>
    </row>
    <row r="1522" ht="15.75" customHeight="1">
      <c r="A1522" s="33" t="s">
        <v>5426</v>
      </c>
      <c r="B1522" s="33" t="s">
        <v>1615</v>
      </c>
      <c r="C1522" s="39">
        <v>46050.0</v>
      </c>
      <c r="D1522" s="33" t="s">
        <v>479</v>
      </c>
      <c r="E1522" s="40">
        <v>47.26</v>
      </c>
      <c r="F1522" s="40">
        <v>0.79</v>
      </c>
      <c r="G1522" s="33" t="s">
        <v>450</v>
      </c>
    </row>
    <row r="1523" ht="15.75" customHeight="1">
      <c r="A1523" s="33" t="s">
        <v>5428</v>
      </c>
      <c r="B1523" s="33" t="s">
        <v>587</v>
      </c>
      <c r="C1523" s="39">
        <v>46230.0</v>
      </c>
      <c r="D1523" s="33" t="s">
        <v>461</v>
      </c>
      <c r="E1523" s="40">
        <v>106.73</v>
      </c>
      <c r="F1523" s="40">
        <v>1.0</v>
      </c>
      <c r="G1523" s="33" t="s">
        <v>450</v>
      </c>
    </row>
    <row r="1524" ht="15.75" customHeight="1">
      <c r="A1524" s="33" t="s">
        <v>5429</v>
      </c>
      <c r="B1524" s="33" t="s">
        <v>2334</v>
      </c>
      <c r="C1524" s="39">
        <v>45802.0</v>
      </c>
      <c r="D1524" s="33" t="s">
        <v>428</v>
      </c>
      <c r="E1524" s="40">
        <v>310.12</v>
      </c>
      <c r="F1524" s="40">
        <v>0.0</v>
      </c>
      <c r="G1524" s="33" t="s">
        <v>431</v>
      </c>
    </row>
    <row r="1525" ht="15.75" customHeight="1">
      <c r="A1525" s="33" t="s">
        <v>5430</v>
      </c>
      <c r="B1525" s="33" t="s">
        <v>1805</v>
      </c>
      <c r="C1525" s="39">
        <v>46079.0</v>
      </c>
      <c r="D1525" s="33" t="s">
        <v>435</v>
      </c>
      <c r="E1525" s="40">
        <v>154.11</v>
      </c>
      <c r="F1525" s="40">
        <v>0.0</v>
      </c>
      <c r="G1525" s="33" t="s">
        <v>442</v>
      </c>
    </row>
    <row r="1526" ht="15.75" customHeight="1">
      <c r="A1526" s="33" t="s">
        <v>5432</v>
      </c>
      <c r="B1526" s="33" t="s">
        <v>2048</v>
      </c>
      <c r="C1526" s="39">
        <v>46191.0</v>
      </c>
      <c r="D1526" s="33" t="s">
        <v>428</v>
      </c>
      <c r="E1526" s="40">
        <v>113.56</v>
      </c>
      <c r="F1526" s="40">
        <v>0.0</v>
      </c>
      <c r="G1526" s="33" t="s">
        <v>431</v>
      </c>
    </row>
    <row r="1527" ht="15.75" customHeight="1">
      <c r="A1527" s="33" t="s">
        <v>5434</v>
      </c>
      <c r="B1527" s="33" t="s">
        <v>866</v>
      </c>
      <c r="C1527" s="39">
        <v>46042.0</v>
      </c>
      <c r="D1527" s="33" t="s">
        <v>435</v>
      </c>
      <c r="E1527" s="40">
        <v>136.6</v>
      </c>
      <c r="F1527" s="40">
        <v>0.0</v>
      </c>
      <c r="G1527" s="33" t="s">
        <v>450</v>
      </c>
    </row>
    <row r="1528" ht="15.75" customHeight="1">
      <c r="A1528" s="33" t="s">
        <v>5436</v>
      </c>
      <c r="B1528" s="33" t="s">
        <v>649</v>
      </c>
      <c r="C1528" s="39">
        <v>45917.0</v>
      </c>
      <c r="D1528" s="33" t="s">
        <v>461</v>
      </c>
      <c r="E1528" s="40">
        <v>206.07</v>
      </c>
      <c r="F1528" s="40">
        <v>2.4</v>
      </c>
      <c r="G1528" s="33" t="s">
        <v>450</v>
      </c>
    </row>
    <row r="1529" ht="15.75" customHeight="1">
      <c r="A1529" s="33" t="s">
        <v>5438</v>
      </c>
      <c r="B1529" s="33" t="s">
        <v>655</v>
      </c>
      <c r="C1529" s="39">
        <v>45800.0</v>
      </c>
      <c r="D1529" s="33" t="s">
        <v>461</v>
      </c>
      <c r="E1529" s="40">
        <v>144.78</v>
      </c>
      <c r="F1529" s="40">
        <v>0.99</v>
      </c>
      <c r="G1529" s="33" t="s">
        <v>431</v>
      </c>
    </row>
    <row r="1530" ht="15.75" customHeight="1">
      <c r="A1530" s="33" t="s">
        <v>5440</v>
      </c>
      <c r="B1530" s="33" t="s">
        <v>1392</v>
      </c>
      <c r="C1530" s="39">
        <v>45832.0</v>
      </c>
      <c r="D1530" s="33" t="s">
        <v>428</v>
      </c>
      <c r="E1530" s="40">
        <v>30.03</v>
      </c>
      <c r="F1530" s="40">
        <v>0.0</v>
      </c>
      <c r="G1530" s="33" t="s">
        <v>450</v>
      </c>
    </row>
    <row r="1531" ht="15.75" customHeight="1">
      <c r="A1531" s="33" t="s">
        <v>5441</v>
      </c>
      <c r="B1531" s="33" t="s">
        <v>2317</v>
      </c>
      <c r="C1531" s="39">
        <v>45689.0</v>
      </c>
      <c r="D1531" s="33" t="s">
        <v>435</v>
      </c>
      <c r="E1531" s="40">
        <v>241.82</v>
      </c>
      <c r="F1531" s="40">
        <v>0.0</v>
      </c>
      <c r="G1531" s="33" t="s">
        <v>450</v>
      </c>
    </row>
    <row r="1532" ht="15.75" customHeight="1">
      <c r="A1532" s="33" t="s">
        <v>5442</v>
      </c>
      <c r="B1532" s="33" t="s">
        <v>2268</v>
      </c>
      <c r="C1532" s="39">
        <v>45750.0</v>
      </c>
      <c r="D1532" s="33" t="s">
        <v>428</v>
      </c>
      <c r="E1532" s="40">
        <v>85.75</v>
      </c>
      <c r="F1532" s="40">
        <v>0.0</v>
      </c>
      <c r="G1532" s="33" t="s">
        <v>450</v>
      </c>
    </row>
    <row r="1533" ht="15.75" customHeight="1">
      <c r="A1533" s="33" t="s">
        <v>5444</v>
      </c>
      <c r="B1533" s="33" t="s">
        <v>769</v>
      </c>
      <c r="C1533" s="39">
        <v>45923.0</v>
      </c>
      <c r="D1533" s="33" t="s">
        <v>461</v>
      </c>
      <c r="E1533" s="40">
        <v>103.7</v>
      </c>
      <c r="F1533" s="40">
        <v>1.4</v>
      </c>
      <c r="G1533" s="33" t="s">
        <v>450</v>
      </c>
    </row>
    <row r="1534" ht="15.75" customHeight="1">
      <c r="A1534" s="33" t="s">
        <v>5446</v>
      </c>
      <c r="B1534" s="33" t="s">
        <v>1023</v>
      </c>
      <c r="C1534" s="39">
        <v>45743.0</v>
      </c>
      <c r="D1534" s="33" t="s">
        <v>435</v>
      </c>
      <c r="E1534" s="40">
        <v>179.5</v>
      </c>
      <c r="F1534" s="40">
        <v>0.0</v>
      </c>
      <c r="G1534" s="33" t="s">
        <v>450</v>
      </c>
    </row>
    <row r="1535" ht="15.75" customHeight="1">
      <c r="A1535" s="33" t="s">
        <v>5447</v>
      </c>
      <c r="B1535" s="33" t="s">
        <v>2334</v>
      </c>
      <c r="C1535" s="39">
        <v>45664.0</v>
      </c>
      <c r="D1535" s="33" t="s">
        <v>479</v>
      </c>
      <c r="E1535" s="40">
        <v>300.31</v>
      </c>
      <c r="F1535" s="40">
        <v>2.97</v>
      </c>
      <c r="G1535" s="33" t="s">
        <v>450</v>
      </c>
    </row>
    <row r="1536" ht="15.75" customHeight="1">
      <c r="A1536" s="33" t="s">
        <v>5448</v>
      </c>
      <c r="B1536" s="33" t="s">
        <v>1392</v>
      </c>
      <c r="C1536" s="39">
        <v>46078.0</v>
      </c>
      <c r="D1536" s="33" t="s">
        <v>428</v>
      </c>
      <c r="E1536" s="40">
        <v>56.38</v>
      </c>
      <c r="F1536" s="40">
        <v>0.0</v>
      </c>
      <c r="G1536" s="33" t="s">
        <v>442</v>
      </c>
    </row>
    <row r="1537" ht="15.75" customHeight="1">
      <c r="A1537" s="33" t="s">
        <v>5450</v>
      </c>
      <c r="B1537" s="33" t="s">
        <v>3978</v>
      </c>
      <c r="C1537" s="39">
        <v>45701.0</v>
      </c>
      <c r="D1537" s="33" t="s">
        <v>479</v>
      </c>
      <c r="E1537" s="40">
        <v>172.9</v>
      </c>
      <c r="F1537" s="40">
        <v>2.34</v>
      </c>
      <c r="G1537" s="33" t="s">
        <v>450</v>
      </c>
    </row>
    <row r="1538" ht="15.75" customHeight="1">
      <c r="A1538" s="33" t="s">
        <v>5452</v>
      </c>
      <c r="B1538" s="33" t="s">
        <v>3075</v>
      </c>
      <c r="C1538" s="39">
        <v>45743.0</v>
      </c>
      <c r="D1538" s="33" t="s">
        <v>440</v>
      </c>
      <c r="E1538" s="40">
        <v>53.63</v>
      </c>
      <c r="F1538" s="40">
        <v>0.0</v>
      </c>
      <c r="G1538" s="33" t="s">
        <v>450</v>
      </c>
    </row>
    <row r="1539" ht="15.75" customHeight="1">
      <c r="A1539" s="33" t="s">
        <v>5453</v>
      </c>
      <c r="B1539" s="33" t="s">
        <v>1743</v>
      </c>
      <c r="C1539" s="39">
        <v>46019.0</v>
      </c>
      <c r="D1539" s="33" t="s">
        <v>440</v>
      </c>
      <c r="E1539" s="40">
        <v>97.62</v>
      </c>
      <c r="F1539" s="40">
        <v>0.0</v>
      </c>
      <c r="G1539" s="33" t="s">
        <v>450</v>
      </c>
    </row>
    <row r="1540" ht="15.75" customHeight="1">
      <c r="A1540" s="33" t="s">
        <v>5455</v>
      </c>
      <c r="B1540" s="33" t="s">
        <v>236</v>
      </c>
      <c r="C1540" s="39">
        <v>46217.0</v>
      </c>
      <c r="D1540" s="33" t="s">
        <v>479</v>
      </c>
      <c r="E1540" s="40">
        <v>21.56</v>
      </c>
      <c r="F1540" s="40">
        <v>0.13</v>
      </c>
      <c r="G1540" s="33" t="s">
        <v>450</v>
      </c>
    </row>
    <row r="1541" ht="15.75" customHeight="1">
      <c r="A1541" s="33" t="s">
        <v>5456</v>
      </c>
      <c r="B1541" s="33" t="s">
        <v>887</v>
      </c>
      <c r="C1541" s="39">
        <v>46097.0</v>
      </c>
      <c r="D1541" s="33" t="s">
        <v>428</v>
      </c>
      <c r="E1541" s="40">
        <v>53.87</v>
      </c>
      <c r="F1541" s="40">
        <v>0.0</v>
      </c>
      <c r="G1541" s="33" t="s">
        <v>442</v>
      </c>
    </row>
    <row r="1542" ht="15.75" customHeight="1">
      <c r="A1542" s="33" t="s">
        <v>5458</v>
      </c>
      <c r="B1542" s="33" t="s">
        <v>1476</v>
      </c>
      <c r="C1542" s="39">
        <v>45677.0</v>
      </c>
      <c r="D1542" s="33" t="s">
        <v>461</v>
      </c>
      <c r="E1542" s="40">
        <v>94.08</v>
      </c>
      <c r="F1542" s="40">
        <v>1.56</v>
      </c>
      <c r="G1542" s="33" t="s">
        <v>450</v>
      </c>
    </row>
    <row r="1543" ht="15.75" customHeight="1">
      <c r="A1543" s="33" t="s">
        <v>5459</v>
      </c>
      <c r="B1543" s="33" t="s">
        <v>3864</v>
      </c>
      <c r="C1543" s="39">
        <v>45759.0</v>
      </c>
      <c r="D1543" s="33" t="s">
        <v>461</v>
      </c>
      <c r="E1543" s="40">
        <v>117.94</v>
      </c>
      <c r="F1543" s="40">
        <v>1.05</v>
      </c>
      <c r="G1543" s="33" t="s">
        <v>450</v>
      </c>
    </row>
    <row r="1544" ht="15.75" customHeight="1">
      <c r="A1544" s="33" t="s">
        <v>5461</v>
      </c>
      <c r="B1544" s="33" t="s">
        <v>1402</v>
      </c>
      <c r="C1544" s="39">
        <v>46107.0</v>
      </c>
      <c r="D1544" s="33" t="s">
        <v>461</v>
      </c>
      <c r="E1544" s="40">
        <v>113.25</v>
      </c>
      <c r="F1544" s="40">
        <v>1.34</v>
      </c>
      <c r="G1544" s="33" t="s">
        <v>450</v>
      </c>
    </row>
    <row r="1545" ht="15.75" customHeight="1">
      <c r="A1545" s="33" t="s">
        <v>5462</v>
      </c>
      <c r="B1545" s="33" t="s">
        <v>1605</v>
      </c>
      <c r="C1545" s="39">
        <v>46102.0</v>
      </c>
      <c r="D1545" s="33" t="s">
        <v>461</v>
      </c>
      <c r="E1545" s="40">
        <v>158.13</v>
      </c>
      <c r="F1545" s="40">
        <v>1.98</v>
      </c>
      <c r="G1545" s="33" t="s">
        <v>431</v>
      </c>
    </row>
    <row r="1546" ht="15.75" customHeight="1">
      <c r="A1546" s="33" t="s">
        <v>5463</v>
      </c>
      <c r="B1546" s="33" t="s">
        <v>1065</v>
      </c>
      <c r="C1546" s="39">
        <v>45895.0</v>
      </c>
      <c r="D1546" s="33" t="s">
        <v>479</v>
      </c>
      <c r="E1546" s="40">
        <v>60.39</v>
      </c>
      <c r="F1546" s="40">
        <v>1.07</v>
      </c>
      <c r="G1546" s="33" t="s">
        <v>450</v>
      </c>
    </row>
    <row r="1547" ht="15.75" customHeight="1">
      <c r="A1547" s="33" t="s">
        <v>5464</v>
      </c>
      <c r="B1547" s="33" t="s">
        <v>183</v>
      </c>
      <c r="C1547" s="39">
        <v>46234.0</v>
      </c>
      <c r="D1547" s="33" t="s">
        <v>461</v>
      </c>
      <c r="E1547" s="40">
        <v>74.7</v>
      </c>
      <c r="F1547" s="40">
        <v>0.51</v>
      </c>
      <c r="G1547" s="33" t="s">
        <v>450</v>
      </c>
    </row>
    <row r="1548" ht="15.75" customHeight="1">
      <c r="A1548" s="33" t="s">
        <v>5466</v>
      </c>
      <c r="B1548" s="33" t="s">
        <v>220</v>
      </c>
      <c r="C1548" s="39">
        <v>46197.0</v>
      </c>
      <c r="D1548" s="33" t="s">
        <v>440</v>
      </c>
      <c r="E1548" s="40">
        <v>77.48</v>
      </c>
      <c r="F1548" s="40">
        <v>0.0</v>
      </c>
      <c r="G1548" s="33" t="s">
        <v>431</v>
      </c>
    </row>
    <row r="1549" ht="15.75" customHeight="1">
      <c r="A1549" s="33" t="s">
        <v>5468</v>
      </c>
      <c r="B1549" s="33" t="s">
        <v>2212</v>
      </c>
      <c r="C1549" s="39">
        <v>46109.0</v>
      </c>
      <c r="D1549" s="33" t="s">
        <v>479</v>
      </c>
      <c r="E1549" s="40">
        <v>63.96</v>
      </c>
      <c r="F1549" s="40">
        <v>0.35</v>
      </c>
      <c r="G1549" s="33" t="s">
        <v>450</v>
      </c>
    </row>
    <row r="1550" ht="15.75" customHeight="1">
      <c r="A1550" s="33" t="s">
        <v>5469</v>
      </c>
      <c r="B1550" s="33" t="s">
        <v>1620</v>
      </c>
      <c r="C1550" s="39">
        <v>46112.0</v>
      </c>
      <c r="D1550" s="33" t="s">
        <v>440</v>
      </c>
      <c r="E1550" s="40">
        <v>38.75</v>
      </c>
      <c r="F1550" s="40">
        <v>0.0</v>
      </c>
      <c r="G1550" s="33" t="s">
        <v>442</v>
      </c>
    </row>
    <row r="1551" ht="15.75" customHeight="1">
      <c r="A1551" s="33" t="s">
        <v>5470</v>
      </c>
      <c r="B1551" s="33" t="s">
        <v>213</v>
      </c>
      <c r="C1551" s="39">
        <v>46134.0</v>
      </c>
      <c r="D1551" s="33" t="s">
        <v>428</v>
      </c>
      <c r="E1551" s="40">
        <v>86.18</v>
      </c>
      <c r="F1551" s="40">
        <v>0.0</v>
      </c>
      <c r="G1551" s="33" t="s">
        <v>450</v>
      </c>
    </row>
    <row r="1552" ht="15.75" customHeight="1">
      <c r="A1552" s="33" t="s">
        <v>5472</v>
      </c>
      <c r="B1552" s="33" t="s">
        <v>1490</v>
      </c>
      <c r="C1552" s="39">
        <v>45748.0</v>
      </c>
      <c r="D1552" s="33" t="s">
        <v>461</v>
      </c>
      <c r="E1552" s="40">
        <v>140.89</v>
      </c>
      <c r="F1552" s="40">
        <v>2.23</v>
      </c>
      <c r="G1552" s="33" t="s">
        <v>442</v>
      </c>
    </row>
    <row r="1553" ht="15.75" customHeight="1">
      <c r="A1553" s="33" t="s">
        <v>5473</v>
      </c>
      <c r="B1553" s="33" t="s">
        <v>2958</v>
      </c>
      <c r="C1553" s="39">
        <v>46083.0</v>
      </c>
      <c r="D1553" s="33" t="s">
        <v>479</v>
      </c>
      <c r="E1553" s="40">
        <v>102.18</v>
      </c>
      <c r="F1553" s="40">
        <v>0.57</v>
      </c>
      <c r="G1553" s="33" t="s">
        <v>442</v>
      </c>
    </row>
    <row r="1554" ht="15.75" customHeight="1">
      <c r="A1554" s="33" t="s">
        <v>5474</v>
      </c>
      <c r="B1554" s="33" t="s">
        <v>2957</v>
      </c>
      <c r="C1554" s="39">
        <v>46228.0</v>
      </c>
      <c r="D1554" s="33" t="s">
        <v>479</v>
      </c>
      <c r="E1554" s="40">
        <v>57.89</v>
      </c>
      <c r="F1554" s="40">
        <v>1.11</v>
      </c>
      <c r="G1554" s="33" t="s">
        <v>450</v>
      </c>
    </row>
    <row r="1555" ht="15.75" customHeight="1">
      <c r="A1555" s="33" t="s">
        <v>5476</v>
      </c>
      <c r="B1555" s="33" t="s">
        <v>1080</v>
      </c>
      <c r="C1555" s="39">
        <v>45794.0</v>
      </c>
      <c r="D1555" s="33" t="s">
        <v>479</v>
      </c>
      <c r="E1555" s="40">
        <v>87.43</v>
      </c>
      <c r="F1555" s="40">
        <v>1.0</v>
      </c>
      <c r="G1555" s="33" t="s">
        <v>450</v>
      </c>
    </row>
    <row r="1556" ht="15.75" customHeight="1">
      <c r="A1556" s="33" t="s">
        <v>5478</v>
      </c>
      <c r="B1556" s="33" t="s">
        <v>2917</v>
      </c>
      <c r="C1556" s="39">
        <v>45666.0</v>
      </c>
      <c r="D1556" s="33" t="s">
        <v>461</v>
      </c>
      <c r="E1556" s="40">
        <v>55.11</v>
      </c>
      <c r="F1556" s="40">
        <v>0.97</v>
      </c>
      <c r="G1556" s="33" t="s">
        <v>450</v>
      </c>
    </row>
    <row r="1557" ht="15.75" customHeight="1">
      <c r="A1557" s="33" t="s">
        <v>5479</v>
      </c>
      <c r="B1557" s="33" t="s">
        <v>1476</v>
      </c>
      <c r="C1557" s="39">
        <v>45877.0</v>
      </c>
      <c r="D1557" s="33" t="s">
        <v>440</v>
      </c>
      <c r="E1557" s="40">
        <v>120.04</v>
      </c>
      <c r="F1557" s="40">
        <v>0.0</v>
      </c>
      <c r="G1557" s="33" t="s">
        <v>450</v>
      </c>
    </row>
    <row r="1558" ht="15.75" customHeight="1">
      <c r="A1558" s="33" t="s">
        <v>5480</v>
      </c>
      <c r="B1558" s="33" t="s">
        <v>575</v>
      </c>
      <c r="C1558" s="39">
        <v>45821.0</v>
      </c>
      <c r="D1558" s="33" t="s">
        <v>428</v>
      </c>
      <c r="E1558" s="40">
        <v>144.09</v>
      </c>
      <c r="F1558" s="40">
        <v>0.0</v>
      </c>
      <c r="G1558" s="33" t="s">
        <v>450</v>
      </c>
    </row>
    <row r="1559" ht="15.75" customHeight="1">
      <c r="A1559" s="33" t="s">
        <v>5482</v>
      </c>
      <c r="B1559" s="33" t="s">
        <v>1300</v>
      </c>
      <c r="C1559" s="39">
        <v>46234.0</v>
      </c>
      <c r="D1559" s="33" t="s">
        <v>440</v>
      </c>
      <c r="E1559" s="40">
        <v>146.46</v>
      </c>
      <c r="F1559" s="40">
        <v>0.0</v>
      </c>
      <c r="G1559" s="33" t="s">
        <v>450</v>
      </c>
    </row>
    <row r="1560" ht="15.75" customHeight="1">
      <c r="A1560" s="33" t="s">
        <v>5483</v>
      </c>
      <c r="B1560" s="33" t="s">
        <v>701</v>
      </c>
      <c r="C1560" s="39">
        <v>45928.0</v>
      </c>
      <c r="D1560" s="33" t="s">
        <v>435</v>
      </c>
      <c r="E1560" s="40">
        <v>68.92</v>
      </c>
      <c r="F1560" s="40">
        <v>0.0</v>
      </c>
      <c r="G1560" s="33" t="s">
        <v>450</v>
      </c>
    </row>
    <row r="1561" ht="15.75" customHeight="1">
      <c r="A1561" s="33" t="s">
        <v>5485</v>
      </c>
      <c r="B1561" s="33" t="s">
        <v>815</v>
      </c>
      <c r="C1561" s="39">
        <v>46059.0</v>
      </c>
      <c r="D1561" s="33" t="s">
        <v>461</v>
      </c>
      <c r="E1561" s="40">
        <v>56.05</v>
      </c>
      <c r="F1561" s="40">
        <v>0.71</v>
      </c>
      <c r="G1561" s="33" t="s">
        <v>442</v>
      </c>
    </row>
    <row r="1562" ht="15.75" customHeight="1">
      <c r="A1562" s="33" t="s">
        <v>5487</v>
      </c>
      <c r="B1562" s="33" t="s">
        <v>438</v>
      </c>
      <c r="C1562" s="39">
        <v>46254.0</v>
      </c>
      <c r="D1562" s="33" t="s">
        <v>461</v>
      </c>
      <c r="E1562" s="40">
        <v>158.13</v>
      </c>
      <c r="F1562" s="40">
        <v>2.71</v>
      </c>
      <c r="G1562" s="33" t="s">
        <v>450</v>
      </c>
    </row>
    <row r="1563" ht="15.75" customHeight="1">
      <c r="A1563" s="33" t="s">
        <v>5489</v>
      </c>
      <c r="B1563" s="33" t="s">
        <v>2914</v>
      </c>
      <c r="C1563" s="39">
        <v>46136.0</v>
      </c>
      <c r="D1563" s="33" t="s">
        <v>440</v>
      </c>
      <c r="E1563" s="40">
        <v>64.94</v>
      </c>
      <c r="F1563" s="40">
        <v>0.0</v>
      </c>
      <c r="G1563" s="33" t="s">
        <v>431</v>
      </c>
    </row>
    <row r="1564" ht="15.75" customHeight="1">
      <c r="A1564" s="33" t="s">
        <v>5491</v>
      </c>
      <c r="B1564" s="33" t="s">
        <v>1876</v>
      </c>
      <c r="C1564" s="39">
        <v>46112.0</v>
      </c>
      <c r="D1564" s="33" t="s">
        <v>461</v>
      </c>
      <c r="E1564" s="40">
        <v>86.4</v>
      </c>
      <c r="F1564" s="40">
        <v>1.52</v>
      </c>
      <c r="G1564" s="33" t="s">
        <v>442</v>
      </c>
    </row>
    <row r="1565" ht="15.75" customHeight="1">
      <c r="A1565" s="33" t="s">
        <v>5492</v>
      </c>
      <c r="B1565" s="33" t="s">
        <v>402</v>
      </c>
      <c r="C1565" s="39">
        <v>46245.0</v>
      </c>
      <c r="D1565" s="33" t="s">
        <v>461</v>
      </c>
      <c r="E1565" s="40">
        <v>101.42</v>
      </c>
      <c r="F1565" s="40">
        <v>0.64</v>
      </c>
      <c r="G1565" s="33" t="s">
        <v>431</v>
      </c>
    </row>
    <row r="1566" ht="15.75" customHeight="1">
      <c r="A1566" s="33" t="s">
        <v>5493</v>
      </c>
      <c r="B1566" s="33" t="s">
        <v>955</v>
      </c>
      <c r="C1566" s="39">
        <v>46076.0</v>
      </c>
      <c r="D1566" s="33" t="s">
        <v>461</v>
      </c>
      <c r="E1566" s="40">
        <v>81.24</v>
      </c>
      <c r="F1566" s="40">
        <v>1.15</v>
      </c>
      <c r="G1566" s="33" t="s">
        <v>450</v>
      </c>
    </row>
    <row r="1567" ht="15.75" customHeight="1">
      <c r="A1567" s="33" t="s">
        <v>5494</v>
      </c>
      <c r="B1567" s="33" t="s">
        <v>1979</v>
      </c>
      <c r="C1567" s="39">
        <v>45798.0</v>
      </c>
      <c r="D1567" s="33" t="s">
        <v>428</v>
      </c>
      <c r="E1567" s="40">
        <v>132.09</v>
      </c>
      <c r="F1567" s="40">
        <v>0.0</v>
      </c>
      <c r="G1567" s="33" t="s">
        <v>442</v>
      </c>
    </row>
    <row r="1568" ht="15.75" customHeight="1">
      <c r="A1568" s="33" t="s">
        <v>5495</v>
      </c>
      <c r="B1568" s="33" t="s">
        <v>2469</v>
      </c>
      <c r="C1568" s="39">
        <v>46099.0</v>
      </c>
      <c r="D1568" s="33" t="s">
        <v>428</v>
      </c>
      <c r="E1568" s="40">
        <v>24.02</v>
      </c>
      <c r="F1568" s="40">
        <v>0.0</v>
      </c>
      <c r="G1568" s="33" t="s">
        <v>450</v>
      </c>
    </row>
    <row r="1569" ht="15.75" customHeight="1">
      <c r="A1569" s="33" t="s">
        <v>5497</v>
      </c>
      <c r="B1569" s="33" t="s">
        <v>569</v>
      </c>
      <c r="C1569" s="39">
        <v>45853.0</v>
      </c>
      <c r="D1569" s="33" t="s">
        <v>479</v>
      </c>
      <c r="E1569" s="40">
        <v>112.42</v>
      </c>
      <c r="F1569" s="40">
        <v>1.56</v>
      </c>
      <c r="G1569" s="33" t="s">
        <v>442</v>
      </c>
    </row>
    <row r="1570" ht="15.75" customHeight="1">
      <c r="A1570" s="33" t="s">
        <v>5499</v>
      </c>
      <c r="B1570" s="33" t="s">
        <v>711</v>
      </c>
      <c r="C1570" s="39">
        <v>45858.0</v>
      </c>
      <c r="D1570" s="33" t="s">
        <v>440</v>
      </c>
      <c r="E1570" s="40">
        <v>43.42</v>
      </c>
      <c r="F1570" s="40">
        <v>0.0</v>
      </c>
      <c r="G1570" s="33" t="s">
        <v>450</v>
      </c>
    </row>
    <row r="1571" ht="15.75" customHeight="1">
      <c r="A1571" s="33" t="s">
        <v>5500</v>
      </c>
      <c r="B1571" s="33" t="s">
        <v>3807</v>
      </c>
      <c r="C1571" s="39">
        <v>46049.0</v>
      </c>
      <c r="D1571" s="33" t="s">
        <v>435</v>
      </c>
      <c r="E1571" s="40">
        <v>59.58</v>
      </c>
      <c r="F1571" s="40">
        <v>0.0</v>
      </c>
      <c r="G1571" s="33" t="s">
        <v>442</v>
      </c>
    </row>
    <row r="1572" ht="15.75" customHeight="1">
      <c r="A1572" s="33" t="s">
        <v>5502</v>
      </c>
      <c r="B1572" s="33" t="s">
        <v>2570</v>
      </c>
      <c r="C1572" s="39">
        <v>45849.0</v>
      </c>
      <c r="D1572" s="33" t="s">
        <v>479</v>
      </c>
      <c r="E1572" s="40">
        <v>92.54</v>
      </c>
      <c r="F1572" s="40">
        <v>0.78</v>
      </c>
      <c r="G1572" s="33" t="s">
        <v>450</v>
      </c>
    </row>
    <row r="1573" ht="15.75" customHeight="1">
      <c r="A1573" s="33" t="s">
        <v>5503</v>
      </c>
      <c r="B1573" s="33" t="s">
        <v>1834</v>
      </c>
      <c r="C1573" s="39">
        <v>45672.0</v>
      </c>
      <c r="D1573" s="33" t="s">
        <v>461</v>
      </c>
      <c r="E1573" s="40">
        <v>18.54</v>
      </c>
      <c r="F1573" s="40">
        <v>0.12</v>
      </c>
      <c r="G1573" s="33" t="s">
        <v>442</v>
      </c>
    </row>
    <row r="1574" ht="15.75" customHeight="1">
      <c r="A1574" s="33" t="s">
        <v>5504</v>
      </c>
      <c r="B1574" s="33" t="s">
        <v>2447</v>
      </c>
      <c r="C1574" s="39">
        <v>46264.0</v>
      </c>
      <c r="D1574" s="33" t="s">
        <v>461</v>
      </c>
      <c r="E1574" s="40">
        <v>71.78</v>
      </c>
      <c r="F1574" s="40">
        <v>0.44</v>
      </c>
      <c r="G1574" s="33" t="s">
        <v>431</v>
      </c>
    </row>
    <row r="1575" ht="15.75" customHeight="1">
      <c r="A1575" s="33" t="s">
        <v>5506</v>
      </c>
      <c r="B1575" s="33" t="s">
        <v>804</v>
      </c>
      <c r="C1575" s="39">
        <v>46004.0</v>
      </c>
      <c r="D1575" s="33" t="s">
        <v>435</v>
      </c>
      <c r="E1575" s="40">
        <v>62.85</v>
      </c>
      <c r="F1575" s="40">
        <v>0.0</v>
      </c>
      <c r="G1575" s="33" t="s">
        <v>450</v>
      </c>
    </row>
    <row r="1576" ht="15.75" customHeight="1">
      <c r="A1576" s="33" t="s">
        <v>5507</v>
      </c>
      <c r="B1576" s="33" t="s">
        <v>4287</v>
      </c>
      <c r="C1576" s="39">
        <v>46064.0</v>
      </c>
      <c r="D1576" s="33" t="s">
        <v>461</v>
      </c>
      <c r="E1576" s="40">
        <v>74.75</v>
      </c>
      <c r="F1576" s="40">
        <v>1.11</v>
      </c>
      <c r="G1576" s="33" t="s">
        <v>450</v>
      </c>
    </row>
    <row r="1577" ht="15.75" customHeight="1">
      <c r="A1577" s="33" t="s">
        <v>5508</v>
      </c>
      <c r="B1577" s="33" t="s">
        <v>861</v>
      </c>
      <c r="C1577" s="39">
        <v>46148.0</v>
      </c>
      <c r="D1577" s="33" t="s">
        <v>461</v>
      </c>
      <c r="E1577" s="40">
        <v>60.22</v>
      </c>
      <c r="F1577" s="40">
        <v>0.68</v>
      </c>
      <c r="G1577" s="33" t="s">
        <v>450</v>
      </c>
    </row>
    <row r="1578" ht="15.75" customHeight="1">
      <c r="A1578" s="33" t="s">
        <v>5510</v>
      </c>
      <c r="B1578" s="33" t="s">
        <v>2110</v>
      </c>
      <c r="C1578" s="39">
        <v>46043.0</v>
      </c>
      <c r="D1578" s="33" t="s">
        <v>461</v>
      </c>
      <c r="E1578" s="40">
        <v>86.81</v>
      </c>
      <c r="F1578" s="40">
        <v>0.89</v>
      </c>
      <c r="G1578" s="33" t="s">
        <v>450</v>
      </c>
    </row>
    <row r="1579" ht="15.75" customHeight="1">
      <c r="A1579" s="33" t="s">
        <v>5511</v>
      </c>
      <c r="B1579" s="33" t="s">
        <v>3807</v>
      </c>
      <c r="C1579" s="39">
        <v>46028.0</v>
      </c>
      <c r="D1579" s="33" t="s">
        <v>479</v>
      </c>
      <c r="E1579" s="40">
        <v>53.54</v>
      </c>
      <c r="F1579" s="40">
        <v>1.0</v>
      </c>
      <c r="G1579" s="33" t="s">
        <v>431</v>
      </c>
    </row>
    <row r="1580" ht="15.75" customHeight="1">
      <c r="A1580" s="33" t="s">
        <v>5513</v>
      </c>
      <c r="B1580" s="33" t="s">
        <v>356</v>
      </c>
      <c r="C1580" s="39">
        <v>46138.0</v>
      </c>
      <c r="D1580" s="33" t="s">
        <v>435</v>
      </c>
      <c r="E1580" s="40">
        <v>78.97</v>
      </c>
      <c r="F1580" s="40">
        <v>0.0</v>
      </c>
      <c r="G1580" s="33" t="s">
        <v>450</v>
      </c>
    </row>
    <row r="1581" ht="15.75" customHeight="1">
      <c r="A1581" s="33" t="s">
        <v>5515</v>
      </c>
      <c r="B1581" s="33" t="s">
        <v>1382</v>
      </c>
      <c r="C1581" s="39">
        <v>45837.0</v>
      </c>
      <c r="D1581" s="33" t="s">
        <v>479</v>
      </c>
      <c r="E1581" s="40">
        <v>92.38</v>
      </c>
      <c r="F1581" s="40">
        <v>1.21</v>
      </c>
      <c r="G1581" s="33" t="s">
        <v>431</v>
      </c>
    </row>
    <row r="1582" ht="15.75" customHeight="1">
      <c r="A1582" s="33" t="s">
        <v>5516</v>
      </c>
      <c r="B1582" s="33" t="s">
        <v>1237</v>
      </c>
      <c r="C1582" s="39">
        <v>46160.0</v>
      </c>
      <c r="D1582" s="33" t="s">
        <v>461</v>
      </c>
      <c r="E1582" s="40">
        <v>161.97</v>
      </c>
      <c r="F1582" s="40">
        <v>1.92</v>
      </c>
      <c r="G1582" s="33" t="s">
        <v>442</v>
      </c>
    </row>
    <row r="1583" ht="15.75" customHeight="1">
      <c r="A1583" s="33" t="s">
        <v>5518</v>
      </c>
      <c r="B1583" s="33" t="s">
        <v>258</v>
      </c>
      <c r="C1583" s="39">
        <v>46097.0</v>
      </c>
      <c r="D1583" s="33" t="s">
        <v>479</v>
      </c>
      <c r="E1583" s="40">
        <v>185.92</v>
      </c>
      <c r="F1583" s="40">
        <v>1.68</v>
      </c>
      <c r="G1583" s="33" t="s">
        <v>442</v>
      </c>
    </row>
    <row r="1584" ht="15.75" customHeight="1">
      <c r="A1584" s="33" t="s">
        <v>5519</v>
      </c>
      <c r="B1584" s="33" t="s">
        <v>3190</v>
      </c>
      <c r="C1584" s="39">
        <v>45768.0</v>
      </c>
      <c r="D1584" s="33" t="s">
        <v>479</v>
      </c>
      <c r="E1584" s="40">
        <v>25.97</v>
      </c>
      <c r="F1584" s="40">
        <v>0.31</v>
      </c>
      <c r="G1584" s="33" t="s">
        <v>431</v>
      </c>
    </row>
    <row r="1585" ht="15.75" customHeight="1">
      <c r="A1585" s="33" t="s">
        <v>5521</v>
      </c>
      <c r="B1585" s="33" t="s">
        <v>777</v>
      </c>
      <c r="C1585" s="39">
        <v>45746.0</v>
      </c>
      <c r="D1585" s="33" t="s">
        <v>479</v>
      </c>
      <c r="E1585" s="40">
        <v>170.38</v>
      </c>
      <c r="F1585" s="40">
        <v>1.9</v>
      </c>
      <c r="G1585" s="33" t="s">
        <v>450</v>
      </c>
    </row>
    <row r="1586" ht="15.75" customHeight="1">
      <c r="A1586" s="33" t="s">
        <v>5523</v>
      </c>
      <c r="B1586" s="33" t="s">
        <v>1549</v>
      </c>
      <c r="C1586" s="39">
        <v>46191.0</v>
      </c>
      <c r="D1586" s="33" t="s">
        <v>479</v>
      </c>
      <c r="E1586" s="40">
        <v>38.54</v>
      </c>
      <c r="F1586" s="40">
        <v>0.2</v>
      </c>
      <c r="G1586" s="33" t="s">
        <v>442</v>
      </c>
    </row>
    <row r="1587" ht="15.75" customHeight="1">
      <c r="A1587" s="33" t="s">
        <v>5524</v>
      </c>
      <c r="B1587" s="33" t="s">
        <v>1517</v>
      </c>
      <c r="C1587" s="39">
        <v>46201.0</v>
      </c>
      <c r="D1587" s="33" t="s">
        <v>440</v>
      </c>
      <c r="E1587" s="40">
        <v>79.45</v>
      </c>
      <c r="F1587" s="40">
        <v>0.0</v>
      </c>
      <c r="G1587" s="33" t="s">
        <v>442</v>
      </c>
    </row>
    <row r="1588" ht="15.75" customHeight="1">
      <c r="A1588" s="33" t="s">
        <v>5525</v>
      </c>
      <c r="B1588" s="33" t="s">
        <v>3687</v>
      </c>
      <c r="C1588" s="39">
        <v>46261.0</v>
      </c>
      <c r="D1588" s="33" t="s">
        <v>461</v>
      </c>
      <c r="E1588" s="40">
        <v>19.83</v>
      </c>
      <c r="F1588" s="40">
        <v>0.23</v>
      </c>
      <c r="G1588" s="33" t="s">
        <v>431</v>
      </c>
    </row>
    <row r="1589" ht="15.75" customHeight="1">
      <c r="A1589" s="33" t="s">
        <v>5528</v>
      </c>
      <c r="B1589" s="33" t="s">
        <v>2066</v>
      </c>
      <c r="C1589" s="39">
        <v>45719.0</v>
      </c>
      <c r="D1589" s="33" t="s">
        <v>440</v>
      </c>
      <c r="E1589" s="40">
        <v>11.32</v>
      </c>
      <c r="F1589" s="40">
        <v>0.0</v>
      </c>
      <c r="G1589" s="33" t="s">
        <v>450</v>
      </c>
    </row>
    <row r="1590" ht="15.75" customHeight="1">
      <c r="A1590" s="33" t="s">
        <v>5530</v>
      </c>
      <c r="B1590" s="33" t="s">
        <v>3305</v>
      </c>
      <c r="C1590" s="39">
        <v>46201.0</v>
      </c>
      <c r="D1590" s="33" t="s">
        <v>479</v>
      </c>
      <c r="E1590" s="40">
        <v>298.37</v>
      </c>
      <c r="F1590" s="40">
        <v>4.47</v>
      </c>
      <c r="G1590" s="33" t="s">
        <v>442</v>
      </c>
    </row>
    <row r="1591" ht="15.75" customHeight="1">
      <c r="A1591" s="33" t="s">
        <v>5532</v>
      </c>
      <c r="B1591" s="33" t="s">
        <v>3342</v>
      </c>
      <c r="C1591" s="39">
        <v>46182.0</v>
      </c>
      <c r="D1591" s="33" t="s">
        <v>479</v>
      </c>
      <c r="E1591" s="40">
        <v>81.02</v>
      </c>
      <c r="F1591" s="40">
        <v>0.95</v>
      </c>
      <c r="G1591" s="33" t="s">
        <v>450</v>
      </c>
    </row>
    <row r="1592" ht="15.75" customHeight="1">
      <c r="A1592" s="33" t="s">
        <v>5534</v>
      </c>
      <c r="B1592" s="33" t="s">
        <v>583</v>
      </c>
      <c r="C1592" s="39">
        <v>46123.0</v>
      </c>
      <c r="D1592" s="33" t="s">
        <v>461</v>
      </c>
      <c r="E1592" s="40">
        <v>68.44</v>
      </c>
      <c r="F1592" s="40">
        <v>0.66</v>
      </c>
      <c r="G1592" s="33" t="s">
        <v>431</v>
      </c>
    </row>
    <row r="1593" ht="15.75" customHeight="1">
      <c r="A1593" s="33" t="s">
        <v>5535</v>
      </c>
      <c r="B1593" s="33" t="s">
        <v>311</v>
      </c>
      <c r="C1593" s="39">
        <v>45960.0</v>
      </c>
      <c r="D1593" s="33" t="s">
        <v>428</v>
      </c>
      <c r="E1593" s="40">
        <v>100.17</v>
      </c>
      <c r="F1593" s="40">
        <v>0.0</v>
      </c>
      <c r="G1593" s="33" t="s">
        <v>450</v>
      </c>
    </row>
    <row r="1594" ht="15.75" customHeight="1">
      <c r="A1594" s="33" t="s">
        <v>5536</v>
      </c>
      <c r="B1594" s="33" t="s">
        <v>225</v>
      </c>
      <c r="C1594" s="39">
        <v>45966.0</v>
      </c>
      <c r="D1594" s="33" t="s">
        <v>461</v>
      </c>
      <c r="E1594" s="40">
        <v>69.67</v>
      </c>
      <c r="F1594" s="40">
        <v>0.41</v>
      </c>
      <c r="G1594" s="33" t="s">
        <v>431</v>
      </c>
    </row>
    <row r="1595" ht="15.75" customHeight="1">
      <c r="A1595" s="33" t="s">
        <v>5538</v>
      </c>
      <c r="B1595" s="33" t="s">
        <v>462</v>
      </c>
      <c r="C1595" s="39">
        <v>45918.0</v>
      </c>
      <c r="D1595" s="33" t="s">
        <v>435</v>
      </c>
      <c r="E1595" s="40">
        <v>142.91</v>
      </c>
      <c r="F1595" s="40">
        <v>0.0</v>
      </c>
      <c r="G1595" s="33" t="s">
        <v>450</v>
      </c>
    </row>
    <row r="1596" ht="15.75" customHeight="1">
      <c r="A1596" s="33" t="s">
        <v>5539</v>
      </c>
      <c r="B1596" s="33" t="s">
        <v>1995</v>
      </c>
      <c r="C1596" s="39">
        <v>45675.0</v>
      </c>
      <c r="D1596" s="33" t="s">
        <v>461</v>
      </c>
      <c r="E1596" s="40">
        <v>96.22</v>
      </c>
      <c r="F1596" s="40">
        <v>1.02</v>
      </c>
      <c r="G1596" s="33" t="s">
        <v>450</v>
      </c>
    </row>
    <row r="1597" ht="15.75" customHeight="1">
      <c r="A1597" s="33" t="s">
        <v>5540</v>
      </c>
      <c r="B1597" s="33" t="s">
        <v>268</v>
      </c>
      <c r="C1597" s="39">
        <v>45961.0</v>
      </c>
      <c r="D1597" s="33" t="s">
        <v>440</v>
      </c>
      <c r="E1597" s="40">
        <v>127.57</v>
      </c>
      <c r="F1597" s="40">
        <v>0.0</v>
      </c>
      <c r="G1597" s="33" t="s">
        <v>450</v>
      </c>
    </row>
    <row r="1598" ht="15.75" customHeight="1">
      <c r="A1598" s="33" t="s">
        <v>5542</v>
      </c>
      <c r="B1598" s="33" t="s">
        <v>2658</v>
      </c>
      <c r="C1598" s="39">
        <v>45801.0</v>
      </c>
      <c r="D1598" s="33" t="s">
        <v>435</v>
      </c>
      <c r="E1598" s="40">
        <v>43.8</v>
      </c>
      <c r="F1598" s="40">
        <v>0.0</v>
      </c>
      <c r="G1598" s="33" t="s">
        <v>442</v>
      </c>
    </row>
    <row r="1599" ht="15.75" customHeight="1">
      <c r="A1599" s="33" t="s">
        <v>5543</v>
      </c>
      <c r="B1599" s="33" t="s">
        <v>1224</v>
      </c>
      <c r="C1599" s="39">
        <v>45779.0</v>
      </c>
      <c r="D1599" s="33" t="s">
        <v>435</v>
      </c>
      <c r="E1599" s="40">
        <v>22.64</v>
      </c>
      <c r="F1599" s="40">
        <v>0.0</v>
      </c>
      <c r="G1599" s="33" t="s">
        <v>442</v>
      </c>
    </row>
    <row r="1600" ht="15.75" customHeight="1">
      <c r="A1600" s="33" t="s">
        <v>5544</v>
      </c>
      <c r="B1600" s="33" t="s">
        <v>1318</v>
      </c>
      <c r="C1600" s="39">
        <v>45691.0</v>
      </c>
      <c r="D1600" s="33" t="s">
        <v>428</v>
      </c>
      <c r="E1600" s="40">
        <v>153.95</v>
      </c>
      <c r="F1600" s="40">
        <v>0.0</v>
      </c>
      <c r="G1600" s="33" t="s">
        <v>450</v>
      </c>
    </row>
    <row r="1601" ht="15.75" customHeight="1">
      <c r="A1601" s="33" t="s">
        <v>5546</v>
      </c>
      <c r="B1601" s="33" t="s">
        <v>447</v>
      </c>
      <c r="C1601" s="39">
        <v>45935.0</v>
      </c>
      <c r="D1601" s="33" t="s">
        <v>479</v>
      </c>
      <c r="E1601" s="40">
        <v>103.23</v>
      </c>
      <c r="F1601" s="40">
        <v>1.82</v>
      </c>
      <c r="G1601" s="33" t="s">
        <v>442</v>
      </c>
    </row>
    <row r="1602" ht="15.75" customHeight="1">
      <c r="A1602" s="33" t="s">
        <v>5547</v>
      </c>
      <c r="B1602" s="33" t="s">
        <v>1616</v>
      </c>
      <c r="C1602" s="39">
        <v>45687.0</v>
      </c>
      <c r="D1602" s="33" t="s">
        <v>440</v>
      </c>
      <c r="E1602" s="40">
        <v>30.09</v>
      </c>
      <c r="F1602" s="40">
        <v>0.0</v>
      </c>
      <c r="G1602" s="33" t="s">
        <v>450</v>
      </c>
    </row>
    <row r="1603" ht="15.75" customHeight="1">
      <c r="A1603" s="33" t="s">
        <v>5548</v>
      </c>
      <c r="B1603" s="33" t="s">
        <v>1957</v>
      </c>
      <c r="C1603" s="39">
        <v>46173.0</v>
      </c>
      <c r="D1603" s="33" t="s">
        <v>435</v>
      </c>
      <c r="E1603" s="40">
        <v>30.54</v>
      </c>
      <c r="F1603" s="40">
        <v>0.0</v>
      </c>
      <c r="G1603" s="33" t="s">
        <v>450</v>
      </c>
    </row>
    <row r="1604" ht="15.75" customHeight="1">
      <c r="A1604" s="33" t="s">
        <v>5549</v>
      </c>
      <c r="B1604" s="33" t="s">
        <v>1476</v>
      </c>
      <c r="C1604" s="39">
        <v>46197.0</v>
      </c>
      <c r="D1604" s="33" t="s">
        <v>461</v>
      </c>
      <c r="E1604" s="40">
        <v>88.18</v>
      </c>
      <c r="F1604" s="40">
        <v>1.13</v>
      </c>
      <c r="G1604" s="33" t="s">
        <v>450</v>
      </c>
    </row>
    <row r="1605" ht="15.75" customHeight="1">
      <c r="A1605" s="33" t="s">
        <v>5550</v>
      </c>
      <c r="B1605" s="33" t="s">
        <v>2957</v>
      </c>
      <c r="C1605" s="39">
        <v>46144.0</v>
      </c>
      <c r="D1605" s="33" t="s">
        <v>461</v>
      </c>
      <c r="E1605" s="40">
        <v>120.82</v>
      </c>
      <c r="F1605" s="40">
        <v>1.17</v>
      </c>
      <c r="G1605" s="33" t="s">
        <v>450</v>
      </c>
    </row>
    <row r="1606" ht="15.75" customHeight="1">
      <c r="A1606" s="33" t="s">
        <v>5551</v>
      </c>
      <c r="B1606" s="33" t="s">
        <v>3352</v>
      </c>
      <c r="C1606" s="39">
        <v>45840.0</v>
      </c>
      <c r="D1606" s="33" t="s">
        <v>440</v>
      </c>
      <c r="E1606" s="40">
        <v>38.31</v>
      </c>
      <c r="F1606" s="40">
        <v>0.0</v>
      </c>
      <c r="G1606" s="33" t="s">
        <v>450</v>
      </c>
    </row>
    <row r="1607" ht="15.75" customHeight="1">
      <c r="A1607" s="33" t="s">
        <v>5552</v>
      </c>
      <c r="B1607" s="33" t="s">
        <v>1945</v>
      </c>
      <c r="C1607" s="39">
        <v>45756.0</v>
      </c>
      <c r="D1607" s="33" t="s">
        <v>435</v>
      </c>
      <c r="E1607" s="40">
        <v>212.66</v>
      </c>
      <c r="F1607" s="40">
        <v>0.0</v>
      </c>
      <c r="G1607" s="33" t="s">
        <v>442</v>
      </c>
    </row>
    <row r="1608" ht="15.75" customHeight="1">
      <c r="A1608" s="33" t="s">
        <v>5554</v>
      </c>
      <c r="B1608" s="33" t="s">
        <v>1451</v>
      </c>
      <c r="C1608" s="39">
        <v>45964.0</v>
      </c>
      <c r="D1608" s="33" t="s">
        <v>440</v>
      </c>
      <c r="E1608" s="40">
        <v>131.74</v>
      </c>
      <c r="F1608" s="40">
        <v>0.0</v>
      </c>
      <c r="G1608" s="33" t="s">
        <v>431</v>
      </c>
    </row>
    <row r="1609" ht="15.75" customHeight="1">
      <c r="A1609" s="33" t="s">
        <v>5556</v>
      </c>
      <c r="B1609" s="33" t="s">
        <v>2934</v>
      </c>
      <c r="C1609" s="39">
        <v>46066.0</v>
      </c>
      <c r="D1609" s="33" t="s">
        <v>461</v>
      </c>
      <c r="E1609" s="40">
        <v>161.27</v>
      </c>
      <c r="F1609" s="40">
        <v>1.33</v>
      </c>
      <c r="G1609" s="33" t="s">
        <v>431</v>
      </c>
    </row>
    <row r="1610" ht="15.75" customHeight="1">
      <c r="A1610" s="33" t="s">
        <v>5557</v>
      </c>
      <c r="B1610" s="33" t="s">
        <v>1955</v>
      </c>
      <c r="C1610" s="39">
        <v>45670.0</v>
      </c>
      <c r="D1610" s="33" t="s">
        <v>435</v>
      </c>
      <c r="E1610" s="40">
        <v>86.56</v>
      </c>
      <c r="F1610" s="40">
        <v>0.0</v>
      </c>
      <c r="G1610" s="33" t="s">
        <v>450</v>
      </c>
    </row>
    <row r="1611" ht="15.75" customHeight="1">
      <c r="A1611" s="33" t="s">
        <v>5558</v>
      </c>
      <c r="B1611" s="33" t="s">
        <v>2139</v>
      </c>
      <c r="C1611" s="39">
        <v>46178.0</v>
      </c>
      <c r="D1611" s="33" t="s">
        <v>440</v>
      </c>
      <c r="E1611" s="40">
        <v>81.37</v>
      </c>
      <c r="F1611" s="40">
        <v>0.0</v>
      </c>
      <c r="G1611" s="33" t="s">
        <v>431</v>
      </c>
    </row>
    <row r="1612" ht="15.75" customHeight="1">
      <c r="A1612" s="33" t="s">
        <v>5559</v>
      </c>
      <c r="B1612" s="33" t="s">
        <v>2040</v>
      </c>
      <c r="C1612" s="39">
        <v>45924.0</v>
      </c>
      <c r="D1612" s="33" t="s">
        <v>435</v>
      </c>
      <c r="E1612" s="40">
        <v>27.71</v>
      </c>
      <c r="F1612" s="40">
        <v>0.0</v>
      </c>
      <c r="G1612" s="33" t="s">
        <v>442</v>
      </c>
    </row>
    <row r="1613" ht="15.75" customHeight="1">
      <c r="A1613" s="33" t="s">
        <v>5560</v>
      </c>
      <c r="B1613" s="33" t="s">
        <v>701</v>
      </c>
      <c r="C1613" s="39">
        <v>46155.0</v>
      </c>
      <c r="D1613" s="33" t="s">
        <v>479</v>
      </c>
      <c r="E1613" s="40">
        <v>44.12</v>
      </c>
      <c r="F1613" s="40">
        <v>0.82</v>
      </c>
      <c r="G1613" s="33" t="s">
        <v>450</v>
      </c>
    </row>
    <row r="1614" ht="15.75" customHeight="1">
      <c r="A1614" s="33" t="s">
        <v>5561</v>
      </c>
      <c r="B1614" s="33" t="s">
        <v>901</v>
      </c>
      <c r="C1614" s="39">
        <v>45705.0</v>
      </c>
      <c r="D1614" s="33" t="s">
        <v>435</v>
      </c>
      <c r="E1614" s="40">
        <v>74.09</v>
      </c>
      <c r="F1614" s="40">
        <v>0.0</v>
      </c>
      <c r="G1614" s="33" t="s">
        <v>450</v>
      </c>
    </row>
    <row r="1615" ht="15.75" customHeight="1">
      <c r="A1615" s="33" t="s">
        <v>5563</v>
      </c>
      <c r="B1615" s="33" t="s">
        <v>308</v>
      </c>
      <c r="C1615" s="39">
        <v>45916.0</v>
      </c>
      <c r="D1615" s="33" t="s">
        <v>435</v>
      </c>
      <c r="E1615" s="40">
        <v>105.13</v>
      </c>
      <c r="F1615" s="40">
        <v>0.0</v>
      </c>
      <c r="G1615" s="33" t="s">
        <v>450</v>
      </c>
    </row>
    <row r="1616" ht="15.75" customHeight="1">
      <c r="A1616" s="33" t="s">
        <v>5564</v>
      </c>
      <c r="B1616" s="33" t="s">
        <v>721</v>
      </c>
      <c r="C1616" s="39">
        <v>45936.0</v>
      </c>
      <c r="D1616" s="33" t="s">
        <v>435</v>
      </c>
      <c r="E1616" s="40">
        <v>92.27</v>
      </c>
      <c r="F1616" s="40">
        <v>0.0</v>
      </c>
      <c r="G1616" s="33" t="s">
        <v>450</v>
      </c>
    </row>
    <row r="1617" ht="15.75" customHeight="1">
      <c r="A1617" s="33" t="s">
        <v>5566</v>
      </c>
      <c r="B1617" s="33" t="s">
        <v>3934</v>
      </c>
      <c r="C1617" s="39">
        <v>45687.0</v>
      </c>
      <c r="D1617" s="33" t="s">
        <v>461</v>
      </c>
      <c r="E1617" s="40">
        <v>13.58</v>
      </c>
      <c r="F1617" s="40">
        <v>0.12</v>
      </c>
      <c r="G1617" s="33" t="s">
        <v>431</v>
      </c>
    </row>
    <row r="1618" ht="15.75" customHeight="1">
      <c r="A1618" s="33" t="s">
        <v>5567</v>
      </c>
      <c r="B1618" s="33" t="s">
        <v>3014</v>
      </c>
      <c r="C1618" s="39">
        <v>46087.0</v>
      </c>
      <c r="D1618" s="33" t="s">
        <v>479</v>
      </c>
      <c r="E1618" s="40">
        <v>36.51</v>
      </c>
      <c r="F1618" s="40">
        <v>0.28</v>
      </c>
      <c r="G1618" s="33" t="s">
        <v>431</v>
      </c>
    </row>
    <row r="1619" ht="15.75" customHeight="1">
      <c r="A1619" s="33" t="s">
        <v>5568</v>
      </c>
      <c r="B1619" s="33" t="s">
        <v>1721</v>
      </c>
      <c r="C1619" s="39">
        <v>46223.0</v>
      </c>
      <c r="D1619" s="33" t="s">
        <v>428</v>
      </c>
      <c r="E1619" s="40">
        <v>96.57</v>
      </c>
      <c r="F1619" s="40">
        <v>0.0</v>
      </c>
      <c r="G1619" s="33" t="s">
        <v>450</v>
      </c>
    </row>
    <row r="1620" ht="15.75" customHeight="1">
      <c r="A1620" s="33" t="s">
        <v>5569</v>
      </c>
      <c r="B1620" s="33" t="s">
        <v>464</v>
      </c>
      <c r="C1620" s="39">
        <v>45986.0</v>
      </c>
      <c r="D1620" s="33" t="s">
        <v>440</v>
      </c>
      <c r="E1620" s="40">
        <v>106.99</v>
      </c>
      <c r="F1620" s="40">
        <v>0.0</v>
      </c>
      <c r="G1620" s="33" t="s">
        <v>450</v>
      </c>
    </row>
    <row r="1621" ht="15.75" customHeight="1">
      <c r="A1621" s="33" t="s">
        <v>5571</v>
      </c>
      <c r="B1621" s="33" t="s">
        <v>2048</v>
      </c>
      <c r="C1621" s="39">
        <v>45898.0</v>
      </c>
      <c r="D1621" s="33" t="s">
        <v>440</v>
      </c>
      <c r="E1621" s="40">
        <v>59.42</v>
      </c>
      <c r="F1621" s="40">
        <v>0.0</v>
      </c>
      <c r="G1621" s="33" t="s">
        <v>442</v>
      </c>
    </row>
    <row r="1622" ht="15.75" customHeight="1">
      <c r="A1622" s="33" t="s">
        <v>5573</v>
      </c>
      <c r="B1622" s="33" t="s">
        <v>2429</v>
      </c>
      <c r="C1622" s="39">
        <v>46044.0</v>
      </c>
      <c r="D1622" s="33" t="s">
        <v>440</v>
      </c>
      <c r="E1622" s="40">
        <v>124.11</v>
      </c>
      <c r="F1622" s="40">
        <v>0.0</v>
      </c>
      <c r="G1622" s="33" t="s">
        <v>450</v>
      </c>
    </row>
    <row r="1623" ht="15.75" customHeight="1">
      <c r="A1623" s="33" t="s">
        <v>5575</v>
      </c>
      <c r="B1623" s="33" t="s">
        <v>571</v>
      </c>
      <c r="C1623" s="39">
        <v>45877.0</v>
      </c>
      <c r="D1623" s="33" t="s">
        <v>428</v>
      </c>
      <c r="E1623" s="40">
        <v>122.85</v>
      </c>
      <c r="F1623" s="40">
        <v>0.0</v>
      </c>
      <c r="G1623" s="33" t="s">
        <v>450</v>
      </c>
    </row>
    <row r="1624" ht="15.75" customHeight="1">
      <c r="A1624" s="33" t="s">
        <v>5577</v>
      </c>
      <c r="B1624" s="33" t="s">
        <v>587</v>
      </c>
      <c r="C1624" s="39">
        <v>45876.0</v>
      </c>
      <c r="D1624" s="33" t="s">
        <v>479</v>
      </c>
      <c r="E1624" s="40">
        <v>285.57</v>
      </c>
      <c r="F1624" s="40">
        <v>2.63</v>
      </c>
      <c r="G1624" s="33" t="s">
        <v>431</v>
      </c>
    </row>
    <row r="1625" ht="15.75" customHeight="1">
      <c r="A1625" s="33" t="s">
        <v>5579</v>
      </c>
      <c r="B1625" s="33" t="s">
        <v>2144</v>
      </c>
      <c r="C1625" s="39">
        <v>46119.0</v>
      </c>
      <c r="D1625" s="33" t="s">
        <v>440</v>
      </c>
      <c r="E1625" s="40">
        <v>81.77</v>
      </c>
      <c r="F1625" s="40">
        <v>0.0</v>
      </c>
      <c r="G1625" s="33" t="s">
        <v>442</v>
      </c>
    </row>
    <row r="1626" ht="15.75" customHeight="1">
      <c r="A1626" s="33" t="s">
        <v>5580</v>
      </c>
      <c r="B1626" s="33" t="s">
        <v>2110</v>
      </c>
      <c r="C1626" s="39">
        <v>46016.0</v>
      </c>
      <c r="D1626" s="33" t="s">
        <v>461</v>
      </c>
      <c r="E1626" s="40">
        <v>57.69</v>
      </c>
      <c r="F1626" s="40">
        <v>0.95</v>
      </c>
      <c r="G1626" s="33" t="s">
        <v>431</v>
      </c>
    </row>
    <row r="1627" ht="15.75" customHeight="1">
      <c r="A1627" s="33" t="s">
        <v>5582</v>
      </c>
      <c r="B1627" s="33" t="s">
        <v>913</v>
      </c>
      <c r="C1627" s="39">
        <v>45818.0</v>
      </c>
      <c r="D1627" s="33" t="s">
        <v>479</v>
      </c>
      <c r="E1627" s="40">
        <v>38.51</v>
      </c>
      <c r="F1627" s="40">
        <v>0.76</v>
      </c>
      <c r="G1627" s="33" t="s">
        <v>450</v>
      </c>
    </row>
    <row r="1628" ht="15.75" customHeight="1">
      <c r="A1628" s="33" t="s">
        <v>5583</v>
      </c>
      <c r="B1628" s="33" t="s">
        <v>875</v>
      </c>
      <c r="C1628" s="39">
        <v>45905.0</v>
      </c>
      <c r="D1628" s="33" t="s">
        <v>435</v>
      </c>
      <c r="E1628" s="40">
        <v>24.53</v>
      </c>
      <c r="F1628" s="40">
        <v>0.0</v>
      </c>
      <c r="G1628" s="33" t="s">
        <v>442</v>
      </c>
    </row>
    <row r="1629" ht="15.75" customHeight="1">
      <c r="A1629" s="33" t="s">
        <v>5585</v>
      </c>
      <c r="B1629" s="33" t="s">
        <v>2153</v>
      </c>
      <c r="C1629" s="39">
        <v>46164.0</v>
      </c>
      <c r="D1629" s="33" t="s">
        <v>461</v>
      </c>
      <c r="E1629" s="40">
        <v>119.34</v>
      </c>
      <c r="F1629" s="40">
        <v>1.27</v>
      </c>
      <c r="G1629" s="33" t="s">
        <v>450</v>
      </c>
    </row>
    <row r="1630" ht="15.75" customHeight="1">
      <c r="A1630" s="33" t="s">
        <v>5587</v>
      </c>
      <c r="B1630" s="33" t="s">
        <v>1987</v>
      </c>
      <c r="C1630" s="39">
        <v>45978.0</v>
      </c>
      <c r="D1630" s="33" t="s">
        <v>435</v>
      </c>
      <c r="E1630" s="40">
        <v>110.39</v>
      </c>
      <c r="F1630" s="40">
        <v>0.0</v>
      </c>
      <c r="G1630" s="33" t="s">
        <v>450</v>
      </c>
    </row>
    <row r="1631" ht="15.75" customHeight="1">
      <c r="A1631" s="33" t="s">
        <v>5589</v>
      </c>
      <c r="B1631" s="33" t="s">
        <v>1799</v>
      </c>
      <c r="C1631" s="39">
        <v>45704.0</v>
      </c>
      <c r="D1631" s="33" t="s">
        <v>435</v>
      </c>
      <c r="E1631" s="40">
        <v>27.5</v>
      </c>
      <c r="F1631" s="40">
        <v>0.0</v>
      </c>
      <c r="G1631" s="33" t="s">
        <v>450</v>
      </c>
    </row>
    <row r="1632" ht="15.75" customHeight="1">
      <c r="A1632" s="33" t="s">
        <v>5591</v>
      </c>
      <c r="B1632" s="33" t="s">
        <v>929</v>
      </c>
      <c r="C1632" s="39">
        <v>46178.0</v>
      </c>
      <c r="D1632" s="33" t="s">
        <v>461</v>
      </c>
      <c r="E1632" s="40">
        <v>119.89</v>
      </c>
      <c r="F1632" s="40">
        <v>2.27</v>
      </c>
      <c r="G1632" s="33" t="s">
        <v>431</v>
      </c>
    </row>
    <row r="1633" ht="15.75" customHeight="1">
      <c r="A1633" s="33" t="s">
        <v>5593</v>
      </c>
      <c r="B1633" s="33" t="s">
        <v>587</v>
      </c>
      <c r="C1633" s="39">
        <v>46107.0</v>
      </c>
      <c r="D1633" s="33" t="s">
        <v>479</v>
      </c>
      <c r="E1633" s="40">
        <v>89.96</v>
      </c>
      <c r="F1633" s="40">
        <v>1.27</v>
      </c>
      <c r="G1633" s="33" t="s">
        <v>450</v>
      </c>
    </row>
    <row r="1634" ht="15.75" customHeight="1">
      <c r="A1634" s="33" t="s">
        <v>5595</v>
      </c>
      <c r="B1634" s="33" t="s">
        <v>275</v>
      </c>
      <c r="C1634" s="39">
        <v>45819.0</v>
      </c>
      <c r="D1634" s="33" t="s">
        <v>440</v>
      </c>
      <c r="E1634" s="40">
        <v>64.47</v>
      </c>
      <c r="F1634" s="40">
        <v>0.0</v>
      </c>
      <c r="G1634" s="33" t="s">
        <v>431</v>
      </c>
    </row>
    <row r="1635" ht="15.75" customHeight="1">
      <c r="A1635" s="33" t="s">
        <v>5597</v>
      </c>
      <c r="B1635" s="33" t="s">
        <v>3850</v>
      </c>
      <c r="C1635" s="39">
        <v>46244.0</v>
      </c>
      <c r="D1635" s="33" t="s">
        <v>435</v>
      </c>
      <c r="E1635" s="40">
        <v>12.41</v>
      </c>
      <c r="F1635" s="40">
        <v>0.0</v>
      </c>
      <c r="G1635" s="33" t="s">
        <v>450</v>
      </c>
    </row>
    <row r="1636" ht="15.75" customHeight="1">
      <c r="A1636" s="33" t="s">
        <v>5599</v>
      </c>
      <c r="B1636" s="33" t="s">
        <v>1360</v>
      </c>
      <c r="C1636" s="39">
        <v>46235.0</v>
      </c>
      <c r="D1636" s="33" t="s">
        <v>479</v>
      </c>
      <c r="E1636" s="40">
        <v>109.63</v>
      </c>
      <c r="F1636" s="40">
        <v>1.34</v>
      </c>
      <c r="G1636" s="33" t="s">
        <v>442</v>
      </c>
    </row>
    <row r="1637" ht="15.75" customHeight="1">
      <c r="A1637" s="33" t="s">
        <v>5601</v>
      </c>
      <c r="B1637" s="33" t="s">
        <v>1399</v>
      </c>
      <c r="C1637" s="39">
        <v>46262.0</v>
      </c>
      <c r="D1637" s="33" t="s">
        <v>461</v>
      </c>
      <c r="E1637" s="40">
        <v>231.88</v>
      </c>
      <c r="F1637" s="40">
        <v>1.9</v>
      </c>
      <c r="G1637" s="33" t="s">
        <v>450</v>
      </c>
    </row>
    <row r="1638" ht="15.75" customHeight="1">
      <c r="A1638" s="33" t="s">
        <v>5602</v>
      </c>
      <c r="B1638" s="33" t="s">
        <v>492</v>
      </c>
      <c r="C1638" s="39">
        <v>45887.0</v>
      </c>
      <c r="D1638" s="33" t="s">
        <v>440</v>
      </c>
      <c r="E1638" s="40">
        <v>42.78</v>
      </c>
      <c r="F1638" s="40">
        <v>0.0</v>
      </c>
      <c r="G1638" s="33" t="s">
        <v>450</v>
      </c>
    </row>
    <row r="1639" ht="15.75" customHeight="1">
      <c r="A1639" s="33" t="s">
        <v>5604</v>
      </c>
      <c r="B1639" s="33" t="s">
        <v>1452</v>
      </c>
      <c r="C1639" s="39">
        <v>46218.0</v>
      </c>
      <c r="D1639" s="33" t="s">
        <v>479</v>
      </c>
      <c r="E1639" s="40">
        <v>90.07</v>
      </c>
      <c r="F1639" s="40">
        <v>1.59</v>
      </c>
      <c r="G1639" s="33" t="s">
        <v>450</v>
      </c>
    </row>
    <row r="1640" ht="15.75" customHeight="1">
      <c r="A1640" s="33" t="s">
        <v>5605</v>
      </c>
      <c r="B1640" s="33" t="s">
        <v>1972</v>
      </c>
      <c r="C1640" s="39">
        <v>46147.0</v>
      </c>
      <c r="D1640" s="33" t="s">
        <v>440</v>
      </c>
      <c r="E1640" s="40">
        <v>115.74</v>
      </c>
      <c r="F1640" s="40">
        <v>0.0</v>
      </c>
      <c r="G1640" s="33" t="s">
        <v>442</v>
      </c>
    </row>
    <row r="1641" ht="15.75" customHeight="1">
      <c r="A1641" s="33" t="s">
        <v>5606</v>
      </c>
      <c r="B1641" s="33" t="s">
        <v>2259</v>
      </c>
      <c r="C1641" s="39">
        <v>46186.0</v>
      </c>
      <c r="D1641" s="33" t="s">
        <v>428</v>
      </c>
      <c r="E1641" s="40">
        <v>6.96</v>
      </c>
      <c r="F1641" s="40">
        <v>0.0</v>
      </c>
      <c r="G1641" s="33" t="s">
        <v>450</v>
      </c>
    </row>
    <row r="1642" ht="15.75" customHeight="1">
      <c r="A1642" s="33" t="s">
        <v>5608</v>
      </c>
      <c r="B1642" s="33" t="s">
        <v>206</v>
      </c>
      <c r="C1642" s="39">
        <v>45990.0</v>
      </c>
      <c r="D1642" s="33" t="s">
        <v>461</v>
      </c>
      <c r="E1642" s="40">
        <v>37.15</v>
      </c>
      <c r="F1642" s="40">
        <v>0.68</v>
      </c>
      <c r="G1642" s="33" t="s">
        <v>442</v>
      </c>
    </row>
    <row r="1643" ht="15.75" customHeight="1">
      <c r="A1643" s="33" t="s">
        <v>5610</v>
      </c>
      <c r="B1643" s="33" t="s">
        <v>1485</v>
      </c>
      <c r="C1643" s="39">
        <v>45827.0</v>
      </c>
      <c r="D1643" s="33" t="s">
        <v>440</v>
      </c>
      <c r="E1643" s="40">
        <v>21.03</v>
      </c>
      <c r="F1643" s="40">
        <v>0.0</v>
      </c>
      <c r="G1643" s="33" t="s">
        <v>450</v>
      </c>
    </row>
    <row r="1644" ht="15.75" customHeight="1">
      <c r="A1644" s="33" t="s">
        <v>5612</v>
      </c>
      <c r="B1644" s="33" t="s">
        <v>1743</v>
      </c>
      <c r="C1644" s="39">
        <v>45795.0</v>
      </c>
      <c r="D1644" s="33" t="s">
        <v>479</v>
      </c>
      <c r="E1644" s="40">
        <v>230.97</v>
      </c>
      <c r="F1644" s="40">
        <v>3.57</v>
      </c>
      <c r="G1644" s="33" t="s">
        <v>431</v>
      </c>
    </row>
    <row r="1645" ht="15.75" customHeight="1">
      <c r="A1645" s="33" t="s">
        <v>5613</v>
      </c>
      <c r="B1645" s="33" t="s">
        <v>793</v>
      </c>
      <c r="C1645" s="39">
        <v>46244.0</v>
      </c>
      <c r="D1645" s="33" t="s">
        <v>428</v>
      </c>
      <c r="E1645" s="40">
        <v>6.5</v>
      </c>
      <c r="F1645" s="40">
        <v>0.0</v>
      </c>
      <c r="G1645" s="33" t="s">
        <v>450</v>
      </c>
    </row>
    <row r="1646" ht="15.75" customHeight="1">
      <c r="A1646" s="33" t="s">
        <v>5615</v>
      </c>
      <c r="B1646" s="33" t="s">
        <v>1806</v>
      </c>
      <c r="C1646" s="39">
        <v>45962.0</v>
      </c>
      <c r="D1646" s="33" t="s">
        <v>440</v>
      </c>
      <c r="E1646" s="40">
        <v>64.25</v>
      </c>
      <c r="F1646" s="40">
        <v>0.0</v>
      </c>
      <c r="G1646" s="33" t="s">
        <v>450</v>
      </c>
    </row>
    <row r="1647" ht="15.75" customHeight="1">
      <c r="A1647" s="33" t="s">
        <v>5617</v>
      </c>
      <c r="B1647" s="33" t="s">
        <v>866</v>
      </c>
      <c r="C1647" s="39">
        <v>46221.0</v>
      </c>
      <c r="D1647" s="33" t="s">
        <v>435</v>
      </c>
      <c r="E1647" s="40">
        <v>97.48</v>
      </c>
      <c r="F1647" s="40">
        <v>0.0</v>
      </c>
      <c r="G1647" s="33" t="s">
        <v>431</v>
      </c>
    </row>
    <row r="1648" ht="15.75" customHeight="1">
      <c r="A1648" s="33" t="s">
        <v>5618</v>
      </c>
      <c r="B1648" s="33" t="s">
        <v>936</v>
      </c>
      <c r="C1648" s="39">
        <v>45994.0</v>
      </c>
      <c r="D1648" s="33" t="s">
        <v>440</v>
      </c>
      <c r="E1648" s="40">
        <v>42.48</v>
      </c>
      <c r="F1648" s="40">
        <v>0.0</v>
      </c>
      <c r="G1648" s="33" t="s">
        <v>450</v>
      </c>
    </row>
    <row r="1649" ht="15.75" customHeight="1">
      <c r="A1649" s="33" t="s">
        <v>5620</v>
      </c>
      <c r="B1649" s="33" t="s">
        <v>964</v>
      </c>
      <c r="C1649" s="39">
        <v>45982.0</v>
      </c>
      <c r="D1649" s="33" t="s">
        <v>461</v>
      </c>
      <c r="E1649" s="40">
        <v>8.32</v>
      </c>
      <c r="F1649" s="40">
        <v>0.1</v>
      </c>
      <c r="G1649" s="33" t="s">
        <v>450</v>
      </c>
    </row>
    <row r="1650" ht="15.75" customHeight="1">
      <c r="A1650" s="33" t="s">
        <v>5621</v>
      </c>
      <c r="B1650" s="33" t="s">
        <v>1080</v>
      </c>
      <c r="C1650" s="39">
        <v>45702.0</v>
      </c>
      <c r="D1650" s="33" t="s">
        <v>428</v>
      </c>
      <c r="E1650" s="40">
        <v>66.32</v>
      </c>
      <c r="F1650" s="40">
        <v>0.0</v>
      </c>
      <c r="G1650" s="33" t="s">
        <v>450</v>
      </c>
    </row>
    <row r="1651" ht="15.75" customHeight="1">
      <c r="A1651" s="33" t="s">
        <v>5622</v>
      </c>
      <c r="B1651" s="33" t="s">
        <v>2165</v>
      </c>
      <c r="C1651" s="39">
        <v>45902.0</v>
      </c>
      <c r="D1651" s="33" t="s">
        <v>440</v>
      </c>
      <c r="E1651" s="40">
        <v>41.9</v>
      </c>
      <c r="F1651" s="40">
        <v>0.0</v>
      </c>
      <c r="G1651" s="33" t="s">
        <v>442</v>
      </c>
    </row>
    <row r="1652" ht="15.75" customHeight="1">
      <c r="A1652" s="33" t="s">
        <v>5623</v>
      </c>
      <c r="B1652" s="33" t="s">
        <v>312</v>
      </c>
      <c r="C1652" s="39">
        <v>45995.0</v>
      </c>
      <c r="D1652" s="33" t="s">
        <v>435</v>
      </c>
      <c r="E1652" s="40">
        <v>105.23</v>
      </c>
      <c r="F1652" s="40">
        <v>0.0</v>
      </c>
      <c r="G1652" s="33" t="s">
        <v>450</v>
      </c>
    </row>
    <row r="1653" ht="15.75" customHeight="1">
      <c r="A1653" s="33" t="s">
        <v>5624</v>
      </c>
      <c r="B1653" s="33" t="s">
        <v>790</v>
      </c>
      <c r="C1653" s="39">
        <v>45724.0</v>
      </c>
      <c r="D1653" s="33" t="s">
        <v>435</v>
      </c>
      <c r="E1653" s="40">
        <v>133.14</v>
      </c>
      <c r="F1653" s="40">
        <v>0.0</v>
      </c>
      <c r="G1653" s="33" t="s">
        <v>450</v>
      </c>
    </row>
    <row r="1654" ht="15.75" customHeight="1">
      <c r="A1654" s="33" t="s">
        <v>5626</v>
      </c>
      <c r="B1654" s="33" t="s">
        <v>2154</v>
      </c>
      <c r="C1654" s="39">
        <v>45756.0</v>
      </c>
      <c r="D1654" s="33" t="s">
        <v>479</v>
      </c>
      <c r="E1654" s="40">
        <v>27.69</v>
      </c>
      <c r="F1654" s="40">
        <v>0.31</v>
      </c>
      <c r="G1654" s="33" t="s">
        <v>450</v>
      </c>
    </row>
    <row r="1655" ht="15.75" customHeight="1">
      <c r="A1655" s="33" t="s">
        <v>5627</v>
      </c>
      <c r="B1655" s="33" t="s">
        <v>964</v>
      </c>
      <c r="C1655" s="39">
        <v>46016.0</v>
      </c>
      <c r="D1655" s="33" t="s">
        <v>435</v>
      </c>
      <c r="E1655" s="40">
        <v>45.63</v>
      </c>
      <c r="F1655" s="40">
        <v>0.0</v>
      </c>
      <c r="G1655" s="33" t="s">
        <v>450</v>
      </c>
    </row>
    <row r="1656" ht="15.75" customHeight="1">
      <c r="A1656" s="33" t="s">
        <v>5628</v>
      </c>
      <c r="B1656" s="33" t="s">
        <v>1405</v>
      </c>
      <c r="C1656" s="39">
        <v>45808.0</v>
      </c>
      <c r="D1656" s="33" t="s">
        <v>435</v>
      </c>
      <c r="E1656" s="40">
        <v>47.56</v>
      </c>
      <c r="F1656" s="40">
        <v>0.0</v>
      </c>
      <c r="G1656" s="33" t="s">
        <v>450</v>
      </c>
    </row>
    <row r="1657" ht="15.75" customHeight="1">
      <c r="A1657" s="33" t="s">
        <v>5629</v>
      </c>
      <c r="B1657" s="33" t="s">
        <v>1192</v>
      </c>
      <c r="C1657" s="39">
        <v>46083.0</v>
      </c>
      <c r="D1657" s="33" t="s">
        <v>461</v>
      </c>
      <c r="E1657" s="40">
        <v>131.81</v>
      </c>
      <c r="F1657" s="40">
        <v>1.55</v>
      </c>
      <c r="G1657" s="33" t="s">
        <v>431</v>
      </c>
    </row>
    <row r="1658" ht="15.75" customHeight="1">
      <c r="A1658" s="33" t="s">
        <v>5631</v>
      </c>
      <c r="B1658" s="33" t="s">
        <v>2469</v>
      </c>
      <c r="C1658" s="39">
        <v>45937.0</v>
      </c>
      <c r="D1658" s="33" t="s">
        <v>428</v>
      </c>
      <c r="E1658" s="40">
        <v>82.91</v>
      </c>
      <c r="F1658" s="40">
        <v>0.0</v>
      </c>
      <c r="G1658" s="33" t="s">
        <v>450</v>
      </c>
    </row>
    <row r="1659" ht="15.75" customHeight="1">
      <c r="A1659" s="33" t="s">
        <v>5633</v>
      </c>
      <c r="B1659" s="33" t="s">
        <v>297</v>
      </c>
      <c r="C1659" s="39">
        <v>45903.0</v>
      </c>
      <c r="D1659" s="33" t="s">
        <v>440</v>
      </c>
      <c r="E1659" s="40">
        <v>28.73</v>
      </c>
      <c r="F1659" s="40">
        <v>0.0</v>
      </c>
      <c r="G1659" s="33" t="s">
        <v>442</v>
      </c>
    </row>
    <row r="1660" ht="15.75" customHeight="1">
      <c r="A1660" s="33" t="s">
        <v>5634</v>
      </c>
      <c r="B1660" s="33" t="s">
        <v>311</v>
      </c>
      <c r="C1660" s="39">
        <v>45729.0</v>
      </c>
      <c r="D1660" s="33" t="s">
        <v>479</v>
      </c>
      <c r="E1660" s="40">
        <v>161.11</v>
      </c>
      <c r="F1660" s="40">
        <v>0.83</v>
      </c>
      <c r="G1660" s="33" t="s">
        <v>450</v>
      </c>
    </row>
    <row r="1661" ht="15.75" customHeight="1">
      <c r="A1661" s="33" t="s">
        <v>5635</v>
      </c>
      <c r="B1661" s="33" t="s">
        <v>948</v>
      </c>
      <c r="C1661" s="39">
        <v>45904.0</v>
      </c>
      <c r="D1661" s="33" t="s">
        <v>479</v>
      </c>
      <c r="E1661" s="40">
        <v>42.37</v>
      </c>
      <c r="F1661" s="40">
        <v>0.76</v>
      </c>
      <c r="G1661" s="33" t="s">
        <v>442</v>
      </c>
    </row>
    <row r="1662" ht="15.75" customHeight="1">
      <c r="A1662" s="33" t="s">
        <v>5636</v>
      </c>
      <c r="B1662" s="33" t="s">
        <v>2589</v>
      </c>
      <c r="C1662" s="39">
        <v>45987.0</v>
      </c>
      <c r="D1662" s="33" t="s">
        <v>461</v>
      </c>
      <c r="E1662" s="40">
        <v>52.3</v>
      </c>
      <c r="F1662" s="40">
        <v>0.59</v>
      </c>
      <c r="G1662" s="33" t="s">
        <v>450</v>
      </c>
    </row>
    <row r="1663" ht="15.75" customHeight="1">
      <c r="A1663" s="33" t="s">
        <v>5638</v>
      </c>
      <c r="B1663" s="33" t="s">
        <v>1957</v>
      </c>
      <c r="C1663" s="39">
        <v>46006.0</v>
      </c>
      <c r="D1663" s="33" t="s">
        <v>428</v>
      </c>
      <c r="E1663" s="40">
        <v>35.12</v>
      </c>
      <c r="F1663" s="40">
        <v>0.0</v>
      </c>
      <c r="G1663" s="33" t="s">
        <v>450</v>
      </c>
    </row>
    <row r="1664" ht="15.75" customHeight="1">
      <c r="A1664" s="33" t="s">
        <v>5639</v>
      </c>
      <c r="B1664" s="33" t="s">
        <v>828</v>
      </c>
      <c r="C1664" s="39">
        <v>45822.0</v>
      </c>
      <c r="D1664" s="33" t="s">
        <v>428</v>
      </c>
      <c r="E1664" s="40">
        <v>87.6</v>
      </c>
      <c r="F1664" s="40">
        <v>0.0</v>
      </c>
      <c r="G1664" s="33" t="s">
        <v>450</v>
      </c>
    </row>
    <row r="1665" ht="15.75" customHeight="1">
      <c r="A1665" s="33" t="s">
        <v>5640</v>
      </c>
      <c r="B1665" s="33" t="s">
        <v>2086</v>
      </c>
      <c r="C1665" s="39">
        <v>45674.0</v>
      </c>
      <c r="D1665" s="33" t="s">
        <v>440</v>
      </c>
      <c r="E1665" s="40">
        <v>59.38</v>
      </c>
      <c r="F1665" s="40">
        <v>0.0</v>
      </c>
      <c r="G1665" s="33" t="s">
        <v>450</v>
      </c>
    </row>
    <row r="1666" ht="15.75" customHeight="1">
      <c r="A1666" s="33" t="s">
        <v>5642</v>
      </c>
      <c r="B1666" s="33" t="s">
        <v>2757</v>
      </c>
      <c r="C1666" s="39">
        <v>46225.0</v>
      </c>
      <c r="D1666" s="33" t="s">
        <v>428</v>
      </c>
      <c r="E1666" s="40">
        <v>193.58</v>
      </c>
      <c r="F1666" s="40">
        <v>0.0</v>
      </c>
      <c r="G1666" s="33" t="s">
        <v>450</v>
      </c>
    </row>
    <row r="1667" ht="15.75" customHeight="1">
      <c r="A1667" s="33" t="s">
        <v>5644</v>
      </c>
      <c r="B1667" s="33" t="s">
        <v>1549</v>
      </c>
      <c r="C1667" s="39">
        <v>46239.0</v>
      </c>
      <c r="D1667" s="33" t="s">
        <v>435</v>
      </c>
      <c r="E1667" s="40">
        <v>83.74</v>
      </c>
      <c r="F1667" s="40">
        <v>0.0</v>
      </c>
      <c r="G1667" s="33" t="s">
        <v>450</v>
      </c>
    </row>
    <row r="1668" ht="15.75" customHeight="1">
      <c r="A1668" s="33" t="s">
        <v>5645</v>
      </c>
      <c r="B1668" s="33" t="s">
        <v>303</v>
      </c>
      <c r="C1668" s="39">
        <v>46206.0</v>
      </c>
      <c r="D1668" s="33" t="s">
        <v>428</v>
      </c>
      <c r="E1668" s="40">
        <v>37.03</v>
      </c>
      <c r="F1668" s="40">
        <v>0.0</v>
      </c>
      <c r="G1668" s="33" t="s">
        <v>442</v>
      </c>
    </row>
    <row r="1669" ht="15.75" customHeight="1">
      <c r="A1669" s="33" t="s">
        <v>5646</v>
      </c>
      <c r="B1669" s="33" t="s">
        <v>875</v>
      </c>
      <c r="C1669" s="39">
        <v>45833.0</v>
      </c>
      <c r="D1669" s="33" t="s">
        <v>435</v>
      </c>
      <c r="E1669" s="40">
        <v>77.14</v>
      </c>
      <c r="F1669" s="40">
        <v>0.0</v>
      </c>
      <c r="G1669" s="33" t="s">
        <v>450</v>
      </c>
    </row>
    <row r="1670" ht="15.75" customHeight="1">
      <c r="A1670" s="33" t="s">
        <v>5647</v>
      </c>
      <c r="B1670" s="33" t="s">
        <v>3014</v>
      </c>
      <c r="C1670" s="39">
        <v>46023.0</v>
      </c>
      <c r="D1670" s="33" t="s">
        <v>435</v>
      </c>
      <c r="E1670" s="40">
        <v>211.98</v>
      </c>
      <c r="F1670" s="40">
        <v>0.0</v>
      </c>
      <c r="G1670" s="33" t="s">
        <v>450</v>
      </c>
    </row>
    <row r="1671" ht="15.75" customHeight="1">
      <c r="A1671" s="33" t="s">
        <v>5648</v>
      </c>
      <c r="B1671" s="33" t="s">
        <v>880</v>
      </c>
      <c r="C1671" s="39">
        <v>45743.0</v>
      </c>
      <c r="D1671" s="33" t="s">
        <v>435</v>
      </c>
      <c r="E1671" s="40">
        <v>25.74</v>
      </c>
      <c r="F1671" s="40">
        <v>0.0</v>
      </c>
      <c r="G1671" s="33" t="s">
        <v>431</v>
      </c>
    </row>
    <row r="1672" ht="15.75" customHeight="1">
      <c r="A1672" s="33" t="s">
        <v>5649</v>
      </c>
      <c r="B1672" s="33" t="s">
        <v>1108</v>
      </c>
      <c r="C1672" s="39">
        <v>46207.0</v>
      </c>
      <c r="D1672" s="33" t="s">
        <v>435</v>
      </c>
      <c r="E1672" s="40">
        <v>109.55</v>
      </c>
      <c r="F1672" s="40">
        <v>0.0</v>
      </c>
      <c r="G1672" s="33" t="s">
        <v>442</v>
      </c>
    </row>
    <row r="1673" ht="15.75" customHeight="1">
      <c r="A1673" s="33" t="s">
        <v>5651</v>
      </c>
      <c r="B1673" s="33" t="s">
        <v>2197</v>
      </c>
      <c r="C1673" s="39">
        <v>45661.0</v>
      </c>
      <c r="D1673" s="33" t="s">
        <v>479</v>
      </c>
      <c r="E1673" s="40">
        <v>12.61</v>
      </c>
      <c r="F1673" s="40">
        <v>0.18</v>
      </c>
      <c r="G1673" s="33" t="s">
        <v>450</v>
      </c>
    </row>
    <row r="1674" ht="15.75" customHeight="1">
      <c r="A1674" s="33" t="s">
        <v>5652</v>
      </c>
      <c r="B1674" s="33" t="s">
        <v>273</v>
      </c>
      <c r="C1674" s="39">
        <v>45943.0</v>
      </c>
      <c r="D1674" s="33" t="s">
        <v>461</v>
      </c>
      <c r="E1674" s="40">
        <v>184.58</v>
      </c>
      <c r="F1674" s="40">
        <v>3.6</v>
      </c>
      <c r="G1674" s="33" t="s">
        <v>450</v>
      </c>
    </row>
    <row r="1675" ht="15.75" customHeight="1">
      <c r="A1675" s="33" t="s">
        <v>5654</v>
      </c>
      <c r="B1675" s="33" t="s">
        <v>1561</v>
      </c>
      <c r="C1675" s="39">
        <v>46178.0</v>
      </c>
      <c r="D1675" s="33" t="s">
        <v>461</v>
      </c>
      <c r="E1675" s="40">
        <v>53.41</v>
      </c>
      <c r="F1675" s="40">
        <v>0.57</v>
      </c>
      <c r="G1675" s="33" t="s">
        <v>450</v>
      </c>
    </row>
    <row r="1676" ht="15.75" customHeight="1">
      <c r="A1676" s="33" t="s">
        <v>5656</v>
      </c>
      <c r="B1676" s="33" t="s">
        <v>1669</v>
      </c>
      <c r="C1676" s="39">
        <v>46098.0</v>
      </c>
      <c r="D1676" s="33" t="s">
        <v>435</v>
      </c>
      <c r="E1676" s="40">
        <v>36.13</v>
      </c>
      <c r="F1676" s="40">
        <v>0.0</v>
      </c>
      <c r="G1676" s="33" t="s">
        <v>450</v>
      </c>
    </row>
    <row r="1677" ht="15.75" customHeight="1">
      <c r="A1677" s="33" t="s">
        <v>5658</v>
      </c>
      <c r="B1677" s="33" t="s">
        <v>1972</v>
      </c>
      <c r="C1677" s="39">
        <v>46181.0</v>
      </c>
      <c r="D1677" s="33" t="s">
        <v>440</v>
      </c>
      <c r="E1677" s="40">
        <v>203.46</v>
      </c>
      <c r="F1677" s="40">
        <v>0.0</v>
      </c>
      <c r="G1677" s="33" t="s">
        <v>450</v>
      </c>
    </row>
    <row r="1678" ht="15.75" customHeight="1">
      <c r="A1678" s="33" t="s">
        <v>5659</v>
      </c>
      <c r="B1678" s="33" t="s">
        <v>1253</v>
      </c>
      <c r="C1678" s="39">
        <v>45959.0</v>
      </c>
      <c r="D1678" s="33" t="s">
        <v>435</v>
      </c>
      <c r="E1678" s="40">
        <v>73.33</v>
      </c>
      <c r="F1678" s="40">
        <v>0.0</v>
      </c>
      <c r="G1678" s="33" t="s">
        <v>431</v>
      </c>
    </row>
    <row r="1679" ht="15.75" customHeight="1">
      <c r="A1679" s="33" t="s">
        <v>5660</v>
      </c>
      <c r="B1679" s="33" t="s">
        <v>620</v>
      </c>
      <c r="C1679" s="39">
        <v>45715.0</v>
      </c>
      <c r="D1679" s="33" t="s">
        <v>435</v>
      </c>
      <c r="E1679" s="40">
        <v>75.48</v>
      </c>
      <c r="F1679" s="40">
        <v>0.0</v>
      </c>
      <c r="G1679" s="33" t="s">
        <v>450</v>
      </c>
    </row>
    <row r="1680" ht="15.75" customHeight="1">
      <c r="A1680" s="33" t="s">
        <v>5662</v>
      </c>
      <c r="B1680" s="33" t="s">
        <v>267</v>
      </c>
      <c r="C1680" s="39">
        <v>45662.0</v>
      </c>
      <c r="D1680" s="33" t="s">
        <v>461</v>
      </c>
      <c r="E1680" s="40">
        <v>54.06</v>
      </c>
      <c r="F1680" s="40">
        <v>0.97</v>
      </c>
      <c r="G1680" s="33" t="s">
        <v>442</v>
      </c>
    </row>
    <row r="1681" ht="15.75" customHeight="1">
      <c r="A1681" s="33" t="s">
        <v>5664</v>
      </c>
      <c r="B1681" s="33" t="s">
        <v>1399</v>
      </c>
      <c r="C1681" s="39">
        <v>45750.0</v>
      </c>
      <c r="D1681" s="33" t="s">
        <v>461</v>
      </c>
      <c r="E1681" s="40">
        <v>55.97</v>
      </c>
      <c r="F1681" s="40">
        <v>0.66</v>
      </c>
      <c r="G1681" s="33" t="s">
        <v>450</v>
      </c>
    </row>
    <row r="1682" ht="15.75" customHeight="1">
      <c r="A1682" s="33" t="s">
        <v>5665</v>
      </c>
      <c r="B1682" s="33" t="s">
        <v>788</v>
      </c>
      <c r="C1682" s="39">
        <v>45692.0</v>
      </c>
      <c r="D1682" s="33" t="s">
        <v>440</v>
      </c>
      <c r="E1682" s="40">
        <v>11.15</v>
      </c>
      <c r="F1682" s="40">
        <v>0.0</v>
      </c>
      <c r="G1682" s="33" t="s">
        <v>450</v>
      </c>
    </row>
    <row r="1683" ht="15.75" customHeight="1">
      <c r="A1683" s="33" t="s">
        <v>5667</v>
      </c>
      <c r="B1683" s="33" t="s">
        <v>2570</v>
      </c>
      <c r="C1683" s="39">
        <v>45929.0</v>
      </c>
      <c r="D1683" s="33" t="s">
        <v>440</v>
      </c>
      <c r="E1683" s="40">
        <v>108.4</v>
      </c>
      <c r="F1683" s="40">
        <v>0.0</v>
      </c>
      <c r="G1683" s="33" t="s">
        <v>450</v>
      </c>
    </row>
    <row r="1684" ht="15.75" customHeight="1">
      <c r="A1684" s="33" t="s">
        <v>5669</v>
      </c>
      <c r="B1684" s="33" t="s">
        <v>1359</v>
      </c>
      <c r="C1684" s="39">
        <v>45688.0</v>
      </c>
      <c r="D1684" s="33" t="s">
        <v>428</v>
      </c>
      <c r="E1684" s="40">
        <v>21.17</v>
      </c>
      <c r="F1684" s="40">
        <v>0.0</v>
      </c>
      <c r="G1684" s="33" t="s">
        <v>450</v>
      </c>
    </row>
    <row r="1685" ht="15.75" customHeight="1">
      <c r="A1685" s="33" t="s">
        <v>5670</v>
      </c>
      <c r="B1685" s="33" t="s">
        <v>382</v>
      </c>
      <c r="C1685" s="39">
        <v>45770.0</v>
      </c>
      <c r="D1685" s="33" t="s">
        <v>479</v>
      </c>
      <c r="E1685" s="40">
        <v>146.36</v>
      </c>
      <c r="F1685" s="40">
        <v>1.72</v>
      </c>
      <c r="G1685" s="33" t="s">
        <v>431</v>
      </c>
    </row>
    <row r="1686" ht="15.75" customHeight="1">
      <c r="A1686" s="33" t="s">
        <v>5672</v>
      </c>
      <c r="B1686" s="33" t="s">
        <v>1452</v>
      </c>
      <c r="C1686" s="39">
        <v>45912.0</v>
      </c>
      <c r="D1686" s="33" t="s">
        <v>440</v>
      </c>
      <c r="E1686" s="40">
        <v>30.4</v>
      </c>
      <c r="F1686" s="40">
        <v>0.0</v>
      </c>
      <c r="G1686" s="33" t="s">
        <v>450</v>
      </c>
    </row>
    <row r="1687" ht="15.75" customHeight="1">
      <c r="A1687" s="33" t="s">
        <v>5673</v>
      </c>
      <c r="B1687" s="33" t="s">
        <v>1722</v>
      </c>
      <c r="C1687" s="39">
        <v>46104.0</v>
      </c>
      <c r="D1687" s="33" t="s">
        <v>428</v>
      </c>
      <c r="E1687" s="40">
        <v>80.79</v>
      </c>
      <c r="F1687" s="40">
        <v>0.0</v>
      </c>
      <c r="G1687" s="33" t="s">
        <v>450</v>
      </c>
    </row>
    <row r="1688" ht="15.75" customHeight="1">
      <c r="A1688" s="33" t="s">
        <v>5674</v>
      </c>
      <c r="B1688" s="33" t="s">
        <v>895</v>
      </c>
      <c r="C1688" s="39">
        <v>46067.0</v>
      </c>
      <c r="D1688" s="33" t="s">
        <v>435</v>
      </c>
      <c r="E1688" s="40">
        <v>46.97</v>
      </c>
      <c r="F1688" s="40">
        <v>0.0</v>
      </c>
      <c r="G1688" s="33" t="s">
        <v>450</v>
      </c>
    </row>
    <row r="1689" ht="15.75" customHeight="1">
      <c r="A1689" s="33" t="s">
        <v>5675</v>
      </c>
      <c r="B1689" s="33" t="s">
        <v>777</v>
      </c>
      <c r="C1689" s="39">
        <v>45693.0</v>
      </c>
      <c r="D1689" s="33" t="s">
        <v>440</v>
      </c>
      <c r="E1689" s="40">
        <v>54.04</v>
      </c>
      <c r="F1689" s="40">
        <v>0.0</v>
      </c>
      <c r="G1689" s="33" t="s">
        <v>450</v>
      </c>
    </row>
    <row r="1690" ht="15.75" customHeight="1">
      <c r="A1690" s="33" t="s">
        <v>5676</v>
      </c>
      <c r="B1690" s="33" t="s">
        <v>1227</v>
      </c>
      <c r="C1690" s="39">
        <v>46206.0</v>
      </c>
      <c r="D1690" s="33" t="s">
        <v>461</v>
      </c>
      <c r="E1690" s="40">
        <v>62.72</v>
      </c>
      <c r="F1690" s="40">
        <v>0.61</v>
      </c>
      <c r="G1690" s="33" t="s">
        <v>450</v>
      </c>
    </row>
    <row r="1691" ht="15.75" customHeight="1">
      <c r="A1691" s="33" t="s">
        <v>5677</v>
      </c>
      <c r="B1691" s="33" t="s">
        <v>1256</v>
      </c>
      <c r="C1691" s="39">
        <v>45991.0</v>
      </c>
      <c r="D1691" s="33" t="s">
        <v>479</v>
      </c>
      <c r="E1691" s="40">
        <v>96.67</v>
      </c>
      <c r="F1691" s="40">
        <v>1.7</v>
      </c>
      <c r="G1691" s="33" t="s">
        <v>450</v>
      </c>
    </row>
    <row r="1692" ht="15.75" customHeight="1">
      <c r="A1692" s="33" t="s">
        <v>5678</v>
      </c>
      <c r="B1692" s="33" t="s">
        <v>265</v>
      </c>
      <c r="C1692" s="39">
        <v>45869.0</v>
      </c>
      <c r="D1692" s="33" t="s">
        <v>435</v>
      </c>
      <c r="E1692" s="40">
        <v>199.58</v>
      </c>
      <c r="F1692" s="40">
        <v>0.0</v>
      </c>
      <c r="G1692" s="33" t="s">
        <v>450</v>
      </c>
    </row>
    <row r="1693" ht="15.75" customHeight="1">
      <c r="A1693" s="33" t="s">
        <v>5679</v>
      </c>
      <c r="B1693" s="33" t="s">
        <v>1884</v>
      </c>
      <c r="C1693" s="39">
        <v>45890.0</v>
      </c>
      <c r="D1693" s="33" t="s">
        <v>428</v>
      </c>
      <c r="E1693" s="40">
        <v>52.98</v>
      </c>
      <c r="F1693" s="40">
        <v>0.0</v>
      </c>
      <c r="G1693" s="33" t="s">
        <v>450</v>
      </c>
    </row>
    <row r="1694" ht="15.75" customHeight="1">
      <c r="A1694" s="33" t="s">
        <v>5680</v>
      </c>
      <c r="B1694" s="33" t="s">
        <v>1758</v>
      </c>
      <c r="C1694" s="39">
        <v>46172.0</v>
      </c>
      <c r="D1694" s="33" t="s">
        <v>440</v>
      </c>
      <c r="E1694" s="40">
        <v>8.93</v>
      </c>
      <c r="F1694" s="40">
        <v>0.0</v>
      </c>
      <c r="G1694" s="33" t="s">
        <v>450</v>
      </c>
    </row>
    <row r="1695" ht="15.75" customHeight="1">
      <c r="A1695" s="33" t="s">
        <v>5681</v>
      </c>
      <c r="B1695" s="33" t="s">
        <v>2158</v>
      </c>
      <c r="C1695" s="39">
        <v>45940.0</v>
      </c>
      <c r="D1695" s="33" t="s">
        <v>461</v>
      </c>
      <c r="E1695" s="40">
        <v>171.44</v>
      </c>
      <c r="F1695" s="40">
        <v>1.12</v>
      </c>
      <c r="G1695" s="33" t="s">
        <v>450</v>
      </c>
    </row>
    <row r="1696" ht="15.75" customHeight="1">
      <c r="A1696" s="33" t="s">
        <v>5682</v>
      </c>
      <c r="B1696" s="33" t="s">
        <v>936</v>
      </c>
      <c r="C1696" s="39">
        <v>45807.0</v>
      </c>
      <c r="D1696" s="33" t="s">
        <v>440</v>
      </c>
      <c r="E1696" s="40">
        <v>120.26</v>
      </c>
      <c r="F1696" s="40">
        <v>0.0</v>
      </c>
      <c r="G1696" s="33" t="s">
        <v>450</v>
      </c>
    </row>
    <row r="1697" ht="15.75" customHeight="1">
      <c r="A1697" s="33" t="s">
        <v>5683</v>
      </c>
      <c r="B1697" s="33" t="s">
        <v>804</v>
      </c>
      <c r="C1697" s="39">
        <v>45915.0</v>
      </c>
      <c r="D1697" s="33" t="s">
        <v>461</v>
      </c>
      <c r="E1697" s="40">
        <v>29.32</v>
      </c>
      <c r="F1697" s="40">
        <v>0.32</v>
      </c>
      <c r="G1697" s="33" t="s">
        <v>431</v>
      </c>
    </row>
    <row r="1698" ht="15.75" customHeight="1">
      <c r="A1698" s="33" t="s">
        <v>5684</v>
      </c>
      <c r="B1698" s="33" t="s">
        <v>1331</v>
      </c>
      <c r="C1698" s="39">
        <v>45699.0</v>
      </c>
      <c r="D1698" s="33" t="s">
        <v>428</v>
      </c>
      <c r="E1698" s="40">
        <v>24.65</v>
      </c>
      <c r="F1698" s="40">
        <v>0.0</v>
      </c>
      <c r="G1698" s="33" t="s">
        <v>450</v>
      </c>
    </row>
    <row r="1699" ht="15.75" customHeight="1">
      <c r="A1699" s="33" t="s">
        <v>5685</v>
      </c>
      <c r="B1699" s="33" t="s">
        <v>3613</v>
      </c>
      <c r="C1699" s="39">
        <v>45750.0</v>
      </c>
      <c r="D1699" s="33" t="s">
        <v>461</v>
      </c>
      <c r="E1699" s="40">
        <v>99.87</v>
      </c>
      <c r="F1699" s="40">
        <v>1.31</v>
      </c>
      <c r="G1699" s="33" t="s">
        <v>450</v>
      </c>
    </row>
    <row r="1700" ht="15.75" customHeight="1">
      <c r="A1700" s="33" t="s">
        <v>5686</v>
      </c>
      <c r="B1700" s="33" t="s">
        <v>1887</v>
      </c>
      <c r="C1700" s="39">
        <v>45848.0</v>
      </c>
      <c r="D1700" s="33" t="s">
        <v>428</v>
      </c>
      <c r="E1700" s="40">
        <v>87.66</v>
      </c>
      <c r="F1700" s="40">
        <v>0.0</v>
      </c>
      <c r="G1700" s="33" t="s">
        <v>450</v>
      </c>
    </row>
    <row r="1701" ht="15.75" customHeight="1">
      <c r="A1701" s="33" t="s">
        <v>5687</v>
      </c>
      <c r="B1701" s="33" t="s">
        <v>2211</v>
      </c>
      <c r="C1701" s="39">
        <v>45791.0</v>
      </c>
      <c r="D1701" s="33" t="s">
        <v>479</v>
      </c>
      <c r="E1701" s="40">
        <v>232.98</v>
      </c>
      <c r="F1701" s="40">
        <v>1.88</v>
      </c>
      <c r="G1701" s="33" t="s">
        <v>450</v>
      </c>
    </row>
    <row r="1702" ht="15.75" customHeight="1">
      <c r="A1702" s="33" t="s">
        <v>5688</v>
      </c>
      <c r="B1702" s="33" t="s">
        <v>1802</v>
      </c>
      <c r="C1702" s="39">
        <v>45870.0</v>
      </c>
      <c r="D1702" s="33" t="s">
        <v>435</v>
      </c>
      <c r="E1702" s="40">
        <v>109.17</v>
      </c>
      <c r="F1702" s="40">
        <v>0.0</v>
      </c>
      <c r="G1702" s="33" t="s">
        <v>431</v>
      </c>
    </row>
    <row r="1703" ht="15.75" customHeight="1">
      <c r="A1703" s="33" t="s">
        <v>5689</v>
      </c>
      <c r="B1703" s="33" t="s">
        <v>1656</v>
      </c>
      <c r="C1703" s="39">
        <v>45697.0</v>
      </c>
      <c r="D1703" s="33" t="s">
        <v>479</v>
      </c>
      <c r="E1703" s="40">
        <v>44.5</v>
      </c>
      <c r="F1703" s="40">
        <v>0.53</v>
      </c>
      <c r="G1703" s="33" t="s">
        <v>442</v>
      </c>
    </row>
    <row r="1704" ht="15.75" customHeight="1">
      <c r="A1704" s="33" t="s">
        <v>5690</v>
      </c>
      <c r="B1704" s="33" t="s">
        <v>822</v>
      </c>
      <c r="C1704" s="39">
        <v>46028.0</v>
      </c>
      <c r="D1704" s="33" t="s">
        <v>479</v>
      </c>
      <c r="E1704" s="40">
        <v>36.31</v>
      </c>
      <c r="F1704" s="40">
        <v>0.44</v>
      </c>
      <c r="G1704" s="33" t="s">
        <v>450</v>
      </c>
    </row>
    <row r="1705" ht="15.75" customHeight="1">
      <c r="A1705" s="33" t="s">
        <v>5691</v>
      </c>
      <c r="B1705" s="33" t="s">
        <v>478</v>
      </c>
      <c r="C1705" s="39">
        <v>45727.0</v>
      </c>
      <c r="D1705" s="33" t="s">
        <v>461</v>
      </c>
      <c r="E1705" s="40">
        <v>78.82</v>
      </c>
      <c r="F1705" s="40">
        <v>0.4</v>
      </c>
      <c r="G1705" s="33" t="s">
        <v>450</v>
      </c>
    </row>
    <row r="1706" ht="15.75" customHeight="1">
      <c r="A1706" s="33" t="s">
        <v>5692</v>
      </c>
      <c r="B1706" s="33" t="s">
        <v>759</v>
      </c>
      <c r="C1706" s="39">
        <v>45789.0</v>
      </c>
      <c r="D1706" s="33" t="s">
        <v>440</v>
      </c>
      <c r="E1706" s="40">
        <v>11.83</v>
      </c>
      <c r="F1706" s="40">
        <v>0.0</v>
      </c>
      <c r="G1706" s="33" t="s">
        <v>431</v>
      </c>
    </row>
    <row r="1707" ht="15.75" customHeight="1">
      <c r="A1707" s="33" t="s">
        <v>5693</v>
      </c>
      <c r="B1707" s="33" t="s">
        <v>1541</v>
      </c>
      <c r="C1707" s="39">
        <v>46251.0</v>
      </c>
      <c r="D1707" s="33" t="s">
        <v>461</v>
      </c>
      <c r="E1707" s="40">
        <v>17.22</v>
      </c>
      <c r="F1707" s="40">
        <v>0.26</v>
      </c>
      <c r="G1707" s="33" t="s">
        <v>450</v>
      </c>
    </row>
    <row r="1708" ht="15.75" customHeight="1">
      <c r="A1708" s="33" t="s">
        <v>5694</v>
      </c>
      <c r="B1708" s="33" t="s">
        <v>382</v>
      </c>
      <c r="C1708" s="39">
        <v>45661.0</v>
      </c>
      <c r="D1708" s="33" t="s">
        <v>479</v>
      </c>
      <c r="E1708" s="40">
        <v>26.12</v>
      </c>
      <c r="F1708" s="40">
        <v>0.48</v>
      </c>
      <c r="G1708" s="33" t="s">
        <v>450</v>
      </c>
    </row>
    <row r="1709" ht="15.75" customHeight="1">
      <c r="A1709" s="33" t="s">
        <v>5695</v>
      </c>
      <c r="B1709" s="33" t="s">
        <v>804</v>
      </c>
      <c r="C1709" s="39">
        <v>45827.0</v>
      </c>
      <c r="D1709" s="33" t="s">
        <v>461</v>
      </c>
      <c r="E1709" s="40">
        <v>43.55</v>
      </c>
      <c r="F1709" s="40">
        <v>0.59</v>
      </c>
      <c r="G1709" s="33" t="s">
        <v>442</v>
      </c>
    </row>
    <row r="1710" ht="15.75" customHeight="1">
      <c r="A1710" s="33" t="s">
        <v>5696</v>
      </c>
      <c r="B1710" s="33" t="s">
        <v>2154</v>
      </c>
      <c r="C1710" s="39">
        <v>45961.0</v>
      </c>
      <c r="D1710" s="33" t="s">
        <v>479</v>
      </c>
      <c r="E1710" s="40">
        <v>72.43</v>
      </c>
      <c r="F1710" s="40">
        <v>0.95</v>
      </c>
      <c r="G1710" s="33" t="s">
        <v>431</v>
      </c>
    </row>
    <row r="1711" ht="15.75" customHeight="1">
      <c r="A1711" s="33" t="s">
        <v>5697</v>
      </c>
      <c r="B1711" s="33" t="s">
        <v>267</v>
      </c>
      <c r="C1711" s="39">
        <v>45844.0</v>
      </c>
      <c r="D1711" s="33" t="s">
        <v>440</v>
      </c>
      <c r="E1711" s="40">
        <v>114.34</v>
      </c>
      <c r="F1711" s="40">
        <v>0.0</v>
      </c>
      <c r="G1711" s="33" t="s">
        <v>450</v>
      </c>
    </row>
    <row r="1712" ht="15.75" customHeight="1">
      <c r="A1712" s="33" t="s">
        <v>5698</v>
      </c>
      <c r="B1712" s="33" t="s">
        <v>692</v>
      </c>
      <c r="C1712" s="39">
        <v>45852.0</v>
      </c>
      <c r="D1712" s="33" t="s">
        <v>440</v>
      </c>
      <c r="E1712" s="40">
        <v>178.37</v>
      </c>
      <c r="F1712" s="40">
        <v>0.0</v>
      </c>
      <c r="G1712" s="33" t="s">
        <v>450</v>
      </c>
    </row>
    <row r="1713" ht="15.75" customHeight="1">
      <c r="A1713" s="33" t="s">
        <v>5699</v>
      </c>
      <c r="B1713" s="33" t="s">
        <v>2757</v>
      </c>
      <c r="C1713" s="39">
        <v>45735.0</v>
      </c>
      <c r="D1713" s="33" t="s">
        <v>428</v>
      </c>
      <c r="E1713" s="40">
        <v>155.76</v>
      </c>
      <c r="F1713" s="40">
        <v>0.0</v>
      </c>
      <c r="G1713" s="33" t="s">
        <v>450</v>
      </c>
    </row>
    <row r="1714" ht="15.75" customHeight="1">
      <c r="A1714" s="33" t="s">
        <v>5700</v>
      </c>
      <c r="B1714" s="33" t="s">
        <v>2497</v>
      </c>
      <c r="C1714" s="39">
        <v>45915.0</v>
      </c>
      <c r="D1714" s="33" t="s">
        <v>435</v>
      </c>
      <c r="E1714" s="40">
        <v>139.49</v>
      </c>
      <c r="F1714" s="40">
        <v>0.0</v>
      </c>
      <c r="G1714" s="33" t="s">
        <v>450</v>
      </c>
    </row>
    <row r="1715" ht="15.75" customHeight="1">
      <c r="A1715" s="33" t="s">
        <v>5701</v>
      </c>
      <c r="B1715" s="33" t="s">
        <v>1095</v>
      </c>
      <c r="C1715" s="39">
        <v>46116.0</v>
      </c>
      <c r="D1715" s="33" t="s">
        <v>440</v>
      </c>
      <c r="E1715" s="40">
        <v>52.35</v>
      </c>
      <c r="F1715" s="40">
        <v>0.0</v>
      </c>
      <c r="G1715" s="33" t="s">
        <v>431</v>
      </c>
    </row>
    <row r="1716" ht="15.75" customHeight="1">
      <c r="A1716" s="33" t="s">
        <v>5702</v>
      </c>
      <c r="B1716" s="33" t="s">
        <v>964</v>
      </c>
      <c r="C1716" s="39">
        <v>46014.0</v>
      </c>
      <c r="D1716" s="33" t="s">
        <v>479</v>
      </c>
      <c r="E1716" s="40">
        <v>37.2</v>
      </c>
      <c r="F1716" s="40">
        <v>0.32</v>
      </c>
      <c r="G1716" s="33" t="s">
        <v>450</v>
      </c>
    </row>
    <row r="1717" ht="15.75" customHeight="1">
      <c r="A1717" s="33" t="s">
        <v>5703</v>
      </c>
      <c r="B1717" s="33" t="s">
        <v>1222</v>
      </c>
      <c r="C1717" s="39">
        <v>46218.0</v>
      </c>
      <c r="D1717" s="33" t="s">
        <v>435</v>
      </c>
      <c r="E1717" s="40">
        <v>98.39</v>
      </c>
      <c r="F1717" s="40">
        <v>0.0</v>
      </c>
      <c r="G1717" s="33" t="s">
        <v>442</v>
      </c>
    </row>
    <row r="1718" ht="15.75" customHeight="1">
      <c r="A1718" s="33" t="s">
        <v>5704</v>
      </c>
      <c r="B1718" s="33" t="s">
        <v>2723</v>
      </c>
      <c r="C1718" s="39">
        <v>46082.0</v>
      </c>
      <c r="D1718" s="33" t="s">
        <v>428</v>
      </c>
      <c r="E1718" s="40">
        <v>102.96</v>
      </c>
      <c r="F1718" s="40">
        <v>0.0</v>
      </c>
      <c r="G1718" s="33" t="s">
        <v>431</v>
      </c>
    </row>
    <row r="1719" ht="15.75" customHeight="1">
      <c r="A1719" s="33" t="s">
        <v>5705</v>
      </c>
      <c r="B1719" s="33" t="s">
        <v>1374</v>
      </c>
      <c r="C1719" s="39">
        <v>46137.0</v>
      </c>
      <c r="D1719" s="33" t="s">
        <v>440</v>
      </c>
      <c r="E1719" s="40">
        <v>28.74</v>
      </c>
      <c r="F1719" s="40">
        <v>0.0</v>
      </c>
      <c r="G1719" s="33" t="s">
        <v>450</v>
      </c>
    </row>
    <row r="1720" ht="15.75" customHeight="1">
      <c r="A1720" s="33" t="s">
        <v>5706</v>
      </c>
      <c r="B1720" s="33" t="s">
        <v>430</v>
      </c>
      <c r="C1720" s="39">
        <v>45920.0</v>
      </c>
      <c r="D1720" s="33" t="s">
        <v>440</v>
      </c>
      <c r="E1720" s="40">
        <v>62.48</v>
      </c>
      <c r="F1720" s="40">
        <v>0.0</v>
      </c>
      <c r="G1720" s="33" t="s">
        <v>450</v>
      </c>
    </row>
    <row r="1721" ht="15.75" customHeight="1">
      <c r="A1721" s="33" t="s">
        <v>5707</v>
      </c>
      <c r="B1721" s="33" t="s">
        <v>763</v>
      </c>
      <c r="C1721" s="39">
        <v>46029.0</v>
      </c>
      <c r="D1721" s="33" t="s">
        <v>440</v>
      </c>
      <c r="E1721" s="40">
        <v>34.6</v>
      </c>
      <c r="F1721" s="40">
        <v>0.0</v>
      </c>
      <c r="G1721" s="33" t="s">
        <v>431</v>
      </c>
    </row>
    <row r="1722" ht="15.75" customHeight="1">
      <c r="A1722" s="33" t="s">
        <v>5708</v>
      </c>
      <c r="B1722" s="33" t="s">
        <v>1140</v>
      </c>
      <c r="C1722" s="39">
        <v>46008.0</v>
      </c>
      <c r="D1722" s="33" t="s">
        <v>435</v>
      </c>
      <c r="E1722" s="40">
        <v>16.53</v>
      </c>
      <c r="F1722" s="40">
        <v>0.0</v>
      </c>
      <c r="G1722" s="33" t="s">
        <v>442</v>
      </c>
    </row>
    <row r="1723" ht="15.75" customHeight="1">
      <c r="A1723" s="33" t="s">
        <v>5709</v>
      </c>
      <c r="B1723" s="33" t="s">
        <v>642</v>
      </c>
      <c r="C1723" s="39">
        <v>46151.0</v>
      </c>
      <c r="D1723" s="33" t="s">
        <v>461</v>
      </c>
      <c r="E1723" s="40">
        <v>93.07</v>
      </c>
      <c r="F1723" s="40">
        <v>0.67</v>
      </c>
      <c r="G1723" s="33" t="s">
        <v>450</v>
      </c>
    </row>
    <row r="1724" ht="15.75" customHeight="1">
      <c r="A1724" s="33" t="s">
        <v>5710</v>
      </c>
      <c r="B1724" s="33" t="s">
        <v>293</v>
      </c>
      <c r="C1724" s="39">
        <v>45962.0</v>
      </c>
      <c r="D1724" s="33" t="s">
        <v>479</v>
      </c>
      <c r="E1724" s="40">
        <v>137.6</v>
      </c>
      <c r="F1724" s="40">
        <v>0.77</v>
      </c>
      <c r="G1724" s="33" t="s">
        <v>431</v>
      </c>
    </row>
    <row r="1725" ht="15.75" customHeight="1">
      <c r="A1725" s="33" t="s">
        <v>5711</v>
      </c>
      <c r="B1725" s="33" t="s">
        <v>1637</v>
      </c>
      <c r="C1725" s="39">
        <v>45903.0</v>
      </c>
      <c r="D1725" s="33" t="s">
        <v>440</v>
      </c>
      <c r="E1725" s="40">
        <v>218.89</v>
      </c>
      <c r="F1725" s="40">
        <v>0.0</v>
      </c>
      <c r="G1725" s="33" t="s">
        <v>431</v>
      </c>
    </row>
    <row r="1726" ht="15.75" customHeight="1">
      <c r="A1726" s="33" t="s">
        <v>5712</v>
      </c>
      <c r="B1726" s="33" t="s">
        <v>2144</v>
      </c>
      <c r="C1726" s="39">
        <v>45700.0</v>
      </c>
      <c r="D1726" s="33" t="s">
        <v>428</v>
      </c>
      <c r="E1726" s="40">
        <v>66.28</v>
      </c>
      <c r="F1726" s="40">
        <v>0.0</v>
      </c>
      <c r="G1726" s="33" t="s">
        <v>450</v>
      </c>
    </row>
    <row r="1727" ht="15.75" customHeight="1">
      <c r="A1727" s="33" t="s">
        <v>5713</v>
      </c>
      <c r="B1727" s="33" t="s">
        <v>447</v>
      </c>
      <c r="C1727" s="39">
        <v>46179.0</v>
      </c>
      <c r="D1727" s="33" t="s">
        <v>461</v>
      </c>
      <c r="E1727" s="40">
        <v>13.32</v>
      </c>
      <c r="F1727" s="40">
        <v>0.18</v>
      </c>
      <c r="G1727" s="33" t="s">
        <v>450</v>
      </c>
    </row>
    <row r="1728" ht="15.75" customHeight="1">
      <c r="A1728" s="33" t="s">
        <v>5714</v>
      </c>
      <c r="B1728" s="33" t="s">
        <v>536</v>
      </c>
      <c r="C1728" s="39">
        <v>45922.0</v>
      </c>
      <c r="D1728" s="33" t="s">
        <v>479</v>
      </c>
      <c r="E1728" s="40">
        <v>244.86</v>
      </c>
      <c r="F1728" s="40">
        <v>1.46</v>
      </c>
      <c r="G1728" s="33" t="s">
        <v>450</v>
      </c>
    </row>
    <row r="1729" ht="15.75" customHeight="1">
      <c r="A1729" s="33" t="s">
        <v>5715</v>
      </c>
      <c r="B1729" s="33" t="s">
        <v>3352</v>
      </c>
      <c r="C1729" s="39">
        <v>46142.0</v>
      </c>
      <c r="D1729" s="33" t="s">
        <v>479</v>
      </c>
      <c r="E1729" s="40">
        <v>259.32</v>
      </c>
      <c r="F1729" s="40">
        <v>2.75</v>
      </c>
      <c r="G1729" s="33" t="s">
        <v>450</v>
      </c>
    </row>
    <row r="1730" ht="15.75" customHeight="1">
      <c r="A1730" s="33" t="s">
        <v>5716</v>
      </c>
      <c r="B1730" s="33" t="s">
        <v>303</v>
      </c>
      <c r="C1730" s="39">
        <v>46069.0</v>
      </c>
      <c r="D1730" s="33" t="s">
        <v>461</v>
      </c>
      <c r="E1730" s="40">
        <v>418.25</v>
      </c>
      <c r="F1730" s="40">
        <v>4.79</v>
      </c>
      <c r="G1730" s="33" t="s">
        <v>442</v>
      </c>
    </row>
    <row r="1731" ht="15.75" customHeight="1">
      <c r="A1731" s="33" t="s">
        <v>5717</v>
      </c>
      <c r="B1731" s="33" t="s">
        <v>955</v>
      </c>
      <c r="C1731" s="39">
        <v>45659.0</v>
      </c>
      <c r="D1731" s="33" t="s">
        <v>435</v>
      </c>
      <c r="E1731" s="40">
        <v>312.34</v>
      </c>
      <c r="F1731" s="40">
        <v>0.0</v>
      </c>
      <c r="G1731" s="33" t="s">
        <v>442</v>
      </c>
    </row>
    <row r="1732" ht="15.75" customHeight="1">
      <c r="A1732" s="33" t="s">
        <v>5718</v>
      </c>
      <c r="B1732" s="33" t="s">
        <v>2234</v>
      </c>
      <c r="C1732" s="39">
        <v>46053.0</v>
      </c>
      <c r="D1732" s="33" t="s">
        <v>428</v>
      </c>
      <c r="E1732" s="40">
        <v>89.06</v>
      </c>
      <c r="F1732" s="40">
        <v>0.0</v>
      </c>
      <c r="G1732" s="33" t="s">
        <v>431</v>
      </c>
    </row>
    <row r="1733" ht="15.75" customHeight="1">
      <c r="A1733" s="33" t="s">
        <v>5719</v>
      </c>
      <c r="B1733" s="33" t="s">
        <v>1742</v>
      </c>
      <c r="C1733" s="39">
        <v>45954.0</v>
      </c>
      <c r="D1733" s="33" t="s">
        <v>440</v>
      </c>
      <c r="E1733" s="40">
        <v>75.0</v>
      </c>
      <c r="F1733" s="40">
        <v>0.0</v>
      </c>
      <c r="G1733" s="33" t="s">
        <v>450</v>
      </c>
    </row>
    <row r="1734" ht="15.75" customHeight="1">
      <c r="A1734" s="33" t="s">
        <v>5720</v>
      </c>
      <c r="B1734" s="33" t="s">
        <v>1473</v>
      </c>
      <c r="C1734" s="39">
        <v>45803.0</v>
      </c>
      <c r="D1734" s="33" t="s">
        <v>435</v>
      </c>
      <c r="E1734" s="40">
        <v>127.73</v>
      </c>
      <c r="F1734" s="40">
        <v>0.0</v>
      </c>
      <c r="G1734" s="33" t="s">
        <v>431</v>
      </c>
    </row>
    <row r="1735" ht="15.75" customHeight="1">
      <c r="A1735" s="33" t="s">
        <v>5721</v>
      </c>
      <c r="B1735" s="33" t="s">
        <v>1828</v>
      </c>
      <c r="C1735" s="39">
        <v>45818.0</v>
      </c>
      <c r="D1735" s="33" t="s">
        <v>479</v>
      </c>
      <c r="E1735" s="40">
        <v>20.06</v>
      </c>
      <c r="F1735" s="40">
        <v>0.31</v>
      </c>
      <c r="G1735" s="33" t="s">
        <v>431</v>
      </c>
    </row>
    <row r="1736" ht="15.75" customHeight="1">
      <c r="A1736" s="33" t="s">
        <v>5722</v>
      </c>
      <c r="B1736" s="33" t="s">
        <v>2397</v>
      </c>
      <c r="C1736" s="39">
        <v>46045.0</v>
      </c>
      <c r="D1736" s="33" t="s">
        <v>428</v>
      </c>
      <c r="E1736" s="40">
        <v>41.52</v>
      </c>
      <c r="F1736" s="40">
        <v>0.0</v>
      </c>
      <c r="G1736" s="33" t="s">
        <v>450</v>
      </c>
    </row>
    <row r="1737" ht="15.75" customHeight="1">
      <c r="A1737" s="33" t="s">
        <v>5723</v>
      </c>
      <c r="B1737" s="33" t="s">
        <v>496</v>
      </c>
      <c r="C1737" s="39">
        <v>45710.0</v>
      </c>
      <c r="D1737" s="33" t="s">
        <v>461</v>
      </c>
      <c r="E1737" s="40">
        <v>67.01</v>
      </c>
      <c r="F1737" s="40">
        <v>0.41</v>
      </c>
      <c r="G1737" s="33" t="s">
        <v>450</v>
      </c>
    </row>
    <row r="1738" ht="15.75" customHeight="1">
      <c r="A1738" s="33" t="s">
        <v>5724</v>
      </c>
      <c r="B1738" s="33" t="s">
        <v>2934</v>
      </c>
      <c r="C1738" s="39">
        <v>46026.0</v>
      </c>
      <c r="D1738" s="33" t="s">
        <v>440</v>
      </c>
      <c r="E1738" s="40">
        <v>159.74</v>
      </c>
      <c r="F1738" s="40">
        <v>0.0</v>
      </c>
      <c r="G1738" s="33" t="s">
        <v>450</v>
      </c>
    </row>
    <row r="1739" ht="15.75" customHeight="1">
      <c r="A1739" s="33" t="s">
        <v>5725</v>
      </c>
      <c r="B1739" s="33" t="s">
        <v>1473</v>
      </c>
      <c r="C1739" s="39">
        <v>46171.0</v>
      </c>
      <c r="D1739" s="33" t="s">
        <v>440</v>
      </c>
      <c r="E1739" s="40">
        <v>164.63</v>
      </c>
      <c r="F1739" s="40">
        <v>0.0</v>
      </c>
      <c r="G1739" s="33" t="s">
        <v>431</v>
      </c>
    </row>
    <row r="1740" ht="15.75" customHeight="1">
      <c r="A1740" s="33" t="s">
        <v>5726</v>
      </c>
      <c r="B1740" s="33" t="s">
        <v>2123</v>
      </c>
      <c r="C1740" s="39">
        <v>45710.0</v>
      </c>
      <c r="D1740" s="33" t="s">
        <v>479</v>
      </c>
      <c r="E1740" s="40">
        <v>69.97</v>
      </c>
      <c r="F1740" s="40">
        <v>1.08</v>
      </c>
      <c r="G1740" s="33" t="s">
        <v>450</v>
      </c>
    </row>
    <row r="1741" ht="15.75" customHeight="1">
      <c r="A1741" s="33" t="s">
        <v>5727</v>
      </c>
      <c r="B1741" s="33" t="s">
        <v>801</v>
      </c>
      <c r="C1741" s="39">
        <v>45662.0</v>
      </c>
      <c r="D1741" s="33" t="s">
        <v>440</v>
      </c>
      <c r="E1741" s="40">
        <v>22.21</v>
      </c>
      <c r="F1741" s="40">
        <v>0.0</v>
      </c>
      <c r="G1741" s="33" t="s">
        <v>450</v>
      </c>
    </row>
    <row r="1742" ht="15.75" customHeight="1">
      <c r="A1742" s="33" t="s">
        <v>5728</v>
      </c>
      <c r="B1742" s="33" t="s">
        <v>496</v>
      </c>
      <c r="C1742" s="39">
        <v>45694.0</v>
      </c>
      <c r="D1742" s="33" t="s">
        <v>428</v>
      </c>
      <c r="E1742" s="40">
        <v>135.94</v>
      </c>
      <c r="F1742" s="40">
        <v>0.0</v>
      </c>
      <c r="G1742" s="33" t="s">
        <v>450</v>
      </c>
    </row>
    <row r="1743" ht="15.75" customHeight="1">
      <c r="A1743" s="33" t="s">
        <v>5729</v>
      </c>
      <c r="B1743" s="33" t="s">
        <v>1135</v>
      </c>
      <c r="C1743" s="39">
        <v>46101.0</v>
      </c>
      <c r="D1743" s="33" t="s">
        <v>440</v>
      </c>
      <c r="E1743" s="40">
        <v>20.68</v>
      </c>
      <c r="F1743" s="40">
        <v>0.0</v>
      </c>
      <c r="G1743" s="33" t="s">
        <v>450</v>
      </c>
    </row>
    <row r="1744" ht="15.75" customHeight="1">
      <c r="A1744" s="33" t="s">
        <v>5730</v>
      </c>
      <c r="B1744" s="33" t="s">
        <v>255</v>
      </c>
      <c r="C1744" s="39">
        <v>46172.0</v>
      </c>
      <c r="D1744" s="33" t="s">
        <v>440</v>
      </c>
      <c r="E1744" s="40">
        <v>47.94</v>
      </c>
      <c r="F1744" s="40">
        <v>0.0</v>
      </c>
      <c r="G1744" s="33" t="s">
        <v>442</v>
      </c>
    </row>
    <row r="1745" ht="15.75" customHeight="1">
      <c r="A1745" s="33" t="s">
        <v>5731</v>
      </c>
      <c r="B1745" s="33" t="s">
        <v>740</v>
      </c>
      <c r="C1745" s="39">
        <v>46257.0</v>
      </c>
      <c r="D1745" s="33" t="s">
        <v>435</v>
      </c>
      <c r="E1745" s="40">
        <v>88.58</v>
      </c>
      <c r="F1745" s="40">
        <v>0.0</v>
      </c>
      <c r="G1745" s="33" t="s">
        <v>450</v>
      </c>
    </row>
    <row r="1746" ht="15.75" customHeight="1">
      <c r="A1746" s="33" t="s">
        <v>5732</v>
      </c>
      <c r="B1746" s="33" t="s">
        <v>1881</v>
      </c>
      <c r="C1746" s="39">
        <v>45675.0</v>
      </c>
      <c r="D1746" s="33" t="s">
        <v>461</v>
      </c>
      <c r="E1746" s="40">
        <v>18.3</v>
      </c>
      <c r="F1746" s="40">
        <v>0.14</v>
      </c>
      <c r="G1746" s="33" t="s">
        <v>431</v>
      </c>
    </row>
    <row r="1747" ht="15.75" customHeight="1">
      <c r="A1747" s="33" t="s">
        <v>5733</v>
      </c>
      <c r="B1747" s="33" t="s">
        <v>2429</v>
      </c>
      <c r="C1747" s="39">
        <v>45950.0</v>
      </c>
      <c r="D1747" s="33" t="s">
        <v>435</v>
      </c>
      <c r="E1747" s="40">
        <v>39.26</v>
      </c>
      <c r="F1747" s="40">
        <v>0.0</v>
      </c>
      <c r="G1747" s="33" t="s">
        <v>450</v>
      </c>
    </row>
    <row r="1748" ht="15.75" customHeight="1">
      <c r="A1748" s="33" t="s">
        <v>5734</v>
      </c>
      <c r="B1748" s="33" t="s">
        <v>448</v>
      </c>
      <c r="C1748" s="39">
        <v>45687.0</v>
      </c>
      <c r="D1748" s="33" t="s">
        <v>428</v>
      </c>
      <c r="E1748" s="40">
        <v>150.54</v>
      </c>
      <c r="F1748" s="40">
        <v>0.0</v>
      </c>
      <c r="G1748" s="33" t="s">
        <v>450</v>
      </c>
    </row>
    <row r="1749" ht="15.75" customHeight="1">
      <c r="A1749" s="33" t="s">
        <v>5735</v>
      </c>
      <c r="B1749" s="33" t="s">
        <v>848</v>
      </c>
      <c r="C1749" s="39">
        <v>45883.0</v>
      </c>
      <c r="D1749" s="33" t="s">
        <v>428</v>
      </c>
      <c r="E1749" s="40">
        <v>127.82</v>
      </c>
      <c r="F1749" s="40">
        <v>0.0</v>
      </c>
      <c r="G1749" s="33" t="s">
        <v>450</v>
      </c>
    </row>
    <row r="1750" ht="15.75" customHeight="1">
      <c r="A1750" s="33" t="s">
        <v>5736</v>
      </c>
      <c r="B1750" s="33" t="s">
        <v>375</v>
      </c>
      <c r="C1750" s="39">
        <v>45844.0</v>
      </c>
      <c r="D1750" s="33" t="s">
        <v>435</v>
      </c>
      <c r="E1750" s="40">
        <v>25.22</v>
      </c>
      <c r="F1750" s="40">
        <v>0.0</v>
      </c>
      <c r="G1750" s="33" t="s">
        <v>431</v>
      </c>
    </row>
    <row r="1751" ht="15.75" customHeight="1">
      <c r="A1751" s="33" t="s">
        <v>5737</v>
      </c>
      <c r="B1751" s="33" t="s">
        <v>2048</v>
      </c>
      <c r="C1751" s="39">
        <v>46025.0</v>
      </c>
      <c r="D1751" s="33" t="s">
        <v>435</v>
      </c>
      <c r="E1751" s="40">
        <v>96.59</v>
      </c>
      <c r="F1751" s="40">
        <v>0.0</v>
      </c>
      <c r="G1751" s="33" t="s">
        <v>442</v>
      </c>
    </row>
    <row r="1752" ht="15.75" customHeight="1">
      <c r="A1752" s="33" t="s">
        <v>5738</v>
      </c>
      <c r="B1752" s="33" t="s">
        <v>282</v>
      </c>
      <c r="C1752" s="39">
        <v>46209.0</v>
      </c>
      <c r="D1752" s="33" t="s">
        <v>428</v>
      </c>
      <c r="E1752" s="40">
        <v>13.05</v>
      </c>
      <c r="F1752" s="40">
        <v>0.0</v>
      </c>
      <c r="G1752" s="33" t="s">
        <v>450</v>
      </c>
    </row>
    <row r="1753" ht="15.75" customHeight="1">
      <c r="A1753" s="33" t="s">
        <v>5739</v>
      </c>
      <c r="B1753" s="33" t="s">
        <v>749</v>
      </c>
      <c r="C1753" s="39">
        <v>46146.0</v>
      </c>
      <c r="D1753" s="33" t="s">
        <v>435</v>
      </c>
      <c r="E1753" s="40">
        <v>118.37</v>
      </c>
      <c r="F1753" s="40">
        <v>0.0</v>
      </c>
      <c r="G1753" s="33" t="s">
        <v>431</v>
      </c>
    </row>
    <row r="1754" ht="15.75" customHeight="1">
      <c r="A1754" s="33" t="s">
        <v>5740</v>
      </c>
      <c r="B1754" s="33" t="s">
        <v>793</v>
      </c>
      <c r="C1754" s="39">
        <v>45696.0</v>
      </c>
      <c r="D1754" s="33" t="s">
        <v>479</v>
      </c>
      <c r="E1754" s="40">
        <v>42.47</v>
      </c>
      <c r="F1754" s="40">
        <v>0.28</v>
      </c>
      <c r="G1754" s="33" t="s">
        <v>450</v>
      </c>
    </row>
    <row r="1755" ht="15.75" customHeight="1">
      <c r="A1755" s="33" t="s">
        <v>5741</v>
      </c>
      <c r="B1755" s="33" t="s">
        <v>294</v>
      </c>
      <c r="C1755" s="39">
        <v>45803.0</v>
      </c>
      <c r="D1755" s="33" t="s">
        <v>428</v>
      </c>
      <c r="E1755" s="40">
        <v>63.51</v>
      </c>
      <c r="F1755" s="40">
        <v>0.0</v>
      </c>
      <c r="G1755" s="33" t="s">
        <v>450</v>
      </c>
    </row>
    <row r="1756" ht="15.75" customHeight="1">
      <c r="A1756" s="33" t="s">
        <v>5742</v>
      </c>
      <c r="B1756" s="33" t="s">
        <v>464</v>
      </c>
      <c r="C1756" s="39">
        <v>45824.0</v>
      </c>
      <c r="D1756" s="33" t="s">
        <v>435</v>
      </c>
      <c r="E1756" s="40">
        <v>80.78</v>
      </c>
      <c r="F1756" s="40">
        <v>0.0</v>
      </c>
      <c r="G1756" s="33" t="s">
        <v>431</v>
      </c>
    </row>
    <row r="1757" ht="15.75" customHeight="1">
      <c r="A1757" s="33" t="s">
        <v>5743</v>
      </c>
      <c r="B1757" s="33" t="s">
        <v>1868</v>
      </c>
      <c r="C1757" s="39">
        <v>45810.0</v>
      </c>
      <c r="D1757" s="33" t="s">
        <v>461</v>
      </c>
      <c r="E1757" s="40">
        <v>26.78</v>
      </c>
      <c r="F1757" s="40">
        <v>0.45</v>
      </c>
      <c r="G1757" s="33" t="s">
        <v>450</v>
      </c>
    </row>
    <row r="1758" ht="15.75" customHeight="1">
      <c r="A1758" s="33" t="s">
        <v>5744</v>
      </c>
      <c r="B1758" s="33" t="s">
        <v>1014</v>
      </c>
      <c r="C1758" s="39">
        <v>45872.0</v>
      </c>
      <c r="D1758" s="33" t="s">
        <v>440</v>
      </c>
      <c r="E1758" s="40">
        <v>39.62</v>
      </c>
      <c r="F1758" s="40">
        <v>0.0</v>
      </c>
      <c r="G1758" s="33" t="s">
        <v>450</v>
      </c>
    </row>
    <row r="1759" ht="15.75" customHeight="1">
      <c r="A1759" s="33" t="s">
        <v>5745</v>
      </c>
      <c r="B1759" s="33" t="s">
        <v>3344</v>
      </c>
      <c r="C1759" s="39">
        <v>46026.0</v>
      </c>
      <c r="D1759" s="33" t="s">
        <v>479</v>
      </c>
      <c r="E1759" s="40">
        <v>224.42</v>
      </c>
      <c r="F1759" s="40">
        <v>2.55</v>
      </c>
      <c r="G1759" s="33" t="s">
        <v>450</v>
      </c>
    </row>
    <row r="1760" ht="15.75" customHeight="1">
      <c r="A1760" s="33" t="s">
        <v>5746</v>
      </c>
      <c r="B1760" s="33" t="s">
        <v>462</v>
      </c>
      <c r="C1760" s="39">
        <v>46106.0</v>
      </c>
      <c r="D1760" s="33" t="s">
        <v>428</v>
      </c>
      <c r="E1760" s="40">
        <v>59.91</v>
      </c>
      <c r="F1760" s="40">
        <v>0.0</v>
      </c>
      <c r="G1760" s="33" t="s">
        <v>442</v>
      </c>
    </row>
    <row r="1761" ht="15.75" customHeight="1">
      <c r="A1761" s="33" t="s">
        <v>5747</v>
      </c>
      <c r="B1761" s="33" t="s">
        <v>2075</v>
      </c>
      <c r="C1761" s="39">
        <v>46228.0</v>
      </c>
      <c r="D1761" s="33" t="s">
        <v>461</v>
      </c>
      <c r="E1761" s="40">
        <v>84.25</v>
      </c>
      <c r="F1761" s="40">
        <v>0.71</v>
      </c>
      <c r="G1761" s="33" t="s">
        <v>442</v>
      </c>
    </row>
    <row r="1762" ht="15.75" customHeight="1">
      <c r="A1762" s="33" t="s">
        <v>5748</v>
      </c>
      <c r="B1762" s="33" t="s">
        <v>2161</v>
      </c>
      <c r="C1762" s="39">
        <v>46084.0</v>
      </c>
      <c r="D1762" s="33" t="s">
        <v>440</v>
      </c>
      <c r="E1762" s="40">
        <v>85.29</v>
      </c>
      <c r="F1762" s="40">
        <v>0.0</v>
      </c>
      <c r="G1762" s="33" t="s">
        <v>431</v>
      </c>
    </row>
    <row r="1763" ht="15.75" customHeight="1">
      <c r="A1763" s="33" t="s">
        <v>5749</v>
      </c>
      <c r="B1763" s="33" t="s">
        <v>3850</v>
      </c>
      <c r="C1763" s="39">
        <v>45839.0</v>
      </c>
      <c r="D1763" s="33" t="s">
        <v>428</v>
      </c>
      <c r="E1763" s="40">
        <v>181.67</v>
      </c>
      <c r="F1763" s="40">
        <v>0.0</v>
      </c>
      <c r="G1763" s="33" t="s">
        <v>431</v>
      </c>
    </row>
    <row r="1764" ht="15.75" customHeight="1">
      <c r="A1764" s="33" t="s">
        <v>5750</v>
      </c>
      <c r="B1764" s="33" t="s">
        <v>662</v>
      </c>
      <c r="C1764" s="39">
        <v>45769.0</v>
      </c>
      <c r="D1764" s="33" t="s">
        <v>479</v>
      </c>
      <c r="E1764" s="40">
        <v>133.4</v>
      </c>
      <c r="F1764" s="40">
        <v>2.39</v>
      </c>
      <c r="G1764" s="33" t="s">
        <v>450</v>
      </c>
    </row>
    <row r="1765" ht="15.75" customHeight="1">
      <c r="A1765" s="33" t="s">
        <v>5751</v>
      </c>
      <c r="B1765" s="33" t="s">
        <v>3014</v>
      </c>
      <c r="C1765" s="39">
        <v>45886.0</v>
      </c>
      <c r="D1765" s="33" t="s">
        <v>435</v>
      </c>
      <c r="E1765" s="40">
        <v>28.19</v>
      </c>
      <c r="F1765" s="40">
        <v>0.0</v>
      </c>
      <c r="G1765" s="33" t="s">
        <v>450</v>
      </c>
    </row>
    <row r="1766" ht="15.75" customHeight="1">
      <c r="A1766" s="33" t="s">
        <v>5752</v>
      </c>
      <c r="B1766" s="33" t="s">
        <v>1034</v>
      </c>
      <c r="C1766" s="39">
        <v>46143.0</v>
      </c>
      <c r="D1766" s="33" t="s">
        <v>440</v>
      </c>
      <c r="E1766" s="40">
        <v>197.42</v>
      </c>
      <c r="F1766" s="40">
        <v>0.0</v>
      </c>
      <c r="G1766" s="33" t="s">
        <v>450</v>
      </c>
    </row>
    <row r="1767" ht="15.75" customHeight="1">
      <c r="A1767" s="33" t="s">
        <v>5753</v>
      </c>
      <c r="B1767" s="33" t="s">
        <v>1092</v>
      </c>
      <c r="C1767" s="39">
        <v>46260.0</v>
      </c>
      <c r="D1767" s="33" t="s">
        <v>440</v>
      </c>
      <c r="E1767" s="40">
        <v>247.43</v>
      </c>
      <c r="F1767" s="40">
        <v>0.0</v>
      </c>
      <c r="G1767" s="33" t="s">
        <v>450</v>
      </c>
    </row>
    <row r="1768" ht="15.75" customHeight="1">
      <c r="A1768" s="33" t="s">
        <v>5754</v>
      </c>
      <c r="B1768" s="33" t="s">
        <v>1280</v>
      </c>
      <c r="C1768" s="39">
        <v>45896.0</v>
      </c>
      <c r="D1768" s="33" t="s">
        <v>461</v>
      </c>
      <c r="E1768" s="40">
        <v>28.02</v>
      </c>
      <c r="F1768" s="40">
        <v>0.25</v>
      </c>
      <c r="G1768" s="33" t="s">
        <v>450</v>
      </c>
    </row>
    <row r="1769" ht="15.75" customHeight="1">
      <c r="A1769" s="33" t="s">
        <v>5755</v>
      </c>
      <c r="B1769" s="33" t="s">
        <v>981</v>
      </c>
      <c r="C1769" s="39">
        <v>45764.0</v>
      </c>
      <c r="D1769" s="33" t="s">
        <v>428</v>
      </c>
      <c r="E1769" s="40">
        <v>56.86</v>
      </c>
      <c r="F1769" s="40">
        <v>0.0</v>
      </c>
      <c r="G1769" s="33" t="s">
        <v>450</v>
      </c>
    </row>
    <row r="1770" ht="15.75" customHeight="1">
      <c r="A1770" s="33" t="s">
        <v>5756</v>
      </c>
      <c r="B1770" s="33" t="s">
        <v>1816</v>
      </c>
      <c r="C1770" s="39">
        <v>45661.0</v>
      </c>
      <c r="D1770" s="33" t="s">
        <v>435</v>
      </c>
      <c r="E1770" s="40">
        <v>68.66</v>
      </c>
      <c r="F1770" s="40">
        <v>0.0</v>
      </c>
      <c r="G1770" s="33" t="s">
        <v>450</v>
      </c>
    </row>
    <row r="1771" ht="15.75" customHeight="1">
      <c r="A1771" s="33" t="s">
        <v>5757</v>
      </c>
      <c r="B1771" s="33" t="s">
        <v>618</v>
      </c>
      <c r="C1771" s="39">
        <v>45704.0</v>
      </c>
      <c r="D1771" s="33" t="s">
        <v>461</v>
      </c>
      <c r="E1771" s="40">
        <v>58.68</v>
      </c>
      <c r="F1771" s="40">
        <v>1.01</v>
      </c>
      <c r="G1771" s="33" t="s">
        <v>450</v>
      </c>
    </row>
    <row r="1772" ht="15.75" customHeight="1">
      <c r="A1772" s="33" t="s">
        <v>5758</v>
      </c>
      <c r="B1772" s="33" t="s">
        <v>1467</v>
      </c>
      <c r="C1772" s="39">
        <v>46044.0</v>
      </c>
      <c r="D1772" s="33" t="s">
        <v>428</v>
      </c>
      <c r="E1772" s="40">
        <v>118.79</v>
      </c>
      <c r="F1772" s="40">
        <v>0.0</v>
      </c>
      <c r="G1772" s="33" t="s">
        <v>450</v>
      </c>
    </row>
    <row r="1773" ht="15.75" customHeight="1">
      <c r="A1773" s="33" t="s">
        <v>5759</v>
      </c>
      <c r="B1773" s="33" t="s">
        <v>1113</v>
      </c>
      <c r="C1773" s="39">
        <v>46015.0</v>
      </c>
      <c r="D1773" s="33" t="s">
        <v>428</v>
      </c>
      <c r="E1773" s="40">
        <v>63.84</v>
      </c>
      <c r="F1773" s="40">
        <v>0.0</v>
      </c>
      <c r="G1773" s="33" t="s">
        <v>450</v>
      </c>
    </row>
    <row r="1774" ht="15.75" customHeight="1">
      <c r="A1774" s="33" t="s">
        <v>5760</v>
      </c>
      <c r="B1774" s="33" t="s">
        <v>825</v>
      </c>
      <c r="C1774" s="39">
        <v>46048.0</v>
      </c>
      <c r="D1774" s="33" t="s">
        <v>461</v>
      </c>
      <c r="E1774" s="40">
        <v>48.56</v>
      </c>
      <c r="F1774" s="40">
        <v>0.41</v>
      </c>
      <c r="G1774" s="33" t="s">
        <v>450</v>
      </c>
    </row>
    <row r="1775" ht="15.75" customHeight="1">
      <c r="A1775" s="33" t="s">
        <v>5761</v>
      </c>
      <c r="B1775" s="33" t="s">
        <v>225</v>
      </c>
      <c r="C1775" s="39">
        <v>45672.0</v>
      </c>
      <c r="D1775" s="33" t="s">
        <v>440</v>
      </c>
      <c r="E1775" s="40">
        <v>122.68</v>
      </c>
      <c r="F1775" s="40">
        <v>0.0</v>
      </c>
      <c r="G1775" s="33" t="s">
        <v>450</v>
      </c>
    </row>
    <row r="1776" ht="15.75" customHeight="1">
      <c r="A1776" s="33" t="s">
        <v>5762</v>
      </c>
      <c r="B1776" s="33" t="s">
        <v>1224</v>
      </c>
      <c r="C1776" s="39">
        <v>45923.0</v>
      </c>
      <c r="D1776" s="33" t="s">
        <v>435</v>
      </c>
      <c r="E1776" s="40">
        <v>9.28</v>
      </c>
      <c r="F1776" s="40">
        <v>0.0</v>
      </c>
      <c r="G1776" s="33" t="s">
        <v>442</v>
      </c>
    </row>
    <row r="1777" ht="15.75" customHeight="1">
      <c r="A1777" s="33" t="s">
        <v>5763</v>
      </c>
      <c r="B1777" s="33" t="s">
        <v>1102</v>
      </c>
      <c r="C1777" s="39">
        <v>45767.0</v>
      </c>
      <c r="D1777" s="33" t="s">
        <v>428</v>
      </c>
      <c r="E1777" s="40">
        <v>89.18</v>
      </c>
      <c r="F1777" s="40">
        <v>0.0</v>
      </c>
      <c r="G1777" s="33" t="s">
        <v>431</v>
      </c>
    </row>
    <row r="1778" ht="15.75" customHeight="1">
      <c r="A1778" s="33" t="s">
        <v>5764</v>
      </c>
      <c r="B1778" s="33" t="s">
        <v>1162</v>
      </c>
      <c r="C1778" s="39">
        <v>45862.0</v>
      </c>
      <c r="D1778" s="33" t="s">
        <v>479</v>
      </c>
      <c r="E1778" s="40">
        <v>109.06</v>
      </c>
      <c r="F1778" s="40">
        <v>1.85</v>
      </c>
      <c r="G1778" s="33" t="s">
        <v>450</v>
      </c>
    </row>
    <row r="1779" ht="15.75" customHeight="1">
      <c r="A1779" s="33" t="s">
        <v>5765</v>
      </c>
      <c r="B1779" s="33" t="s">
        <v>3807</v>
      </c>
      <c r="C1779" s="39">
        <v>46035.0</v>
      </c>
      <c r="D1779" s="33" t="s">
        <v>440</v>
      </c>
      <c r="E1779" s="40">
        <v>189.0</v>
      </c>
      <c r="F1779" s="40">
        <v>0.0</v>
      </c>
      <c r="G1779" s="33" t="s">
        <v>450</v>
      </c>
    </row>
    <row r="1780" ht="15.75" customHeight="1">
      <c r="A1780" s="33" t="s">
        <v>5766</v>
      </c>
      <c r="B1780" s="33" t="s">
        <v>1135</v>
      </c>
      <c r="C1780" s="39">
        <v>45825.0</v>
      </c>
      <c r="D1780" s="33" t="s">
        <v>461</v>
      </c>
      <c r="E1780" s="40">
        <v>79.6</v>
      </c>
      <c r="F1780" s="40">
        <v>1.17</v>
      </c>
      <c r="G1780" s="33" t="s">
        <v>450</v>
      </c>
    </row>
    <row r="1781" ht="15.75" customHeight="1">
      <c r="A1781" s="33" t="s">
        <v>5767</v>
      </c>
      <c r="B1781" s="33" t="s">
        <v>571</v>
      </c>
      <c r="C1781" s="39">
        <v>46058.0</v>
      </c>
      <c r="D1781" s="33" t="s">
        <v>461</v>
      </c>
      <c r="E1781" s="40">
        <v>14.2</v>
      </c>
      <c r="F1781" s="40">
        <v>0.11</v>
      </c>
      <c r="G1781" s="33" t="s">
        <v>450</v>
      </c>
    </row>
    <row r="1782" ht="15.75" customHeight="1">
      <c r="A1782" s="33" t="s">
        <v>5768</v>
      </c>
      <c r="B1782" s="33" t="s">
        <v>627</v>
      </c>
      <c r="C1782" s="39">
        <v>45833.0</v>
      </c>
      <c r="D1782" s="33" t="s">
        <v>428</v>
      </c>
      <c r="E1782" s="40">
        <v>83.28</v>
      </c>
      <c r="F1782" s="40">
        <v>0.0</v>
      </c>
      <c r="G1782" s="33" t="s">
        <v>431</v>
      </c>
    </row>
    <row r="1783" ht="15.75" customHeight="1">
      <c r="A1783" s="33" t="s">
        <v>5769</v>
      </c>
      <c r="B1783" s="33" t="s">
        <v>3055</v>
      </c>
      <c r="C1783" s="39">
        <v>45967.0</v>
      </c>
      <c r="D1783" s="33" t="s">
        <v>428</v>
      </c>
      <c r="E1783" s="40">
        <v>12.97</v>
      </c>
      <c r="F1783" s="40">
        <v>0.0</v>
      </c>
      <c r="G1783" s="33" t="s">
        <v>450</v>
      </c>
    </row>
    <row r="1784" ht="15.75" customHeight="1">
      <c r="A1784" s="33" t="s">
        <v>5770</v>
      </c>
      <c r="B1784" s="33" t="s">
        <v>901</v>
      </c>
      <c r="C1784" s="39">
        <v>45936.0</v>
      </c>
      <c r="D1784" s="33" t="s">
        <v>428</v>
      </c>
      <c r="E1784" s="40">
        <v>100.75</v>
      </c>
      <c r="F1784" s="40">
        <v>0.0</v>
      </c>
      <c r="G1784" s="33" t="s">
        <v>450</v>
      </c>
    </row>
    <row r="1785" ht="15.75" customHeight="1">
      <c r="A1785" s="33" t="s">
        <v>5771</v>
      </c>
      <c r="B1785" s="33" t="s">
        <v>783</v>
      </c>
      <c r="C1785" s="39">
        <v>45890.0</v>
      </c>
      <c r="D1785" s="33" t="s">
        <v>435</v>
      </c>
      <c r="E1785" s="40">
        <v>167.17</v>
      </c>
      <c r="F1785" s="40">
        <v>0.0</v>
      </c>
      <c r="G1785" s="33" t="s">
        <v>450</v>
      </c>
    </row>
    <row r="1786" ht="15.75" customHeight="1">
      <c r="A1786" s="33" t="s">
        <v>5772</v>
      </c>
      <c r="B1786" s="33" t="s">
        <v>2023</v>
      </c>
      <c r="C1786" s="39">
        <v>45734.0</v>
      </c>
      <c r="D1786" s="33" t="s">
        <v>435</v>
      </c>
      <c r="E1786" s="40">
        <v>71.52</v>
      </c>
      <c r="F1786" s="40">
        <v>0.0</v>
      </c>
      <c r="G1786" s="33" t="s">
        <v>450</v>
      </c>
    </row>
    <row r="1787" ht="15.75" customHeight="1">
      <c r="A1787" s="33" t="s">
        <v>5773</v>
      </c>
      <c r="B1787" s="33" t="s">
        <v>402</v>
      </c>
      <c r="C1787" s="39">
        <v>46007.0</v>
      </c>
      <c r="D1787" s="33" t="s">
        <v>440</v>
      </c>
      <c r="E1787" s="40">
        <v>63.9</v>
      </c>
      <c r="F1787" s="40">
        <v>0.0</v>
      </c>
      <c r="G1787" s="33" t="s">
        <v>442</v>
      </c>
    </row>
    <row r="1788" ht="15.75" customHeight="1">
      <c r="A1788" s="33" t="s">
        <v>5774</v>
      </c>
      <c r="B1788" s="33" t="s">
        <v>2340</v>
      </c>
      <c r="C1788" s="39">
        <v>46258.0</v>
      </c>
      <c r="D1788" s="33" t="s">
        <v>461</v>
      </c>
      <c r="E1788" s="40">
        <v>131.3</v>
      </c>
      <c r="F1788" s="40">
        <v>1.49</v>
      </c>
      <c r="G1788" s="33" t="s">
        <v>450</v>
      </c>
    </row>
    <row r="1789" ht="15.75" customHeight="1">
      <c r="A1789" s="33" t="s">
        <v>5775</v>
      </c>
      <c r="B1789" s="33" t="s">
        <v>204</v>
      </c>
      <c r="C1789" s="39">
        <v>46048.0</v>
      </c>
      <c r="D1789" s="33" t="s">
        <v>479</v>
      </c>
      <c r="E1789" s="40">
        <v>98.06</v>
      </c>
      <c r="F1789" s="40">
        <v>1.62</v>
      </c>
      <c r="G1789" s="33" t="s">
        <v>431</v>
      </c>
    </row>
    <row r="1790" ht="15.75" customHeight="1">
      <c r="A1790" s="33" t="s">
        <v>5776</v>
      </c>
      <c r="B1790" s="33" t="s">
        <v>728</v>
      </c>
      <c r="C1790" s="39">
        <v>46110.0</v>
      </c>
      <c r="D1790" s="33" t="s">
        <v>428</v>
      </c>
      <c r="E1790" s="40">
        <v>124.45</v>
      </c>
      <c r="F1790" s="40">
        <v>0.0</v>
      </c>
      <c r="G1790" s="33" t="s">
        <v>431</v>
      </c>
    </row>
    <row r="1791" ht="15.75" customHeight="1">
      <c r="A1791" s="33" t="s">
        <v>5777</v>
      </c>
      <c r="B1791" s="33" t="s">
        <v>342</v>
      </c>
      <c r="C1791" s="39">
        <v>46145.0</v>
      </c>
      <c r="D1791" s="33" t="s">
        <v>428</v>
      </c>
      <c r="E1791" s="40">
        <v>307.89</v>
      </c>
      <c r="F1791" s="40">
        <v>0.0</v>
      </c>
      <c r="G1791" s="33" t="s">
        <v>450</v>
      </c>
    </row>
    <row r="1792" ht="15.75" customHeight="1">
      <c r="A1792" s="33" t="s">
        <v>5778</v>
      </c>
      <c r="B1792" s="33" t="s">
        <v>2221</v>
      </c>
      <c r="C1792" s="39">
        <v>45681.0</v>
      </c>
      <c r="D1792" s="33" t="s">
        <v>428</v>
      </c>
      <c r="E1792" s="40">
        <v>51.27</v>
      </c>
      <c r="F1792" s="40">
        <v>0.0</v>
      </c>
      <c r="G1792" s="33" t="s">
        <v>450</v>
      </c>
    </row>
    <row r="1793" ht="15.75" customHeight="1">
      <c r="A1793" s="33" t="s">
        <v>5779</v>
      </c>
      <c r="B1793" s="33" t="s">
        <v>618</v>
      </c>
      <c r="C1793" s="39">
        <v>46139.0</v>
      </c>
      <c r="D1793" s="33" t="s">
        <v>435</v>
      </c>
      <c r="E1793" s="40">
        <v>105.67</v>
      </c>
      <c r="F1793" s="40">
        <v>0.0</v>
      </c>
      <c r="G1793" s="33" t="s">
        <v>450</v>
      </c>
    </row>
    <row r="1794" ht="15.75" customHeight="1">
      <c r="A1794" s="33" t="s">
        <v>5780</v>
      </c>
      <c r="B1794" s="33" t="s">
        <v>1485</v>
      </c>
      <c r="C1794" s="39">
        <v>45805.0</v>
      </c>
      <c r="D1794" s="33" t="s">
        <v>461</v>
      </c>
      <c r="E1794" s="40">
        <v>199.69</v>
      </c>
      <c r="F1794" s="40">
        <v>3.06</v>
      </c>
      <c r="G1794" s="33" t="s">
        <v>431</v>
      </c>
    </row>
    <row r="1795" ht="15.75" customHeight="1">
      <c r="A1795" s="33" t="s">
        <v>5781</v>
      </c>
      <c r="B1795" s="33" t="s">
        <v>2879</v>
      </c>
      <c r="C1795" s="39">
        <v>46061.0</v>
      </c>
      <c r="D1795" s="33" t="s">
        <v>428</v>
      </c>
      <c r="E1795" s="40">
        <v>201.8</v>
      </c>
      <c r="F1795" s="40">
        <v>0.0</v>
      </c>
      <c r="G1795" s="33" t="s">
        <v>442</v>
      </c>
    </row>
    <row r="1796" ht="15.75" customHeight="1">
      <c r="A1796" s="33" t="s">
        <v>5782</v>
      </c>
      <c r="B1796" s="33" t="s">
        <v>566</v>
      </c>
      <c r="C1796" s="39">
        <v>46255.0</v>
      </c>
      <c r="D1796" s="33" t="s">
        <v>428</v>
      </c>
      <c r="E1796" s="40">
        <v>113.08</v>
      </c>
      <c r="F1796" s="40">
        <v>0.0</v>
      </c>
      <c r="G1796" s="33" t="s">
        <v>450</v>
      </c>
    </row>
    <row r="1797" ht="15.75" customHeight="1">
      <c r="A1797" s="33" t="s">
        <v>5783</v>
      </c>
      <c r="B1797" s="33" t="s">
        <v>2934</v>
      </c>
      <c r="C1797" s="39">
        <v>46200.0</v>
      </c>
      <c r="D1797" s="33" t="s">
        <v>440</v>
      </c>
      <c r="E1797" s="40">
        <v>61.82</v>
      </c>
      <c r="F1797" s="40">
        <v>0.0</v>
      </c>
      <c r="G1797" s="33" t="s">
        <v>442</v>
      </c>
    </row>
    <row r="1798" ht="15.75" customHeight="1">
      <c r="A1798" s="33" t="s">
        <v>5784</v>
      </c>
      <c r="B1798" s="33" t="s">
        <v>1359</v>
      </c>
      <c r="C1798" s="39">
        <v>45909.0</v>
      </c>
      <c r="D1798" s="33" t="s">
        <v>461</v>
      </c>
      <c r="E1798" s="40">
        <v>123.29</v>
      </c>
      <c r="F1798" s="40">
        <v>1.5</v>
      </c>
      <c r="G1798" s="33" t="s">
        <v>450</v>
      </c>
    </row>
    <row r="1799" ht="15.75" customHeight="1">
      <c r="A1799" s="33" t="s">
        <v>5785</v>
      </c>
      <c r="B1799" s="33" t="s">
        <v>1256</v>
      </c>
      <c r="C1799" s="39">
        <v>46166.0</v>
      </c>
      <c r="D1799" s="33" t="s">
        <v>479</v>
      </c>
      <c r="E1799" s="40">
        <v>125.14</v>
      </c>
      <c r="F1799" s="40">
        <v>1.19</v>
      </c>
      <c r="G1799" s="33" t="s">
        <v>442</v>
      </c>
    </row>
    <row r="1800" ht="15.75" customHeight="1">
      <c r="A1800" s="33" t="s">
        <v>5786</v>
      </c>
      <c r="B1800" s="33" t="s">
        <v>655</v>
      </c>
      <c r="C1800" s="39">
        <v>46033.0</v>
      </c>
      <c r="D1800" s="33" t="s">
        <v>435</v>
      </c>
      <c r="E1800" s="40">
        <v>140.23</v>
      </c>
      <c r="F1800" s="40">
        <v>0.0</v>
      </c>
      <c r="G1800" s="33" t="s">
        <v>431</v>
      </c>
    </row>
    <row r="1801" ht="15.75" customHeight="1">
      <c r="A1801" s="33" t="s">
        <v>5787</v>
      </c>
      <c r="B1801" s="33" t="s">
        <v>1147</v>
      </c>
      <c r="C1801" s="39">
        <v>45738.0</v>
      </c>
      <c r="D1801" s="33" t="s">
        <v>440</v>
      </c>
      <c r="E1801" s="40">
        <v>29.84</v>
      </c>
      <c r="F1801" s="40">
        <v>0.0</v>
      </c>
      <c r="G1801" s="33" t="s">
        <v>450</v>
      </c>
    </row>
    <row r="1802" ht="15.75" customHeight="1">
      <c r="A1802" s="33" t="s">
        <v>5788</v>
      </c>
      <c r="B1802" s="33" t="s">
        <v>460</v>
      </c>
      <c r="C1802" s="39">
        <v>45803.0</v>
      </c>
      <c r="D1802" s="33" t="s">
        <v>440</v>
      </c>
      <c r="E1802" s="40">
        <v>243.08</v>
      </c>
      <c r="F1802" s="40">
        <v>0.0</v>
      </c>
      <c r="G1802" s="33" t="s">
        <v>442</v>
      </c>
    </row>
    <row r="1803" ht="15.75" customHeight="1">
      <c r="A1803" s="33" t="s">
        <v>5789</v>
      </c>
      <c r="B1803" s="33" t="s">
        <v>236</v>
      </c>
      <c r="C1803" s="39">
        <v>46238.0</v>
      </c>
      <c r="D1803" s="33" t="s">
        <v>428</v>
      </c>
      <c r="E1803" s="40">
        <v>200.19</v>
      </c>
      <c r="F1803" s="40">
        <v>0.0</v>
      </c>
      <c r="G1803" s="33" t="s">
        <v>450</v>
      </c>
    </row>
    <row r="1804" ht="15.75" customHeight="1">
      <c r="A1804" s="33" t="s">
        <v>5790</v>
      </c>
      <c r="B1804" s="33" t="s">
        <v>2497</v>
      </c>
      <c r="C1804" s="39">
        <v>46213.0</v>
      </c>
      <c r="D1804" s="33" t="s">
        <v>435</v>
      </c>
      <c r="E1804" s="40">
        <v>73.28</v>
      </c>
      <c r="F1804" s="40">
        <v>0.0</v>
      </c>
      <c r="G1804" s="33" t="s">
        <v>450</v>
      </c>
    </row>
    <row r="1805" ht="15.75" customHeight="1">
      <c r="A1805" s="33" t="s">
        <v>5791</v>
      </c>
      <c r="B1805" s="33" t="s">
        <v>1076</v>
      </c>
      <c r="C1805" s="39">
        <v>46199.0</v>
      </c>
      <c r="D1805" s="33" t="s">
        <v>435</v>
      </c>
      <c r="E1805" s="40">
        <v>187.05</v>
      </c>
      <c r="F1805" s="40">
        <v>0.0</v>
      </c>
      <c r="G1805" s="33" t="s">
        <v>450</v>
      </c>
    </row>
    <row r="1806" ht="15.75" customHeight="1">
      <c r="A1806" s="33" t="s">
        <v>5792</v>
      </c>
      <c r="B1806" s="33" t="s">
        <v>273</v>
      </c>
      <c r="C1806" s="39">
        <v>45891.0</v>
      </c>
      <c r="D1806" s="33" t="s">
        <v>479</v>
      </c>
      <c r="E1806" s="40">
        <v>69.38</v>
      </c>
      <c r="F1806" s="40">
        <v>0.93</v>
      </c>
      <c r="G1806" s="33" t="s">
        <v>450</v>
      </c>
    </row>
    <row r="1807" ht="15.75" customHeight="1">
      <c r="A1807" s="33" t="s">
        <v>5793</v>
      </c>
      <c r="B1807" s="33" t="s">
        <v>817</v>
      </c>
      <c r="C1807" s="39">
        <v>45852.0</v>
      </c>
      <c r="D1807" s="33" t="s">
        <v>479</v>
      </c>
      <c r="E1807" s="40">
        <v>217.57</v>
      </c>
      <c r="F1807" s="40">
        <v>3.73</v>
      </c>
      <c r="G1807" s="33" t="s">
        <v>450</v>
      </c>
    </row>
    <row r="1808" ht="15.75" customHeight="1">
      <c r="A1808" s="33" t="s">
        <v>5794</v>
      </c>
      <c r="B1808" s="33" t="s">
        <v>308</v>
      </c>
      <c r="C1808" s="39">
        <v>46147.0</v>
      </c>
      <c r="D1808" s="33" t="s">
        <v>479</v>
      </c>
      <c r="E1808" s="40">
        <v>82.79</v>
      </c>
      <c r="F1808" s="40">
        <v>1.31</v>
      </c>
      <c r="G1808" s="33" t="s">
        <v>450</v>
      </c>
    </row>
    <row r="1809" ht="15.75" customHeight="1">
      <c r="A1809" s="33" t="s">
        <v>5795</v>
      </c>
      <c r="B1809" s="33" t="s">
        <v>2958</v>
      </c>
      <c r="C1809" s="39">
        <v>45670.0</v>
      </c>
      <c r="D1809" s="33" t="s">
        <v>435</v>
      </c>
      <c r="E1809" s="40">
        <v>35.93</v>
      </c>
      <c r="F1809" s="40">
        <v>0.0</v>
      </c>
      <c r="G1809" s="33" t="s">
        <v>431</v>
      </c>
    </row>
    <row r="1810" ht="15.75" customHeight="1">
      <c r="A1810" s="33" t="s">
        <v>5796</v>
      </c>
      <c r="B1810" s="33" t="s">
        <v>936</v>
      </c>
      <c r="C1810" s="39">
        <v>46202.0</v>
      </c>
      <c r="D1810" s="33" t="s">
        <v>479</v>
      </c>
      <c r="E1810" s="40">
        <v>281.06</v>
      </c>
      <c r="F1810" s="40">
        <v>2.85</v>
      </c>
      <c r="G1810" s="33" t="s">
        <v>442</v>
      </c>
    </row>
    <row r="1811" ht="15.75" customHeight="1">
      <c r="A1811" s="33" t="s">
        <v>5797</v>
      </c>
      <c r="B1811" s="33" t="s">
        <v>1329</v>
      </c>
      <c r="C1811" s="39">
        <v>46024.0</v>
      </c>
      <c r="D1811" s="33" t="s">
        <v>428</v>
      </c>
      <c r="E1811" s="40">
        <v>136.34</v>
      </c>
      <c r="F1811" s="40">
        <v>0.0</v>
      </c>
      <c r="G1811" s="33" t="s">
        <v>450</v>
      </c>
    </row>
    <row r="1812" ht="15.75" customHeight="1">
      <c r="A1812" s="33" t="s">
        <v>5798</v>
      </c>
      <c r="B1812" s="33" t="s">
        <v>487</v>
      </c>
      <c r="C1812" s="39">
        <v>46042.0</v>
      </c>
      <c r="D1812" s="33" t="s">
        <v>435</v>
      </c>
      <c r="E1812" s="40">
        <v>65.88</v>
      </c>
      <c r="F1812" s="40">
        <v>0.0</v>
      </c>
      <c r="G1812" s="33" t="s">
        <v>431</v>
      </c>
    </row>
    <row r="1813" ht="15.75" customHeight="1">
      <c r="A1813" s="33" t="s">
        <v>5799</v>
      </c>
      <c r="B1813" s="33" t="s">
        <v>540</v>
      </c>
      <c r="C1813" s="39">
        <v>45924.0</v>
      </c>
      <c r="D1813" s="33" t="s">
        <v>461</v>
      </c>
      <c r="E1813" s="40">
        <v>229.84</v>
      </c>
      <c r="F1813" s="40">
        <v>4.2</v>
      </c>
      <c r="G1813" s="33" t="s">
        <v>450</v>
      </c>
    </row>
    <row r="1814" ht="15.75" customHeight="1">
      <c r="A1814" s="33" t="s">
        <v>5800</v>
      </c>
      <c r="B1814" s="33" t="s">
        <v>783</v>
      </c>
      <c r="C1814" s="39">
        <v>46252.0</v>
      </c>
      <c r="D1814" s="33" t="s">
        <v>435</v>
      </c>
      <c r="E1814" s="40">
        <v>124.26</v>
      </c>
      <c r="F1814" s="40">
        <v>0.0</v>
      </c>
      <c r="G1814" s="33" t="s">
        <v>431</v>
      </c>
    </row>
    <row r="1815" ht="15.75" customHeight="1">
      <c r="A1815" s="33" t="s">
        <v>5801</v>
      </c>
      <c r="B1815" s="33" t="s">
        <v>870</v>
      </c>
      <c r="C1815" s="39">
        <v>46112.0</v>
      </c>
      <c r="D1815" s="33" t="s">
        <v>440</v>
      </c>
      <c r="E1815" s="40">
        <v>59.41</v>
      </c>
      <c r="F1815" s="40">
        <v>0.0</v>
      </c>
      <c r="G1815" s="33" t="s">
        <v>450</v>
      </c>
    </row>
    <row r="1816" ht="15.75" customHeight="1">
      <c r="A1816" s="33" t="s">
        <v>5802</v>
      </c>
      <c r="B1816" s="33" t="s">
        <v>916</v>
      </c>
      <c r="C1816" s="39">
        <v>45690.0</v>
      </c>
      <c r="D1816" s="33" t="s">
        <v>428</v>
      </c>
      <c r="E1816" s="40">
        <v>231.78</v>
      </c>
      <c r="F1816" s="40">
        <v>0.0</v>
      </c>
      <c r="G1816" s="33" t="s">
        <v>450</v>
      </c>
    </row>
    <row r="1817" ht="15.75" customHeight="1">
      <c r="A1817" s="33" t="s">
        <v>5803</v>
      </c>
      <c r="B1817" s="33" t="s">
        <v>2729</v>
      </c>
      <c r="C1817" s="39">
        <v>45976.0</v>
      </c>
      <c r="D1817" s="33" t="s">
        <v>440</v>
      </c>
      <c r="E1817" s="40">
        <v>139.81</v>
      </c>
      <c r="F1817" s="40">
        <v>0.0</v>
      </c>
      <c r="G1817" s="33" t="s">
        <v>450</v>
      </c>
    </row>
    <row r="1818" ht="15.75" customHeight="1">
      <c r="A1818" s="33" t="s">
        <v>5804</v>
      </c>
      <c r="B1818" s="33" t="s">
        <v>1825</v>
      </c>
      <c r="C1818" s="39">
        <v>46179.0</v>
      </c>
      <c r="D1818" s="33" t="s">
        <v>479</v>
      </c>
      <c r="E1818" s="40">
        <v>99.91</v>
      </c>
      <c r="F1818" s="40">
        <v>1.69</v>
      </c>
      <c r="G1818" s="33" t="s">
        <v>450</v>
      </c>
    </row>
    <row r="1819" ht="15.75" customHeight="1">
      <c r="A1819" s="33" t="s">
        <v>5805</v>
      </c>
      <c r="B1819" s="33" t="s">
        <v>489</v>
      </c>
      <c r="C1819" s="39">
        <v>45704.0</v>
      </c>
      <c r="D1819" s="33" t="s">
        <v>440</v>
      </c>
      <c r="E1819" s="40">
        <v>78.76</v>
      </c>
      <c r="F1819" s="40">
        <v>0.0</v>
      </c>
      <c r="G1819" s="33" t="s">
        <v>431</v>
      </c>
    </row>
    <row r="1820" ht="15.75" customHeight="1">
      <c r="A1820" s="33" t="s">
        <v>5806</v>
      </c>
      <c r="B1820" s="33" t="s">
        <v>4154</v>
      </c>
      <c r="C1820" s="39">
        <v>46105.0</v>
      </c>
      <c r="D1820" s="33" t="s">
        <v>461</v>
      </c>
      <c r="E1820" s="40">
        <v>34.69</v>
      </c>
      <c r="F1820" s="40">
        <v>0.58</v>
      </c>
      <c r="G1820" s="33" t="s">
        <v>450</v>
      </c>
    </row>
    <row r="1821" ht="15.75" customHeight="1">
      <c r="A1821" s="33" t="s">
        <v>5807</v>
      </c>
      <c r="B1821" s="33" t="s">
        <v>992</v>
      </c>
      <c r="C1821" s="39">
        <v>45806.0</v>
      </c>
      <c r="D1821" s="33" t="s">
        <v>479</v>
      </c>
      <c r="E1821" s="40">
        <v>5.09</v>
      </c>
      <c r="F1821" s="40">
        <v>0.09</v>
      </c>
      <c r="G1821" s="33" t="s">
        <v>450</v>
      </c>
    </row>
    <row r="1822" ht="15.75" customHeight="1">
      <c r="A1822" s="33" t="s">
        <v>5808</v>
      </c>
      <c r="B1822" s="33" t="s">
        <v>2276</v>
      </c>
      <c r="C1822" s="39">
        <v>45965.0</v>
      </c>
      <c r="D1822" s="33" t="s">
        <v>479</v>
      </c>
      <c r="E1822" s="40">
        <v>130.26</v>
      </c>
      <c r="F1822" s="40">
        <v>1.78</v>
      </c>
      <c r="G1822" s="33" t="s">
        <v>450</v>
      </c>
    </row>
    <row r="1823" ht="15.75" customHeight="1">
      <c r="A1823" s="33" t="s">
        <v>5809</v>
      </c>
      <c r="B1823" s="33" t="s">
        <v>312</v>
      </c>
      <c r="C1823" s="39">
        <v>46193.0</v>
      </c>
      <c r="D1823" s="33" t="s">
        <v>428</v>
      </c>
      <c r="E1823" s="40">
        <v>28.3</v>
      </c>
      <c r="F1823" s="40">
        <v>0.0</v>
      </c>
      <c r="G1823" s="33" t="s">
        <v>450</v>
      </c>
    </row>
    <row r="1824" ht="15.75" customHeight="1">
      <c r="A1824" s="33" t="s">
        <v>5810</v>
      </c>
      <c r="B1824" s="33" t="s">
        <v>299</v>
      </c>
      <c r="C1824" s="39">
        <v>45956.0</v>
      </c>
      <c r="D1824" s="33" t="s">
        <v>479</v>
      </c>
      <c r="E1824" s="40">
        <v>34.67</v>
      </c>
      <c r="F1824" s="40">
        <v>0.51</v>
      </c>
      <c r="G1824" s="33" t="s">
        <v>450</v>
      </c>
    </row>
    <row r="1825" ht="15.75" customHeight="1">
      <c r="A1825" s="33" t="s">
        <v>5811</v>
      </c>
      <c r="B1825" s="33" t="s">
        <v>713</v>
      </c>
      <c r="C1825" s="39">
        <v>45680.0</v>
      </c>
      <c r="D1825" s="33" t="s">
        <v>479</v>
      </c>
      <c r="E1825" s="40">
        <v>68.48</v>
      </c>
      <c r="F1825" s="40">
        <v>1.28</v>
      </c>
      <c r="G1825" s="33" t="s">
        <v>431</v>
      </c>
    </row>
    <row r="1826" ht="15.75" customHeight="1">
      <c r="A1826" s="33" t="s">
        <v>5812</v>
      </c>
      <c r="B1826" s="33" t="s">
        <v>1549</v>
      </c>
      <c r="C1826" s="39">
        <v>45670.0</v>
      </c>
      <c r="D1826" s="33" t="s">
        <v>428</v>
      </c>
      <c r="E1826" s="40">
        <v>69.83</v>
      </c>
      <c r="F1826" s="40">
        <v>0.0</v>
      </c>
      <c r="G1826" s="33" t="s">
        <v>450</v>
      </c>
    </row>
    <row r="1827" ht="15.75" customHeight="1">
      <c r="A1827" s="33" t="s">
        <v>5813</v>
      </c>
      <c r="B1827" s="33" t="s">
        <v>2958</v>
      </c>
      <c r="C1827" s="39">
        <v>46105.0</v>
      </c>
      <c r="D1827" s="33" t="s">
        <v>479</v>
      </c>
      <c r="E1827" s="40">
        <v>38.99</v>
      </c>
      <c r="F1827" s="40">
        <v>0.38</v>
      </c>
      <c r="G1827" s="33" t="s">
        <v>450</v>
      </c>
    </row>
    <row r="1828" ht="15.75" customHeight="1">
      <c r="A1828" s="33" t="s">
        <v>5814</v>
      </c>
      <c r="B1828" s="33" t="s">
        <v>728</v>
      </c>
      <c r="C1828" s="39">
        <v>46223.0</v>
      </c>
      <c r="D1828" s="33" t="s">
        <v>428</v>
      </c>
      <c r="E1828" s="40">
        <v>130.17</v>
      </c>
      <c r="F1828" s="40">
        <v>0.0</v>
      </c>
      <c r="G1828" s="33" t="s">
        <v>442</v>
      </c>
    </row>
    <row r="1829" ht="15.75" customHeight="1">
      <c r="A1829" s="33" t="s">
        <v>5815</v>
      </c>
      <c r="B1829" s="33" t="s">
        <v>2914</v>
      </c>
      <c r="C1829" s="39">
        <v>45835.0</v>
      </c>
      <c r="D1829" s="33" t="s">
        <v>461</v>
      </c>
      <c r="E1829" s="40">
        <v>15.28</v>
      </c>
      <c r="F1829" s="40">
        <v>0.27</v>
      </c>
      <c r="G1829" s="33" t="s">
        <v>450</v>
      </c>
    </row>
    <row r="1830" ht="15.75" customHeight="1">
      <c r="A1830" s="33" t="s">
        <v>5816</v>
      </c>
      <c r="B1830" s="33" t="s">
        <v>1957</v>
      </c>
      <c r="C1830" s="39">
        <v>46225.0</v>
      </c>
      <c r="D1830" s="33" t="s">
        <v>428</v>
      </c>
      <c r="E1830" s="40">
        <v>128.34</v>
      </c>
      <c r="F1830" s="40">
        <v>0.0</v>
      </c>
      <c r="G1830" s="33" t="s">
        <v>442</v>
      </c>
    </row>
    <row r="1831" ht="15.75" customHeight="1">
      <c r="A1831" s="33" t="s">
        <v>5817</v>
      </c>
      <c r="B1831" s="33" t="s">
        <v>1893</v>
      </c>
      <c r="C1831" s="39">
        <v>45932.0</v>
      </c>
      <c r="D1831" s="33" t="s">
        <v>479</v>
      </c>
      <c r="E1831" s="40">
        <v>62.36</v>
      </c>
      <c r="F1831" s="40">
        <v>0.86</v>
      </c>
      <c r="G1831" s="33" t="s">
        <v>450</v>
      </c>
    </row>
    <row r="1832" ht="15.75" customHeight="1">
      <c r="A1832" s="33" t="s">
        <v>5818</v>
      </c>
      <c r="B1832" s="33" t="s">
        <v>3850</v>
      </c>
      <c r="C1832" s="39">
        <v>45693.0</v>
      </c>
      <c r="D1832" s="33" t="s">
        <v>479</v>
      </c>
      <c r="E1832" s="40">
        <v>37.23</v>
      </c>
      <c r="F1832" s="40">
        <v>0.23</v>
      </c>
      <c r="G1832" s="33" t="s">
        <v>450</v>
      </c>
    </row>
    <row r="1833" ht="15.75" customHeight="1">
      <c r="A1833" s="33" t="s">
        <v>5819</v>
      </c>
      <c r="B1833" s="33" t="s">
        <v>3295</v>
      </c>
      <c r="C1833" s="39">
        <v>45980.0</v>
      </c>
      <c r="D1833" s="33" t="s">
        <v>435</v>
      </c>
      <c r="E1833" s="40">
        <v>16.95</v>
      </c>
      <c r="F1833" s="40">
        <v>0.0</v>
      </c>
      <c r="G1833" s="33" t="s">
        <v>450</v>
      </c>
    </row>
    <row r="1834" ht="15.75" customHeight="1">
      <c r="A1834" s="33" t="s">
        <v>5820</v>
      </c>
      <c r="B1834" s="33" t="s">
        <v>265</v>
      </c>
      <c r="C1834" s="39">
        <v>46249.0</v>
      </c>
      <c r="D1834" s="33" t="s">
        <v>435</v>
      </c>
      <c r="E1834" s="40">
        <v>89.14</v>
      </c>
      <c r="F1834" s="40">
        <v>0.0</v>
      </c>
      <c r="G1834" s="33" t="s">
        <v>442</v>
      </c>
    </row>
    <row r="1835" ht="15.75" customHeight="1">
      <c r="A1835" s="33" t="s">
        <v>5821</v>
      </c>
      <c r="B1835" s="33" t="s">
        <v>850</v>
      </c>
      <c r="C1835" s="39">
        <v>45809.0</v>
      </c>
      <c r="D1835" s="33" t="s">
        <v>435</v>
      </c>
      <c r="E1835" s="40">
        <v>26.2</v>
      </c>
      <c r="F1835" s="40">
        <v>0.0</v>
      </c>
      <c r="G1835" s="33" t="s">
        <v>450</v>
      </c>
    </row>
    <row r="1836" ht="15.75" customHeight="1">
      <c r="A1836" s="33" t="s">
        <v>5822</v>
      </c>
      <c r="B1836" s="33" t="s">
        <v>2221</v>
      </c>
      <c r="C1836" s="39">
        <v>46241.0</v>
      </c>
      <c r="D1836" s="33" t="s">
        <v>461</v>
      </c>
      <c r="E1836" s="40">
        <v>22.55</v>
      </c>
      <c r="F1836" s="40">
        <v>0.24</v>
      </c>
      <c r="G1836" s="33" t="s">
        <v>450</v>
      </c>
    </row>
    <row r="1837" ht="15.75" customHeight="1">
      <c r="A1837" s="33" t="s">
        <v>5823</v>
      </c>
      <c r="B1837" s="33" t="s">
        <v>1399</v>
      </c>
      <c r="C1837" s="39">
        <v>46053.0</v>
      </c>
      <c r="D1837" s="33" t="s">
        <v>440</v>
      </c>
      <c r="E1837" s="40">
        <v>198.22</v>
      </c>
      <c r="F1837" s="40">
        <v>0.0</v>
      </c>
      <c r="G1837" s="33" t="s">
        <v>450</v>
      </c>
    </row>
    <row r="1838" ht="15.75" customHeight="1">
      <c r="A1838" s="33" t="s">
        <v>5824</v>
      </c>
      <c r="B1838" s="33" t="s">
        <v>2718</v>
      </c>
      <c r="C1838" s="39">
        <v>45898.0</v>
      </c>
      <c r="D1838" s="33" t="s">
        <v>440</v>
      </c>
      <c r="E1838" s="40">
        <v>20.34</v>
      </c>
      <c r="F1838" s="40">
        <v>0.0</v>
      </c>
      <c r="G1838" s="33" t="s">
        <v>450</v>
      </c>
    </row>
    <row r="1839" ht="15.75" customHeight="1">
      <c r="A1839" s="33" t="s">
        <v>5825</v>
      </c>
      <c r="B1839" s="33" t="s">
        <v>483</v>
      </c>
      <c r="C1839" s="39">
        <v>46078.0</v>
      </c>
      <c r="D1839" s="33" t="s">
        <v>461</v>
      </c>
      <c r="E1839" s="40">
        <v>14.94</v>
      </c>
      <c r="F1839" s="40">
        <v>0.17</v>
      </c>
      <c r="G1839" s="33" t="s">
        <v>450</v>
      </c>
    </row>
    <row r="1840" ht="15.75" customHeight="1">
      <c r="A1840" s="33" t="s">
        <v>5826</v>
      </c>
      <c r="B1840" s="33" t="s">
        <v>389</v>
      </c>
      <c r="C1840" s="39">
        <v>45901.0</v>
      </c>
      <c r="D1840" s="33" t="s">
        <v>440</v>
      </c>
      <c r="E1840" s="40">
        <v>121.12</v>
      </c>
      <c r="F1840" s="40">
        <v>0.0</v>
      </c>
      <c r="G1840" s="33" t="s">
        <v>450</v>
      </c>
    </row>
    <row r="1841" ht="15.75" customHeight="1">
      <c r="A1841" s="33" t="s">
        <v>5827</v>
      </c>
      <c r="B1841" s="33" t="s">
        <v>1881</v>
      </c>
      <c r="C1841" s="39">
        <v>45709.0</v>
      </c>
      <c r="D1841" s="33" t="s">
        <v>435</v>
      </c>
      <c r="E1841" s="40">
        <v>94.65</v>
      </c>
      <c r="F1841" s="40">
        <v>0.0</v>
      </c>
      <c r="G1841" s="33" t="s">
        <v>442</v>
      </c>
    </row>
    <row r="1842" ht="15.75" customHeight="1">
      <c r="A1842" s="33" t="s">
        <v>5828</v>
      </c>
      <c r="B1842" s="33" t="s">
        <v>303</v>
      </c>
      <c r="C1842" s="39">
        <v>46186.0</v>
      </c>
      <c r="D1842" s="33" t="s">
        <v>479</v>
      </c>
      <c r="E1842" s="40">
        <v>48.16</v>
      </c>
      <c r="F1842" s="40">
        <v>0.68</v>
      </c>
      <c r="G1842" s="33" t="s">
        <v>442</v>
      </c>
    </row>
    <row r="1843" ht="15.75" customHeight="1">
      <c r="A1843" s="33" t="s">
        <v>5829</v>
      </c>
      <c r="B1843" s="33" t="s">
        <v>1368</v>
      </c>
      <c r="C1843" s="39">
        <v>45884.0</v>
      </c>
      <c r="D1843" s="33" t="s">
        <v>479</v>
      </c>
      <c r="E1843" s="40">
        <v>32.65</v>
      </c>
      <c r="F1843" s="40">
        <v>0.38</v>
      </c>
      <c r="G1843" s="33" t="s">
        <v>431</v>
      </c>
    </row>
    <row r="1844" ht="15.75" customHeight="1">
      <c r="A1844" s="33" t="s">
        <v>5830</v>
      </c>
      <c r="B1844" s="33" t="s">
        <v>566</v>
      </c>
      <c r="C1844" s="39">
        <v>46001.0</v>
      </c>
      <c r="D1844" s="33" t="s">
        <v>435</v>
      </c>
      <c r="E1844" s="40">
        <v>41.31</v>
      </c>
      <c r="F1844" s="40">
        <v>0.0</v>
      </c>
      <c r="G1844" s="33" t="s">
        <v>431</v>
      </c>
    </row>
    <row r="1845" ht="15.75" customHeight="1">
      <c r="A1845" s="33" t="s">
        <v>5831</v>
      </c>
      <c r="B1845" s="33" t="s">
        <v>1476</v>
      </c>
      <c r="C1845" s="39">
        <v>46109.0</v>
      </c>
      <c r="D1845" s="33" t="s">
        <v>440</v>
      </c>
      <c r="E1845" s="40">
        <v>49.31</v>
      </c>
      <c r="F1845" s="40">
        <v>0.0</v>
      </c>
      <c r="G1845" s="33" t="s">
        <v>450</v>
      </c>
    </row>
    <row r="1846" ht="15.75" customHeight="1">
      <c r="A1846" s="33" t="s">
        <v>5832</v>
      </c>
      <c r="B1846" s="33" t="s">
        <v>1722</v>
      </c>
      <c r="C1846" s="39">
        <v>45708.0</v>
      </c>
      <c r="D1846" s="33" t="s">
        <v>440</v>
      </c>
      <c r="E1846" s="40">
        <v>111.28</v>
      </c>
      <c r="F1846" s="40">
        <v>0.0</v>
      </c>
      <c r="G1846" s="33" t="s">
        <v>450</v>
      </c>
    </row>
    <row r="1847" ht="15.75" customHeight="1">
      <c r="A1847" s="33" t="s">
        <v>5833</v>
      </c>
      <c r="B1847" s="33" t="s">
        <v>879</v>
      </c>
      <c r="C1847" s="39">
        <v>46096.0</v>
      </c>
      <c r="D1847" s="33" t="s">
        <v>461</v>
      </c>
      <c r="E1847" s="40">
        <v>90.76</v>
      </c>
      <c r="F1847" s="40">
        <v>1.01</v>
      </c>
      <c r="G1847" s="33" t="s">
        <v>450</v>
      </c>
    </row>
    <row r="1848" ht="15.75" customHeight="1">
      <c r="A1848" s="33" t="s">
        <v>5834</v>
      </c>
      <c r="B1848" s="33" t="s">
        <v>1819</v>
      </c>
      <c r="C1848" s="39">
        <v>45879.0</v>
      </c>
      <c r="D1848" s="33" t="s">
        <v>440</v>
      </c>
      <c r="E1848" s="40">
        <v>56.87</v>
      </c>
      <c r="F1848" s="40">
        <v>0.0</v>
      </c>
      <c r="G1848" s="33" t="s">
        <v>450</v>
      </c>
    </row>
    <row r="1849" ht="15.75" customHeight="1">
      <c r="A1849" s="33" t="s">
        <v>5835</v>
      </c>
      <c r="B1849" s="33" t="s">
        <v>1113</v>
      </c>
      <c r="C1849" s="39">
        <v>45988.0</v>
      </c>
      <c r="D1849" s="33" t="s">
        <v>435</v>
      </c>
      <c r="E1849" s="40">
        <v>56.35</v>
      </c>
      <c r="F1849" s="40">
        <v>0.0</v>
      </c>
      <c r="G1849" s="33" t="s">
        <v>450</v>
      </c>
    </row>
    <row r="1850" ht="15.75" customHeight="1">
      <c r="A1850" s="33" t="s">
        <v>5836</v>
      </c>
      <c r="B1850" s="33" t="s">
        <v>352</v>
      </c>
      <c r="C1850" s="39">
        <v>45935.0</v>
      </c>
      <c r="D1850" s="33" t="s">
        <v>440</v>
      </c>
      <c r="E1850" s="40">
        <v>125.09</v>
      </c>
      <c r="F1850" s="40">
        <v>0.0</v>
      </c>
      <c r="G1850" s="33" t="s">
        <v>450</v>
      </c>
    </row>
    <row r="1851" ht="15.75" customHeight="1">
      <c r="A1851" s="33" t="s">
        <v>5837</v>
      </c>
      <c r="B1851" s="33" t="s">
        <v>302</v>
      </c>
      <c r="C1851" s="39">
        <v>46130.0</v>
      </c>
      <c r="D1851" s="33" t="s">
        <v>479</v>
      </c>
      <c r="E1851" s="40">
        <v>37.11</v>
      </c>
      <c r="F1851" s="40">
        <v>0.4</v>
      </c>
      <c r="G1851" s="33" t="s">
        <v>450</v>
      </c>
    </row>
    <row r="1852" ht="15.75" customHeight="1">
      <c r="A1852" s="33" t="s">
        <v>5838</v>
      </c>
      <c r="B1852" s="33" t="s">
        <v>838</v>
      </c>
      <c r="C1852" s="39">
        <v>45771.0</v>
      </c>
      <c r="D1852" s="33" t="s">
        <v>461</v>
      </c>
      <c r="E1852" s="40">
        <v>16.31</v>
      </c>
      <c r="F1852" s="40">
        <v>0.15</v>
      </c>
      <c r="G1852" s="33" t="s">
        <v>450</v>
      </c>
    </row>
    <row r="1853" ht="15.75" customHeight="1">
      <c r="A1853" s="33" t="s">
        <v>5839</v>
      </c>
      <c r="B1853" s="33" t="s">
        <v>1382</v>
      </c>
      <c r="C1853" s="39">
        <v>45723.0</v>
      </c>
      <c r="D1853" s="33" t="s">
        <v>435</v>
      </c>
      <c r="E1853" s="40">
        <v>183.74</v>
      </c>
      <c r="F1853" s="40">
        <v>0.0</v>
      </c>
      <c r="G1853" s="33" t="s">
        <v>450</v>
      </c>
    </row>
    <row r="1854" ht="15.75" customHeight="1">
      <c r="A1854" s="33" t="s">
        <v>5840</v>
      </c>
      <c r="B1854" s="33" t="s">
        <v>423</v>
      </c>
      <c r="C1854" s="39">
        <v>45907.0</v>
      </c>
      <c r="D1854" s="33" t="s">
        <v>428</v>
      </c>
      <c r="E1854" s="40">
        <v>56.93</v>
      </c>
      <c r="F1854" s="40">
        <v>0.0</v>
      </c>
      <c r="G1854" s="33" t="s">
        <v>431</v>
      </c>
    </row>
    <row r="1855" ht="15.75" customHeight="1">
      <c r="A1855" s="33" t="s">
        <v>5841</v>
      </c>
      <c r="B1855" s="33" t="s">
        <v>2362</v>
      </c>
      <c r="C1855" s="39">
        <v>45729.0</v>
      </c>
      <c r="D1855" s="33" t="s">
        <v>440</v>
      </c>
      <c r="E1855" s="40">
        <v>262.22</v>
      </c>
      <c r="F1855" s="40">
        <v>0.0</v>
      </c>
      <c r="G1855" s="33" t="s">
        <v>450</v>
      </c>
    </row>
    <row r="1856" ht="15.75" customHeight="1">
      <c r="A1856" s="33" t="s">
        <v>5842</v>
      </c>
      <c r="B1856" s="33" t="s">
        <v>356</v>
      </c>
      <c r="C1856" s="39">
        <v>45805.0</v>
      </c>
      <c r="D1856" s="33" t="s">
        <v>440</v>
      </c>
      <c r="E1856" s="40">
        <v>50.44</v>
      </c>
      <c r="F1856" s="40">
        <v>0.0</v>
      </c>
      <c r="G1856" s="33" t="s">
        <v>450</v>
      </c>
    </row>
    <row r="1857" ht="15.75" customHeight="1">
      <c r="A1857" s="33" t="s">
        <v>5843</v>
      </c>
      <c r="B1857" s="33" t="s">
        <v>264</v>
      </c>
      <c r="C1857" s="39">
        <v>46057.0</v>
      </c>
      <c r="D1857" s="33" t="s">
        <v>435</v>
      </c>
      <c r="E1857" s="40">
        <v>75.54</v>
      </c>
      <c r="F1857" s="40">
        <v>0.0</v>
      </c>
      <c r="G1857" s="33" t="s">
        <v>450</v>
      </c>
    </row>
    <row r="1858" ht="15.75" customHeight="1">
      <c r="A1858" s="33" t="s">
        <v>5844</v>
      </c>
      <c r="B1858" s="33" t="s">
        <v>1300</v>
      </c>
      <c r="C1858" s="39">
        <v>46154.0</v>
      </c>
      <c r="D1858" s="33" t="s">
        <v>440</v>
      </c>
      <c r="E1858" s="40">
        <v>34.41</v>
      </c>
      <c r="F1858" s="40">
        <v>0.0</v>
      </c>
      <c r="G1858" s="33" t="s">
        <v>442</v>
      </c>
    </row>
    <row r="1859" ht="15.75" customHeight="1">
      <c r="A1859" s="33" t="s">
        <v>5845</v>
      </c>
      <c r="B1859" s="33" t="s">
        <v>1253</v>
      </c>
      <c r="C1859" s="39">
        <v>46078.0</v>
      </c>
      <c r="D1859" s="33" t="s">
        <v>479</v>
      </c>
      <c r="E1859" s="40">
        <v>91.88</v>
      </c>
      <c r="F1859" s="40">
        <v>0.86</v>
      </c>
      <c r="G1859" s="33" t="s">
        <v>450</v>
      </c>
    </row>
    <row r="1860" ht="15.75" customHeight="1">
      <c r="A1860" s="33" t="s">
        <v>5846</v>
      </c>
      <c r="B1860" s="33" t="s">
        <v>1451</v>
      </c>
      <c r="C1860" s="39">
        <v>45850.0</v>
      </c>
      <c r="D1860" s="33" t="s">
        <v>461</v>
      </c>
      <c r="E1860" s="40">
        <v>57.51</v>
      </c>
      <c r="F1860" s="40">
        <v>0.31</v>
      </c>
      <c r="G1860" s="33" t="s">
        <v>431</v>
      </c>
    </row>
    <row r="1861" ht="15.75" customHeight="1">
      <c r="A1861" s="33" t="s">
        <v>5847</v>
      </c>
      <c r="B1861" s="33" t="s">
        <v>2268</v>
      </c>
      <c r="C1861" s="39">
        <v>46152.0</v>
      </c>
      <c r="D1861" s="33" t="s">
        <v>461</v>
      </c>
      <c r="E1861" s="40">
        <v>63.29</v>
      </c>
      <c r="F1861" s="40">
        <v>1.24</v>
      </c>
      <c r="G1861" s="33" t="s">
        <v>450</v>
      </c>
    </row>
    <row r="1862" ht="15.75" customHeight="1">
      <c r="A1862" s="33" t="s">
        <v>5848</v>
      </c>
      <c r="B1862" s="33" t="s">
        <v>1878</v>
      </c>
      <c r="C1862" s="39">
        <v>45904.0</v>
      </c>
      <c r="D1862" s="33" t="s">
        <v>479</v>
      </c>
      <c r="E1862" s="40">
        <v>81.96</v>
      </c>
      <c r="F1862" s="40">
        <v>1.44</v>
      </c>
      <c r="G1862" s="33" t="s">
        <v>442</v>
      </c>
    </row>
    <row r="1863" ht="15.75" customHeight="1">
      <c r="A1863" s="33" t="s">
        <v>5849</v>
      </c>
      <c r="B1863" s="33" t="s">
        <v>2308</v>
      </c>
      <c r="C1863" s="39">
        <v>45767.0</v>
      </c>
      <c r="D1863" s="33" t="s">
        <v>435</v>
      </c>
      <c r="E1863" s="40">
        <v>51.4</v>
      </c>
      <c r="F1863" s="40">
        <v>0.0</v>
      </c>
      <c r="G1863" s="33" t="s">
        <v>442</v>
      </c>
    </row>
    <row r="1864" ht="15.75" customHeight="1">
      <c r="A1864" s="33" t="s">
        <v>5850</v>
      </c>
      <c r="B1864" s="33" t="s">
        <v>381</v>
      </c>
      <c r="C1864" s="39">
        <v>46117.0</v>
      </c>
      <c r="D1864" s="33" t="s">
        <v>440</v>
      </c>
      <c r="E1864" s="40">
        <v>89.68</v>
      </c>
      <c r="F1864" s="40">
        <v>0.0</v>
      </c>
      <c r="G1864" s="33" t="s">
        <v>450</v>
      </c>
    </row>
    <row r="1865" ht="15.75" customHeight="1">
      <c r="A1865" s="33" t="s">
        <v>5851</v>
      </c>
      <c r="B1865" s="33" t="s">
        <v>2314</v>
      </c>
      <c r="C1865" s="39">
        <v>45971.0</v>
      </c>
      <c r="D1865" s="33" t="s">
        <v>461</v>
      </c>
      <c r="E1865" s="40">
        <v>41.85</v>
      </c>
      <c r="F1865" s="40">
        <v>0.31</v>
      </c>
      <c r="G1865" s="33" t="s">
        <v>450</v>
      </c>
    </row>
    <row r="1866" ht="15.75" customHeight="1">
      <c r="A1866" s="33" t="s">
        <v>5852</v>
      </c>
      <c r="B1866" s="33" t="s">
        <v>493</v>
      </c>
      <c r="C1866" s="39">
        <v>45882.0</v>
      </c>
      <c r="D1866" s="33" t="s">
        <v>461</v>
      </c>
      <c r="E1866" s="40">
        <v>86.22</v>
      </c>
      <c r="F1866" s="40">
        <v>0.49</v>
      </c>
      <c r="G1866" s="33" t="s">
        <v>431</v>
      </c>
    </row>
    <row r="1867" ht="15.75" customHeight="1">
      <c r="A1867" s="33" t="s">
        <v>5853</v>
      </c>
      <c r="B1867" s="33" t="s">
        <v>1620</v>
      </c>
      <c r="C1867" s="39">
        <v>46059.0</v>
      </c>
      <c r="D1867" s="33" t="s">
        <v>479</v>
      </c>
      <c r="E1867" s="40">
        <v>13.11</v>
      </c>
      <c r="F1867" s="40">
        <v>0.09</v>
      </c>
      <c r="G1867" s="33" t="s">
        <v>442</v>
      </c>
    </row>
    <row r="1868" ht="15.75" customHeight="1">
      <c r="A1868" s="33" t="s">
        <v>5854</v>
      </c>
      <c r="B1868" s="33" t="s">
        <v>504</v>
      </c>
      <c r="C1868" s="39">
        <v>46097.0</v>
      </c>
      <c r="D1868" s="33" t="s">
        <v>479</v>
      </c>
      <c r="E1868" s="40">
        <v>20.35</v>
      </c>
      <c r="F1868" s="40">
        <v>0.37</v>
      </c>
      <c r="G1868" s="33" t="s">
        <v>450</v>
      </c>
    </row>
    <row r="1869" ht="15.75" customHeight="1">
      <c r="A1869" s="33" t="s">
        <v>5855</v>
      </c>
      <c r="B1869" s="33" t="s">
        <v>402</v>
      </c>
      <c r="C1869" s="39">
        <v>45793.0</v>
      </c>
      <c r="D1869" s="33" t="s">
        <v>479</v>
      </c>
      <c r="E1869" s="40">
        <v>33.89</v>
      </c>
      <c r="F1869" s="40">
        <v>0.25</v>
      </c>
      <c r="G1869" s="33" t="s">
        <v>450</v>
      </c>
    </row>
    <row r="1870" ht="15.75" customHeight="1">
      <c r="A1870" s="33" t="s">
        <v>5856</v>
      </c>
      <c r="B1870" s="33" t="s">
        <v>2075</v>
      </c>
      <c r="C1870" s="39">
        <v>45729.0</v>
      </c>
      <c r="D1870" s="33" t="s">
        <v>428</v>
      </c>
      <c r="E1870" s="40">
        <v>24.81</v>
      </c>
      <c r="F1870" s="40">
        <v>0.0</v>
      </c>
      <c r="G1870" s="33" t="s">
        <v>442</v>
      </c>
    </row>
    <row r="1871" ht="15.75" customHeight="1">
      <c r="A1871" s="33" t="s">
        <v>5857</v>
      </c>
      <c r="B1871" s="33" t="s">
        <v>1145</v>
      </c>
      <c r="C1871" s="39">
        <v>45971.0</v>
      </c>
      <c r="D1871" s="33" t="s">
        <v>479</v>
      </c>
      <c r="E1871" s="40">
        <v>26.82</v>
      </c>
      <c r="F1871" s="40">
        <v>0.21</v>
      </c>
      <c r="G1871" s="33" t="s">
        <v>450</v>
      </c>
    </row>
    <row r="1872" ht="15.75" customHeight="1">
      <c r="A1872" s="33" t="s">
        <v>5858</v>
      </c>
      <c r="B1872" s="33" t="s">
        <v>287</v>
      </c>
      <c r="C1872" s="39">
        <v>45689.0</v>
      </c>
      <c r="D1872" s="33" t="s">
        <v>479</v>
      </c>
      <c r="E1872" s="40">
        <v>106.43</v>
      </c>
      <c r="F1872" s="40">
        <v>1.19</v>
      </c>
      <c r="G1872" s="33" t="s">
        <v>442</v>
      </c>
    </row>
    <row r="1873" ht="15.75" customHeight="1">
      <c r="A1873" s="33" t="s">
        <v>5859</v>
      </c>
      <c r="B1873" s="33" t="s">
        <v>2821</v>
      </c>
      <c r="C1873" s="39">
        <v>46045.0</v>
      </c>
      <c r="D1873" s="33" t="s">
        <v>440</v>
      </c>
      <c r="E1873" s="40">
        <v>58.79</v>
      </c>
      <c r="F1873" s="40">
        <v>0.0</v>
      </c>
      <c r="G1873" s="33" t="s">
        <v>442</v>
      </c>
    </row>
    <row r="1874" ht="15.75" customHeight="1">
      <c r="A1874" s="33" t="s">
        <v>5860</v>
      </c>
      <c r="B1874" s="33" t="s">
        <v>342</v>
      </c>
      <c r="C1874" s="39">
        <v>45924.0</v>
      </c>
      <c r="D1874" s="33" t="s">
        <v>479</v>
      </c>
      <c r="E1874" s="40">
        <v>51.41</v>
      </c>
      <c r="F1874" s="40">
        <v>0.44</v>
      </c>
      <c r="G1874" s="33" t="s">
        <v>450</v>
      </c>
    </row>
    <row r="1875" ht="15.75" customHeight="1">
      <c r="A1875" s="33" t="s">
        <v>5861</v>
      </c>
      <c r="B1875" s="33" t="s">
        <v>2169</v>
      </c>
      <c r="C1875" s="39">
        <v>45788.0</v>
      </c>
      <c r="D1875" s="33" t="s">
        <v>461</v>
      </c>
      <c r="E1875" s="40">
        <v>90.3</v>
      </c>
      <c r="F1875" s="40">
        <v>1.54</v>
      </c>
      <c r="G1875" s="33" t="s">
        <v>450</v>
      </c>
    </row>
    <row r="1876" ht="15.75" customHeight="1">
      <c r="A1876" s="33" t="s">
        <v>5862</v>
      </c>
      <c r="B1876" s="33" t="s">
        <v>1080</v>
      </c>
      <c r="C1876" s="39">
        <v>46021.0</v>
      </c>
      <c r="D1876" s="33" t="s">
        <v>428</v>
      </c>
      <c r="E1876" s="40">
        <v>95.48</v>
      </c>
      <c r="F1876" s="40">
        <v>0.0</v>
      </c>
      <c r="G1876" s="33" t="s">
        <v>450</v>
      </c>
    </row>
    <row r="1877" ht="15.75" customHeight="1">
      <c r="A1877" s="33" t="s">
        <v>5863</v>
      </c>
      <c r="B1877" s="33" t="s">
        <v>929</v>
      </c>
      <c r="C1877" s="39">
        <v>45885.0</v>
      </c>
      <c r="D1877" s="33" t="s">
        <v>461</v>
      </c>
      <c r="E1877" s="40">
        <v>46.59</v>
      </c>
      <c r="F1877" s="40">
        <v>0.44</v>
      </c>
      <c r="G1877" s="33" t="s">
        <v>442</v>
      </c>
    </row>
    <row r="1878" ht="15.75" customHeight="1">
      <c r="A1878" s="33" t="s">
        <v>5864</v>
      </c>
      <c r="B1878" s="33" t="s">
        <v>2087</v>
      </c>
      <c r="C1878" s="39">
        <v>45893.0</v>
      </c>
      <c r="D1878" s="33" t="s">
        <v>461</v>
      </c>
      <c r="E1878" s="40">
        <v>152.9</v>
      </c>
      <c r="F1878" s="40">
        <v>2.9</v>
      </c>
      <c r="G1878" s="33" t="s">
        <v>442</v>
      </c>
    </row>
    <row r="1879" ht="15.75" customHeight="1">
      <c r="A1879" s="33" t="s">
        <v>5865</v>
      </c>
      <c r="B1879" s="33" t="s">
        <v>378</v>
      </c>
      <c r="C1879" s="39">
        <v>45789.0</v>
      </c>
      <c r="D1879" s="33" t="s">
        <v>461</v>
      </c>
      <c r="E1879" s="40">
        <v>61.55</v>
      </c>
      <c r="F1879" s="40">
        <v>1.06</v>
      </c>
      <c r="G1879" s="33" t="s">
        <v>450</v>
      </c>
    </row>
    <row r="1880" ht="15.75" customHeight="1">
      <c r="A1880" s="33" t="s">
        <v>5866</v>
      </c>
      <c r="B1880" s="33" t="s">
        <v>1200</v>
      </c>
      <c r="C1880" s="39">
        <v>46068.0</v>
      </c>
      <c r="D1880" s="33" t="s">
        <v>435</v>
      </c>
      <c r="E1880" s="40">
        <v>113.82</v>
      </c>
      <c r="F1880" s="40">
        <v>0.0</v>
      </c>
      <c r="G1880" s="33" t="s">
        <v>450</v>
      </c>
    </row>
    <row r="1881" ht="15.75" customHeight="1">
      <c r="A1881" s="33" t="s">
        <v>5867</v>
      </c>
      <c r="B1881" s="33" t="s">
        <v>2259</v>
      </c>
      <c r="C1881" s="39">
        <v>46206.0</v>
      </c>
      <c r="D1881" s="33" t="s">
        <v>440</v>
      </c>
      <c r="E1881" s="40">
        <v>41.79</v>
      </c>
      <c r="F1881" s="40">
        <v>0.0</v>
      </c>
      <c r="G1881" s="33" t="s">
        <v>450</v>
      </c>
    </row>
    <row r="1882" ht="15.75" customHeight="1">
      <c r="A1882" s="33" t="s">
        <v>5868</v>
      </c>
      <c r="B1882" s="33" t="s">
        <v>2187</v>
      </c>
      <c r="C1882" s="39">
        <v>46033.0</v>
      </c>
      <c r="D1882" s="33" t="s">
        <v>440</v>
      </c>
      <c r="E1882" s="40">
        <v>87.68</v>
      </c>
      <c r="F1882" s="40">
        <v>0.0</v>
      </c>
      <c r="G1882" s="33" t="s">
        <v>431</v>
      </c>
    </row>
    <row r="1883" ht="15.75" customHeight="1">
      <c r="A1883" s="33" t="s">
        <v>5869</v>
      </c>
      <c r="B1883" s="33" t="s">
        <v>1181</v>
      </c>
      <c r="C1883" s="39">
        <v>45801.0</v>
      </c>
      <c r="D1883" s="33" t="s">
        <v>461</v>
      </c>
      <c r="E1883" s="40">
        <v>121.55</v>
      </c>
      <c r="F1883" s="40">
        <v>1.68</v>
      </c>
      <c r="G1883" s="33" t="s">
        <v>450</v>
      </c>
    </row>
    <row r="1884" ht="15.75" customHeight="1">
      <c r="A1884" s="33" t="s">
        <v>5870</v>
      </c>
      <c r="B1884" s="33" t="s">
        <v>2177</v>
      </c>
      <c r="C1884" s="39">
        <v>46163.0</v>
      </c>
      <c r="D1884" s="33" t="s">
        <v>461</v>
      </c>
      <c r="E1884" s="40">
        <v>111.69</v>
      </c>
      <c r="F1884" s="40">
        <v>0.62</v>
      </c>
      <c r="G1884" s="33" t="s">
        <v>450</v>
      </c>
    </row>
    <row r="1885" ht="15.75" customHeight="1">
      <c r="A1885" s="33" t="s">
        <v>5871</v>
      </c>
      <c r="B1885" s="33" t="s">
        <v>2110</v>
      </c>
      <c r="C1885" s="39">
        <v>45731.0</v>
      </c>
      <c r="D1885" s="33" t="s">
        <v>435</v>
      </c>
      <c r="E1885" s="40">
        <v>104.4</v>
      </c>
      <c r="F1885" s="40">
        <v>0.0</v>
      </c>
      <c r="G1885" s="33" t="s">
        <v>450</v>
      </c>
    </row>
    <row r="1886" ht="15.75" customHeight="1">
      <c r="A1886" s="33" t="s">
        <v>5872</v>
      </c>
      <c r="B1886" s="33" t="s">
        <v>492</v>
      </c>
      <c r="C1886" s="39">
        <v>45833.0</v>
      </c>
      <c r="D1886" s="33" t="s">
        <v>435</v>
      </c>
      <c r="E1886" s="40">
        <v>40.02</v>
      </c>
      <c r="F1886" s="40">
        <v>0.0</v>
      </c>
      <c r="G1886" s="33" t="s">
        <v>450</v>
      </c>
    </row>
    <row r="1887" ht="15.75" customHeight="1">
      <c r="A1887" s="33" t="s">
        <v>5873</v>
      </c>
      <c r="B1887" s="33" t="s">
        <v>2087</v>
      </c>
      <c r="C1887" s="39">
        <v>45679.0</v>
      </c>
      <c r="D1887" s="33" t="s">
        <v>479</v>
      </c>
      <c r="E1887" s="40">
        <v>23.74</v>
      </c>
      <c r="F1887" s="40">
        <v>0.4</v>
      </c>
      <c r="G1887" s="33" t="s">
        <v>442</v>
      </c>
    </row>
    <row r="1888" ht="15.75" customHeight="1">
      <c r="A1888" s="33" t="s">
        <v>5874</v>
      </c>
      <c r="B1888" s="33" t="s">
        <v>497</v>
      </c>
      <c r="C1888" s="39">
        <v>46172.0</v>
      </c>
      <c r="D1888" s="33" t="s">
        <v>428</v>
      </c>
      <c r="E1888" s="40">
        <v>21.06</v>
      </c>
      <c r="F1888" s="40">
        <v>0.0</v>
      </c>
      <c r="G1888" s="33" t="s">
        <v>431</v>
      </c>
    </row>
    <row r="1889" ht="15.75" customHeight="1">
      <c r="A1889" s="33" t="s">
        <v>5875</v>
      </c>
      <c r="B1889" s="33" t="s">
        <v>1476</v>
      </c>
      <c r="C1889" s="39">
        <v>45685.0</v>
      </c>
      <c r="D1889" s="33" t="s">
        <v>435</v>
      </c>
      <c r="E1889" s="40">
        <v>49.39</v>
      </c>
      <c r="F1889" s="40">
        <v>0.0</v>
      </c>
      <c r="G1889" s="33" t="s">
        <v>450</v>
      </c>
    </row>
    <row r="1890" ht="15.75" customHeight="1">
      <c r="A1890" s="33" t="s">
        <v>5876</v>
      </c>
      <c r="B1890" s="33" t="s">
        <v>1014</v>
      </c>
      <c r="C1890" s="39">
        <v>45989.0</v>
      </c>
      <c r="D1890" s="33" t="s">
        <v>428</v>
      </c>
      <c r="E1890" s="40">
        <v>46.47</v>
      </c>
      <c r="F1890" s="40">
        <v>0.0</v>
      </c>
      <c r="G1890" s="33" t="s">
        <v>450</v>
      </c>
    </row>
    <row r="1891" ht="15.75" customHeight="1">
      <c r="A1891" s="33" t="s">
        <v>5877</v>
      </c>
      <c r="B1891" s="33" t="s">
        <v>2610</v>
      </c>
      <c r="C1891" s="39">
        <v>45774.0</v>
      </c>
      <c r="D1891" s="33" t="s">
        <v>435</v>
      </c>
      <c r="E1891" s="40">
        <v>96.66</v>
      </c>
      <c r="F1891" s="40">
        <v>0.0</v>
      </c>
      <c r="G1891" s="33" t="s">
        <v>450</v>
      </c>
    </row>
    <row r="1892" ht="15.75" customHeight="1">
      <c r="A1892" s="33" t="s">
        <v>5878</v>
      </c>
      <c r="B1892" s="33" t="s">
        <v>1482</v>
      </c>
      <c r="C1892" s="39">
        <v>45786.0</v>
      </c>
      <c r="D1892" s="33" t="s">
        <v>440</v>
      </c>
      <c r="E1892" s="40">
        <v>73.3</v>
      </c>
      <c r="F1892" s="40">
        <v>0.0</v>
      </c>
      <c r="G1892" s="33" t="s">
        <v>442</v>
      </c>
    </row>
    <row r="1893" ht="15.75" customHeight="1">
      <c r="A1893" s="33" t="s">
        <v>5879</v>
      </c>
      <c r="B1893" s="33" t="s">
        <v>1598</v>
      </c>
      <c r="C1893" s="39">
        <v>46027.0</v>
      </c>
      <c r="D1893" s="33" t="s">
        <v>461</v>
      </c>
      <c r="E1893" s="40">
        <v>21.68</v>
      </c>
      <c r="F1893" s="40">
        <v>0.38</v>
      </c>
      <c r="G1893" s="33" t="s">
        <v>450</v>
      </c>
    </row>
    <row r="1894" ht="15.75" customHeight="1">
      <c r="A1894" s="33" t="s">
        <v>5880</v>
      </c>
      <c r="B1894" s="33" t="s">
        <v>371</v>
      </c>
      <c r="C1894" s="39">
        <v>46145.0</v>
      </c>
      <c r="D1894" s="33" t="s">
        <v>461</v>
      </c>
      <c r="E1894" s="40">
        <v>136.94</v>
      </c>
      <c r="F1894" s="40">
        <v>2.1</v>
      </c>
      <c r="G1894" s="33" t="s">
        <v>442</v>
      </c>
    </row>
    <row r="1895" ht="15.75" customHeight="1">
      <c r="A1895" s="33" t="s">
        <v>5881</v>
      </c>
      <c r="B1895" s="33" t="s">
        <v>1359</v>
      </c>
      <c r="C1895" s="39">
        <v>45668.0</v>
      </c>
      <c r="D1895" s="33" t="s">
        <v>428</v>
      </c>
      <c r="E1895" s="40">
        <v>84.13</v>
      </c>
      <c r="F1895" s="40">
        <v>0.0</v>
      </c>
      <c r="G1895" s="33" t="s">
        <v>450</v>
      </c>
    </row>
    <row r="1896" ht="15.75" customHeight="1">
      <c r="A1896" s="33" t="s">
        <v>5882</v>
      </c>
      <c r="B1896" s="33" t="s">
        <v>1113</v>
      </c>
      <c r="C1896" s="39">
        <v>45754.0</v>
      </c>
      <c r="D1896" s="33" t="s">
        <v>435</v>
      </c>
      <c r="E1896" s="40">
        <v>37.68</v>
      </c>
      <c r="F1896" s="40">
        <v>0.0</v>
      </c>
      <c r="G1896" s="33" t="s">
        <v>450</v>
      </c>
    </row>
    <row r="1897" ht="15.75" customHeight="1">
      <c r="A1897" s="33" t="s">
        <v>5883</v>
      </c>
      <c r="B1897" s="33" t="s">
        <v>852</v>
      </c>
      <c r="C1897" s="39">
        <v>45832.0</v>
      </c>
      <c r="D1897" s="33" t="s">
        <v>435</v>
      </c>
      <c r="E1897" s="40">
        <v>43.52</v>
      </c>
      <c r="F1897" s="40">
        <v>0.0</v>
      </c>
      <c r="G1897" s="33" t="s">
        <v>450</v>
      </c>
    </row>
    <row r="1898" ht="15.75" customHeight="1">
      <c r="A1898" s="33" t="s">
        <v>5884</v>
      </c>
      <c r="B1898" s="33" t="s">
        <v>726</v>
      </c>
      <c r="C1898" s="39">
        <v>46230.0</v>
      </c>
      <c r="D1898" s="33" t="s">
        <v>479</v>
      </c>
      <c r="E1898" s="40">
        <v>182.84</v>
      </c>
      <c r="F1898" s="40">
        <v>3.45</v>
      </c>
      <c r="G1898" s="33" t="s">
        <v>450</v>
      </c>
    </row>
    <row r="1899" ht="15.75" customHeight="1">
      <c r="A1899" s="33" t="s">
        <v>5885</v>
      </c>
      <c r="B1899" s="33" t="s">
        <v>1598</v>
      </c>
      <c r="C1899" s="39">
        <v>45693.0</v>
      </c>
      <c r="D1899" s="33" t="s">
        <v>479</v>
      </c>
      <c r="E1899" s="40">
        <v>24.82</v>
      </c>
      <c r="F1899" s="40">
        <v>0.18</v>
      </c>
      <c r="G1899" s="33" t="s">
        <v>450</v>
      </c>
    </row>
    <row r="1900" ht="15.75" customHeight="1">
      <c r="A1900" s="33" t="s">
        <v>5886</v>
      </c>
      <c r="B1900" s="33" t="s">
        <v>2327</v>
      </c>
      <c r="C1900" s="39">
        <v>45766.0</v>
      </c>
      <c r="D1900" s="33" t="s">
        <v>440</v>
      </c>
      <c r="E1900" s="40">
        <v>189.46</v>
      </c>
      <c r="F1900" s="40">
        <v>0.0</v>
      </c>
      <c r="G1900" s="33" t="s">
        <v>450</v>
      </c>
    </row>
    <row r="1901" ht="15.75" customHeight="1">
      <c r="A1901" s="33" t="s">
        <v>5887</v>
      </c>
      <c r="B1901" s="33" t="s">
        <v>763</v>
      </c>
      <c r="C1901" s="39">
        <v>45903.0</v>
      </c>
      <c r="D1901" s="33" t="s">
        <v>461</v>
      </c>
      <c r="E1901" s="40">
        <v>57.58</v>
      </c>
      <c r="F1901" s="40">
        <v>0.42</v>
      </c>
      <c r="G1901" s="33" t="s">
        <v>442</v>
      </c>
    </row>
    <row r="1902" ht="15.75" customHeight="1">
      <c r="A1902" s="33" t="s">
        <v>5888</v>
      </c>
      <c r="B1902" s="33" t="s">
        <v>2018</v>
      </c>
      <c r="C1902" s="39">
        <v>45855.0</v>
      </c>
      <c r="D1902" s="33" t="s">
        <v>440</v>
      </c>
      <c r="E1902" s="40">
        <v>60.77</v>
      </c>
      <c r="F1902" s="40">
        <v>0.0</v>
      </c>
      <c r="G1902" s="33" t="s">
        <v>431</v>
      </c>
    </row>
    <row r="1903" ht="15.75" customHeight="1">
      <c r="A1903" s="33" t="s">
        <v>5889</v>
      </c>
      <c r="B1903" s="33" t="s">
        <v>2397</v>
      </c>
      <c r="C1903" s="39">
        <v>45687.0</v>
      </c>
      <c r="D1903" s="33" t="s">
        <v>428</v>
      </c>
      <c r="E1903" s="40">
        <v>90.68</v>
      </c>
      <c r="F1903" s="40">
        <v>0.0</v>
      </c>
      <c r="G1903" s="33" t="s">
        <v>431</v>
      </c>
    </row>
    <row r="1904" ht="15.75" customHeight="1">
      <c r="A1904" s="33" t="s">
        <v>5890</v>
      </c>
      <c r="B1904" s="33" t="s">
        <v>1893</v>
      </c>
      <c r="C1904" s="39">
        <v>45985.0</v>
      </c>
      <c r="D1904" s="33" t="s">
        <v>435</v>
      </c>
      <c r="E1904" s="40">
        <v>15.87</v>
      </c>
      <c r="F1904" s="40">
        <v>0.0</v>
      </c>
      <c r="G1904" s="33" t="s">
        <v>442</v>
      </c>
    </row>
    <row r="1905" ht="15.75" customHeight="1">
      <c r="A1905" s="33" t="s">
        <v>5891</v>
      </c>
      <c r="B1905" s="33" t="s">
        <v>438</v>
      </c>
      <c r="C1905" s="39">
        <v>46026.0</v>
      </c>
      <c r="D1905" s="33" t="s">
        <v>461</v>
      </c>
      <c r="E1905" s="40">
        <v>83.86</v>
      </c>
      <c r="F1905" s="40">
        <v>0.91</v>
      </c>
      <c r="G1905" s="33" t="s">
        <v>450</v>
      </c>
    </row>
    <row r="1906" ht="15.75" customHeight="1">
      <c r="A1906" s="33" t="s">
        <v>5892</v>
      </c>
      <c r="B1906" s="33" t="s">
        <v>1977</v>
      </c>
      <c r="C1906" s="39">
        <v>45765.0</v>
      </c>
      <c r="D1906" s="33" t="s">
        <v>479</v>
      </c>
      <c r="E1906" s="40">
        <v>119.84</v>
      </c>
      <c r="F1906" s="40">
        <v>2.34</v>
      </c>
      <c r="G1906" s="33" t="s">
        <v>450</v>
      </c>
    </row>
    <row r="1907" ht="15.75" customHeight="1">
      <c r="A1907" s="33" t="s">
        <v>5893</v>
      </c>
      <c r="B1907" s="33" t="s">
        <v>2757</v>
      </c>
      <c r="C1907" s="39">
        <v>46075.0</v>
      </c>
      <c r="D1907" s="33" t="s">
        <v>435</v>
      </c>
      <c r="E1907" s="40">
        <v>48.29</v>
      </c>
      <c r="F1907" s="40">
        <v>0.0</v>
      </c>
      <c r="G1907" s="33" t="s">
        <v>442</v>
      </c>
    </row>
    <row r="1908" ht="15.75" customHeight="1">
      <c r="A1908" s="33" t="s">
        <v>5894</v>
      </c>
      <c r="B1908" s="33" t="s">
        <v>2259</v>
      </c>
      <c r="C1908" s="39">
        <v>45692.0</v>
      </c>
      <c r="D1908" s="33" t="s">
        <v>461</v>
      </c>
      <c r="E1908" s="40">
        <v>68.8</v>
      </c>
      <c r="F1908" s="40">
        <v>1.09</v>
      </c>
      <c r="G1908" s="33" t="s">
        <v>442</v>
      </c>
    </row>
    <row r="1909" ht="15.75" customHeight="1">
      <c r="A1909" s="33" t="s">
        <v>5895</v>
      </c>
      <c r="B1909" s="33" t="s">
        <v>740</v>
      </c>
      <c r="C1909" s="39">
        <v>46101.0</v>
      </c>
      <c r="D1909" s="33" t="s">
        <v>435</v>
      </c>
      <c r="E1909" s="40">
        <v>266.11</v>
      </c>
      <c r="F1909" s="40">
        <v>0.0</v>
      </c>
      <c r="G1909" s="33" t="s">
        <v>431</v>
      </c>
    </row>
    <row r="1910" ht="15.75" customHeight="1">
      <c r="A1910" s="33" t="s">
        <v>5896</v>
      </c>
      <c r="B1910" s="33" t="s">
        <v>255</v>
      </c>
      <c r="C1910" s="39">
        <v>45815.0</v>
      </c>
      <c r="D1910" s="33" t="s">
        <v>479</v>
      </c>
      <c r="E1910" s="40">
        <v>129.17</v>
      </c>
      <c r="F1910" s="40">
        <v>1.85</v>
      </c>
      <c r="G1910" s="33" t="s">
        <v>442</v>
      </c>
    </row>
    <row r="1911" ht="15.75" customHeight="1">
      <c r="A1911" s="33" t="s">
        <v>5897</v>
      </c>
      <c r="B1911" s="33" t="s">
        <v>2729</v>
      </c>
      <c r="C1911" s="39">
        <v>45794.0</v>
      </c>
      <c r="D1911" s="33" t="s">
        <v>461</v>
      </c>
      <c r="E1911" s="40">
        <v>31.56</v>
      </c>
      <c r="F1911" s="40">
        <v>0.43</v>
      </c>
      <c r="G1911" s="33" t="s">
        <v>450</v>
      </c>
    </row>
    <row r="1912" ht="15.75" customHeight="1">
      <c r="A1912" s="33" t="s">
        <v>5898</v>
      </c>
      <c r="B1912" s="33" t="s">
        <v>1868</v>
      </c>
      <c r="C1912" s="39">
        <v>45777.0</v>
      </c>
      <c r="D1912" s="33" t="s">
        <v>435</v>
      </c>
      <c r="E1912" s="40">
        <v>45.83</v>
      </c>
      <c r="F1912" s="40">
        <v>0.0</v>
      </c>
      <c r="G1912" s="33" t="s">
        <v>450</v>
      </c>
    </row>
    <row r="1913" ht="15.75" customHeight="1">
      <c r="A1913" s="33" t="s">
        <v>5899</v>
      </c>
      <c r="B1913" s="33" t="s">
        <v>1359</v>
      </c>
      <c r="C1913" s="39">
        <v>46185.0</v>
      </c>
      <c r="D1913" s="33" t="s">
        <v>440</v>
      </c>
      <c r="E1913" s="40">
        <v>56.14</v>
      </c>
      <c r="F1913" s="40">
        <v>0.0</v>
      </c>
      <c r="G1913" s="33" t="s">
        <v>442</v>
      </c>
    </row>
    <row r="1914" ht="15.75" customHeight="1">
      <c r="A1914" s="33" t="s">
        <v>5900</v>
      </c>
      <c r="B1914" s="33" t="s">
        <v>2340</v>
      </c>
      <c r="C1914" s="39">
        <v>45962.0</v>
      </c>
      <c r="D1914" s="33" t="s">
        <v>440</v>
      </c>
      <c r="E1914" s="40">
        <v>134.98</v>
      </c>
      <c r="F1914" s="40">
        <v>0.0</v>
      </c>
      <c r="G1914" s="33" t="s">
        <v>431</v>
      </c>
    </row>
    <row r="1915" ht="15.75" customHeight="1">
      <c r="A1915" s="33" t="s">
        <v>5901</v>
      </c>
      <c r="B1915" s="33" t="s">
        <v>521</v>
      </c>
      <c r="C1915" s="39">
        <v>46077.0</v>
      </c>
      <c r="D1915" s="33" t="s">
        <v>428</v>
      </c>
      <c r="E1915" s="40">
        <v>31.46</v>
      </c>
      <c r="F1915" s="40">
        <v>0.0</v>
      </c>
      <c r="G1915" s="33" t="s">
        <v>450</v>
      </c>
    </row>
    <row r="1916" ht="15.75" customHeight="1">
      <c r="A1916" s="33" t="s">
        <v>5902</v>
      </c>
      <c r="B1916" s="33" t="s">
        <v>566</v>
      </c>
      <c r="C1916" s="39">
        <v>45781.0</v>
      </c>
      <c r="D1916" s="33" t="s">
        <v>440</v>
      </c>
      <c r="E1916" s="40">
        <v>111.91</v>
      </c>
      <c r="F1916" s="40">
        <v>0.0</v>
      </c>
      <c r="G1916" s="33" t="s">
        <v>431</v>
      </c>
    </row>
    <row r="1917" ht="15.75" customHeight="1">
      <c r="A1917" s="33" t="s">
        <v>5903</v>
      </c>
      <c r="B1917" s="33" t="s">
        <v>1503</v>
      </c>
      <c r="C1917" s="39">
        <v>45692.0</v>
      </c>
      <c r="D1917" s="33" t="s">
        <v>428</v>
      </c>
      <c r="E1917" s="40">
        <v>112.44</v>
      </c>
      <c r="F1917" s="40">
        <v>0.0</v>
      </c>
      <c r="G1917" s="33" t="s">
        <v>450</v>
      </c>
    </row>
    <row r="1918" ht="15.75" customHeight="1">
      <c r="A1918" s="33" t="s">
        <v>5904</v>
      </c>
      <c r="B1918" s="33" t="s">
        <v>426</v>
      </c>
      <c r="C1918" s="39">
        <v>45681.0</v>
      </c>
      <c r="D1918" s="33" t="s">
        <v>479</v>
      </c>
      <c r="E1918" s="40">
        <v>72.19</v>
      </c>
      <c r="F1918" s="40">
        <v>1.41</v>
      </c>
      <c r="G1918" s="33" t="s">
        <v>450</v>
      </c>
    </row>
    <row r="1919" ht="15.75" customHeight="1">
      <c r="A1919" s="33" t="s">
        <v>5905</v>
      </c>
      <c r="B1919" s="33" t="s">
        <v>2048</v>
      </c>
      <c r="C1919" s="39">
        <v>45925.0</v>
      </c>
      <c r="D1919" s="33" t="s">
        <v>428</v>
      </c>
      <c r="E1919" s="40">
        <v>138.18</v>
      </c>
      <c r="F1919" s="40">
        <v>0.0</v>
      </c>
      <c r="G1919" s="33" t="s">
        <v>431</v>
      </c>
    </row>
    <row r="1920" ht="15.75" customHeight="1">
      <c r="A1920" s="33" t="s">
        <v>5906</v>
      </c>
      <c r="B1920" s="33" t="s">
        <v>1092</v>
      </c>
      <c r="C1920" s="39">
        <v>45856.0</v>
      </c>
      <c r="D1920" s="33" t="s">
        <v>428</v>
      </c>
      <c r="E1920" s="40">
        <v>34.4</v>
      </c>
      <c r="F1920" s="40">
        <v>0.0</v>
      </c>
      <c r="G1920" s="33" t="s">
        <v>450</v>
      </c>
    </row>
    <row r="1921" ht="15.75" customHeight="1">
      <c r="A1921" s="33" t="s">
        <v>5907</v>
      </c>
      <c r="B1921" s="33" t="s">
        <v>1721</v>
      </c>
      <c r="C1921" s="39">
        <v>46124.0</v>
      </c>
      <c r="D1921" s="33" t="s">
        <v>440</v>
      </c>
      <c r="E1921" s="40">
        <v>157.83</v>
      </c>
      <c r="F1921" s="40">
        <v>0.0</v>
      </c>
      <c r="G1921" s="33" t="s">
        <v>450</v>
      </c>
    </row>
    <row r="1922" ht="15.75" customHeight="1">
      <c r="A1922" s="33" t="s">
        <v>5908</v>
      </c>
      <c r="B1922" s="33" t="s">
        <v>1645</v>
      </c>
      <c r="C1922" s="39">
        <v>46136.0</v>
      </c>
      <c r="D1922" s="33" t="s">
        <v>479</v>
      </c>
      <c r="E1922" s="40">
        <v>12.4</v>
      </c>
      <c r="F1922" s="40">
        <v>0.23</v>
      </c>
      <c r="G1922" s="33" t="s">
        <v>431</v>
      </c>
    </row>
    <row r="1923" ht="15.75" customHeight="1">
      <c r="A1923" s="33" t="s">
        <v>5909</v>
      </c>
      <c r="B1923" s="33" t="s">
        <v>1095</v>
      </c>
      <c r="C1923" s="39">
        <v>45846.0</v>
      </c>
      <c r="D1923" s="33" t="s">
        <v>461</v>
      </c>
      <c r="E1923" s="40">
        <v>31.3</v>
      </c>
      <c r="F1923" s="40">
        <v>0.57</v>
      </c>
      <c r="G1923" s="33" t="s">
        <v>431</v>
      </c>
    </row>
    <row r="1924" ht="15.75" customHeight="1">
      <c r="A1924" s="33" t="s">
        <v>5910</v>
      </c>
      <c r="B1924" s="33" t="s">
        <v>2568</v>
      </c>
      <c r="C1924" s="39">
        <v>45921.0</v>
      </c>
      <c r="D1924" s="33" t="s">
        <v>435</v>
      </c>
      <c r="E1924" s="40">
        <v>12.75</v>
      </c>
      <c r="F1924" s="40">
        <v>0.0</v>
      </c>
      <c r="G1924" s="33" t="s">
        <v>450</v>
      </c>
    </row>
    <row r="1925" ht="15.75" customHeight="1">
      <c r="A1925" s="33" t="s">
        <v>5911</v>
      </c>
      <c r="B1925" s="33" t="s">
        <v>812</v>
      </c>
      <c r="C1925" s="39">
        <v>45889.0</v>
      </c>
      <c r="D1925" s="33" t="s">
        <v>461</v>
      </c>
      <c r="E1925" s="40">
        <v>36.21</v>
      </c>
      <c r="F1925" s="40">
        <v>0.24</v>
      </c>
      <c r="G1925" s="33" t="s">
        <v>431</v>
      </c>
    </row>
    <row r="1926" ht="15.75" customHeight="1">
      <c r="A1926" s="33" t="s">
        <v>5912</v>
      </c>
      <c r="B1926" s="33" t="s">
        <v>527</v>
      </c>
      <c r="C1926" s="39">
        <v>46067.0</v>
      </c>
      <c r="D1926" s="33" t="s">
        <v>479</v>
      </c>
      <c r="E1926" s="40">
        <v>113.91</v>
      </c>
      <c r="F1926" s="40">
        <v>2.07</v>
      </c>
      <c r="G1926" s="33" t="s">
        <v>450</v>
      </c>
    </row>
    <row r="1927" ht="15.75" customHeight="1">
      <c r="A1927" s="33" t="s">
        <v>5913</v>
      </c>
      <c r="B1927" s="33" t="s">
        <v>2066</v>
      </c>
      <c r="C1927" s="39">
        <v>46040.0</v>
      </c>
      <c r="D1927" s="33" t="s">
        <v>435</v>
      </c>
      <c r="E1927" s="40">
        <v>93.58</v>
      </c>
      <c r="F1927" s="40">
        <v>0.0</v>
      </c>
      <c r="G1927" s="33" t="s">
        <v>431</v>
      </c>
    </row>
    <row r="1928" ht="15.75" customHeight="1">
      <c r="A1928" s="33" t="s">
        <v>5914</v>
      </c>
      <c r="B1928" s="33" t="s">
        <v>664</v>
      </c>
      <c r="C1928" s="39">
        <v>46053.0</v>
      </c>
      <c r="D1928" s="33" t="s">
        <v>428</v>
      </c>
      <c r="E1928" s="40">
        <v>83.31</v>
      </c>
      <c r="F1928" s="40">
        <v>0.0</v>
      </c>
      <c r="G1928" s="33" t="s">
        <v>450</v>
      </c>
    </row>
    <row r="1929" ht="15.75" customHeight="1">
      <c r="A1929" s="33" t="s">
        <v>5915</v>
      </c>
      <c r="B1929" s="33" t="s">
        <v>668</v>
      </c>
      <c r="C1929" s="39">
        <v>45691.0</v>
      </c>
      <c r="D1929" s="33" t="s">
        <v>440</v>
      </c>
      <c r="E1929" s="40">
        <v>35.69</v>
      </c>
      <c r="F1929" s="40">
        <v>0.0</v>
      </c>
      <c r="G1929" s="33" t="s">
        <v>450</v>
      </c>
    </row>
    <row r="1930" ht="15.75" customHeight="1">
      <c r="A1930" s="33" t="s">
        <v>5916</v>
      </c>
      <c r="B1930" s="33" t="s">
        <v>1758</v>
      </c>
      <c r="C1930" s="39">
        <v>45863.0</v>
      </c>
      <c r="D1930" s="33" t="s">
        <v>428</v>
      </c>
      <c r="E1930" s="40">
        <v>67.91</v>
      </c>
      <c r="F1930" s="40">
        <v>0.0</v>
      </c>
      <c r="G1930" s="33" t="s">
        <v>450</v>
      </c>
    </row>
    <row r="1931" ht="15.75" customHeight="1">
      <c r="A1931" s="33" t="s">
        <v>5917</v>
      </c>
      <c r="B1931" s="33" t="s">
        <v>1451</v>
      </c>
      <c r="C1931" s="39">
        <v>46244.0</v>
      </c>
      <c r="D1931" s="33" t="s">
        <v>440</v>
      </c>
      <c r="E1931" s="40">
        <v>158.93</v>
      </c>
      <c r="F1931" s="40">
        <v>0.0</v>
      </c>
      <c r="G1931" s="33" t="s">
        <v>450</v>
      </c>
    </row>
    <row r="1932" ht="15.75" customHeight="1">
      <c r="A1932" s="33" t="s">
        <v>5918</v>
      </c>
      <c r="B1932" s="33" t="s">
        <v>2375</v>
      </c>
      <c r="C1932" s="39">
        <v>45865.0</v>
      </c>
      <c r="D1932" s="33" t="s">
        <v>479</v>
      </c>
      <c r="E1932" s="40">
        <v>37.07</v>
      </c>
      <c r="F1932" s="40">
        <v>0.4</v>
      </c>
      <c r="G1932" s="33" t="s">
        <v>450</v>
      </c>
    </row>
    <row r="1933" ht="15.75" customHeight="1">
      <c r="A1933" s="33" t="s">
        <v>5919</v>
      </c>
      <c r="B1933" s="33" t="s">
        <v>1452</v>
      </c>
      <c r="C1933" s="39">
        <v>45763.0</v>
      </c>
      <c r="D1933" s="33" t="s">
        <v>440</v>
      </c>
      <c r="E1933" s="40">
        <v>38.61</v>
      </c>
      <c r="F1933" s="40">
        <v>0.0</v>
      </c>
      <c r="G1933" s="33" t="s">
        <v>450</v>
      </c>
    </row>
    <row r="1934" ht="15.75" customHeight="1">
      <c r="A1934" s="33" t="s">
        <v>5920</v>
      </c>
      <c r="B1934" s="33" t="s">
        <v>1232</v>
      </c>
      <c r="C1934" s="39">
        <v>45779.0</v>
      </c>
      <c r="D1934" s="33" t="s">
        <v>428</v>
      </c>
      <c r="E1934" s="40">
        <v>40.07</v>
      </c>
      <c r="F1934" s="40">
        <v>0.0</v>
      </c>
      <c r="G1934" s="33" t="s">
        <v>450</v>
      </c>
    </row>
    <row r="1935" ht="15.75" customHeight="1">
      <c r="A1935" s="33" t="s">
        <v>5921</v>
      </c>
      <c r="B1935" s="33" t="s">
        <v>905</v>
      </c>
      <c r="C1935" s="39">
        <v>45674.0</v>
      </c>
      <c r="D1935" s="33" t="s">
        <v>428</v>
      </c>
      <c r="E1935" s="40">
        <v>80.01</v>
      </c>
      <c r="F1935" s="40">
        <v>0.0</v>
      </c>
      <c r="G1935" s="33" t="s">
        <v>450</v>
      </c>
    </row>
    <row r="1936" ht="15.75" customHeight="1">
      <c r="A1936" s="33" t="s">
        <v>5922</v>
      </c>
      <c r="B1936" s="33" t="s">
        <v>3179</v>
      </c>
      <c r="C1936" s="39">
        <v>46131.0</v>
      </c>
      <c r="D1936" s="33" t="s">
        <v>461</v>
      </c>
      <c r="E1936" s="40">
        <v>106.71</v>
      </c>
      <c r="F1936" s="40">
        <v>1.93</v>
      </c>
      <c r="G1936" s="33" t="s">
        <v>450</v>
      </c>
    </row>
    <row r="1937" ht="15.75" customHeight="1">
      <c r="A1937" s="33" t="s">
        <v>5923</v>
      </c>
      <c r="B1937" s="33" t="s">
        <v>852</v>
      </c>
      <c r="C1937" s="39">
        <v>45661.0</v>
      </c>
      <c r="D1937" s="33" t="s">
        <v>428</v>
      </c>
      <c r="E1937" s="40">
        <v>124.69</v>
      </c>
      <c r="F1937" s="40">
        <v>0.0</v>
      </c>
      <c r="G1937" s="33" t="s">
        <v>431</v>
      </c>
    </row>
    <row r="1938" ht="15.75" customHeight="1">
      <c r="A1938" s="33" t="s">
        <v>5924</v>
      </c>
      <c r="B1938" s="33" t="s">
        <v>804</v>
      </c>
      <c r="C1938" s="39">
        <v>46019.0</v>
      </c>
      <c r="D1938" s="33" t="s">
        <v>461</v>
      </c>
      <c r="E1938" s="40">
        <v>56.02</v>
      </c>
      <c r="F1938" s="40">
        <v>0.74</v>
      </c>
      <c r="G1938" s="33" t="s">
        <v>450</v>
      </c>
    </row>
    <row r="1939" ht="15.75" customHeight="1">
      <c r="A1939" s="33" t="s">
        <v>5925</v>
      </c>
      <c r="B1939" s="33" t="s">
        <v>804</v>
      </c>
      <c r="C1939" s="39">
        <v>45900.0</v>
      </c>
      <c r="D1939" s="33" t="s">
        <v>440</v>
      </c>
      <c r="E1939" s="40">
        <v>51.82</v>
      </c>
      <c r="F1939" s="40">
        <v>0.0</v>
      </c>
      <c r="G1939" s="33" t="s">
        <v>450</v>
      </c>
    </row>
    <row r="1940" ht="15.75" customHeight="1">
      <c r="A1940" s="33" t="s">
        <v>5926</v>
      </c>
      <c r="B1940" s="33" t="s">
        <v>265</v>
      </c>
      <c r="C1940" s="39">
        <v>45715.0</v>
      </c>
      <c r="D1940" s="33" t="s">
        <v>428</v>
      </c>
      <c r="E1940" s="40">
        <v>44.11</v>
      </c>
      <c r="F1940" s="40">
        <v>0.0</v>
      </c>
      <c r="G1940" s="33" t="s">
        <v>431</v>
      </c>
    </row>
    <row r="1941" ht="15.75" customHeight="1">
      <c r="A1941" s="33" t="s">
        <v>5927</v>
      </c>
      <c r="B1941" s="33" t="s">
        <v>1340</v>
      </c>
      <c r="C1941" s="39">
        <v>46194.0</v>
      </c>
      <c r="D1941" s="33" t="s">
        <v>479</v>
      </c>
      <c r="E1941" s="40">
        <v>101.92</v>
      </c>
      <c r="F1941" s="40">
        <v>1.6</v>
      </c>
      <c r="G1941" s="33" t="s">
        <v>450</v>
      </c>
    </row>
    <row r="1942" ht="15.75" customHeight="1">
      <c r="A1942" s="33" t="s">
        <v>5928</v>
      </c>
      <c r="B1942" s="33" t="s">
        <v>1227</v>
      </c>
      <c r="C1942" s="39">
        <v>46108.0</v>
      </c>
      <c r="D1942" s="33" t="s">
        <v>440</v>
      </c>
      <c r="E1942" s="40">
        <v>16.53</v>
      </c>
      <c r="F1942" s="40">
        <v>0.0</v>
      </c>
      <c r="G1942" s="33" t="s">
        <v>442</v>
      </c>
    </row>
    <row r="1943" ht="15.75" customHeight="1">
      <c r="A1943" s="33" t="s">
        <v>5929</v>
      </c>
      <c r="B1943" s="33" t="s">
        <v>3452</v>
      </c>
      <c r="C1943" s="39">
        <v>46155.0</v>
      </c>
      <c r="D1943" s="33" t="s">
        <v>435</v>
      </c>
      <c r="E1943" s="40">
        <v>62.19</v>
      </c>
      <c r="F1943" s="40">
        <v>0.0</v>
      </c>
      <c r="G1943" s="33" t="s">
        <v>431</v>
      </c>
    </row>
    <row r="1944" ht="15.75" customHeight="1">
      <c r="A1944" s="33" t="s">
        <v>5930</v>
      </c>
      <c r="B1944" s="33" t="s">
        <v>1311</v>
      </c>
      <c r="C1944" s="39">
        <v>46226.0</v>
      </c>
      <c r="D1944" s="33" t="s">
        <v>461</v>
      </c>
      <c r="E1944" s="40">
        <v>62.51</v>
      </c>
      <c r="F1944" s="40">
        <v>0.64</v>
      </c>
      <c r="G1944" s="33" t="s">
        <v>431</v>
      </c>
    </row>
    <row r="1945" ht="15.75" customHeight="1">
      <c r="A1945" s="33" t="s">
        <v>5931</v>
      </c>
      <c r="B1945" s="33" t="s">
        <v>514</v>
      </c>
      <c r="C1945" s="39">
        <v>46211.0</v>
      </c>
      <c r="D1945" s="33" t="s">
        <v>440</v>
      </c>
      <c r="E1945" s="40">
        <v>113.57</v>
      </c>
      <c r="F1945" s="40">
        <v>0.0</v>
      </c>
      <c r="G1945" s="33" t="s">
        <v>450</v>
      </c>
    </row>
    <row r="1946" ht="15.75" customHeight="1">
      <c r="A1946" s="33" t="s">
        <v>5932</v>
      </c>
      <c r="B1946" s="33" t="s">
        <v>793</v>
      </c>
      <c r="C1946" s="39">
        <v>46083.0</v>
      </c>
      <c r="D1946" s="33" t="s">
        <v>461</v>
      </c>
      <c r="E1946" s="40">
        <v>21.89</v>
      </c>
      <c r="F1946" s="40">
        <v>0.22</v>
      </c>
      <c r="G1946" s="33" t="s">
        <v>450</v>
      </c>
    </row>
    <row r="1947" ht="15.75" customHeight="1">
      <c r="A1947" s="33" t="s">
        <v>5933</v>
      </c>
      <c r="B1947" s="33" t="s">
        <v>2447</v>
      </c>
      <c r="C1947" s="39">
        <v>45982.0</v>
      </c>
      <c r="D1947" s="33" t="s">
        <v>435</v>
      </c>
      <c r="E1947" s="40">
        <v>119.9</v>
      </c>
      <c r="F1947" s="40">
        <v>0.0</v>
      </c>
      <c r="G1947" s="33" t="s">
        <v>431</v>
      </c>
    </row>
    <row r="1948" ht="15.75" customHeight="1">
      <c r="A1948" s="33" t="s">
        <v>5934</v>
      </c>
      <c r="B1948" s="33" t="s">
        <v>329</v>
      </c>
      <c r="C1948" s="39">
        <v>46081.0</v>
      </c>
      <c r="D1948" s="33" t="s">
        <v>461</v>
      </c>
      <c r="E1948" s="40">
        <v>97.43</v>
      </c>
      <c r="F1948" s="40">
        <v>1.91</v>
      </c>
      <c r="G1948" s="33" t="s">
        <v>450</v>
      </c>
    </row>
    <row r="1949" ht="15.75" customHeight="1">
      <c r="A1949" s="33" t="s">
        <v>5935</v>
      </c>
      <c r="B1949" s="33" t="s">
        <v>294</v>
      </c>
      <c r="C1949" s="39">
        <v>45930.0</v>
      </c>
      <c r="D1949" s="33" t="s">
        <v>461</v>
      </c>
      <c r="E1949" s="40">
        <v>226.98</v>
      </c>
      <c r="F1949" s="40">
        <v>4.05</v>
      </c>
      <c r="G1949" s="33" t="s">
        <v>450</v>
      </c>
    </row>
    <row r="1950" ht="15.75" customHeight="1">
      <c r="A1950" s="33" t="s">
        <v>5936</v>
      </c>
      <c r="B1950" s="33" t="s">
        <v>3195</v>
      </c>
      <c r="C1950" s="39">
        <v>45768.0</v>
      </c>
      <c r="D1950" s="33" t="s">
        <v>479</v>
      </c>
      <c r="E1950" s="40">
        <v>198.75</v>
      </c>
      <c r="F1950" s="40">
        <v>3.08</v>
      </c>
      <c r="G1950" s="33" t="s">
        <v>450</v>
      </c>
    </row>
    <row r="1951" ht="15.75" customHeight="1">
      <c r="A1951" s="33" t="s">
        <v>5937</v>
      </c>
      <c r="B1951" s="33" t="s">
        <v>3140</v>
      </c>
      <c r="C1951" s="39">
        <v>45892.0</v>
      </c>
      <c r="D1951" s="33" t="s">
        <v>461</v>
      </c>
      <c r="E1951" s="40">
        <v>151.22</v>
      </c>
      <c r="F1951" s="40">
        <v>1.45</v>
      </c>
      <c r="G1951" s="33" t="s">
        <v>450</v>
      </c>
    </row>
    <row r="1952" ht="15.75" customHeight="1">
      <c r="A1952" s="33" t="s">
        <v>5938</v>
      </c>
      <c r="B1952" s="33" t="s">
        <v>2277</v>
      </c>
      <c r="C1952" s="39">
        <v>45941.0</v>
      </c>
      <c r="D1952" s="33" t="s">
        <v>428</v>
      </c>
      <c r="E1952" s="40">
        <v>8.8</v>
      </c>
      <c r="F1952" s="40">
        <v>0.0</v>
      </c>
      <c r="G1952" s="33" t="s">
        <v>431</v>
      </c>
    </row>
    <row r="1953" ht="15.75" customHeight="1">
      <c r="A1953" s="33" t="s">
        <v>5939</v>
      </c>
      <c r="B1953" s="33" t="s">
        <v>620</v>
      </c>
      <c r="C1953" s="39">
        <v>45686.0</v>
      </c>
      <c r="D1953" s="33" t="s">
        <v>428</v>
      </c>
      <c r="E1953" s="40">
        <v>24.07</v>
      </c>
      <c r="F1953" s="40">
        <v>0.0</v>
      </c>
      <c r="G1953" s="33" t="s">
        <v>450</v>
      </c>
    </row>
    <row r="1954" ht="15.75" customHeight="1">
      <c r="A1954" s="33" t="s">
        <v>5940</v>
      </c>
      <c r="B1954" s="33" t="s">
        <v>3305</v>
      </c>
      <c r="C1954" s="39">
        <v>46172.0</v>
      </c>
      <c r="D1954" s="33" t="s">
        <v>479</v>
      </c>
      <c r="E1954" s="40">
        <v>138.56</v>
      </c>
      <c r="F1954" s="40">
        <v>1.55</v>
      </c>
      <c r="G1954" s="33" t="s">
        <v>450</v>
      </c>
    </row>
    <row r="1955" ht="15.75" customHeight="1">
      <c r="A1955" s="33" t="s">
        <v>5941</v>
      </c>
      <c r="B1955" s="33" t="s">
        <v>225</v>
      </c>
      <c r="C1955" s="39">
        <v>46210.0</v>
      </c>
      <c r="D1955" s="33" t="s">
        <v>428</v>
      </c>
      <c r="E1955" s="40">
        <v>61.0</v>
      </c>
      <c r="F1955" s="40">
        <v>0.0</v>
      </c>
      <c r="G1955" s="33" t="s">
        <v>450</v>
      </c>
    </row>
    <row r="1956" ht="15.75" customHeight="1">
      <c r="A1956" s="33" t="s">
        <v>5942</v>
      </c>
      <c r="B1956" s="33" t="s">
        <v>548</v>
      </c>
      <c r="C1956" s="39">
        <v>45912.0</v>
      </c>
      <c r="D1956" s="33" t="s">
        <v>428</v>
      </c>
      <c r="E1956" s="40">
        <v>198.54</v>
      </c>
      <c r="F1956" s="40">
        <v>0.0</v>
      </c>
      <c r="G1956" s="33" t="s">
        <v>450</v>
      </c>
    </row>
    <row r="1957" ht="15.75" customHeight="1">
      <c r="A1957" s="33" t="s">
        <v>5943</v>
      </c>
      <c r="B1957" s="33" t="s">
        <v>1571</v>
      </c>
      <c r="C1957" s="39">
        <v>45959.0</v>
      </c>
      <c r="D1957" s="33" t="s">
        <v>435</v>
      </c>
      <c r="E1957" s="40">
        <v>73.54</v>
      </c>
      <c r="F1957" s="40">
        <v>0.0</v>
      </c>
      <c r="G1957" s="33" t="s">
        <v>442</v>
      </c>
    </row>
    <row r="1958" ht="15.75" customHeight="1">
      <c r="A1958" s="33" t="s">
        <v>5944</v>
      </c>
      <c r="B1958" s="33" t="s">
        <v>1758</v>
      </c>
      <c r="C1958" s="39">
        <v>46168.0</v>
      </c>
      <c r="D1958" s="33" t="s">
        <v>440</v>
      </c>
      <c r="E1958" s="40">
        <v>110.76</v>
      </c>
      <c r="F1958" s="40">
        <v>0.0</v>
      </c>
      <c r="G1958" s="33" t="s">
        <v>450</v>
      </c>
    </row>
    <row r="1959" ht="15.75" customHeight="1">
      <c r="A1959" s="33" t="s">
        <v>5945</v>
      </c>
      <c r="B1959" s="33" t="s">
        <v>1372</v>
      </c>
      <c r="C1959" s="39">
        <v>45934.0</v>
      </c>
      <c r="D1959" s="33" t="s">
        <v>461</v>
      </c>
      <c r="E1959" s="40">
        <v>105.15</v>
      </c>
      <c r="F1959" s="40">
        <v>1.67</v>
      </c>
      <c r="G1959" s="33" t="s">
        <v>450</v>
      </c>
    </row>
    <row r="1960" ht="15.75" customHeight="1">
      <c r="A1960" s="33" t="s">
        <v>5946</v>
      </c>
      <c r="B1960" s="33" t="s">
        <v>576</v>
      </c>
      <c r="C1960" s="39">
        <v>46075.0</v>
      </c>
      <c r="D1960" s="33" t="s">
        <v>479</v>
      </c>
      <c r="E1960" s="40">
        <v>72.06</v>
      </c>
      <c r="F1960" s="40">
        <v>0.48</v>
      </c>
      <c r="G1960" s="33" t="s">
        <v>450</v>
      </c>
    </row>
    <row r="1961" ht="15.75" customHeight="1">
      <c r="A1961" s="33" t="s">
        <v>5947</v>
      </c>
      <c r="B1961" s="33" t="s">
        <v>1700</v>
      </c>
      <c r="C1961" s="39">
        <v>45970.0</v>
      </c>
      <c r="D1961" s="33" t="s">
        <v>435</v>
      </c>
      <c r="E1961" s="40">
        <v>140.18</v>
      </c>
      <c r="F1961" s="40">
        <v>0.0</v>
      </c>
      <c r="G1961" s="33" t="s">
        <v>450</v>
      </c>
    </row>
    <row r="1962" ht="15.75" customHeight="1">
      <c r="A1962" s="33" t="s">
        <v>5948</v>
      </c>
      <c r="B1962" s="33" t="s">
        <v>1856</v>
      </c>
      <c r="C1962" s="39">
        <v>45822.0</v>
      </c>
      <c r="D1962" s="33" t="s">
        <v>479</v>
      </c>
      <c r="E1962" s="40">
        <v>117.04</v>
      </c>
      <c r="F1962" s="40">
        <v>1.5</v>
      </c>
      <c r="G1962" s="33" t="s">
        <v>450</v>
      </c>
    </row>
    <row r="1963" ht="15.75" customHeight="1">
      <c r="A1963" s="33" t="s">
        <v>5949</v>
      </c>
      <c r="B1963" s="33" t="s">
        <v>2757</v>
      </c>
      <c r="C1963" s="39">
        <v>46140.0</v>
      </c>
      <c r="D1963" s="33" t="s">
        <v>440</v>
      </c>
      <c r="E1963" s="40">
        <v>26.34</v>
      </c>
      <c r="F1963" s="40">
        <v>0.0</v>
      </c>
      <c r="G1963" s="33" t="s">
        <v>431</v>
      </c>
    </row>
    <row r="1964" ht="15.75" customHeight="1">
      <c r="A1964" s="33" t="s">
        <v>5950</v>
      </c>
      <c r="B1964" s="33" t="s">
        <v>1476</v>
      </c>
      <c r="C1964" s="39">
        <v>45774.0</v>
      </c>
      <c r="D1964" s="33" t="s">
        <v>461</v>
      </c>
      <c r="E1964" s="40">
        <v>278.08</v>
      </c>
      <c r="F1964" s="40">
        <v>1.41</v>
      </c>
      <c r="G1964" s="33" t="s">
        <v>442</v>
      </c>
    </row>
    <row r="1965" ht="15.75" customHeight="1">
      <c r="A1965" s="33" t="s">
        <v>5951</v>
      </c>
      <c r="B1965" s="33" t="s">
        <v>293</v>
      </c>
      <c r="C1965" s="39">
        <v>45794.0</v>
      </c>
      <c r="D1965" s="33" t="s">
        <v>479</v>
      </c>
      <c r="E1965" s="40">
        <v>24.1</v>
      </c>
      <c r="F1965" s="40">
        <v>0.46</v>
      </c>
      <c r="G1965" s="33" t="s">
        <v>450</v>
      </c>
    </row>
    <row r="1966" ht="15.75" customHeight="1">
      <c r="A1966" s="33" t="s">
        <v>5952</v>
      </c>
      <c r="B1966" s="33" t="s">
        <v>765</v>
      </c>
      <c r="C1966" s="39">
        <v>46077.0</v>
      </c>
      <c r="D1966" s="33" t="s">
        <v>435</v>
      </c>
      <c r="E1966" s="40">
        <v>38.47</v>
      </c>
      <c r="F1966" s="40">
        <v>0.0</v>
      </c>
      <c r="G1966" s="33" t="s">
        <v>450</v>
      </c>
    </row>
    <row r="1967" ht="15.75" customHeight="1">
      <c r="A1967" s="33" t="s">
        <v>5953</v>
      </c>
      <c r="B1967" s="33" t="s">
        <v>1812</v>
      </c>
      <c r="C1967" s="39">
        <v>46088.0</v>
      </c>
      <c r="D1967" s="33" t="s">
        <v>435</v>
      </c>
      <c r="E1967" s="40">
        <v>109.43</v>
      </c>
      <c r="F1967" s="40">
        <v>0.0</v>
      </c>
      <c r="G1967" s="33" t="s">
        <v>450</v>
      </c>
    </row>
    <row r="1968" ht="15.75" customHeight="1">
      <c r="A1968" s="33" t="s">
        <v>5954</v>
      </c>
      <c r="B1968" s="33" t="s">
        <v>961</v>
      </c>
      <c r="C1968" s="39">
        <v>46237.0</v>
      </c>
      <c r="D1968" s="33" t="s">
        <v>440</v>
      </c>
      <c r="E1968" s="40">
        <v>95.25</v>
      </c>
      <c r="F1968" s="40">
        <v>0.0</v>
      </c>
      <c r="G1968" s="33" t="s">
        <v>450</v>
      </c>
    </row>
    <row r="1969" ht="15.75" customHeight="1">
      <c r="A1969" s="33" t="s">
        <v>5955</v>
      </c>
      <c r="B1969" s="33" t="s">
        <v>2752</v>
      </c>
      <c r="C1969" s="39">
        <v>46089.0</v>
      </c>
      <c r="D1969" s="33" t="s">
        <v>435</v>
      </c>
      <c r="E1969" s="40">
        <v>124.04</v>
      </c>
      <c r="F1969" s="40">
        <v>0.0</v>
      </c>
      <c r="G1969" s="33" t="s">
        <v>450</v>
      </c>
    </row>
    <row r="1970" ht="15.75" customHeight="1">
      <c r="A1970" s="33" t="s">
        <v>5956</v>
      </c>
      <c r="B1970" s="33" t="s">
        <v>1076</v>
      </c>
      <c r="C1970" s="39">
        <v>45672.0</v>
      </c>
      <c r="D1970" s="33" t="s">
        <v>428</v>
      </c>
      <c r="E1970" s="40">
        <v>59.4</v>
      </c>
      <c r="F1970" s="40">
        <v>0.0</v>
      </c>
      <c r="G1970" s="33" t="s">
        <v>431</v>
      </c>
    </row>
    <row r="1971" ht="15.75" customHeight="1">
      <c r="A1971" s="33" t="s">
        <v>5957</v>
      </c>
      <c r="B1971" s="33" t="s">
        <v>2002</v>
      </c>
      <c r="C1971" s="39">
        <v>46173.0</v>
      </c>
      <c r="D1971" s="33" t="s">
        <v>440</v>
      </c>
      <c r="E1971" s="40">
        <v>100.38</v>
      </c>
      <c r="F1971" s="40">
        <v>0.0</v>
      </c>
      <c r="G1971" s="33" t="s">
        <v>431</v>
      </c>
    </row>
    <row r="1972" ht="15.75" customHeight="1">
      <c r="A1972" s="33" t="s">
        <v>5958</v>
      </c>
      <c r="B1972" s="33" t="s">
        <v>1802</v>
      </c>
      <c r="C1972" s="39">
        <v>45909.0</v>
      </c>
      <c r="D1972" s="33" t="s">
        <v>461</v>
      </c>
      <c r="E1972" s="40">
        <v>40.83</v>
      </c>
      <c r="F1972" s="40">
        <v>0.25</v>
      </c>
      <c r="G1972" s="33" t="s">
        <v>450</v>
      </c>
    </row>
    <row r="1973" ht="15.75" customHeight="1">
      <c r="A1973" s="33" t="s">
        <v>5959</v>
      </c>
      <c r="B1973" s="33" t="s">
        <v>633</v>
      </c>
      <c r="C1973" s="39">
        <v>45663.0</v>
      </c>
      <c r="D1973" s="33" t="s">
        <v>435</v>
      </c>
      <c r="E1973" s="40">
        <v>73.52</v>
      </c>
      <c r="F1973" s="40">
        <v>0.0</v>
      </c>
      <c r="G1973" s="33" t="s">
        <v>431</v>
      </c>
    </row>
    <row r="1974" ht="15.75" customHeight="1">
      <c r="A1974" s="33" t="s">
        <v>5960</v>
      </c>
      <c r="B1974" s="33" t="s">
        <v>753</v>
      </c>
      <c r="C1974" s="39">
        <v>46009.0</v>
      </c>
      <c r="D1974" s="33" t="s">
        <v>479</v>
      </c>
      <c r="E1974" s="40">
        <v>182.68</v>
      </c>
      <c r="F1974" s="40">
        <v>1.57</v>
      </c>
      <c r="G1974" s="33" t="s">
        <v>450</v>
      </c>
    </row>
    <row r="1975" ht="15.75" customHeight="1">
      <c r="A1975" s="33" t="s">
        <v>5961</v>
      </c>
      <c r="B1975" s="33" t="s">
        <v>360</v>
      </c>
      <c r="C1975" s="39">
        <v>45761.0</v>
      </c>
      <c r="D1975" s="33" t="s">
        <v>428</v>
      </c>
      <c r="E1975" s="40">
        <v>23.97</v>
      </c>
      <c r="F1975" s="40">
        <v>0.0</v>
      </c>
      <c r="G1975" s="33" t="s">
        <v>450</v>
      </c>
    </row>
    <row r="1976" ht="15.75" customHeight="1">
      <c r="A1976" s="33" t="s">
        <v>5962</v>
      </c>
      <c r="B1976" s="33" t="s">
        <v>1674</v>
      </c>
      <c r="C1976" s="39">
        <v>45910.0</v>
      </c>
      <c r="D1976" s="33" t="s">
        <v>461</v>
      </c>
      <c r="E1976" s="40">
        <v>146.19</v>
      </c>
      <c r="F1976" s="40">
        <v>2.19</v>
      </c>
      <c r="G1976" s="33" t="s">
        <v>431</v>
      </c>
    </row>
    <row r="1977" ht="15.75" customHeight="1">
      <c r="A1977" s="33" t="s">
        <v>5963</v>
      </c>
      <c r="B1977" s="33" t="s">
        <v>1141</v>
      </c>
      <c r="C1977" s="39">
        <v>45943.0</v>
      </c>
      <c r="D1977" s="33" t="s">
        <v>440</v>
      </c>
      <c r="E1977" s="40">
        <v>62.89</v>
      </c>
      <c r="F1977" s="40">
        <v>0.0</v>
      </c>
      <c r="G1977" s="33" t="s">
        <v>450</v>
      </c>
    </row>
    <row r="1978" ht="15.75" customHeight="1">
      <c r="A1978" s="33" t="s">
        <v>5964</v>
      </c>
      <c r="B1978" s="33" t="s">
        <v>1368</v>
      </c>
      <c r="C1978" s="39">
        <v>45703.0</v>
      </c>
      <c r="D1978" s="33" t="s">
        <v>461</v>
      </c>
      <c r="E1978" s="40">
        <v>33.42</v>
      </c>
      <c r="F1978" s="40">
        <v>0.45</v>
      </c>
      <c r="G1978" s="33" t="s">
        <v>431</v>
      </c>
    </row>
    <row r="1979" ht="15.75" customHeight="1">
      <c r="A1979" s="33" t="s">
        <v>5965</v>
      </c>
      <c r="B1979" s="33" t="s">
        <v>689</v>
      </c>
      <c r="C1979" s="39">
        <v>46174.0</v>
      </c>
      <c r="D1979" s="33" t="s">
        <v>479</v>
      </c>
      <c r="E1979" s="40">
        <v>35.56</v>
      </c>
      <c r="F1979" s="40">
        <v>0.22</v>
      </c>
      <c r="G1979" s="33" t="s">
        <v>431</v>
      </c>
    </row>
    <row r="1980" ht="15.75" customHeight="1">
      <c r="A1980" s="33" t="s">
        <v>5966</v>
      </c>
      <c r="B1980" s="33" t="s">
        <v>1192</v>
      </c>
      <c r="C1980" s="39">
        <v>45967.0</v>
      </c>
      <c r="D1980" s="33" t="s">
        <v>440</v>
      </c>
      <c r="E1980" s="40">
        <v>61.42</v>
      </c>
      <c r="F1980" s="40">
        <v>0.0</v>
      </c>
      <c r="G1980" s="33" t="s">
        <v>450</v>
      </c>
    </row>
    <row r="1981" ht="15.75" customHeight="1">
      <c r="A1981" s="33" t="s">
        <v>5967</v>
      </c>
      <c r="B1981" s="33" t="s">
        <v>3633</v>
      </c>
      <c r="C1981" s="39">
        <v>46243.0</v>
      </c>
      <c r="D1981" s="33" t="s">
        <v>428</v>
      </c>
      <c r="E1981" s="40">
        <v>150.87</v>
      </c>
      <c r="F1981" s="40">
        <v>0.0</v>
      </c>
      <c r="G1981" s="33" t="s">
        <v>431</v>
      </c>
    </row>
    <row r="1982" ht="15.75" customHeight="1">
      <c r="A1982" s="33" t="s">
        <v>5968</v>
      </c>
      <c r="B1982" s="33" t="s">
        <v>1758</v>
      </c>
      <c r="C1982" s="39">
        <v>45940.0</v>
      </c>
      <c r="D1982" s="33" t="s">
        <v>428</v>
      </c>
      <c r="E1982" s="40">
        <v>99.95</v>
      </c>
      <c r="F1982" s="40">
        <v>0.0</v>
      </c>
      <c r="G1982" s="33" t="s">
        <v>450</v>
      </c>
    </row>
    <row r="1983" ht="15.75" customHeight="1">
      <c r="A1983" s="33" t="s">
        <v>5969</v>
      </c>
      <c r="B1983" s="33" t="s">
        <v>861</v>
      </c>
      <c r="C1983" s="39">
        <v>46019.0</v>
      </c>
      <c r="D1983" s="33" t="s">
        <v>479</v>
      </c>
      <c r="E1983" s="40">
        <v>22.03</v>
      </c>
      <c r="F1983" s="40">
        <v>0.2</v>
      </c>
      <c r="G1983" s="33" t="s">
        <v>450</v>
      </c>
    </row>
    <row r="1984" ht="15.75" customHeight="1">
      <c r="A1984" s="33" t="s">
        <v>5970</v>
      </c>
      <c r="B1984" s="33" t="s">
        <v>866</v>
      </c>
      <c r="C1984" s="39">
        <v>46151.0</v>
      </c>
      <c r="D1984" s="33" t="s">
        <v>435</v>
      </c>
      <c r="E1984" s="40">
        <v>141.04</v>
      </c>
      <c r="F1984" s="40">
        <v>0.0</v>
      </c>
      <c r="G1984" s="33" t="s">
        <v>450</v>
      </c>
    </row>
    <row r="1985" ht="15.75" customHeight="1">
      <c r="A1985" s="33" t="s">
        <v>5971</v>
      </c>
      <c r="B1985" s="33" t="s">
        <v>534</v>
      </c>
      <c r="C1985" s="39">
        <v>45786.0</v>
      </c>
      <c r="D1985" s="33" t="s">
        <v>479</v>
      </c>
      <c r="E1985" s="40">
        <v>125.19</v>
      </c>
      <c r="F1985" s="40">
        <v>1.59</v>
      </c>
      <c r="G1985" s="33" t="s">
        <v>442</v>
      </c>
    </row>
    <row r="1986" ht="15.75" customHeight="1">
      <c r="A1986" s="33" t="s">
        <v>5972</v>
      </c>
      <c r="B1986" s="33" t="s">
        <v>597</v>
      </c>
      <c r="C1986" s="39">
        <v>46209.0</v>
      </c>
      <c r="D1986" s="33" t="s">
        <v>479</v>
      </c>
      <c r="E1986" s="40">
        <v>12.57</v>
      </c>
      <c r="F1986" s="40">
        <v>0.22</v>
      </c>
      <c r="G1986" s="33" t="s">
        <v>450</v>
      </c>
    </row>
    <row r="1987" ht="15.75" customHeight="1">
      <c r="A1987" s="33" t="s">
        <v>5973</v>
      </c>
      <c r="B1987" s="33" t="s">
        <v>2268</v>
      </c>
      <c r="C1987" s="39">
        <v>45770.0</v>
      </c>
      <c r="D1987" s="33" t="s">
        <v>428</v>
      </c>
      <c r="E1987" s="40">
        <v>32.02</v>
      </c>
      <c r="F1987" s="40">
        <v>0.0</v>
      </c>
      <c r="G1987" s="33" t="s">
        <v>450</v>
      </c>
    </row>
    <row r="1988" ht="15.75" customHeight="1">
      <c r="A1988" s="33" t="s">
        <v>5974</v>
      </c>
      <c r="B1988" s="33" t="s">
        <v>825</v>
      </c>
      <c r="C1988" s="39">
        <v>46262.0</v>
      </c>
      <c r="D1988" s="33" t="s">
        <v>461</v>
      </c>
      <c r="E1988" s="40">
        <v>161.7</v>
      </c>
      <c r="F1988" s="40">
        <v>0.9</v>
      </c>
      <c r="G1988" s="33" t="s">
        <v>442</v>
      </c>
    </row>
    <row r="1989" ht="15.75" customHeight="1">
      <c r="A1989" s="33" t="s">
        <v>5975</v>
      </c>
      <c r="B1989" s="33" t="s">
        <v>1402</v>
      </c>
      <c r="C1989" s="39">
        <v>46046.0</v>
      </c>
      <c r="D1989" s="33" t="s">
        <v>440</v>
      </c>
      <c r="E1989" s="40">
        <v>72.36</v>
      </c>
      <c r="F1989" s="40">
        <v>0.0</v>
      </c>
      <c r="G1989" s="33" t="s">
        <v>450</v>
      </c>
    </row>
    <row r="1990" ht="15.75" customHeight="1">
      <c r="A1990" s="33" t="s">
        <v>5976</v>
      </c>
      <c r="B1990" s="33" t="s">
        <v>1805</v>
      </c>
      <c r="C1990" s="39">
        <v>45972.0</v>
      </c>
      <c r="D1990" s="33" t="s">
        <v>479</v>
      </c>
      <c r="E1990" s="40">
        <v>140.45</v>
      </c>
      <c r="F1990" s="40">
        <v>0.77</v>
      </c>
      <c r="G1990" s="33" t="s">
        <v>431</v>
      </c>
    </row>
    <row r="1991" ht="15.75" customHeight="1">
      <c r="A1991" s="33" t="s">
        <v>5977</v>
      </c>
      <c r="B1991" s="33" t="s">
        <v>526</v>
      </c>
      <c r="C1991" s="39">
        <v>45785.0</v>
      </c>
      <c r="D1991" s="33" t="s">
        <v>435</v>
      </c>
      <c r="E1991" s="40">
        <v>5.94</v>
      </c>
      <c r="F1991" s="40">
        <v>0.0</v>
      </c>
      <c r="G1991" s="33" t="s">
        <v>442</v>
      </c>
    </row>
    <row r="1992" ht="15.75" customHeight="1">
      <c r="A1992" s="33" t="s">
        <v>5978</v>
      </c>
      <c r="B1992" s="33" t="s">
        <v>2177</v>
      </c>
      <c r="C1992" s="39">
        <v>46003.0</v>
      </c>
      <c r="D1992" s="33" t="s">
        <v>479</v>
      </c>
      <c r="E1992" s="40">
        <v>3.12</v>
      </c>
      <c r="F1992" s="40">
        <v>0.04</v>
      </c>
      <c r="G1992" s="33" t="s">
        <v>450</v>
      </c>
    </row>
    <row r="1993" ht="15.75" customHeight="1">
      <c r="A1993" s="33" t="s">
        <v>5979</v>
      </c>
      <c r="B1993" s="33" t="s">
        <v>536</v>
      </c>
      <c r="C1993" s="39">
        <v>45993.0</v>
      </c>
      <c r="D1993" s="33" t="s">
        <v>479</v>
      </c>
      <c r="E1993" s="40">
        <v>114.93</v>
      </c>
      <c r="F1993" s="40">
        <v>0.93</v>
      </c>
      <c r="G1993" s="33" t="s">
        <v>442</v>
      </c>
    </row>
    <row r="1994" ht="15.75" customHeight="1">
      <c r="A1994" s="33" t="s">
        <v>5980</v>
      </c>
      <c r="B1994" s="33" t="s">
        <v>526</v>
      </c>
      <c r="C1994" s="39">
        <v>46255.0</v>
      </c>
      <c r="D1994" s="33" t="s">
        <v>479</v>
      </c>
      <c r="E1994" s="40">
        <v>44.33</v>
      </c>
      <c r="F1994" s="40">
        <v>0.52</v>
      </c>
      <c r="G1994" s="33" t="s">
        <v>450</v>
      </c>
    </row>
    <row r="1995" ht="15.75" customHeight="1">
      <c r="A1995" s="33" t="s">
        <v>5981</v>
      </c>
      <c r="B1995" s="33" t="s">
        <v>1416</v>
      </c>
      <c r="C1995" s="39">
        <v>46164.0</v>
      </c>
      <c r="D1995" s="33" t="s">
        <v>479</v>
      </c>
      <c r="E1995" s="40">
        <v>119.57</v>
      </c>
      <c r="F1995" s="40">
        <v>0.61</v>
      </c>
      <c r="G1995" s="33" t="s">
        <v>450</v>
      </c>
    </row>
    <row r="1996" ht="15.75" customHeight="1">
      <c r="A1996" s="33" t="s">
        <v>5982</v>
      </c>
      <c r="B1996" s="33" t="s">
        <v>513</v>
      </c>
      <c r="C1996" s="39">
        <v>45951.0</v>
      </c>
      <c r="D1996" s="33" t="s">
        <v>479</v>
      </c>
      <c r="E1996" s="40">
        <v>141.73</v>
      </c>
      <c r="F1996" s="40">
        <v>1.31</v>
      </c>
      <c r="G1996" s="33" t="s">
        <v>442</v>
      </c>
    </row>
    <row r="1997" ht="15.75" customHeight="1">
      <c r="A1997" s="33" t="s">
        <v>5983</v>
      </c>
      <c r="B1997" s="33" t="s">
        <v>2424</v>
      </c>
      <c r="C1997" s="39">
        <v>45894.0</v>
      </c>
      <c r="D1997" s="33" t="s">
        <v>461</v>
      </c>
      <c r="E1997" s="40">
        <v>45.04</v>
      </c>
      <c r="F1997" s="40">
        <v>0.64</v>
      </c>
      <c r="G1997" s="33" t="s">
        <v>431</v>
      </c>
    </row>
    <row r="1998" ht="15.75" customHeight="1">
      <c r="A1998" s="33" t="s">
        <v>5984</v>
      </c>
      <c r="B1998" s="33" t="s">
        <v>493</v>
      </c>
      <c r="C1998" s="39">
        <v>45892.0</v>
      </c>
      <c r="D1998" s="33" t="s">
        <v>479</v>
      </c>
      <c r="E1998" s="40">
        <v>67.19</v>
      </c>
      <c r="F1998" s="40">
        <v>0.62</v>
      </c>
      <c r="G1998" s="33" t="s">
        <v>450</v>
      </c>
    </row>
    <row r="1999" ht="15.75" customHeight="1">
      <c r="A1999" s="33" t="s">
        <v>5985</v>
      </c>
      <c r="B1999" s="33" t="s">
        <v>1300</v>
      </c>
      <c r="C1999" s="39">
        <v>45887.0</v>
      </c>
      <c r="D1999" s="33" t="s">
        <v>435</v>
      </c>
      <c r="E1999" s="40">
        <v>55.95</v>
      </c>
      <c r="F1999" s="40">
        <v>0.0</v>
      </c>
      <c r="G1999" s="33" t="s">
        <v>450</v>
      </c>
    </row>
    <row r="2000" ht="15.75" customHeight="1">
      <c r="A2000" s="33" t="s">
        <v>5986</v>
      </c>
      <c r="B2000" s="33" t="s">
        <v>749</v>
      </c>
      <c r="C2000" s="39">
        <v>45666.0</v>
      </c>
      <c r="D2000" s="33" t="s">
        <v>461</v>
      </c>
      <c r="E2000" s="40">
        <v>44.4</v>
      </c>
      <c r="F2000" s="40">
        <v>0.67</v>
      </c>
      <c r="G2000" s="33" t="s">
        <v>450</v>
      </c>
    </row>
    <row r="2001" ht="15.75" customHeight="1">
      <c r="A2001" s="33" t="s">
        <v>5987</v>
      </c>
      <c r="B2001" s="33" t="s">
        <v>1360</v>
      </c>
      <c r="C2001" s="39">
        <v>45679.0</v>
      </c>
      <c r="D2001" s="33" t="s">
        <v>461</v>
      </c>
      <c r="E2001" s="40">
        <v>85.41</v>
      </c>
      <c r="F2001" s="40">
        <v>1.38</v>
      </c>
      <c r="G2001" s="33" t="s">
        <v>431</v>
      </c>
    </row>
    <row r="2002" ht="15.75" customHeight="1">
      <c r="A2002" s="33" t="s">
        <v>5988</v>
      </c>
      <c r="B2002" s="33" t="s">
        <v>1244</v>
      </c>
      <c r="C2002" s="39">
        <v>46114.0</v>
      </c>
      <c r="D2002" s="33" t="s">
        <v>461</v>
      </c>
      <c r="E2002" s="40">
        <v>131.79</v>
      </c>
      <c r="F2002" s="40">
        <v>2.36</v>
      </c>
      <c r="G2002" s="33" t="s">
        <v>431</v>
      </c>
    </row>
    <row r="2003" ht="15.75" customHeight="1">
      <c r="A2003" s="33" t="s">
        <v>5989</v>
      </c>
      <c r="B2003" s="33" t="s">
        <v>1405</v>
      </c>
      <c r="C2003" s="39">
        <v>45812.0</v>
      </c>
      <c r="D2003" s="33" t="s">
        <v>461</v>
      </c>
      <c r="E2003" s="40">
        <v>38.75</v>
      </c>
      <c r="F2003" s="40">
        <v>0.7</v>
      </c>
      <c r="G2003" s="33" t="s">
        <v>450</v>
      </c>
    </row>
    <row r="2004" ht="15.75" customHeight="1">
      <c r="A2004" s="33" t="s">
        <v>5990</v>
      </c>
      <c r="B2004" s="33" t="s">
        <v>2264</v>
      </c>
      <c r="C2004" s="39">
        <v>45907.0</v>
      </c>
      <c r="D2004" s="33" t="s">
        <v>435</v>
      </c>
      <c r="E2004" s="40">
        <v>38.58</v>
      </c>
      <c r="F2004" s="40">
        <v>0.0</v>
      </c>
      <c r="G2004" s="33" t="s">
        <v>450</v>
      </c>
    </row>
    <row r="2005" ht="15.75" customHeight="1">
      <c r="A2005" s="33" t="s">
        <v>5991</v>
      </c>
      <c r="B2005" s="33" t="s">
        <v>2277</v>
      </c>
      <c r="C2005" s="39">
        <v>46081.0</v>
      </c>
      <c r="D2005" s="33" t="s">
        <v>428</v>
      </c>
      <c r="E2005" s="40">
        <v>45.38</v>
      </c>
      <c r="F2005" s="40">
        <v>0.0</v>
      </c>
      <c r="G2005" s="33" t="s">
        <v>431</v>
      </c>
    </row>
    <row r="2006" ht="15.75" customHeight="1">
      <c r="A2006" s="33" t="s">
        <v>5992</v>
      </c>
      <c r="B2006" s="33" t="s">
        <v>630</v>
      </c>
      <c r="C2006" s="39">
        <v>46026.0</v>
      </c>
      <c r="D2006" s="33" t="s">
        <v>428</v>
      </c>
      <c r="E2006" s="40">
        <v>109.55</v>
      </c>
      <c r="F2006" s="40">
        <v>0.0</v>
      </c>
      <c r="G2006" s="33" t="s">
        <v>450</v>
      </c>
    </row>
    <row r="2007" ht="15.75" customHeight="1">
      <c r="A2007" s="33" t="s">
        <v>5993</v>
      </c>
      <c r="B2007" s="33" t="s">
        <v>3190</v>
      </c>
      <c r="C2007" s="39">
        <v>45876.0</v>
      </c>
      <c r="D2007" s="33" t="s">
        <v>435</v>
      </c>
      <c r="E2007" s="40">
        <v>141.05</v>
      </c>
      <c r="F2007" s="40">
        <v>0.0</v>
      </c>
      <c r="G2007" s="33" t="s">
        <v>450</v>
      </c>
    </row>
    <row r="2008" ht="15.75" customHeight="1">
      <c r="A2008" s="33" t="s">
        <v>5994</v>
      </c>
      <c r="B2008" s="33" t="s">
        <v>879</v>
      </c>
      <c r="C2008" s="39">
        <v>46114.0</v>
      </c>
      <c r="D2008" s="33" t="s">
        <v>440</v>
      </c>
      <c r="E2008" s="40">
        <v>55.18</v>
      </c>
      <c r="F2008" s="40">
        <v>0.0</v>
      </c>
      <c r="G2008" s="33" t="s">
        <v>450</v>
      </c>
    </row>
    <row r="2009" ht="15.75" customHeight="1">
      <c r="A2009" s="33" t="s">
        <v>5995</v>
      </c>
      <c r="B2009" s="33" t="s">
        <v>835</v>
      </c>
      <c r="C2009" s="39">
        <v>45754.0</v>
      </c>
      <c r="D2009" s="33" t="s">
        <v>440</v>
      </c>
      <c r="E2009" s="40">
        <v>9.45</v>
      </c>
      <c r="F2009" s="40">
        <v>0.0</v>
      </c>
      <c r="G2009" s="33" t="s">
        <v>450</v>
      </c>
    </row>
    <row r="2010" ht="15.75" customHeight="1">
      <c r="A2010" s="33" t="s">
        <v>5996</v>
      </c>
      <c r="B2010" s="33" t="s">
        <v>1462</v>
      </c>
      <c r="C2010" s="39">
        <v>45944.0</v>
      </c>
      <c r="D2010" s="33" t="s">
        <v>428</v>
      </c>
      <c r="E2010" s="40">
        <v>28.39</v>
      </c>
      <c r="F2010" s="40">
        <v>0.0</v>
      </c>
      <c r="G2010" s="33" t="s">
        <v>450</v>
      </c>
    </row>
    <row r="2011" ht="15.75" customHeight="1">
      <c r="A2011" s="33" t="s">
        <v>5997</v>
      </c>
      <c r="B2011" s="33" t="s">
        <v>825</v>
      </c>
      <c r="C2011" s="39">
        <v>45722.0</v>
      </c>
      <c r="D2011" s="33" t="s">
        <v>428</v>
      </c>
      <c r="E2011" s="40">
        <v>52.49</v>
      </c>
      <c r="F2011" s="40">
        <v>0.0</v>
      </c>
      <c r="G2011" s="33" t="s">
        <v>442</v>
      </c>
    </row>
    <row r="2012" ht="15.75" customHeight="1">
      <c r="A2012" s="33" t="s">
        <v>5998</v>
      </c>
      <c r="B2012" s="33" t="s">
        <v>265</v>
      </c>
      <c r="C2012" s="39">
        <v>45980.0</v>
      </c>
      <c r="D2012" s="33" t="s">
        <v>440</v>
      </c>
      <c r="E2012" s="40">
        <v>34.39</v>
      </c>
      <c r="F2012" s="40">
        <v>0.0</v>
      </c>
      <c r="G2012" s="33" t="s">
        <v>450</v>
      </c>
    </row>
    <row r="2013" ht="15.75" customHeight="1">
      <c r="A2013" s="33" t="s">
        <v>5999</v>
      </c>
      <c r="B2013" s="33" t="s">
        <v>1470</v>
      </c>
      <c r="C2013" s="39">
        <v>45715.0</v>
      </c>
      <c r="D2013" s="33" t="s">
        <v>461</v>
      </c>
      <c r="E2013" s="40">
        <v>21.85</v>
      </c>
      <c r="F2013" s="40">
        <v>0.16</v>
      </c>
      <c r="G2013" s="33" t="s">
        <v>450</v>
      </c>
    </row>
    <row r="2014" ht="15.75" customHeight="1">
      <c r="A2014" s="33" t="s">
        <v>6000</v>
      </c>
      <c r="B2014" s="33" t="s">
        <v>981</v>
      </c>
      <c r="C2014" s="39">
        <v>46229.0</v>
      </c>
      <c r="D2014" s="33" t="s">
        <v>440</v>
      </c>
      <c r="E2014" s="40">
        <v>74.99</v>
      </c>
      <c r="F2014" s="40">
        <v>0.0</v>
      </c>
      <c r="G2014" s="33" t="s">
        <v>442</v>
      </c>
    </row>
    <row r="2015" ht="15.75" customHeight="1">
      <c r="A2015" s="33" t="s">
        <v>6001</v>
      </c>
      <c r="B2015" s="33" t="s">
        <v>1656</v>
      </c>
      <c r="C2015" s="39">
        <v>46058.0</v>
      </c>
      <c r="D2015" s="33" t="s">
        <v>435</v>
      </c>
      <c r="E2015" s="40">
        <v>323.72</v>
      </c>
      <c r="F2015" s="40">
        <v>0.0</v>
      </c>
      <c r="G2015" s="33" t="s">
        <v>450</v>
      </c>
    </row>
    <row r="2016" ht="15.75" customHeight="1">
      <c r="A2016" s="33" t="s">
        <v>6002</v>
      </c>
      <c r="B2016" s="33" t="s">
        <v>1383</v>
      </c>
      <c r="C2016" s="39">
        <v>45806.0</v>
      </c>
      <c r="D2016" s="33" t="s">
        <v>440</v>
      </c>
      <c r="E2016" s="40">
        <v>30.22</v>
      </c>
      <c r="F2016" s="40">
        <v>0.0</v>
      </c>
      <c r="G2016" s="33" t="s">
        <v>450</v>
      </c>
    </row>
    <row r="2017" ht="15.75" customHeight="1">
      <c r="A2017" s="33" t="s">
        <v>6003</v>
      </c>
      <c r="B2017" s="33" t="s">
        <v>1183</v>
      </c>
      <c r="C2017" s="39">
        <v>46029.0</v>
      </c>
      <c r="D2017" s="33" t="s">
        <v>435</v>
      </c>
      <c r="E2017" s="40">
        <v>86.01</v>
      </c>
      <c r="F2017" s="40">
        <v>0.0</v>
      </c>
      <c r="G2017" s="33" t="s">
        <v>442</v>
      </c>
    </row>
    <row r="2018" ht="15.75" customHeight="1">
      <c r="A2018" s="33" t="s">
        <v>6004</v>
      </c>
      <c r="B2018" s="33" t="s">
        <v>3055</v>
      </c>
      <c r="C2018" s="39">
        <v>45870.0</v>
      </c>
      <c r="D2018" s="33" t="s">
        <v>428</v>
      </c>
      <c r="E2018" s="40">
        <v>105.77</v>
      </c>
      <c r="F2018" s="40">
        <v>0.0</v>
      </c>
      <c r="G2018" s="33" t="s">
        <v>450</v>
      </c>
    </row>
    <row r="2019" ht="15.75" customHeight="1">
      <c r="A2019" s="33" t="s">
        <v>6005</v>
      </c>
      <c r="B2019" s="33" t="s">
        <v>600</v>
      </c>
      <c r="C2019" s="39">
        <v>45972.0</v>
      </c>
      <c r="D2019" s="33" t="s">
        <v>461</v>
      </c>
      <c r="E2019" s="40">
        <v>111.94</v>
      </c>
      <c r="F2019" s="40">
        <v>1.77</v>
      </c>
      <c r="G2019" s="33" t="s">
        <v>450</v>
      </c>
    </row>
    <row r="2020" ht="15.75" customHeight="1">
      <c r="A2020" s="33" t="s">
        <v>6006</v>
      </c>
      <c r="B2020" s="33" t="s">
        <v>1416</v>
      </c>
      <c r="C2020" s="39">
        <v>45759.0</v>
      </c>
      <c r="D2020" s="33" t="s">
        <v>435</v>
      </c>
      <c r="E2020" s="40">
        <v>68.81</v>
      </c>
      <c r="F2020" s="40">
        <v>0.0</v>
      </c>
      <c r="G2020" s="33" t="s">
        <v>431</v>
      </c>
    </row>
    <row r="2021" ht="15.75" customHeight="1">
      <c r="A2021" s="33" t="s">
        <v>6007</v>
      </c>
      <c r="B2021" s="33" t="s">
        <v>655</v>
      </c>
      <c r="C2021" s="39">
        <v>45961.0</v>
      </c>
      <c r="D2021" s="33" t="s">
        <v>479</v>
      </c>
      <c r="E2021" s="40">
        <v>22.99</v>
      </c>
      <c r="F2021" s="40">
        <v>0.25</v>
      </c>
      <c r="G2021" s="33" t="s">
        <v>431</v>
      </c>
    </row>
    <row r="2022" ht="15.75" customHeight="1">
      <c r="A2022" s="33" t="s">
        <v>6008</v>
      </c>
      <c r="B2022" s="33" t="s">
        <v>571</v>
      </c>
      <c r="C2022" s="39">
        <v>45722.0</v>
      </c>
      <c r="D2022" s="33" t="s">
        <v>440</v>
      </c>
      <c r="E2022" s="40">
        <v>131.22</v>
      </c>
      <c r="F2022" s="40">
        <v>0.0</v>
      </c>
      <c r="G2022" s="33" t="s">
        <v>431</v>
      </c>
    </row>
    <row r="2023" ht="15.75" customHeight="1">
      <c r="A2023" s="33" t="s">
        <v>6009</v>
      </c>
      <c r="B2023" s="33" t="s">
        <v>1158</v>
      </c>
      <c r="C2023" s="39">
        <v>45750.0</v>
      </c>
      <c r="D2023" s="33" t="s">
        <v>479</v>
      </c>
      <c r="E2023" s="40">
        <v>14.88</v>
      </c>
      <c r="F2023" s="40">
        <v>0.26</v>
      </c>
      <c r="G2023" s="33" t="s">
        <v>450</v>
      </c>
    </row>
    <row r="2024" ht="15.75" customHeight="1">
      <c r="A2024" s="33" t="s">
        <v>6010</v>
      </c>
      <c r="B2024" s="33" t="s">
        <v>423</v>
      </c>
      <c r="C2024" s="39">
        <v>46012.0</v>
      </c>
      <c r="D2024" s="33" t="s">
        <v>428</v>
      </c>
      <c r="E2024" s="40">
        <v>63.38</v>
      </c>
      <c r="F2024" s="40">
        <v>0.0</v>
      </c>
      <c r="G2024" s="33" t="s">
        <v>450</v>
      </c>
    </row>
    <row r="2025" ht="15.75" customHeight="1">
      <c r="A2025" s="33" t="s">
        <v>6011</v>
      </c>
      <c r="B2025" s="33" t="s">
        <v>4000</v>
      </c>
      <c r="C2025" s="39">
        <v>45961.0</v>
      </c>
      <c r="D2025" s="33" t="s">
        <v>428</v>
      </c>
      <c r="E2025" s="40">
        <v>58.37</v>
      </c>
      <c r="F2025" s="40">
        <v>0.0</v>
      </c>
      <c r="G2025" s="33" t="s">
        <v>450</v>
      </c>
    </row>
    <row r="2026" ht="15.75" customHeight="1">
      <c r="A2026" s="33" t="s">
        <v>6012</v>
      </c>
      <c r="B2026" s="33" t="s">
        <v>575</v>
      </c>
      <c r="C2026" s="39">
        <v>45836.0</v>
      </c>
      <c r="D2026" s="33" t="s">
        <v>428</v>
      </c>
      <c r="E2026" s="40">
        <v>24.93</v>
      </c>
      <c r="F2026" s="40">
        <v>0.0</v>
      </c>
      <c r="G2026" s="33" t="s">
        <v>450</v>
      </c>
    </row>
    <row r="2027" ht="15.75" customHeight="1">
      <c r="A2027" s="33" t="s">
        <v>6013</v>
      </c>
      <c r="B2027" s="33" t="s">
        <v>287</v>
      </c>
      <c r="C2027" s="39">
        <v>45694.0</v>
      </c>
      <c r="D2027" s="33" t="s">
        <v>440</v>
      </c>
      <c r="E2027" s="40">
        <v>45.38</v>
      </c>
      <c r="F2027" s="40">
        <v>0.0</v>
      </c>
      <c r="G2027" s="33" t="s">
        <v>450</v>
      </c>
    </row>
    <row r="2028" ht="15.75" customHeight="1">
      <c r="A2028" s="33" t="s">
        <v>6014</v>
      </c>
      <c r="B2028" s="33" t="s">
        <v>566</v>
      </c>
      <c r="C2028" s="39">
        <v>45915.0</v>
      </c>
      <c r="D2028" s="33" t="s">
        <v>435</v>
      </c>
      <c r="E2028" s="40">
        <v>109.27</v>
      </c>
      <c r="F2028" s="40">
        <v>0.0</v>
      </c>
      <c r="G2028" s="33" t="s">
        <v>450</v>
      </c>
    </row>
    <row r="2029" ht="15.75" customHeight="1">
      <c r="A2029" s="33" t="s">
        <v>6015</v>
      </c>
      <c r="B2029" s="33" t="s">
        <v>375</v>
      </c>
      <c r="C2029" s="39">
        <v>46219.0</v>
      </c>
      <c r="D2029" s="33" t="s">
        <v>435</v>
      </c>
      <c r="E2029" s="40">
        <v>63.36</v>
      </c>
      <c r="F2029" s="40">
        <v>0.0</v>
      </c>
      <c r="G2029" s="33" t="s">
        <v>450</v>
      </c>
    </row>
    <row r="2030" ht="15.75" customHeight="1">
      <c r="A2030" s="33" t="s">
        <v>6016</v>
      </c>
      <c r="B2030" s="33" t="s">
        <v>329</v>
      </c>
      <c r="C2030" s="39">
        <v>46087.0</v>
      </c>
      <c r="D2030" s="33" t="s">
        <v>435</v>
      </c>
      <c r="E2030" s="40">
        <v>17.92</v>
      </c>
      <c r="F2030" s="40">
        <v>0.0</v>
      </c>
      <c r="G2030" s="33" t="s">
        <v>442</v>
      </c>
    </row>
    <row r="2031" ht="15.75" customHeight="1">
      <c r="A2031" s="33" t="s">
        <v>6017</v>
      </c>
      <c r="B2031" s="33" t="s">
        <v>838</v>
      </c>
      <c r="C2031" s="39">
        <v>45693.0</v>
      </c>
      <c r="D2031" s="33" t="s">
        <v>461</v>
      </c>
      <c r="E2031" s="40">
        <v>120.42</v>
      </c>
      <c r="F2031" s="40">
        <v>2.12</v>
      </c>
      <c r="G2031" s="33" t="s">
        <v>450</v>
      </c>
    </row>
    <row r="2032" ht="15.75" customHeight="1">
      <c r="A2032" s="33" t="s">
        <v>6018</v>
      </c>
      <c r="B2032" s="33" t="s">
        <v>2019</v>
      </c>
      <c r="C2032" s="39">
        <v>46227.0</v>
      </c>
      <c r="D2032" s="33" t="s">
        <v>461</v>
      </c>
      <c r="E2032" s="40">
        <v>222.63</v>
      </c>
      <c r="F2032" s="40">
        <v>2.98</v>
      </c>
      <c r="G2032" s="33" t="s">
        <v>442</v>
      </c>
    </row>
    <row r="2033" ht="15.75" customHeight="1">
      <c r="A2033" s="33" t="s">
        <v>6019</v>
      </c>
      <c r="B2033" s="33" t="s">
        <v>1253</v>
      </c>
      <c r="C2033" s="39">
        <v>45915.0</v>
      </c>
      <c r="D2033" s="33" t="s">
        <v>428</v>
      </c>
      <c r="E2033" s="40">
        <v>20.7</v>
      </c>
      <c r="F2033" s="40">
        <v>0.0</v>
      </c>
      <c r="G2033" s="33" t="s">
        <v>450</v>
      </c>
    </row>
    <row r="2034" ht="15.75" customHeight="1">
      <c r="A2034" s="33" t="s">
        <v>6020</v>
      </c>
      <c r="B2034" s="33" t="s">
        <v>1825</v>
      </c>
      <c r="C2034" s="39">
        <v>46007.0</v>
      </c>
      <c r="D2034" s="33" t="s">
        <v>435</v>
      </c>
      <c r="E2034" s="40">
        <v>67.57</v>
      </c>
      <c r="F2034" s="40">
        <v>0.0</v>
      </c>
      <c r="G2034" s="33" t="s">
        <v>450</v>
      </c>
    </row>
    <row r="2035" ht="15.75" customHeight="1">
      <c r="A2035" s="33" t="s">
        <v>6021</v>
      </c>
      <c r="B2035" s="33" t="s">
        <v>481</v>
      </c>
      <c r="C2035" s="39">
        <v>45658.0</v>
      </c>
      <c r="D2035" s="33" t="s">
        <v>440</v>
      </c>
      <c r="E2035" s="40">
        <v>69.53</v>
      </c>
      <c r="F2035" s="40">
        <v>0.0</v>
      </c>
      <c r="G2035" s="33" t="s">
        <v>450</v>
      </c>
    </row>
    <row r="2036" ht="15.75" customHeight="1">
      <c r="A2036" s="33" t="s">
        <v>6022</v>
      </c>
      <c r="B2036" s="33" t="s">
        <v>1245</v>
      </c>
      <c r="C2036" s="39">
        <v>45846.0</v>
      </c>
      <c r="D2036" s="33" t="s">
        <v>461</v>
      </c>
      <c r="E2036" s="40">
        <v>20.17</v>
      </c>
      <c r="F2036" s="40">
        <v>0.36</v>
      </c>
      <c r="G2036" s="33" t="s">
        <v>450</v>
      </c>
    </row>
    <row r="2037" ht="15.75" customHeight="1">
      <c r="A2037" s="33" t="s">
        <v>6023</v>
      </c>
      <c r="B2037" s="33" t="s">
        <v>312</v>
      </c>
      <c r="C2037" s="39">
        <v>46135.0</v>
      </c>
      <c r="D2037" s="33" t="s">
        <v>461</v>
      </c>
      <c r="E2037" s="40">
        <v>165.42</v>
      </c>
      <c r="F2037" s="40">
        <v>2.59</v>
      </c>
      <c r="G2037" s="33" t="s">
        <v>450</v>
      </c>
    </row>
    <row r="2038" ht="15.75" customHeight="1">
      <c r="A2038" s="33" t="s">
        <v>6024</v>
      </c>
      <c r="B2038" s="33" t="s">
        <v>759</v>
      </c>
      <c r="C2038" s="39">
        <v>45858.0</v>
      </c>
      <c r="D2038" s="33" t="s">
        <v>479</v>
      </c>
      <c r="E2038" s="40">
        <v>70.69</v>
      </c>
      <c r="F2038" s="40">
        <v>0.99</v>
      </c>
      <c r="G2038" s="33" t="s">
        <v>450</v>
      </c>
    </row>
    <row r="2039" ht="15.75" customHeight="1">
      <c r="A2039" s="33" t="s">
        <v>6025</v>
      </c>
      <c r="B2039" s="33" t="s">
        <v>2469</v>
      </c>
      <c r="C2039" s="39">
        <v>45758.0</v>
      </c>
      <c r="D2039" s="33" t="s">
        <v>435</v>
      </c>
      <c r="E2039" s="40">
        <v>134.36</v>
      </c>
      <c r="F2039" s="40">
        <v>0.0</v>
      </c>
      <c r="G2039" s="33" t="s">
        <v>442</v>
      </c>
    </row>
    <row r="2040" ht="15.75" customHeight="1">
      <c r="A2040" s="33" t="s">
        <v>6026</v>
      </c>
      <c r="B2040" s="33" t="s">
        <v>565</v>
      </c>
      <c r="C2040" s="39">
        <v>45713.0</v>
      </c>
      <c r="D2040" s="33" t="s">
        <v>479</v>
      </c>
      <c r="E2040" s="40">
        <v>90.01</v>
      </c>
      <c r="F2040" s="40">
        <v>1.37</v>
      </c>
      <c r="G2040" s="33" t="s">
        <v>450</v>
      </c>
    </row>
    <row r="2041" ht="15.75" customHeight="1">
      <c r="A2041" s="33" t="s">
        <v>6027</v>
      </c>
      <c r="B2041" s="33" t="s">
        <v>3088</v>
      </c>
      <c r="C2041" s="39">
        <v>46219.0</v>
      </c>
      <c r="D2041" s="33" t="s">
        <v>435</v>
      </c>
      <c r="E2041" s="40">
        <v>161.24</v>
      </c>
      <c r="F2041" s="40">
        <v>0.0</v>
      </c>
      <c r="G2041" s="33" t="s">
        <v>450</v>
      </c>
    </row>
    <row r="2042" ht="15.75" customHeight="1">
      <c r="A2042" s="33" t="s">
        <v>6028</v>
      </c>
      <c r="B2042" s="33" t="s">
        <v>2934</v>
      </c>
      <c r="C2042" s="39">
        <v>46151.0</v>
      </c>
      <c r="D2042" s="33" t="s">
        <v>479</v>
      </c>
      <c r="E2042" s="40">
        <v>89.05</v>
      </c>
      <c r="F2042" s="40">
        <v>0.6</v>
      </c>
      <c r="G2042" s="33" t="s">
        <v>450</v>
      </c>
    </row>
    <row r="2043" ht="15.75" customHeight="1">
      <c r="A2043" s="33" t="s">
        <v>6029</v>
      </c>
      <c r="B2043" s="33" t="s">
        <v>426</v>
      </c>
      <c r="C2043" s="39">
        <v>45684.0</v>
      </c>
      <c r="D2043" s="33" t="s">
        <v>428</v>
      </c>
      <c r="E2043" s="40">
        <v>49.64</v>
      </c>
      <c r="F2043" s="40">
        <v>0.0</v>
      </c>
      <c r="G2043" s="33" t="s">
        <v>450</v>
      </c>
    </row>
    <row r="2044" ht="15.75" customHeight="1">
      <c r="A2044" s="33" t="s">
        <v>6030</v>
      </c>
      <c r="B2044" s="33" t="s">
        <v>1289</v>
      </c>
      <c r="C2044" s="39">
        <v>46219.0</v>
      </c>
      <c r="D2044" s="33" t="s">
        <v>435</v>
      </c>
      <c r="E2044" s="40">
        <v>103.38</v>
      </c>
      <c r="F2044" s="40">
        <v>0.0</v>
      </c>
      <c r="G2044" s="33" t="s">
        <v>450</v>
      </c>
    </row>
    <row r="2045" ht="15.75" customHeight="1">
      <c r="A2045" s="33" t="s">
        <v>6031</v>
      </c>
      <c r="B2045" s="33" t="s">
        <v>872</v>
      </c>
      <c r="C2045" s="39">
        <v>46156.0</v>
      </c>
      <c r="D2045" s="33" t="s">
        <v>435</v>
      </c>
      <c r="E2045" s="40">
        <v>35.24</v>
      </c>
      <c r="F2045" s="40">
        <v>0.0</v>
      </c>
      <c r="G2045" s="33" t="s">
        <v>450</v>
      </c>
    </row>
    <row r="2046" ht="15.75" customHeight="1">
      <c r="A2046" s="33" t="s">
        <v>6032</v>
      </c>
      <c r="B2046" s="33" t="s">
        <v>1108</v>
      </c>
      <c r="C2046" s="39">
        <v>45876.0</v>
      </c>
      <c r="D2046" s="33" t="s">
        <v>461</v>
      </c>
      <c r="E2046" s="40">
        <v>110.73</v>
      </c>
      <c r="F2046" s="40">
        <v>1.21</v>
      </c>
      <c r="G2046" s="33" t="s">
        <v>450</v>
      </c>
    </row>
    <row r="2047" ht="15.75" customHeight="1">
      <c r="A2047" s="33" t="s">
        <v>6033</v>
      </c>
      <c r="B2047" s="33" t="s">
        <v>1329</v>
      </c>
      <c r="C2047" s="39">
        <v>46056.0</v>
      </c>
      <c r="D2047" s="33" t="s">
        <v>435</v>
      </c>
      <c r="E2047" s="40">
        <v>30.16</v>
      </c>
      <c r="F2047" s="40">
        <v>0.0</v>
      </c>
      <c r="G2047" s="33" t="s">
        <v>431</v>
      </c>
    </row>
    <row r="2048" ht="15.75" customHeight="1">
      <c r="A2048" s="33" t="s">
        <v>6034</v>
      </c>
      <c r="B2048" s="33" t="s">
        <v>590</v>
      </c>
      <c r="C2048" s="39">
        <v>45814.0</v>
      </c>
      <c r="D2048" s="33" t="s">
        <v>428</v>
      </c>
      <c r="E2048" s="40">
        <v>65.76</v>
      </c>
      <c r="F2048" s="40">
        <v>0.0</v>
      </c>
      <c r="G2048" s="33" t="s">
        <v>442</v>
      </c>
    </row>
    <row r="2049" ht="15.75" customHeight="1">
      <c r="A2049" s="33" t="s">
        <v>6035</v>
      </c>
      <c r="B2049" s="33" t="s">
        <v>2187</v>
      </c>
      <c r="C2049" s="39">
        <v>45809.0</v>
      </c>
      <c r="D2049" s="33" t="s">
        <v>461</v>
      </c>
      <c r="E2049" s="40">
        <v>56.0</v>
      </c>
      <c r="F2049" s="40">
        <v>1.01</v>
      </c>
      <c r="G2049" s="33" t="s">
        <v>450</v>
      </c>
    </row>
    <row r="2050" ht="15.75" customHeight="1">
      <c r="A2050" s="33" t="s">
        <v>6036</v>
      </c>
      <c r="B2050" s="33" t="s">
        <v>828</v>
      </c>
      <c r="C2050" s="39">
        <v>46091.0</v>
      </c>
      <c r="D2050" s="33" t="s">
        <v>479</v>
      </c>
      <c r="E2050" s="40">
        <v>84.45</v>
      </c>
      <c r="F2050" s="40">
        <v>0.44</v>
      </c>
      <c r="G2050" s="33" t="s">
        <v>431</v>
      </c>
    </row>
    <row r="2051" ht="15.75" customHeight="1">
      <c r="A2051" s="33" t="s">
        <v>6037</v>
      </c>
      <c r="B2051" s="33" t="s">
        <v>1610</v>
      </c>
      <c r="C2051" s="39">
        <v>45780.0</v>
      </c>
      <c r="D2051" s="33" t="s">
        <v>440</v>
      </c>
      <c r="E2051" s="40">
        <v>179.32</v>
      </c>
      <c r="F2051" s="40">
        <v>0.0</v>
      </c>
      <c r="G2051" s="33" t="s">
        <v>431</v>
      </c>
    </row>
    <row r="2052" ht="15.75" customHeight="1">
      <c r="A2052" s="33" t="s">
        <v>6038</v>
      </c>
      <c r="B2052" s="33" t="s">
        <v>2429</v>
      </c>
      <c r="C2052" s="39">
        <v>45873.0</v>
      </c>
      <c r="D2052" s="33" t="s">
        <v>440</v>
      </c>
      <c r="E2052" s="40">
        <v>44.08</v>
      </c>
      <c r="F2052" s="40">
        <v>0.0</v>
      </c>
      <c r="G2052" s="33" t="s">
        <v>442</v>
      </c>
    </row>
    <row r="2053" ht="15.75" customHeight="1">
      <c r="A2053" s="33" t="s">
        <v>6039</v>
      </c>
      <c r="B2053" s="33" t="s">
        <v>1043</v>
      </c>
      <c r="C2053" s="39">
        <v>45875.0</v>
      </c>
      <c r="D2053" s="33" t="s">
        <v>440</v>
      </c>
      <c r="E2053" s="40">
        <v>128.45</v>
      </c>
      <c r="F2053" s="40">
        <v>0.0</v>
      </c>
      <c r="G2053" s="33" t="s">
        <v>450</v>
      </c>
    </row>
    <row r="2054" ht="15.75" customHeight="1">
      <c r="A2054" s="33" t="s">
        <v>6040</v>
      </c>
      <c r="B2054" s="33" t="s">
        <v>1561</v>
      </c>
      <c r="C2054" s="39">
        <v>45749.0</v>
      </c>
      <c r="D2054" s="33" t="s">
        <v>428</v>
      </c>
      <c r="E2054" s="40">
        <v>164.87</v>
      </c>
      <c r="F2054" s="40">
        <v>0.0</v>
      </c>
      <c r="G2054" s="33" t="s">
        <v>450</v>
      </c>
    </row>
    <row r="2055" ht="15.75" customHeight="1">
      <c r="A2055" s="33" t="s">
        <v>6041</v>
      </c>
      <c r="B2055" s="33" t="s">
        <v>268</v>
      </c>
      <c r="C2055" s="39">
        <v>46160.0</v>
      </c>
      <c r="D2055" s="33" t="s">
        <v>461</v>
      </c>
      <c r="E2055" s="40">
        <v>125.73</v>
      </c>
      <c r="F2055" s="40">
        <v>1.29</v>
      </c>
      <c r="G2055" s="33" t="s">
        <v>431</v>
      </c>
    </row>
    <row r="2056" ht="15.75" customHeight="1">
      <c r="A2056" s="33" t="s">
        <v>6042</v>
      </c>
      <c r="B2056" s="33" t="s">
        <v>4154</v>
      </c>
      <c r="C2056" s="39">
        <v>46067.0</v>
      </c>
      <c r="D2056" s="33" t="s">
        <v>440</v>
      </c>
      <c r="E2056" s="40">
        <v>83.99</v>
      </c>
      <c r="F2056" s="40">
        <v>0.0</v>
      </c>
      <c r="G2056" s="33" t="s">
        <v>431</v>
      </c>
    </row>
    <row r="2057" ht="15.75" customHeight="1">
      <c r="A2057" s="33" t="s">
        <v>6043</v>
      </c>
      <c r="B2057" s="33" t="s">
        <v>1183</v>
      </c>
      <c r="C2057" s="39">
        <v>46181.0</v>
      </c>
      <c r="D2057" s="33" t="s">
        <v>435</v>
      </c>
      <c r="E2057" s="40">
        <v>80.85</v>
      </c>
      <c r="F2057" s="40">
        <v>0.0</v>
      </c>
      <c r="G2057" s="33" t="s">
        <v>450</v>
      </c>
    </row>
    <row r="2058" ht="15.75" customHeight="1">
      <c r="A2058" s="33" t="s">
        <v>6044</v>
      </c>
      <c r="B2058" s="33" t="s">
        <v>2268</v>
      </c>
      <c r="C2058" s="39">
        <v>45976.0</v>
      </c>
      <c r="D2058" s="33" t="s">
        <v>479</v>
      </c>
      <c r="E2058" s="40">
        <v>41.79</v>
      </c>
      <c r="F2058" s="40">
        <v>0.42</v>
      </c>
      <c r="G2058" s="33" t="s">
        <v>450</v>
      </c>
    </row>
    <row r="2059" ht="15.75" customHeight="1">
      <c r="A2059" s="33" t="s">
        <v>6045</v>
      </c>
      <c r="B2059" s="33" t="s">
        <v>2914</v>
      </c>
      <c r="C2059" s="39">
        <v>45764.0</v>
      </c>
      <c r="D2059" s="33" t="s">
        <v>461</v>
      </c>
      <c r="E2059" s="40">
        <v>15.18</v>
      </c>
      <c r="F2059" s="40">
        <v>0.19</v>
      </c>
      <c r="G2059" s="33" t="s">
        <v>450</v>
      </c>
    </row>
    <row r="2060" ht="15.75" customHeight="1">
      <c r="A2060" s="33" t="s">
        <v>6046</v>
      </c>
      <c r="B2060" s="33" t="s">
        <v>1651</v>
      </c>
      <c r="C2060" s="39">
        <v>45827.0</v>
      </c>
      <c r="D2060" s="33" t="s">
        <v>461</v>
      </c>
      <c r="E2060" s="40">
        <v>72.67</v>
      </c>
      <c r="F2060" s="40">
        <v>1.05</v>
      </c>
      <c r="G2060" s="33" t="s">
        <v>431</v>
      </c>
    </row>
    <row r="2061" ht="15.75" customHeight="1">
      <c r="A2061" s="33" t="s">
        <v>6047</v>
      </c>
      <c r="B2061" s="33" t="s">
        <v>697</v>
      </c>
      <c r="C2061" s="39">
        <v>45872.0</v>
      </c>
      <c r="D2061" s="33" t="s">
        <v>440</v>
      </c>
      <c r="E2061" s="40">
        <v>174.67</v>
      </c>
      <c r="F2061" s="40">
        <v>0.0</v>
      </c>
      <c r="G2061" s="33" t="s">
        <v>450</v>
      </c>
    </row>
    <row r="2062" ht="15.75" customHeight="1">
      <c r="A2062" s="33" t="s">
        <v>6048</v>
      </c>
      <c r="B2062" s="33" t="s">
        <v>2276</v>
      </c>
      <c r="C2062" s="39">
        <v>46229.0</v>
      </c>
      <c r="D2062" s="33" t="s">
        <v>479</v>
      </c>
      <c r="E2062" s="40">
        <v>191.27</v>
      </c>
      <c r="F2062" s="40">
        <v>1.66</v>
      </c>
      <c r="G2062" s="33" t="s">
        <v>442</v>
      </c>
    </row>
    <row r="2063" ht="15.75" customHeight="1">
      <c r="A2063" s="33" t="s">
        <v>6049</v>
      </c>
      <c r="B2063" s="33" t="s">
        <v>408</v>
      </c>
      <c r="C2063" s="39">
        <v>45802.0</v>
      </c>
      <c r="D2063" s="33" t="s">
        <v>435</v>
      </c>
      <c r="E2063" s="40">
        <v>18.78</v>
      </c>
      <c r="F2063" s="40">
        <v>0.0</v>
      </c>
      <c r="G2063" s="33" t="s">
        <v>431</v>
      </c>
    </row>
    <row r="2064" ht="15.75" customHeight="1">
      <c r="A2064" s="33" t="s">
        <v>6050</v>
      </c>
      <c r="B2064" s="33" t="s">
        <v>1062</v>
      </c>
      <c r="C2064" s="39">
        <v>46078.0</v>
      </c>
      <c r="D2064" s="33" t="s">
        <v>479</v>
      </c>
      <c r="E2064" s="40">
        <v>187.36</v>
      </c>
      <c r="F2064" s="40">
        <v>1.36</v>
      </c>
      <c r="G2064" s="33" t="s">
        <v>450</v>
      </c>
    </row>
    <row r="2065" ht="15.75" customHeight="1">
      <c r="A2065" s="33" t="s">
        <v>6051</v>
      </c>
      <c r="B2065" s="33" t="s">
        <v>1237</v>
      </c>
      <c r="C2065" s="39">
        <v>45732.0</v>
      </c>
      <c r="D2065" s="33" t="s">
        <v>461</v>
      </c>
      <c r="E2065" s="40">
        <v>106.85</v>
      </c>
      <c r="F2065" s="40">
        <v>1.81</v>
      </c>
      <c r="G2065" s="33" t="s">
        <v>450</v>
      </c>
    </row>
    <row r="2066" ht="15.75" customHeight="1">
      <c r="A2066" s="33" t="s">
        <v>6052</v>
      </c>
      <c r="B2066" s="33" t="s">
        <v>1510</v>
      </c>
      <c r="C2066" s="39">
        <v>46238.0</v>
      </c>
      <c r="D2066" s="33" t="s">
        <v>440</v>
      </c>
      <c r="E2066" s="40">
        <v>98.31</v>
      </c>
      <c r="F2066" s="40">
        <v>0.0</v>
      </c>
      <c r="G2066" s="33" t="s">
        <v>450</v>
      </c>
    </row>
    <row r="2067" ht="15.75" customHeight="1">
      <c r="A2067" s="33" t="s">
        <v>6053</v>
      </c>
      <c r="B2067" s="33" t="s">
        <v>2366</v>
      </c>
      <c r="C2067" s="39">
        <v>46050.0</v>
      </c>
      <c r="D2067" s="33" t="s">
        <v>440</v>
      </c>
      <c r="E2067" s="40">
        <v>173.79</v>
      </c>
      <c r="F2067" s="40">
        <v>0.0</v>
      </c>
      <c r="G2067" s="33" t="s">
        <v>442</v>
      </c>
    </row>
    <row r="2068" ht="15.75" customHeight="1">
      <c r="A2068" s="33" t="s">
        <v>6054</v>
      </c>
      <c r="B2068" s="33" t="s">
        <v>342</v>
      </c>
      <c r="C2068" s="39">
        <v>45919.0</v>
      </c>
      <c r="D2068" s="33" t="s">
        <v>479</v>
      </c>
      <c r="E2068" s="40">
        <v>141.23</v>
      </c>
      <c r="F2068" s="40">
        <v>0.88</v>
      </c>
      <c r="G2068" s="33" t="s">
        <v>450</v>
      </c>
    </row>
    <row r="2069" ht="15.75" customHeight="1">
      <c r="A2069" s="33" t="s">
        <v>6055</v>
      </c>
      <c r="B2069" s="33" t="s">
        <v>1285</v>
      </c>
      <c r="C2069" s="39">
        <v>45867.0</v>
      </c>
      <c r="D2069" s="33" t="s">
        <v>428</v>
      </c>
      <c r="E2069" s="40">
        <v>29.69</v>
      </c>
      <c r="F2069" s="40">
        <v>0.0</v>
      </c>
      <c r="G2069" s="33" t="s">
        <v>450</v>
      </c>
    </row>
    <row r="2070" ht="15.75" customHeight="1">
      <c r="A2070" s="33" t="s">
        <v>6056</v>
      </c>
      <c r="B2070" s="33" t="s">
        <v>2816</v>
      </c>
      <c r="C2070" s="39">
        <v>45873.0</v>
      </c>
      <c r="D2070" s="33" t="s">
        <v>461</v>
      </c>
      <c r="E2070" s="40">
        <v>37.74</v>
      </c>
      <c r="F2070" s="40">
        <v>0.69</v>
      </c>
      <c r="G2070" s="33" t="s">
        <v>450</v>
      </c>
    </row>
    <row r="2071" ht="15.75" customHeight="1">
      <c r="A2071" s="33" t="s">
        <v>6057</v>
      </c>
      <c r="B2071" s="33" t="s">
        <v>2299</v>
      </c>
      <c r="C2071" s="39">
        <v>45794.0</v>
      </c>
      <c r="D2071" s="33" t="s">
        <v>428</v>
      </c>
      <c r="E2071" s="40">
        <v>13.16</v>
      </c>
      <c r="F2071" s="40">
        <v>0.0</v>
      </c>
      <c r="G2071" s="33" t="s">
        <v>450</v>
      </c>
    </row>
    <row r="2072" ht="15.75" customHeight="1">
      <c r="A2072" s="33" t="s">
        <v>6058</v>
      </c>
      <c r="B2072" s="33" t="s">
        <v>1051</v>
      </c>
      <c r="C2072" s="39">
        <v>46022.0</v>
      </c>
      <c r="D2072" s="33" t="s">
        <v>435</v>
      </c>
      <c r="E2072" s="40">
        <v>95.14</v>
      </c>
      <c r="F2072" s="40">
        <v>0.0</v>
      </c>
      <c r="G2072" s="33" t="s">
        <v>450</v>
      </c>
    </row>
    <row r="2073" ht="15.75" customHeight="1">
      <c r="A2073" s="33" t="s">
        <v>6059</v>
      </c>
      <c r="B2073" s="33" t="s">
        <v>888</v>
      </c>
      <c r="C2073" s="39">
        <v>46183.0</v>
      </c>
      <c r="D2073" s="33" t="s">
        <v>428</v>
      </c>
      <c r="E2073" s="40">
        <v>33.07</v>
      </c>
      <c r="F2073" s="40">
        <v>0.0</v>
      </c>
      <c r="G2073" s="33" t="s">
        <v>442</v>
      </c>
    </row>
    <row r="2074" ht="15.75" customHeight="1">
      <c r="A2074" s="33" t="s">
        <v>6060</v>
      </c>
      <c r="B2074" s="33" t="s">
        <v>1972</v>
      </c>
      <c r="C2074" s="39">
        <v>45804.0</v>
      </c>
      <c r="D2074" s="33" t="s">
        <v>435</v>
      </c>
      <c r="E2074" s="40">
        <v>48.17</v>
      </c>
      <c r="F2074" s="40">
        <v>0.0</v>
      </c>
      <c r="G2074" s="33" t="s">
        <v>450</v>
      </c>
    </row>
    <row r="2075" ht="15.75" customHeight="1">
      <c r="A2075" s="33" t="s">
        <v>6061</v>
      </c>
      <c r="B2075" s="33" t="s">
        <v>1842</v>
      </c>
      <c r="C2075" s="39">
        <v>46112.0</v>
      </c>
      <c r="D2075" s="33" t="s">
        <v>440</v>
      </c>
      <c r="E2075" s="40">
        <v>159.9</v>
      </c>
      <c r="F2075" s="40">
        <v>0.0</v>
      </c>
      <c r="G2075" s="33" t="s">
        <v>450</v>
      </c>
    </row>
    <row r="2076" ht="15.75" customHeight="1">
      <c r="A2076" s="33" t="s">
        <v>6062</v>
      </c>
      <c r="B2076" s="33" t="s">
        <v>1703</v>
      </c>
      <c r="C2076" s="39">
        <v>46001.0</v>
      </c>
      <c r="D2076" s="33" t="s">
        <v>479</v>
      </c>
      <c r="E2076" s="40">
        <v>104.5</v>
      </c>
      <c r="F2076" s="40">
        <v>1.85</v>
      </c>
      <c r="G2076" s="33" t="s">
        <v>450</v>
      </c>
    </row>
    <row r="2077" ht="15.75" customHeight="1">
      <c r="A2077" s="33" t="s">
        <v>6063</v>
      </c>
      <c r="B2077" s="33" t="s">
        <v>959</v>
      </c>
      <c r="C2077" s="39">
        <v>46127.0</v>
      </c>
      <c r="D2077" s="33" t="s">
        <v>440</v>
      </c>
      <c r="E2077" s="40">
        <v>106.5</v>
      </c>
      <c r="F2077" s="40">
        <v>0.0</v>
      </c>
      <c r="G2077" s="33" t="s">
        <v>442</v>
      </c>
    </row>
    <row r="2078" ht="15.75" customHeight="1">
      <c r="A2078" s="33" t="s">
        <v>6064</v>
      </c>
      <c r="B2078" s="33" t="s">
        <v>2021</v>
      </c>
      <c r="C2078" s="39">
        <v>46125.0</v>
      </c>
      <c r="D2078" s="33" t="s">
        <v>428</v>
      </c>
      <c r="E2078" s="40">
        <v>274.46</v>
      </c>
      <c r="F2078" s="40">
        <v>0.0</v>
      </c>
      <c r="G2078" s="33" t="s">
        <v>442</v>
      </c>
    </row>
    <row r="2079" ht="15.75" customHeight="1">
      <c r="A2079" s="33" t="s">
        <v>6065</v>
      </c>
      <c r="B2079" s="33" t="s">
        <v>1876</v>
      </c>
      <c r="C2079" s="39">
        <v>45681.0</v>
      </c>
      <c r="D2079" s="33" t="s">
        <v>428</v>
      </c>
      <c r="E2079" s="40">
        <v>1.62</v>
      </c>
      <c r="F2079" s="40">
        <v>0.0</v>
      </c>
      <c r="G2079" s="33" t="s">
        <v>442</v>
      </c>
    </row>
    <row r="2080" ht="15.75" customHeight="1">
      <c r="A2080" s="33" t="s">
        <v>6066</v>
      </c>
      <c r="B2080" s="33" t="s">
        <v>672</v>
      </c>
      <c r="C2080" s="39">
        <v>45670.0</v>
      </c>
      <c r="D2080" s="33" t="s">
        <v>479</v>
      </c>
      <c r="E2080" s="40">
        <v>34.76</v>
      </c>
      <c r="F2080" s="40">
        <v>0.21</v>
      </c>
      <c r="G2080" s="33" t="s">
        <v>450</v>
      </c>
    </row>
    <row r="2081" ht="15.75" customHeight="1">
      <c r="A2081" s="33" t="s">
        <v>6067</v>
      </c>
      <c r="B2081" s="33" t="s">
        <v>3342</v>
      </c>
      <c r="C2081" s="39">
        <v>46213.0</v>
      </c>
      <c r="D2081" s="33" t="s">
        <v>479</v>
      </c>
      <c r="E2081" s="40">
        <v>55.75</v>
      </c>
      <c r="F2081" s="40">
        <v>1.04</v>
      </c>
      <c r="G2081" s="33" t="s">
        <v>450</v>
      </c>
    </row>
    <row r="2082" ht="15.75" customHeight="1">
      <c r="A2082" s="33" t="s">
        <v>6068</v>
      </c>
      <c r="B2082" s="33" t="s">
        <v>245</v>
      </c>
      <c r="C2082" s="39">
        <v>45752.0</v>
      </c>
      <c r="D2082" s="33" t="s">
        <v>461</v>
      </c>
      <c r="E2082" s="40">
        <v>36.87</v>
      </c>
      <c r="F2082" s="40">
        <v>0.32</v>
      </c>
      <c r="G2082" s="33" t="s">
        <v>450</v>
      </c>
    </row>
    <row r="2083" ht="15.75" customHeight="1">
      <c r="A2083" s="33" t="s">
        <v>6069</v>
      </c>
      <c r="B2083" s="33" t="s">
        <v>2926</v>
      </c>
      <c r="C2083" s="39">
        <v>46006.0</v>
      </c>
      <c r="D2083" s="33" t="s">
        <v>461</v>
      </c>
      <c r="E2083" s="40">
        <v>133.59</v>
      </c>
      <c r="F2083" s="40">
        <v>1.39</v>
      </c>
      <c r="G2083" s="33" t="s">
        <v>450</v>
      </c>
    </row>
    <row r="2084" ht="15.75" customHeight="1">
      <c r="A2084" s="33" t="s">
        <v>6070</v>
      </c>
      <c r="B2084" s="33" t="s">
        <v>2678</v>
      </c>
      <c r="C2084" s="39">
        <v>46115.0</v>
      </c>
      <c r="D2084" s="33" t="s">
        <v>479</v>
      </c>
      <c r="E2084" s="40">
        <v>61.16</v>
      </c>
      <c r="F2084" s="40">
        <v>0.65</v>
      </c>
      <c r="G2084" s="33" t="s">
        <v>431</v>
      </c>
    </row>
    <row r="2085" ht="15.75" customHeight="1">
      <c r="A2085" s="33" t="s">
        <v>6071</v>
      </c>
      <c r="B2085" s="33" t="s">
        <v>2098</v>
      </c>
      <c r="C2085" s="39">
        <v>45963.0</v>
      </c>
      <c r="D2085" s="33" t="s">
        <v>428</v>
      </c>
      <c r="E2085" s="40">
        <v>26.75</v>
      </c>
      <c r="F2085" s="40">
        <v>0.0</v>
      </c>
      <c r="G2085" s="33" t="s">
        <v>450</v>
      </c>
    </row>
    <row r="2086" ht="15.75" customHeight="1">
      <c r="A2086" s="33" t="s">
        <v>6072</v>
      </c>
      <c r="B2086" s="33" t="s">
        <v>969</v>
      </c>
      <c r="C2086" s="39">
        <v>45661.0</v>
      </c>
      <c r="D2086" s="33" t="s">
        <v>435</v>
      </c>
      <c r="E2086" s="40">
        <v>89.17</v>
      </c>
      <c r="F2086" s="40">
        <v>0.0</v>
      </c>
      <c r="G2086" s="33" t="s">
        <v>450</v>
      </c>
    </row>
    <row r="2087" ht="15.75" customHeight="1">
      <c r="A2087" s="33" t="s">
        <v>6073</v>
      </c>
      <c r="B2087" s="33" t="s">
        <v>411</v>
      </c>
      <c r="C2087" s="39">
        <v>45664.0</v>
      </c>
      <c r="D2087" s="33" t="s">
        <v>440</v>
      </c>
      <c r="E2087" s="40">
        <v>100.44</v>
      </c>
      <c r="F2087" s="40">
        <v>0.0</v>
      </c>
      <c r="G2087" s="33" t="s">
        <v>442</v>
      </c>
    </row>
    <row r="2088" ht="15.75" customHeight="1">
      <c r="A2088" s="33" t="s">
        <v>6074</v>
      </c>
      <c r="B2088" s="33" t="s">
        <v>378</v>
      </c>
      <c r="C2088" s="39">
        <v>46064.0</v>
      </c>
      <c r="D2088" s="33" t="s">
        <v>435</v>
      </c>
      <c r="E2088" s="40">
        <v>28.92</v>
      </c>
      <c r="F2088" s="40">
        <v>0.0</v>
      </c>
      <c r="G2088" s="33" t="s">
        <v>442</v>
      </c>
    </row>
    <row r="2089" ht="15.75" customHeight="1">
      <c r="A2089" s="33" t="s">
        <v>6075</v>
      </c>
      <c r="B2089" s="33" t="s">
        <v>1528</v>
      </c>
      <c r="C2089" s="39">
        <v>46202.0</v>
      </c>
      <c r="D2089" s="33" t="s">
        <v>435</v>
      </c>
      <c r="E2089" s="40">
        <v>63.57</v>
      </c>
      <c r="F2089" s="40">
        <v>0.0</v>
      </c>
      <c r="G2089" s="33" t="s">
        <v>450</v>
      </c>
    </row>
    <row r="2090" ht="15.75" customHeight="1">
      <c r="A2090" s="33" t="s">
        <v>6076</v>
      </c>
      <c r="B2090" s="33" t="s">
        <v>880</v>
      </c>
      <c r="C2090" s="39">
        <v>45866.0</v>
      </c>
      <c r="D2090" s="33" t="s">
        <v>435</v>
      </c>
      <c r="E2090" s="40">
        <v>102.17</v>
      </c>
      <c r="F2090" s="40">
        <v>0.0</v>
      </c>
      <c r="G2090" s="33" t="s">
        <v>450</v>
      </c>
    </row>
    <row r="2091" ht="15.75" customHeight="1">
      <c r="A2091" s="33" t="s">
        <v>6077</v>
      </c>
      <c r="B2091" s="33" t="s">
        <v>642</v>
      </c>
      <c r="C2091" s="39">
        <v>45988.0</v>
      </c>
      <c r="D2091" s="33" t="s">
        <v>461</v>
      </c>
      <c r="E2091" s="40">
        <v>166.09</v>
      </c>
      <c r="F2091" s="40">
        <v>2.51</v>
      </c>
      <c r="G2091" s="33" t="s">
        <v>442</v>
      </c>
    </row>
    <row r="2092" ht="15.75" customHeight="1">
      <c r="A2092" s="33" t="s">
        <v>6078</v>
      </c>
      <c r="B2092" s="33" t="s">
        <v>658</v>
      </c>
      <c r="C2092" s="39">
        <v>46224.0</v>
      </c>
      <c r="D2092" s="33" t="s">
        <v>428</v>
      </c>
      <c r="E2092" s="40">
        <v>40.35</v>
      </c>
      <c r="F2092" s="40">
        <v>0.0</v>
      </c>
      <c r="G2092" s="33" t="s">
        <v>431</v>
      </c>
    </row>
    <row r="2093" ht="15.75" customHeight="1">
      <c r="A2093" s="33" t="s">
        <v>6079</v>
      </c>
      <c r="B2093" s="33" t="s">
        <v>590</v>
      </c>
      <c r="C2093" s="39">
        <v>46158.0</v>
      </c>
      <c r="D2093" s="33" t="s">
        <v>479</v>
      </c>
      <c r="E2093" s="40">
        <v>110.42</v>
      </c>
      <c r="F2093" s="40">
        <v>1.74</v>
      </c>
      <c r="G2093" s="33" t="s">
        <v>450</v>
      </c>
    </row>
    <row r="2094" ht="15.75" customHeight="1">
      <c r="A2094" s="33" t="s">
        <v>6080</v>
      </c>
      <c r="B2094" s="33" t="s">
        <v>850</v>
      </c>
      <c r="C2094" s="39">
        <v>45986.0</v>
      </c>
      <c r="D2094" s="33" t="s">
        <v>479</v>
      </c>
      <c r="E2094" s="40">
        <v>45.72</v>
      </c>
      <c r="F2094" s="40">
        <v>0.77</v>
      </c>
      <c r="G2094" s="33" t="s">
        <v>450</v>
      </c>
    </row>
    <row r="2095" ht="15.75" customHeight="1">
      <c r="A2095" s="33" t="s">
        <v>6081</v>
      </c>
      <c r="B2095" s="33" t="s">
        <v>4287</v>
      </c>
      <c r="C2095" s="39">
        <v>46055.0</v>
      </c>
      <c r="D2095" s="33" t="s">
        <v>440</v>
      </c>
      <c r="E2095" s="40">
        <v>77.28</v>
      </c>
      <c r="F2095" s="40">
        <v>0.0</v>
      </c>
      <c r="G2095" s="33" t="s">
        <v>431</v>
      </c>
    </row>
    <row r="2096" ht="15.75" customHeight="1">
      <c r="A2096" s="33" t="s">
        <v>6082</v>
      </c>
      <c r="B2096" s="33" t="s">
        <v>2723</v>
      </c>
      <c r="C2096" s="39">
        <v>46241.0</v>
      </c>
      <c r="D2096" s="33" t="s">
        <v>435</v>
      </c>
      <c r="E2096" s="40">
        <v>31.41</v>
      </c>
      <c r="F2096" s="40">
        <v>0.0</v>
      </c>
      <c r="G2096" s="33" t="s">
        <v>442</v>
      </c>
    </row>
    <row r="2097" ht="15.75" customHeight="1">
      <c r="A2097" s="33" t="s">
        <v>6083</v>
      </c>
      <c r="B2097" s="33" t="s">
        <v>220</v>
      </c>
      <c r="C2097" s="39">
        <v>46141.0</v>
      </c>
      <c r="D2097" s="33" t="s">
        <v>479</v>
      </c>
      <c r="E2097" s="40">
        <v>108.03</v>
      </c>
      <c r="F2097" s="40">
        <v>1.35</v>
      </c>
      <c r="G2097" s="33" t="s">
        <v>442</v>
      </c>
    </row>
    <row r="2098" ht="15.75" customHeight="1">
      <c r="A2098" s="33" t="s">
        <v>6084</v>
      </c>
      <c r="B2098" s="33" t="s">
        <v>2456</v>
      </c>
      <c r="C2098" s="39">
        <v>45910.0</v>
      </c>
      <c r="D2098" s="33" t="s">
        <v>435</v>
      </c>
      <c r="E2098" s="40">
        <v>147.32</v>
      </c>
      <c r="F2098" s="40">
        <v>0.0</v>
      </c>
      <c r="G2098" s="33" t="s">
        <v>450</v>
      </c>
    </row>
    <row r="2099" ht="15.75" customHeight="1">
      <c r="A2099" s="33" t="s">
        <v>6085</v>
      </c>
      <c r="B2099" s="33" t="s">
        <v>526</v>
      </c>
      <c r="C2099" s="39">
        <v>46078.0</v>
      </c>
      <c r="D2099" s="33" t="s">
        <v>461</v>
      </c>
      <c r="E2099" s="40">
        <v>65.8</v>
      </c>
      <c r="F2099" s="40">
        <v>0.4</v>
      </c>
      <c r="G2099" s="33" t="s">
        <v>450</v>
      </c>
    </row>
    <row r="2100" ht="15.75" customHeight="1">
      <c r="A2100" s="33" t="s">
        <v>6086</v>
      </c>
      <c r="B2100" s="33" t="s">
        <v>2139</v>
      </c>
      <c r="C2100" s="39">
        <v>45857.0</v>
      </c>
      <c r="D2100" s="33" t="s">
        <v>479</v>
      </c>
      <c r="E2100" s="40">
        <v>59.35</v>
      </c>
      <c r="F2100" s="40">
        <v>1.09</v>
      </c>
      <c r="G2100" s="33" t="s">
        <v>450</v>
      </c>
    </row>
    <row r="2101" ht="15.75" customHeight="1">
      <c r="A2101" s="33" t="s">
        <v>6087</v>
      </c>
      <c r="B2101" s="33" t="s">
        <v>1576</v>
      </c>
      <c r="C2101" s="39">
        <v>46217.0</v>
      </c>
      <c r="D2101" s="33" t="s">
        <v>440</v>
      </c>
      <c r="E2101" s="40">
        <v>54.95</v>
      </c>
      <c r="F2101" s="40">
        <v>0.0</v>
      </c>
      <c r="G2101" s="33" t="s">
        <v>431</v>
      </c>
    </row>
    <row r="2102" ht="15.75" customHeight="1">
      <c r="A2102" s="33" t="s">
        <v>6088</v>
      </c>
      <c r="B2102" s="33" t="s">
        <v>1679</v>
      </c>
      <c r="C2102" s="39">
        <v>45714.0</v>
      </c>
      <c r="D2102" s="33" t="s">
        <v>435</v>
      </c>
      <c r="E2102" s="40">
        <v>23.91</v>
      </c>
      <c r="F2102" s="40">
        <v>0.0</v>
      </c>
      <c r="G2102" s="33" t="s">
        <v>450</v>
      </c>
    </row>
    <row r="2103" ht="15.75" customHeight="1">
      <c r="A2103" s="33" t="s">
        <v>6089</v>
      </c>
      <c r="B2103" s="33" t="s">
        <v>2123</v>
      </c>
      <c r="C2103" s="39">
        <v>45794.0</v>
      </c>
      <c r="D2103" s="33" t="s">
        <v>440</v>
      </c>
      <c r="E2103" s="40">
        <v>123.55</v>
      </c>
      <c r="F2103" s="40">
        <v>0.0</v>
      </c>
      <c r="G2103" s="33" t="s">
        <v>442</v>
      </c>
    </row>
    <row r="2104" ht="15.75" customHeight="1">
      <c r="A2104" s="33" t="s">
        <v>6090</v>
      </c>
      <c r="B2104" s="33" t="s">
        <v>3612</v>
      </c>
      <c r="C2104" s="39">
        <v>45868.0</v>
      </c>
      <c r="D2104" s="33" t="s">
        <v>435</v>
      </c>
      <c r="E2104" s="40">
        <v>163.21</v>
      </c>
      <c r="F2104" s="40">
        <v>0.0</v>
      </c>
      <c r="G2104" s="33" t="s">
        <v>431</v>
      </c>
    </row>
    <row r="2105" ht="15.75" customHeight="1">
      <c r="A2105" s="33" t="s">
        <v>6091</v>
      </c>
      <c r="B2105" s="33" t="s">
        <v>521</v>
      </c>
      <c r="C2105" s="39">
        <v>45780.0</v>
      </c>
      <c r="D2105" s="33" t="s">
        <v>461</v>
      </c>
      <c r="E2105" s="40">
        <v>38.38</v>
      </c>
      <c r="F2105" s="40">
        <v>0.36</v>
      </c>
      <c r="G2105" s="33" t="s">
        <v>450</v>
      </c>
    </row>
    <row r="2106" ht="15.75" customHeight="1">
      <c r="A2106" s="33" t="s">
        <v>6092</v>
      </c>
      <c r="B2106" s="33" t="s">
        <v>1908</v>
      </c>
      <c r="C2106" s="39">
        <v>46019.0</v>
      </c>
      <c r="D2106" s="33" t="s">
        <v>479</v>
      </c>
      <c r="E2106" s="40">
        <v>85.29</v>
      </c>
      <c r="F2106" s="40">
        <v>1.58</v>
      </c>
      <c r="G2106" s="33" t="s">
        <v>431</v>
      </c>
    </row>
    <row r="2107" ht="15.75" customHeight="1">
      <c r="A2107" s="33" t="s">
        <v>6093</v>
      </c>
      <c r="B2107" s="33" t="s">
        <v>1245</v>
      </c>
      <c r="C2107" s="39">
        <v>46090.0</v>
      </c>
      <c r="D2107" s="33" t="s">
        <v>461</v>
      </c>
      <c r="E2107" s="40">
        <v>105.94</v>
      </c>
      <c r="F2107" s="40">
        <v>1.84</v>
      </c>
      <c r="G2107" s="33" t="s">
        <v>450</v>
      </c>
    </row>
    <row r="2108" ht="15.75" customHeight="1">
      <c r="A2108" s="33" t="s">
        <v>6094</v>
      </c>
      <c r="B2108" s="33" t="s">
        <v>1742</v>
      </c>
      <c r="C2108" s="39">
        <v>46198.0</v>
      </c>
      <c r="D2108" s="33" t="s">
        <v>479</v>
      </c>
      <c r="E2108" s="40">
        <v>45.06</v>
      </c>
      <c r="F2108" s="40">
        <v>0.24</v>
      </c>
      <c r="G2108" s="33" t="s">
        <v>450</v>
      </c>
    </row>
    <row r="2109" ht="15.75" customHeight="1">
      <c r="A2109" s="33" t="s">
        <v>6095</v>
      </c>
      <c r="B2109" s="33" t="s">
        <v>1893</v>
      </c>
      <c r="C2109" s="39">
        <v>45962.0</v>
      </c>
      <c r="D2109" s="33" t="s">
        <v>428</v>
      </c>
      <c r="E2109" s="40">
        <v>190.74</v>
      </c>
      <c r="F2109" s="40">
        <v>0.0</v>
      </c>
      <c r="G2109" s="33" t="s">
        <v>450</v>
      </c>
    </row>
    <row r="2110" ht="15.75" customHeight="1">
      <c r="A2110" s="33" t="s">
        <v>6096</v>
      </c>
      <c r="B2110" s="33" t="s">
        <v>462</v>
      </c>
      <c r="C2110" s="39">
        <v>46035.0</v>
      </c>
      <c r="D2110" s="33" t="s">
        <v>461</v>
      </c>
      <c r="E2110" s="40">
        <v>86.47</v>
      </c>
      <c r="F2110" s="40">
        <v>1.21</v>
      </c>
      <c r="G2110" s="33" t="s">
        <v>450</v>
      </c>
    </row>
    <row r="2111" ht="15.75" customHeight="1">
      <c r="A2111" s="33" t="s">
        <v>6097</v>
      </c>
      <c r="B2111" s="33" t="s">
        <v>659</v>
      </c>
      <c r="C2111" s="39">
        <v>46021.0</v>
      </c>
      <c r="D2111" s="33" t="s">
        <v>435</v>
      </c>
      <c r="E2111" s="40">
        <v>18.75</v>
      </c>
      <c r="F2111" s="40">
        <v>0.0</v>
      </c>
      <c r="G2111" s="33" t="s">
        <v>450</v>
      </c>
    </row>
    <row r="2112" ht="15.75" customHeight="1">
      <c r="A2112" s="33" t="s">
        <v>6098</v>
      </c>
      <c r="B2112" s="33" t="s">
        <v>3407</v>
      </c>
      <c r="C2112" s="39">
        <v>45660.0</v>
      </c>
      <c r="D2112" s="33" t="s">
        <v>435</v>
      </c>
      <c r="E2112" s="40">
        <v>152.75</v>
      </c>
      <c r="F2112" s="40">
        <v>0.0</v>
      </c>
      <c r="G2112" s="33" t="s">
        <v>442</v>
      </c>
    </row>
    <row r="2113" ht="15.75" customHeight="1">
      <c r="A2113" s="33" t="s">
        <v>6099</v>
      </c>
      <c r="B2113" s="33" t="s">
        <v>1054</v>
      </c>
      <c r="C2113" s="39">
        <v>46088.0</v>
      </c>
      <c r="D2113" s="33" t="s">
        <v>428</v>
      </c>
      <c r="E2113" s="40">
        <v>67.85</v>
      </c>
      <c r="F2113" s="40">
        <v>0.0</v>
      </c>
      <c r="G2113" s="33" t="s">
        <v>450</v>
      </c>
    </row>
    <row r="2114" ht="15.75" customHeight="1">
      <c r="A2114" s="33" t="s">
        <v>6100</v>
      </c>
      <c r="B2114" s="33" t="s">
        <v>887</v>
      </c>
      <c r="C2114" s="39">
        <v>45672.0</v>
      </c>
      <c r="D2114" s="33" t="s">
        <v>440</v>
      </c>
      <c r="E2114" s="40">
        <v>51.73</v>
      </c>
      <c r="F2114" s="40">
        <v>0.0</v>
      </c>
      <c r="G2114" s="33" t="s">
        <v>442</v>
      </c>
    </row>
    <row r="2115" ht="15.75" customHeight="1">
      <c r="A2115" s="33" t="s">
        <v>6101</v>
      </c>
      <c r="B2115" s="33" t="s">
        <v>1901</v>
      </c>
      <c r="C2115" s="39">
        <v>45990.0</v>
      </c>
      <c r="D2115" s="33" t="s">
        <v>461</v>
      </c>
      <c r="E2115" s="40">
        <v>117.05</v>
      </c>
      <c r="F2115" s="40">
        <v>0.6</v>
      </c>
      <c r="G2115" s="33" t="s">
        <v>450</v>
      </c>
    </row>
    <row r="2116" ht="15.75" customHeight="1">
      <c r="A2116" s="33" t="s">
        <v>6102</v>
      </c>
      <c r="B2116" s="33" t="s">
        <v>850</v>
      </c>
      <c r="C2116" s="39">
        <v>46264.0</v>
      </c>
      <c r="D2116" s="33" t="s">
        <v>461</v>
      </c>
      <c r="E2116" s="40">
        <v>46.35</v>
      </c>
      <c r="F2116" s="40">
        <v>0.57</v>
      </c>
      <c r="G2116" s="33" t="s">
        <v>450</v>
      </c>
    </row>
    <row r="2117" ht="15.75" customHeight="1">
      <c r="A2117" s="33" t="s">
        <v>6103</v>
      </c>
      <c r="B2117" s="33" t="s">
        <v>3864</v>
      </c>
      <c r="C2117" s="39">
        <v>46136.0</v>
      </c>
      <c r="D2117" s="33" t="s">
        <v>461</v>
      </c>
      <c r="E2117" s="40">
        <v>182.73</v>
      </c>
      <c r="F2117" s="40">
        <v>1.35</v>
      </c>
      <c r="G2117" s="33" t="s">
        <v>450</v>
      </c>
    </row>
    <row r="2118" ht="15.75" customHeight="1">
      <c r="A2118" s="33" t="s">
        <v>6104</v>
      </c>
      <c r="B2118" s="33" t="s">
        <v>1966</v>
      </c>
      <c r="C2118" s="39">
        <v>45965.0</v>
      </c>
      <c r="D2118" s="33" t="s">
        <v>440</v>
      </c>
      <c r="E2118" s="40">
        <v>156.43</v>
      </c>
      <c r="F2118" s="40">
        <v>0.0</v>
      </c>
      <c r="G2118" s="33" t="s">
        <v>431</v>
      </c>
    </row>
    <row r="2119" ht="15.75" customHeight="1">
      <c r="A2119" s="33" t="s">
        <v>6105</v>
      </c>
      <c r="B2119" s="33" t="s">
        <v>1557</v>
      </c>
      <c r="C2119" s="39">
        <v>45851.0</v>
      </c>
      <c r="D2119" s="33" t="s">
        <v>440</v>
      </c>
      <c r="E2119" s="40">
        <v>199.7</v>
      </c>
      <c r="F2119" s="40">
        <v>0.0</v>
      </c>
      <c r="G2119" s="33" t="s">
        <v>450</v>
      </c>
    </row>
    <row r="2120" ht="15.75" customHeight="1">
      <c r="A2120" s="33" t="s">
        <v>6106</v>
      </c>
      <c r="B2120" s="33" t="s">
        <v>497</v>
      </c>
      <c r="C2120" s="39">
        <v>46166.0</v>
      </c>
      <c r="D2120" s="33" t="s">
        <v>479</v>
      </c>
      <c r="E2120" s="40">
        <v>264.5</v>
      </c>
      <c r="F2120" s="40">
        <v>2.79</v>
      </c>
      <c r="G2120" s="33" t="s">
        <v>450</v>
      </c>
    </row>
    <row r="2121" ht="15.75" customHeight="1">
      <c r="A2121" s="33" t="s">
        <v>6107</v>
      </c>
      <c r="B2121" s="33" t="s">
        <v>575</v>
      </c>
      <c r="C2121" s="39">
        <v>46179.0</v>
      </c>
      <c r="D2121" s="33" t="s">
        <v>435</v>
      </c>
      <c r="E2121" s="40">
        <v>104.78</v>
      </c>
      <c r="F2121" s="40">
        <v>0.0</v>
      </c>
      <c r="G2121" s="33" t="s">
        <v>450</v>
      </c>
    </row>
    <row r="2122" ht="15.75" customHeight="1">
      <c r="A2122" s="33" t="s">
        <v>6108</v>
      </c>
      <c r="B2122" s="33" t="s">
        <v>2497</v>
      </c>
      <c r="C2122" s="39">
        <v>45881.0</v>
      </c>
      <c r="D2122" s="33" t="s">
        <v>440</v>
      </c>
      <c r="E2122" s="40">
        <v>72.81</v>
      </c>
      <c r="F2122" s="40">
        <v>0.0</v>
      </c>
      <c r="G2122" s="33" t="s">
        <v>431</v>
      </c>
    </row>
    <row r="2123" ht="15.75" customHeight="1">
      <c r="A2123" s="33" t="s">
        <v>6109</v>
      </c>
      <c r="B2123" s="33" t="s">
        <v>1016</v>
      </c>
      <c r="C2123" s="39">
        <v>45723.0</v>
      </c>
      <c r="D2123" s="33" t="s">
        <v>479</v>
      </c>
      <c r="E2123" s="40">
        <v>44.81</v>
      </c>
      <c r="F2123" s="40">
        <v>0.28</v>
      </c>
      <c r="G2123" s="33" t="s">
        <v>450</v>
      </c>
    </row>
    <row r="2124" ht="15.75" customHeight="1">
      <c r="A2124" s="33" t="s">
        <v>6110</v>
      </c>
      <c r="B2124" s="33" t="s">
        <v>1235</v>
      </c>
      <c r="C2124" s="39">
        <v>46011.0</v>
      </c>
      <c r="D2124" s="33" t="s">
        <v>440</v>
      </c>
      <c r="E2124" s="40">
        <v>112.15</v>
      </c>
      <c r="F2124" s="40">
        <v>0.0</v>
      </c>
      <c r="G2124" s="33" t="s">
        <v>450</v>
      </c>
    </row>
    <row r="2125" ht="15.75" customHeight="1">
      <c r="A2125" s="33" t="s">
        <v>6111</v>
      </c>
      <c r="B2125" s="33" t="s">
        <v>2715</v>
      </c>
      <c r="C2125" s="39">
        <v>46042.0</v>
      </c>
      <c r="D2125" s="33" t="s">
        <v>440</v>
      </c>
      <c r="E2125" s="40">
        <v>259.73</v>
      </c>
      <c r="F2125" s="40">
        <v>0.0</v>
      </c>
      <c r="G2125" s="33" t="s">
        <v>450</v>
      </c>
    </row>
    <row r="2126" ht="15.75" customHeight="1">
      <c r="A2126" s="33" t="s">
        <v>6112</v>
      </c>
      <c r="B2126" s="33" t="s">
        <v>1887</v>
      </c>
      <c r="C2126" s="39">
        <v>46224.0</v>
      </c>
      <c r="D2126" s="33" t="s">
        <v>428</v>
      </c>
      <c r="E2126" s="40">
        <v>24.08</v>
      </c>
      <c r="F2126" s="40">
        <v>0.0</v>
      </c>
      <c r="G2126" s="33" t="s">
        <v>431</v>
      </c>
    </row>
    <row r="2127" ht="15.75" customHeight="1">
      <c r="A2127" s="33" t="s">
        <v>6113</v>
      </c>
      <c r="B2127" s="33" t="s">
        <v>931</v>
      </c>
      <c r="C2127" s="39">
        <v>46198.0</v>
      </c>
      <c r="D2127" s="33" t="s">
        <v>440</v>
      </c>
      <c r="E2127" s="40">
        <v>91.92</v>
      </c>
      <c r="F2127" s="40">
        <v>0.0</v>
      </c>
      <c r="G2127" s="33" t="s">
        <v>450</v>
      </c>
    </row>
    <row r="2128" ht="15.75" customHeight="1">
      <c r="A2128" s="33" t="s">
        <v>6114</v>
      </c>
      <c r="B2128" s="33" t="s">
        <v>2433</v>
      </c>
      <c r="C2128" s="39">
        <v>45797.0</v>
      </c>
      <c r="D2128" s="33" t="s">
        <v>428</v>
      </c>
      <c r="E2128" s="40">
        <v>18.47</v>
      </c>
      <c r="F2128" s="40">
        <v>0.0</v>
      </c>
      <c r="G2128" s="33" t="s">
        <v>431</v>
      </c>
    </row>
    <row r="2129" ht="15.75" customHeight="1">
      <c r="A2129" s="33" t="s">
        <v>6115</v>
      </c>
      <c r="B2129" s="33" t="s">
        <v>1828</v>
      </c>
      <c r="C2129" s="39">
        <v>45811.0</v>
      </c>
      <c r="D2129" s="33" t="s">
        <v>428</v>
      </c>
      <c r="E2129" s="40">
        <v>17.67</v>
      </c>
      <c r="F2129" s="40">
        <v>0.0</v>
      </c>
      <c r="G2129" s="33" t="s">
        <v>450</v>
      </c>
    </row>
    <row r="2130" ht="15.75" customHeight="1">
      <c r="A2130" s="33" t="s">
        <v>6116</v>
      </c>
      <c r="B2130" s="33" t="s">
        <v>462</v>
      </c>
      <c r="C2130" s="39">
        <v>46263.0</v>
      </c>
      <c r="D2130" s="33" t="s">
        <v>461</v>
      </c>
      <c r="E2130" s="40">
        <v>166.89</v>
      </c>
      <c r="F2130" s="40">
        <v>1.37</v>
      </c>
      <c r="G2130" s="33" t="s">
        <v>450</v>
      </c>
    </row>
    <row r="2131" ht="15.75" customHeight="1">
      <c r="A2131" s="33" t="s">
        <v>6117</v>
      </c>
      <c r="B2131" s="33" t="s">
        <v>1856</v>
      </c>
      <c r="C2131" s="39">
        <v>45856.0</v>
      </c>
      <c r="D2131" s="33" t="s">
        <v>435</v>
      </c>
      <c r="E2131" s="40">
        <v>148.99</v>
      </c>
      <c r="F2131" s="40">
        <v>0.0</v>
      </c>
      <c r="G2131" s="33" t="s">
        <v>431</v>
      </c>
    </row>
    <row r="2132" ht="15.75" customHeight="1">
      <c r="A2132" s="33" t="s">
        <v>6118</v>
      </c>
      <c r="B2132" s="33" t="s">
        <v>317</v>
      </c>
      <c r="C2132" s="39">
        <v>45936.0</v>
      </c>
      <c r="D2132" s="33" t="s">
        <v>440</v>
      </c>
      <c r="E2132" s="40">
        <v>42.86</v>
      </c>
      <c r="F2132" s="40">
        <v>0.0</v>
      </c>
      <c r="G2132" s="33" t="s">
        <v>450</v>
      </c>
    </row>
    <row r="2133" ht="15.75" customHeight="1">
      <c r="A2133" s="33" t="s">
        <v>6119</v>
      </c>
      <c r="B2133" s="33" t="s">
        <v>2729</v>
      </c>
      <c r="C2133" s="39">
        <v>45843.0</v>
      </c>
      <c r="D2133" s="33" t="s">
        <v>428</v>
      </c>
      <c r="E2133" s="40">
        <v>28.39</v>
      </c>
      <c r="F2133" s="40">
        <v>0.0</v>
      </c>
      <c r="G2133" s="33" t="s">
        <v>450</v>
      </c>
    </row>
    <row r="2134" ht="15.75" customHeight="1">
      <c r="A2134" s="33" t="s">
        <v>6120</v>
      </c>
      <c r="B2134" s="33" t="s">
        <v>1067</v>
      </c>
      <c r="C2134" s="39">
        <v>45896.0</v>
      </c>
      <c r="D2134" s="33" t="s">
        <v>435</v>
      </c>
      <c r="E2134" s="40">
        <v>204.94</v>
      </c>
      <c r="F2134" s="40">
        <v>0.0</v>
      </c>
      <c r="G2134" s="33" t="s">
        <v>450</v>
      </c>
    </row>
    <row r="2135" ht="15.75" customHeight="1">
      <c r="A2135" s="33" t="s">
        <v>6121</v>
      </c>
      <c r="B2135" s="33" t="s">
        <v>2187</v>
      </c>
      <c r="C2135" s="39">
        <v>46000.0</v>
      </c>
      <c r="D2135" s="33" t="s">
        <v>479</v>
      </c>
      <c r="E2135" s="40">
        <v>30.4</v>
      </c>
      <c r="F2135" s="40">
        <v>0.54</v>
      </c>
      <c r="G2135" s="33" t="s">
        <v>431</v>
      </c>
    </row>
    <row r="2136" ht="15.75" customHeight="1">
      <c r="A2136" s="33" t="s">
        <v>6122</v>
      </c>
      <c r="B2136" s="33" t="s">
        <v>322</v>
      </c>
      <c r="C2136" s="39">
        <v>45835.0</v>
      </c>
      <c r="D2136" s="33" t="s">
        <v>479</v>
      </c>
      <c r="E2136" s="40">
        <v>22.11</v>
      </c>
      <c r="F2136" s="40">
        <v>0.21</v>
      </c>
      <c r="G2136" s="33" t="s">
        <v>450</v>
      </c>
    </row>
    <row r="2137" ht="15.75" customHeight="1">
      <c r="A2137" s="33" t="s">
        <v>6123</v>
      </c>
      <c r="B2137" s="33" t="s">
        <v>2080</v>
      </c>
      <c r="C2137" s="39">
        <v>45908.0</v>
      </c>
      <c r="D2137" s="33" t="s">
        <v>428</v>
      </c>
      <c r="E2137" s="40">
        <v>31.33</v>
      </c>
      <c r="F2137" s="40">
        <v>0.0</v>
      </c>
      <c r="G2137" s="33" t="s">
        <v>431</v>
      </c>
    </row>
    <row r="2138" ht="15.75" customHeight="1">
      <c r="A2138" s="33" t="s">
        <v>6124</v>
      </c>
      <c r="B2138" s="33" t="s">
        <v>572</v>
      </c>
      <c r="C2138" s="39">
        <v>45872.0</v>
      </c>
      <c r="D2138" s="33" t="s">
        <v>428</v>
      </c>
      <c r="E2138" s="40">
        <v>99.0</v>
      </c>
      <c r="F2138" s="40">
        <v>0.0</v>
      </c>
      <c r="G2138" s="33" t="s">
        <v>450</v>
      </c>
    </row>
    <row r="2139" ht="15.75" customHeight="1">
      <c r="A2139" s="33" t="s">
        <v>6125</v>
      </c>
      <c r="B2139" s="33" t="s">
        <v>1884</v>
      </c>
      <c r="C2139" s="39">
        <v>45723.0</v>
      </c>
      <c r="D2139" s="33" t="s">
        <v>440</v>
      </c>
      <c r="E2139" s="40">
        <v>288.84</v>
      </c>
      <c r="F2139" s="40">
        <v>0.0</v>
      </c>
      <c r="G2139" s="33" t="s">
        <v>450</v>
      </c>
    </row>
    <row r="2140" ht="15.75" customHeight="1">
      <c r="A2140" s="33" t="s">
        <v>6126</v>
      </c>
      <c r="B2140" s="33" t="s">
        <v>861</v>
      </c>
      <c r="C2140" s="39">
        <v>46135.0</v>
      </c>
      <c r="D2140" s="33" t="s">
        <v>479</v>
      </c>
      <c r="E2140" s="40">
        <v>45.41</v>
      </c>
      <c r="F2140" s="40">
        <v>0.57</v>
      </c>
      <c r="G2140" s="33" t="s">
        <v>450</v>
      </c>
    </row>
    <row r="2141" ht="15.75" customHeight="1">
      <c r="A2141" s="33" t="s">
        <v>6127</v>
      </c>
      <c r="B2141" s="33" t="s">
        <v>407</v>
      </c>
      <c r="C2141" s="39">
        <v>46199.0</v>
      </c>
      <c r="D2141" s="33" t="s">
        <v>461</v>
      </c>
      <c r="E2141" s="40">
        <v>165.45</v>
      </c>
      <c r="F2141" s="40">
        <v>2.66</v>
      </c>
      <c r="G2141" s="33" t="s">
        <v>442</v>
      </c>
    </row>
    <row r="2142" ht="15.75" customHeight="1">
      <c r="A2142" s="33" t="s">
        <v>6128</v>
      </c>
      <c r="B2142" s="33" t="s">
        <v>1374</v>
      </c>
      <c r="C2142" s="39">
        <v>45956.0</v>
      </c>
      <c r="D2142" s="33" t="s">
        <v>428</v>
      </c>
      <c r="E2142" s="40">
        <v>80.19</v>
      </c>
      <c r="F2142" s="40">
        <v>0.0</v>
      </c>
      <c r="G2142" s="33" t="s">
        <v>442</v>
      </c>
    </row>
    <row r="2143" ht="15.75" customHeight="1">
      <c r="A2143" s="33" t="s">
        <v>6129</v>
      </c>
      <c r="B2143" s="33" t="s">
        <v>1856</v>
      </c>
      <c r="C2143" s="39">
        <v>45782.0</v>
      </c>
      <c r="D2143" s="33" t="s">
        <v>479</v>
      </c>
      <c r="E2143" s="40">
        <v>9.56</v>
      </c>
      <c r="F2143" s="40">
        <v>0.16</v>
      </c>
      <c r="G2143" s="33" t="s">
        <v>450</v>
      </c>
    </row>
    <row r="2144" ht="15.75" customHeight="1">
      <c r="A2144" s="33" t="s">
        <v>6130</v>
      </c>
      <c r="B2144" s="33" t="s">
        <v>1249</v>
      </c>
      <c r="C2144" s="39">
        <v>46048.0</v>
      </c>
      <c r="D2144" s="33" t="s">
        <v>435</v>
      </c>
      <c r="E2144" s="40">
        <v>46.61</v>
      </c>
      <c r="F2144" s="40">
        <v>0.0</v>
      </c>
      <c r="G2144" s="33" t="s">
        <v>450</v>
      </c>
    </row>
    <row r="2145" ht="15.75" customHeight="1">
      <c r="A2145" s="33" t="s">
        <v>6131</v>
      </c>
      <c r="B2145" s="33" t="s">
        <v>961</v>
      </c>
      <c r="C2145" s="39">
        <v>45982.0</v>
      </c>
      <c r="D2145" s="33" t="s">
        <v>428</v>
      </c>
      <c r="E2145" s="40">
        <v>150.13</v>
      </c>
      <c r="F2145" s="40">
        <v>0.0</v>
      </c>
      <c r="G2145" s="33" t="s">
        <v>442</v>
      </c>
    </row>
    <row r="2146" ht="15.75" customHeight="1">
      <c r="A2146" s="33" t="s">
        <v>6132</v>
      </c>
      <c r="B2146" s="33" t="s">
        <v>2589</v>
      </c>
      <c r="C2146" s="39">
        <v>45992.0</v>
      </c>
      <c r="D2146" s="33" t="s">
        <v>479</v>
      </c>
      <c r="E2146" s="40">
        <v>144.61</v>
      </c>
      <c r="F2146" s="40">
        <v>0.76</v>
      </c>
      <c r="G2146" s="33" t="s">
        <v>450</v>
      </c>
    </row>
    <row r="2147" ht="15.75" customHeight="1">
      <c r="A2147" s="33" t="s">
        <v>6133</v>
      </c>
      <c r="B2147" s="33" t="s">
        <v>2433</v>
      </c>
      <c r="C2147" s="39">
        <v>46019.0</v>
      </c>
      <c r="D2147" s="33" t="s">
        <v>435</v>
      </c>
      <c r="E2147" s="40">
        <v>41.05</v>
      </c>
      <c r="F2147" s="40">
        <v>0.0</v>
      </c>
      <c r="G2147" s="33" t="s">
        <v>450</v>
      </c>
    </row>
    <row r="2148" ht="15.75" customHeight="1">
      <c r="A2148" s="33" t="s">
        <v>6134</v>
      </c>
      <c r="B2148" s="33" t="s">
        <v>329</v>
      </c>
      <c r="C2148" s="39">
        <v>46093.0</v>
      </c>
      <c r="D2148" s="33" t="s">
        <v>435</v>
      </c>
      <c r="E2148" s="40">
        <v>123.1</v>
      </c>
      <c r="F2148" s="40">
        <v>0.0</v>
      </c>
      <c r="G2148" s="33" t="s">
        <v>450</v>
      </c>
    </row>
    <row r="2149" ht="15.75" customHeight="1">
      <c r="A2149" s="33" t="s">
        <v>6135</v>
      </c>
      <c r="B2149" s="33" t="s">
        <v>866</v>
      </c>
      <c r="C2149" s="39">
        <v>45682.0</v>
      </c>
      <c r="D2149" s="33" t="s">
        <v>440</v>
      </c>
      <c r="E2149" s="40">
        <v>66.73</v>
      </c>
      <c r="F2149" s="40">
        <v>0.0</v>
      </c>
      <c r="G2149" s="33" t="s">
        <v>442</v>
      </c>
    </row>
    <row r="2150" ht="15.75" customHeight="1">
      <c r="A2150" s="33" t="s">
        <v>6136</v>
      </c>
      <c r="B2150" s="33" t="s">
        <v>3048</v>
      </c>
      <c r="C2150" s="39">
        <v>45718.0</v>
      </c>
      <c r="D2150" s="33" t="s">
        <v>461</v>
      </c>
      <c r="E2150" s="40">
        <v>96.24</v>
      </c>
      <c r="F2150" s="40">
        <v>1.03</v>
      </c>
      <c r="G2150" s="33" t="s">
        <v>431</v>
      </c>
    </row>
    <row r="2151" ht="15.75" customHeight="1">
      <c r="A2151" s="33" t="s">
        <v>6137</v>
      </c>
      <c r="B2151" s="33" t="s">
        <v>1705</v>
      </c>
      <c r="C2151" s="39">
        <v>45716.0</v>
      </c>
      <c r="D2151" s="33" t="s">
        <v>428</v>
      </c>
      <c r="E2151" s="40">
        <v>171.83</v>
      </c>
      <c r="F2151" s="40">
        <v>0.0</v>
      </c>
      <c r="G2151" s="33" t="s">
        <v>450</v>
      </c>
    </row>
    <row r="2152" ht="15.75" customHeight="1">
      <c r="A2152" s="33" t="s">
        <v>6138</v>
      </c>
      <c r="B2152" s="33" t="s">
        <v>880</v>
      </c>
      <c r="C2152" s="39">
        <v>45751.0</v>
      </c>
      <c r="D2152" s="33" t="s">
        <v>479</v>
      </c>
      <c r="E2152" s="40">
        <v>42.51</v>
      </c>
      <c r="F2152" s="40">
        <v>0.64</v>
      </c>
      <c r="G2152" s="33" t="s">
        <v>442</v>
      </c>
    </row>
    <row r="2153" ht="15.75" customHeight="1">
      <c r="A2153" s="33" t="s">
        <v>6139</v>
      </c>
      <c r="B2153" s="33" t="s">
        <v>1037</v>
      </c>
      <c r="C2153" s="39">
        <v>46247.0</v>
      </c>
      <c r="D2153" s="33" t="s">
        <v>435</v>
      </c>
      <c r="E2153" s="40">
        <v>53.73</v>
      </c>
      <c r="F2153" s="40">
        <v>0.0</v>
      </c>
      <c r="G2153" s="33" t="s">
        <v>431</v>
      </c>
    </row>
    <row r="2154" ht="15.75" customHeight="1">
      <c r="A2154" s="33" t="s">
        <v>6140</v>
      </c>
      <c r="B2154" s="33" t="s">
        <v>1402</v>
      </c>
      <c r="C2154" s="39">
        <v>46101.0</v>
      </c>
      <c r="D2154" s="33" t="s">
        <v>428</v>
      </c>
      <c r="E2154" s="40">
        <v>174.0</v>
      </c>
      <c r="F2154" s="40">
        <v>0.0</v>
      </c>
      <c r="G2154" s="33" t="s">
        <v>450</v>
      </c>
    </row>
    <row r="2155" ht="15.75" customHeight="1">
      <c r="A2155" s="33" t="s">
        <v>6141</v>
      </c>
      <c r="B2155" s="33" t="s">
        <v>753</v>
      </c>
      <c r="C2155" s="39">
        <v>46061.0</v>
      </c>
      <c r="D2155" s="33" t="s">
        <v>461</v>
      </c>
      <c r="E2155" s="40">
        <v>269.1</v>
      </c>
      <c r="F2155" s="40">
        <v>2.51</v>
      </c>
      <c r="G2155" s="33" t="s">
        <v>450</v>
      </c>
    </row>
    <row r="2156" ht="15.75" customHeight="1">
      <c r="A2156" s="33" t="s">
        <v>6142</v>
      </c>
      <c r="B2156" s="33" t="s">
        <v>302</v>
      </c>
      <c r="C2156" s="39">
        <v>46082.0</v>
      </c>
      <c r="D2156" s="33" t="s">
        <v>479</v>
      </c>
      <c r="E2156" s="40">
        <v>137.46</v>
      </c>
      <c r="F2156" s="40">
        <v>1.31</v>
      </c>
      <c r="G2156" s="33" t="s">
        <v>450</v>
      </c>
    </row>
    <row r="2157" ht="15.75" customHeight="1">
      <c r="A2157" s="33" t="s">
        <v>6143</v>
      </c>
      <c r="B2157" s="33" t="s">
        <v>1819</v>
      </c>
      <c r="C2157" s="39">
        <v>45678.0</v>
      </c>
      <c r="D2157" s="33" t="s">
        <v>435</v>
      </c>
      <c r="E2157" s="40">
        <v>91.9</v>
      </c>
      <c r="F2157" s="40">
        <v>0.0</v>
      </c>
      <c r="G2157" s="33" t="s">
        <v>442</v>
      </c>
    </row>
    <row r="2158" ht="15.75" customHeight="1">
      <c r="A2158" s="33" t="s">
        <v>6144</v>
      </c>
      <c r="B2158" s="33" t="s">
        <v>697</v>
      </c>
      <c r="C2158" s="39">
        <v>45787.0</v>
      </c>
      <c r="D2158" s="33" t="s">
        <v>428</v>
      </c>
      <c r="E2158" s="40">
        <v>136.58</v>
      </c>
      <c r="F2158" s="40">
        <v>0.0</v>
      </c>
      <c r="G2158" s="33" t="s">
        <v>442</v>
      </c>
    </row>
    <row r="2159" ht="15.75" customHeight="1">
      <c r="A2159" s="33" t="s">
        <v>6145</v>
      </c>
      <c r="B2159" s="33" t="s">
        <v>511</v>
      </c>
      <c r="C2159" s="39">
        <v>46140.0</v>
      </c>
      <c r="D2159" s="33" t="s">
        <v>435</v>
      </c>
      <c r="E2159" s="40">
        <v>46.4</v>
      </c>
      <c r="F2159" s="40">
        <v>0.0</v>
      </c>
      <c r="G2159" s="33" t="s">
        <v>431</v>
      </c>
    </row>
    <row r="2160" ht="15.75" customHeight="1">
      <c r="A2160" s="33" t="s">
        <v>6146</v>
      </c>
      <c r="B2160" s="33" t="s">
        <v>337</v>
      </c>
      <c r="C2160" s="39">
        <v>45938.0</v>
      </c>
      <c r="D2160" s="33" t="s">
        <v>461</v>
      </c>
      <c r="E2160" s="40">
        <v>76.72</v>
      </c>
      <c r="F2160" s="40">
        <v>1.12</v>
      </c>
      <c r="G2160" s="33" t="s">
        <v>450</v>
      </c>
    </row>
    <row r="2161" ht="15.75" customHeight="1">
      <c r="A2161" s="33" t="s">
        <v>6147</v>
      </c>
      <c r="B2161" s="33" t="s">
        <v>969</v>
      </c>
      <c r="C2161" s="39">
        <v>45966.0</v>
      </c>
      <c r="D2161" s="33" t="s">
        <v>479</v>
      </c>
      <c r="E2161" s="40">
        <v>17.46</v>
      </c>
      <c r="F2161" s="40">
        <v>0.32</v>
      </c>
      <c r="G2161" s="33" t="s">
        <v>431</v>
      </c>
    </row>
    <row r="2162" ht="15.75" customHeight="1">
      <c r="A2162" s="33" t="s">
        <v>6148</v>
      </c>
      <c r="B2162" s="33" t="s">
        <v>3572</v>
      </c>
      <c r="C2162" s="39">
        <v>46113.0</v>
      </c>
      <c r="D2162" s="33" t="s">
        <v>479</v>
      </c>
      <c r="E2162" s="40">
        <v>47.29</v>
      </c>
      <c r="F2162" s="40">
        <v>0.42</v>
      </c>
      <c r="G2162" s="33" t="s">
        <v>450</v>
      </c>
    </row>
    <row r="2163" ht="15.75" customHeight="1">
      <c r="A2163" s="33" t="s">
        <v>6149</v>
      </c>
      <c r="B2163" s="33" t="s">
        <v>1200</v>
      </c>
      <c r="C2163" s="39">
        <v>45703.0</v>
      </c>
      <c r="D2163" s="33" t="s">
        <v>479</v>
      </c>
      <c r="E2163" s="40">
        <v>100.64</v>
      </c>
      <c r="F2163" s="40">
        <v>0.87</v>
      </c>
      <c r="G2163" s="33" t="s">
        <v>450</v>
      </c>
    </row>
    <row r="2164" ht="15.75" customHeight="1">
      <c r="A2164" s="33" t="s">
        <v>6150</v>
      </c>
      <c r="B2164" s="33" t="s">
        <v>489</v>
      </c>
      <c r="C2164" s="39">
        <v>46142.0</v>
      </c>
      <c r="D2164" s="33" t="s">
        <v>440</v>
      </c>
      <c r="E2164" s="40">
        <v>85.31</v>
      </c>
      <c r="F2164" s="40">
        <v>0.0</v>
      </c>
      <c r="G2164" s="33" t="s">
        <v>442</v>
      </c>
    </row>
    <row r="2165" ht="15.75" customHeight="1">
      <c r="A2165" s="33" t="s">
        <v>6151</v>
      </c>
      <c r="B2165" s="33" t="s">
        <v>2268</v>
      </c>
      <c r="C2165" s="39">
        <v>46071.0</v>
      </c>
      <c r="D2165" s="33" t="s">
        <v>479</v>
      </c>
      <c r="E2165" s="40">
        <v>6.13</v>
      </c>
      <c r="F2165" s="40">
        <v>0.08</v>
      </c>
      <c r="G2165" s="33" t="s">
        <v>450</v>
      </c>
    </row>
    <row r="2166" ht="15.75" customHeight="1">
      <c r="A2166" s="33" t="s">
        <v>6152</v>
      </c>
      <c r="B2166" s="33" t="s">
        <v>3934</v>
      </c>
      <c r="C2166" s="39">
        <v>45902.0</v>
      </c>
      <c r="D2166" s="33" t="s">
        <v>440</v>
      </c>
      <c r="E2166" s="40">
        <v>60.62</v>
      </c>
      <c r="F2166" s="40">
        <v>0.0</v>
      </c>
      <c r="G2166" s="33" t="s">
        <v>442</v>
      </c>
    </row>
    <row r="2167" ht="15.75" customHeight="1">
      <c r="A2167" s="33" t="s">
        <v>6153</v>
      </c>
      <c r="B2167" s="33" t="s">
        <v>3140</v>
      </c>
      <c r="C2167" s="39">
        <v>45961.0</v>
      </c>
      <c r="D2167" s="33" t="s">
        <v>479</v>
      </c>
      <c r="E2167" s="40">
        <v>84.01</v>
      </c>
      <c r="F2167" s="40">
        <v>1.54</v>
      </c>
      <c r="G2167" s="33" t="s">
        <v>442</v>
      </c>
    </row>
    <row r="2168" ht="15.75" customHeight="1">
      <c r="A2168" s="33" t="s">
        <v>6154</v>
      </c>
      <c r="B2168" s="33" t="s">
        <v>1076</v>
      </c>
      <c r="C2168" s="39">
        <v>45703.0</v>
      </c>
      <c r="D2168" s="33" t="s">
        <v>461</v>
      </c>
      <c r="E2168" s="40">
        <v>86.47</v>
      </c>
      <c r="F2168" s="40">
        <v>1.29</v>
      </c>
      <c r="G2168" s="33" t="s">
        <v>450</v>
      </c>
    </row>
    <row r="2169" ht="15.75" customHeight="1">
      <c r="A2169" s="33" t="s">
        <v>6155</v>
      </c>
      <c r="B2169" s="33" t="s">
        <v>1245</v>
      </c>
      <c r="C2169" s="39">
        <v>45782.0</v>
      </c>
      <c r="D2169" s="33" t="s">
        <v>461</v>
      </c>
      <c r="E2169" s="40">
        <v>21.64</v>
      </c>
      <c r="F2169" s="40">
        <v>0.35</v>
      </c>
      <c r="G2169" s="33" t="s">
        <v>450</v>
      </c>
    </row>
    <row r="2170" ht="15.75" customHeight="1">
      <c r="A2170" s="33" t="s">
        <v>6156</v>
      </c>
      <c r="B2170" s="33" t="s">
        <v>2836</v>
      </c>
      <c r="C2170" s="39">
        <v>45807.0</v>
      </c>
      <c r="D2170" s="33" t="s">
        <v>435</v>
      </c>
      <c r="E2170" s="40">
        <v>124.76</v>
      </c>
      <c r="F2170" s="40">
        <v>0.0</v>
      </c>
      <c r="G2170" s="33" t="s">
        <v>450</v>
      </c>
    </row>
    <row r="2171" ht="15.75" customHeight="1">
      <c r="A2171" s="33" t="s">
        <v>6157</v>
      </c>
      <c r="B2171" s="33" t="s">
        <v>1059</v>
      </c>
      <c r="C2171" s="39">
        <v>46190.0</v>
      </c>
      <c r="D2171" s="33" t="s">
        <v>428</v>
      </c>
      <c r="E2171" s="40">
        <v>244.26</v>
      </c>
      <c r="F2171" s="40">
        <v>0.0</v>
      </c>
      <c r="G2171" s="33" t="s">
        <v>450</v>
      </c>
    </row>
    <row r="2172" ht="15.75" customHeight="1">
      <c r="A2172" s="33" t="s">
        <v>6158</v>
      </c>
      <c r="B2172" s="33" t="s">
        <v>322</v>
      </c>
      <c r="C2172" s="39">
        <v>45726.0</v>
      </c>
      <c r="D2172" s="33" t="s">
        <v>435</v>
      </c>
      <c r="E2172" s="40">
        <v>135.49</v>
      </c>
      <c r="F2172" s="40">
        <v>0.0</v>
      </c>
      <c r="G2172" s="33" t="s">
        <v>442</v>
      </c>
    </row>
    <row r="2173" ht="15.75" customHeight="1">
      <c r="A2173" s="33" t="s">
        <v>6159</v>
      </c>
      <c r="B2173" s="33" t="s">
        <v>2073</v>
      </c>
      <c r="C2173" s="39">
        <v>45834.0</v>
      </c>
      <c r="D2173" s="33" t="s">
        <v>440</v>
      </c>
      <c r="E2173" s="40">
        <v>76.76</v>
      </c>
      <c r="F2173" s="40">
        <v>0.0</v>
      </c>
      <c r="G2173" s="33" t="s">
        <v>442</v>
      </c>
    </row>
    <row r="2174" ht="15.75" customHeight="1">
      <c r="A2174" s="33" t="s">
        <v>6160</v>
      </c>
      <c r="B2174" s="33" t="s">
        <v>251</v>
      </c>
      <c r="C2174" s="39">
        <v>45737.0</v>
      </c>
      <c r="D2174" s="33" t="s">
        <v>440</v>
      </c>
      <c r="E2174" s="40">
        <v>208.26</v>
      </c>
      <c r="F2174" s="40">
        <v>0.0</v>
      </c>
      <c r="G2174" s="33" t="s">
        <v>450</v>
      </c>
    </row>
    <row r="2175" ht="15.75" customHeight="1">
      <c r="A2175" s="33" t="s">
        <v>6161</v>
      </c>
      <c r="B2175" s="33" t="s">
        <v>4000</v>
      </c>
      <c r="C2175" s="39">
        <v>45830.0</v>
      </c>
      <c r="D2175" s="33" t="s">
        <v>440</v>
      </c>
      <c r="E2175" s="40">
        <v>46.51</v>
      </c>
      <c r="F2175" s="40">
        <v>0.0</v>
      </c>
      <c r="G2175" s="33" t="s">
        <v>431</v>
      </c>
    </row>
    <row r="2176" ht="15.75" customHeight="1">
      <c r="A2176" s="33" t="s">
        <v>6162</v>
      </c>
      <c r="B2176" s="33" t="s">
        <v>895</v>
      </c>
      <c r="C2176" s="39">
        <v>45664.0</v>
      </c>
      <c r="D2176" s="33" t="s">
        <v>440</v>
      </c>
      <c r="E2176" s="40">
        <v>113.51</v>
      </c>
      <c r="F2176" s="40">
        <v>0.0</v>
      </c>
      <c r="G2176" s="33" t="s">
        <v>442</v>
      </c>
    </row>
    <row r="2177" ht="15.75" customHeight="1">
      <c r="A2177" s="33" t="s">
        <v>6163</v>
      </c>
      <c r="B2177" s="33" t="s">
        <v>3088</v>
      </c>
      <c r="C2177" s="39">
        <v>45823.0</v>
      </c>
      <c r="D2177" s="33" t="s">
        <v>440</v>
      </c>
      <c r="E2177" s="40">
        <v>70.59</v>
      </c>
      <c r="F2177" s="40">
        <v>0.0</v>
      </c>
      <c r="G2177" s="33" t="s">
        <v>450</v>
      </c>
    </row>
    <row r="2178" ht="15.75" customHeight="1">
      <c r="A2178" s="33" t="s">
        <v>6164</v>
      </c>
      <c r="B2178" s="33" t="s">
        <v>548</v>
      </c>
      <c r="C2178" s="39">
        <v>46097.0</v>
      </c>
      <c r="D2178" s="33" t="s">
        <v>479</v>
      </c>
      <c r="E2178" s="40">
        <v>209.81</v>
      </c>
      <c r="F2178" s="40">
        <v>3.02</v>
      </c>
      <c r="G2178" s="33" t="s">
        <v>450</v>
      </c>
    </row>
    <row r="2179" ht="15.75" customHeight="1">
      <c r="A2179" s="33" t="s">
        <v>6165</v>
      </c>
      <c r="B2179" s="33" t="s">
        <v>381</v>
      </c>
      <c r="C2179" s="39">
        <v>46123.0</v>
      </c>
      <c r="D2179" s="33" t="s">
        <v>461</v>
      </c>
      <c r="E2179" s="40">
        <v>32.53</v>
      </c>
      <c r="F2179" s="40">
        <v>0.39</v>
      </c>
      <c r="G2179" s="33" t="s">
        <v>450</v>
      </c>
    </row>
    <row r="2180" ht="15.75" customHeight="1">
      <c r="A2180" s="33" t="s">
        <v>6166</v>
      </c>
      <c r="B2180" s="33" t="s">
        <v>1530</v>
      </c>
      <c r="C2180" s="39">
        <v>45888.0</v>
      </c>
      <c r="D2180" s="33" t="s">
        <v>428</v>
      </c>
      <c r="E2180" s="40">
        <v>32.45</v>
      </c>
      <c r="F2180" s="40">
        <v>0.0</v>
      </c>
      <c r="G2180" s="33" t="s">
        <v>450</v>
      </c>
    </row>
    <row r="2181" ht="15.75" customHeight="1">
      <c r="A2181" s="33" t="s">
        <v>6167</v>
      </c>
      <c r="B2181" s="33" t="s">
        <v>1076</v>
      </c>
      <c r="C2181" s="39">
        <v>46086.0</v>
      </c>
      <c r="D2181" s="33" t="s">
        <v>440</v>
      </c>
      <c r="E2181" s="40">
        <v>176.73</v>
      </c>
      <c r="F2181" s="40">
        <v>0.0</v>
      </c>
      <c r="G2181" s="33" t="s">
        <v>442</v>
      </c>
    </row>
    <row r="2182" ht="15.75" customHeight="1">
      <c r="A2182" s="33" t="s">
        <v>6168</v>
      </c>
      <c r="B2182" s="33" t="s">
        <v>1834</v>
      </c>
      <c r="C2182" s="39">
        <v>46033.0</v>
      </c>
      <c r="D2182" s="33" t="s">
        <v>440</v>
      </c>
      <c r="E2182" s="40">
        <v>107.69</v>
      </c>
      <c r="F2182" s="40">
        <v>0.0</v>
      </c>
      <c r="G2182" s="33" t="s">
        <v>431</v>
      </c>
    </row>
    <row r="2183" ht="15.75" customHeight="1">
      <c r="A2183" s="33" t="s">
        <v>6169</v>
      </c>
      <c r="B2183" s="33" t="s">
        <v>2303</v>
      </c>
      <c r="C2183" s="39">
        <v>46206.0</v>
      </c>
      <c r="D2183" s="33" t="s">
        <v>461</v>
      </c>
      <c r="E2183" s="40">
        <v>186.57</v>
      </c>
      <c r="F2183" s="40">
        <v>1.83</v>
      </c>
      <c r="G2183" s="33" t="s">
        <v>450</v>
      </c>
    </row>
    <row r="2184" ht="15.75" customHeight="1">
      <c r="A2184" s="33" t="s">
        <v>6170</v>
      </c>
      <c r="B2184" s="33" t="s">
        <v>2658</v>
      </c>
      <c r="C2184" s="39">
        <v>46146.0</v>
      </c>
      <c r="D2184" s="33" t="s">
        <v>435</v>
      </c>
      <c r="E2184" s="40">
        <v>35.46</v>
      </c>
      <c r="F2184" s="40">
        <v>0.0</v>
      </c>
      <c r="G2184" s="33" t="s">
        <v>450</v>
      </c>
    </row>
    <row r="2185" ht="15.75" customHeight="1">
      <c r="A2185" s="33" t="s">
        <v>6171</v>
      </c>
      <c r="B2185" s="33" t="s">
        <v>2757</v>
      </c>
      <c r="C2185" s="39">
        <v>45797.0</v>
      </c>
      <c r="D2185" s="33" t="s">
        <v>479</v>
      </c>
      <c r="E2185" s="40">
        <v>41.54</v>
      </c>
      <c r="F2185" s="40">
        <v>0.56</v>
      </c>
      <c r="G2185" s="33" t="s">
        <v>431</v>
      </c>
    </row>
    <row r="2186" ht="15.75" customHeight="1">
      <c r="A2186" s="33" t="s">
        <v>6172</v>
      </c>
      <c r="B2186" s="33" t="s">
        <v>371</v>
      </c>
      <c r="C2186" s="39">
        <v>46015.0</v>
      </c>
      <c r="D2186" s="33" t="s">
        <v>440</v>
      </c>
      <c r="E2186" s="40">
        <v>94.48</v>
      </c>
      <c r="F2186" s="40">
        <v>0.0</v>
      </c>
      <c r="G2186" s="33" t="s">
        <v>450</v>
      </c>
    </row>
    <row r="2187" ht="15.75" customHeight="1">
      <c r="A2187" s="33" t="s">
        <v>6173</v>
      </c>
      <c r="B2187" s="33" t="s">
        <v>2826</v>
      </c>
      <c r="C2187" s="39">
        <v>46135.0</v>
      </c>
      <c r="D2187" s="33" t="s">
        <v>461</v>
      </c>
      <c r="E2187" s="40">
        <v>18.26</v>
      </c>
      <c r="F2187" s="40">
        <v>0.19</v>
      </c>
      <c r="G2187" s="33" t="s">
        <v>442</v>
      </c>
    </row>
    <row r="2188" ht="15.75" customHeight="1">
      <c r="A2188" s="33" t="s">
        <v>6174</v>
      </c>
      <c r="B2188" s="33" t="s">
        <v>1955</v>
      </c>
      <c r="C2188" s="39">
        <v>45843.0</v>
      </c>
      <c r="D2188" s="33" t="s">
        <v>435</v>
      </c>
      <c r="E2188" s="40">
        <v>89.66</v>
      </c>
      <c r="F2188" s="40">
        <v>0.0</v>
      </c>
      <c r="G2188" s="33" t="s">
        <v>442</v>
      </c>
    </row>
    <row r="2189" ht="15.75" customHeight="1">
      <c r="A2189" s="33" t="s">
        <v>6175</v>
      </c>
      <c r="B2189" s="33" t="s">
        <v>1102</v>
      </c>
      <c r="C2189" s="39">
        <v>46005.0</v>
      </c>
      <c r="D2189" s="33" t="s">
        <v>428</v>
      </c>
      <c r="E2189" s="40">
        <v>53.04</v>
      </c>
      <c r="F2189" s="40">
        <v>0.0</v>
      </c>
      <c r="G2189" s="33" t="s">
        <v>450</v>
      </c>
    </row>
    <row r="2190" ht="15.75" customHeight="1">
      <c r="A2190" s="33" t="s">
        <v>6176</v>
      </c>
      <c r="B2190" s="33" t="s">
        <v>458</v>
      </c>
      <c r="C2190" s="39">
        <v>45900.0</v>
      </c>
      <c r="D2190" s="33" t="s">
        <v>440</v>
      </c>
      <c r="E2190" s="40">
        <v>70.26</v>
      </c>
      <c r="F2190" s="40">
        <v>0.0</v>
      </c>
      <c r="G2190" s="33" t="s">
        <v>450</v>
      </c>
    </row>
    <row r="2191" ht="15.75" customHeight="1">
      <c r="A2191" s="33" t="s">
        <v>6177</v>
      </c>
      <c r="B2191" s="33" t="s">
        <v>2234</v>
      </c>
      <c r="C2191" s="39">
        <v>45845.0</v>
      </c>
      <c r="D2191" s="33" t="s">
        <v>479</v>
      </c>
      <c r="E2191" s="40">
        <v>124.23</v>
      </c>
      <c r="F2191" s="40">
        <v>1.23</v>
      </c>
      <c r="G2191" s="33" t="s">
        <v>442</v>
      </c>
    </row>
    <row r="2192" ht="15.75" customHeight="1">
      <c r="A2192" s="33" t="s">
        <v>6178</v>
      </c>
      <c r="B2192" s="33" t="s">
        <v>1359</v>
      </c>
      <c r="C2192" s="39">
        <v>45779.0</v>
      </c>
      <c r="D2192" s="33" t="s">
        <v>479</v>
      </c>
      <c r="E2192" s="40">
        <v>128.8</v>
      </c>
      <c r="F2192" s="40">
        <v>1.45</v>
      </c>
      <c r="G2192" s="33" t="s">
        <v>431</v>
      </c>
    </row>
    <row r="2193" ht="15.75" customHeight="1">
      <c r="A2193" s="33" t="s">
        <v>6179</v>
      </c>
      <c r="B2193" s="33" t="s">
        <v>1152</v>
      </c>
      <c r="C2193" s="39">
        <v>45679.0</v>
      </c>
      <c r="D2193" s="33" t="s">
        <v>479</v>
      </c>
      <c r="E2193" s="40">
        <v>236.16</v>
      </c>
      <c r="F2193" s="40">
        <v>4.29</v>
      </c>
      <c r="G2193" s="33" t="s">
        <v>431</v>
      </c>
    </row>
    <row r="2194" ht="15.75" customHeight="1">
      <c r="A2194" s="33" t="s">
        <v>6180</v>
      </c>
      <c r="B2194" s="33" t="s">
        <v>2153</v>
      </c>
      <c r="C2194" s="39">
        <v>46113.0</v>
      </c>
      <c r="D2194" s="33" t="s">
        <v>479</v>
      </c>
      <c r="E2194" s="40">
        <v>158.7</v>
      </c>
      <c r="F2194" s="40">
        <v>1.84</v>
      </c>
      <c r="G2194" s="33" t="s">
        <v>431</v>
      </c>
    </row>
    <row r="2195" ht="15.75" customHeight="1">
      <c r="A2195" s="33" t="s">
        <v>6181</v>
      </c>
      <c r="B2195" s="33" t="s">
        <v>2268</v>
      </c>
      <c r="C2195" s="39">
        <v>46155.0</v>
      </c>
      <c r="D2195" s="33" t="s">
        <v>440</v>
      </c>
      <c r="E2195" s="40">
        <v>9.91</v>
      </c>
      <c r="F2195" s="40">
        <v>0.0</v>
      </c>
      <c r="G2195" s="33" t="s">
        <v>450</v>
      </c>
    </row>
    <row r="2196" ht="15.75" customHeight="1">
      <c r="A2196" s="33" t="s">
        <v>6182</v>
      </c>
      <c r="B2196" s="33" t="s">
        <v>260</v>
      </c>
      <c r="C2196" s="39">
        <v>46053.0</v>
      </c>
      <c r="D2196" s="33" t="s">
        <v>461</v>
      </c>
      <c r="E2196" s="40">
        <v>35.04</v>
      </c>
      <c r="F2196" s="40">
        <v>0.45</v>
      </c>
      <c r="G2196" s="33" t="s">
        <v>431</v>
      </c>
    </row>
    <row r="2197" ht="15.75" customHeight="1">
      <c r="A2197" s="33" t="s">
        <v>6183</v>
      </c>
      <c r="B2197" s="33" t="s">
        <v>2087</v>
      </c>
      <c r="C2197" s="39">
        <v>45804.0</v>
      </c>
      <c r="D2197" s="33" t="s">
        <v>479</v>
      </c>
      <c r="E2197" s="40">
        <v>37.79</v>
      </c>
      <c r="F2197" s="40">
        <v>0.29</v>
      </c>
      <c r="G2197" s="33" t="s">
        <v>450</v>
      </c>
    </row>
    <row r="2198" ht="15.75" customHeight="1">
      <c r="A2198" s="33" t="s">
        <v>6184</v>
      </c>
      <c r="B2198" s="33" t="s">
        <v>969</v>
      </c>
      <c r="C2198" s="39">
        <v>45669.0</v>
      </c>
      <c r="D2198" s="33" t="s">
        <v>440</v>
      </c>
      <c r="E2198" s="40">
        <v>147.65</v>
      </c>
      <c r="F2198" s="40">
        <v>0.0</v>
      </c>
      <c r="G2198" s="33" t="s">
        <v>450</v>
      </c>
    </row>
    <row r="2199" ht="15.75" customHeight="1">
      <c r="A2199" s="33" t="s">
        <v>6185</v>
      </c>
      <c r="B2199" s="33" t="s">
        <v>587</v>
      </c>
      <c r="C2199" s="39">
        <v>46041.0</v>
      </c>
      <c r="D2199" s="33" t="s">
        <v>440</v>
      </c>
      <c r="E2199" s="40">
        <v>213.88</v>
      </c>
      <c r="F2199" s="40">
        <v>0.0</v>
      </c>
      <c r="G2199" s="33" t="s">
        <v>442</v>
      </c>
    </row>
    <row r="2200" ht="15.75" customHeight="1">
      <c r="A2200" s="33" t="s">
        <v>6186</v>
      </c>
      <c r="B2200" s="33" t="s">
        <v>2478</v>
      </c>
      <c r="C2200" s="39">
        <v>45779.0</v>
      </c>
      <c r="D2200" s="33" t="s">
        <v>479</v>
      </c>
      <c r="E2200" s="40">
        <v>24.68</v>
      </c>
      <c r="F2200" s="40">
        <v>0.48</v>
      </c>
      <c r="G2200" s="33" t="s">
        <v>450</v>
      </c>
    </row>
    <row r="2201" ht="15.75" customHeight="1">
      <c r="A2201" s="33" t="s">
        <v>6187</v>
      </c>
      <c r="B2201" s="33" t="s">
        <v>692</v>
      </c>
      <c r="C2201" s="39">
        <v>45991.0</v>
      </c>
      <c r="D2201" s="33" t="s">
        <v>428</v>
      </c>
      <c r="E2201" s="40">
        <v>150.26</v>
      </c>
      <c r="F2201" s="40">
        <v>0.0</v>
      </c>
      <c r="G2201" s="33" t="s">
        <v>450</v>
      </c>
    </row>
    <row r="2202" ht="15.75" customHeight="1">
      <c r="A2202" s="33" t="s">
        <v>6188</v>
      </c>
      <c r="B2202" s="33" t="s">
        <v>689</v>
      </c>
      <c r="C2202" s="39">
        <v>46246.0</v>
      </c>
      <c r="D2202" s="33" t="s">
        <v>428</v>
      </c>
      <c r="E2202" s="40">
        <v>76.88</v>
      </c>
      <c r="F2202" s="40">
        <v>0.0</v>
      </c>
      <c r="G2202" s="33" t="s">
        <v>450</v>
      </c>
    </row>
    <row r="2203" ht="15.75" customHeight="1">
      <c r="A2203" s="33" t="s">
        <v>6189</v>
      </c>
      <c r="B2203" s="33" t="s">
        <v>407</v>
      </c>
      <c r="C2203" s="39">
        <v>45660.0</v>
      </c>
      <c r="D2203" s="33" t="s">
        <v>440</v>
      </c>
      <c r="E2203" s="40">
        <v>68.69</v>
      </c>
      <c r="F2203" s="40">
        <v>0.0</v>
      </c>
      <c r="G2203" s="33" t="s">
        <v>431</v>
      </c>
    </row>
    <row r="2204" ht="15.75" customHeight="1">
      <c r="A2204" s="33" t="s">
        <v>6190</v>
      </c>
      <c r="B2204" s="33" t="s">
        <v>3434</v>
      </c>
      <c r="C2204" s="39">
        <v>46008.0</v>
      </c>
      <c r="D2204" s="33" t="s">
        <v>440</v>
      </c>
      <c r="E2204" s="40">
        <v>45.88</v>
      </c>
      <c r="F2204" s="40">
        <v>0.0</v>
      </c>
      <c r="G2204" s="33" t="s">
        <v>450</v>
      </c>
    </row>
    <row r="2205" ht="15.75" customHeight="1">
      <c r="A2205" s="33" t="s">
        <v>6191</v>
      </c>
      <c r="B2205" s="33" t="s">
        <v>2276</v>
      </c>
      <c r="C2205" s="39">
        <v>46261.0</v>
      </c>
      <c r="D2205" s="33" t="s">
        <v>435</v>
      </c>
      <c r="E2205" s="40">
        <v>61.31</v>
      </c>
      <c r="F2205" s="40">
        <v>0.0</v>
      </c>
      <c r="G2205" s="33" t="s">
        <v>450</v>
      </c>
    </row>
    <row r="2206" ht="15.75" customHeight="1">
      <c r="A2206" s="33" t="s">
        <v>6192</v>
      </c>
      <c r="B2206" s="33" t="s">
        <v>740</v>
      </c>
      <c r="C2206" s="39">
        <v>45860.0</v>
      </c>
      <c r="D2206" s="33" t="s">
        <v>479</v>
      </c>
      <c r="E2206" s="40">
        <v>89.99</v>
      </c>
      <c r="F2206" s="40">
        <v>1.66</v>
      </c>
      <c r="G2206" s="33" t="s">
        <v>442</v>
      </c>
    </row>
    <row r="2207" ht="15.75" customHeight="1">
      <c r="A2207" s="33" t="s">
        <v>6193</v>
      </c>
      <c r="B2207" s="33" t="s">
        <v>634</v>
      </c>
      <c r="C2207" s="39">
        <v>46152.0</v>
      </c>
      <c r="D2207" s="33" t="s">
        <v>440</v>
      </c>
      <c r="E2207" s="40">
        <v>50.55</v>
      </c>
      <c r="F2207" s="40">
        <v>0.0</v>
      </c>
      <c r="G2207" s="33" t="s">
        <v>450</v>
      </c>
    </row>
    <row r="2208" ht="15.75" customHeight="1">
      <c r="A2208" s="33" t="s">
        <v>6194</v>
      </c>
      <c r="B2208" s="33" t="s">
        <v>2144</v>
      </c>
      <c r="C2208" s="39">
        <v>46160.0</v>
      </c>
      <c r="D2208" s="33" t="s">
        <v>428</v>
      </c>
      <c r="E2208" s="40">
        <v>103.83</v>
      </c>
      <c r="F2208" s="40">
        <v>0.0</v>
      </c>
      <c r="G2208" s="33" t="s">
        <v>450</v>
      </c>
    </row>
    <row r="2209" ht="15.75" customHeight="1">
      <c r="A2209" s="33" t="s">
        <v>6195</v>
      </c>
      <c r="B2209" s="33" t="s">
        <v>2610</v>
      </c>
      <c r="C2209" s="39">
        <v>45953.0</v>
      </c>
      <c r="D2209" s="33" t="s">
        <v>479</v>
      </c>
      <c r="E2209" s="40">
        <v>68.93</v>
      </c>
      <c r="F2209" s="40">
        <v>0.39</v>
      </c>
      <c r="G2209" s="33" t="s">
        <v>431</v>
      </c>
    </row>
    <row r="2210" ht="15.75" customHeight="1">
      <c r="A2210" s="33" t="s">
        <v>6196</v>
      </c>
      <c r="B2210" s="33" t="s">
        <v>2212</v>
      </c>
      <c r="C2210" s="39">
        <v>45844.0</v>
      </c>
      <c r="D2210" s="33" t="s">
        <v>440</v>
      </c>
      <c r="E2210" s="40">
        <v>63.03</v>
      </c>
      <c r="F2210" s="40">
        <v>0.0</v>
      </c>
      <c r="G2210" s="33" t="s">
        <v>450</v>
      </c>
    </row>
    <row r="2211" ht="15.75" customHeight="1">
      <c r="A2211" s="33" t="s">
        <v>6197</v>
      </c>
      <c r="B2211" s="33" t="s">
        <v>1908</v>
      </c>
      <c r="C2211" s="39">
        <v>46070.0</v>
      </c>
      <c r="D2211" s="33" t="s">
        <v>428</v>
      </c>
      <c r="E2211" s="40">
        <v>118.25</v>
      </c>
      <c r="F2211" s="40">
        <v>0.0</v>
      </c>
      <c r="G2211" s="33" t="s">
        <v>450</v>
      </c>
    </row>
    <row r="2212" ht="15.75" customHeight="1">
      <c r="A2212" s="33" t="s">
        <v>6198</v>
      </c>
      <c r="B2212" s="33" t="s">
        <v>291</v>
      </c>
      <c r="C2212" s="39">
        <v>46034.0</v>
      </c>
      <c r="D2212" s="33" t="s">
        <v>428</v>
      </c>
      <c r="E2212" s="40">
        <v>96.46</v>
      </c>
      <c r="F2212" s="40">
        <v>0.0</v>
      </c>
      <c r="G2212" s="33" t="s">
        <v>431</v>
      </c>
    </row>
    <row r="2213" ht="15.75" customHeight="1">
      <c r="A2213" s="33" t="s">
        <v>6199</v>
      </c>
      <c r="B2213" s="33" t="s">
        <v>659</v>
      </c>
      <c r="C2213" s="39">
        <v>45947.0</v>
      </c>
      <c r="D2213" s="33" t="s">
        <v>440</v>
      </c>
      <c r="E2213" s="40">
        <v>6.59</v>
      </c>
      <c r="F2213" s="40">
        <v>0.0</v>
      </c>
      <c r="G2213" s="33" t="s">
        <v>450</v>
      </c>
    </row>
    <row r="2214" ht="15.75" customHeight="1">
      <c r="A2214" s="33" t="s">
        <v>6200</v>
      </c>
      <c r="B2214" s="33" t="s">
        <v>299</v>
      </c>
      <c r="C2214" s="39">
        <v>45774.0</v>
      </c>
      <c r="D2214" s="33" t="s">
        <v>435</v>
      </c>
      <c r="E2214" s="40">
        <v>107.1</v>
      </c>
      <c r="F2214" s="40">
        <v>0.0</v>
      </c>
      <c r="G2214" s="33" t="s">
        <v>442</v>
      </c>
    </row>
    <row r="2215" ht="15.75" customHeight="1">
      <c r="A2215" s="33" t="s">
        <v>6201</v>
      </c>
      <c r="B2215" s="33" t="s">
        <v>543</v>
      </c>
      <c r="C2215" s="39">
        <v>46109.0</v>
      </c>
      <c r="D2215" s="33" t="s">
        <v>440</v>
      </c>
      <c r="E2215" s="40">
        <v>92.51</v>
      </c>
      <c r="F2215" s="40">
        <v>0.0</v>
      </c>
      <c r="G2215" s="33" t="s">
        <v>450</v>
      </c>
    </row>
    <row r="2216" ht="15.75" customHeight="1">
      <c r="A2216" s="33" t="s">
        <v>6202</v>
      </c>
      <c r="B2216" s="33" t="s">
        <v>1340</v>
      </c>
      <c r="C2216" s="39">
        <v>45786.0</v>
      </c>
      <c r="D2216" s="33" t="s">
        <v>440</v>
      </c>
      <c r="E2216" s="40">
        <v>165.69</v>
      </c>
      <c r="F2216" s="40">
        <v>0.0</v>
      </c>
      <c r="G2216" s="33" t="s">
        <v>450</v>
      </c>
    </row>
    <row r="2217" ht="15.75" customHeight="1">
      <c r="A2217" s="33" t="s">
        <v>6203</v>
      </c>
      <c r="B2217" s="33" t="s">
        <v>3048</v>
      </c>
      <c r="C2217" s="39">
        <v>45739.0</v>
      </c>
      <c r="D2217" s="33" t="s">
        <v>479</v>
      </c>
      <c r="E2217" s="40">
        <v>95.28</v>
      </c>
      <c r="F2217" s="40">
        <v>1.39</v>
      </c>
      <c r="G2217" s="33" t="s">
        <v>431</v>
      </c>
    </row>
    <row r="2218" ht="15.75" customHeight="1">
      <c r="A2218" s="33" t="s">
        <v>6204</v>
      </c>
      <c r="B2218" s="33" t="s">
        <v>825</v>
      </c>
      <c r="C2218" s="39">
        <v>45698.0</v>
      </c>
      <c r="D2218" s="33" t="s">
        <v>428</v>
      </c>
      <c r="E2218" s="40">
        <v>58.56</v>
      </c>
      <c r="F2218" s="40">
        <v>0.0</v>
      </c>
      <c r="G2218" s="33" t="s">
        <v>450</v>
      </c>
    </row>
    <row r="2219" ht="15.75" customHeight="1">
      <c r="A2219" s="33" t="s">
        <v>6205</v>
      </c>
      <c r="B2219" s="33" t="s">
        <v>2255</v>
      </c>
      <c r="C2219" s="39">
        <v>45928.0</v>
      </c>
      <c r="D2219" s="33" t="s">
        <v>428</v>
      </c>
      <c r="E2219" s="40">
        <v>44.39</v>
      </c>
      <c r="F2219" s="40">
        <v>0.0</v>
      </c>
      <c r="G2219" s="33" t="s">
        <v>431</v>
      </c>
    </row>
    <row r="2220" ht="15.75" customHeight="1">
      <c r="A2220" s="33" t="s">
        <v>6206</v>
      </c>
      <c r="B2220" s="33" t="s">
        <v>992</v>
      </c>
      <c r="C2220" s="39">
        <v>45730.0</v>
      </c>
      <c r="D2220" s="33" t="s">
        <v>461</v>
      </c>
      <c r="E2220" s="40">
        <v>14.97</v>
      </c>
      <c r="F2220" s="40">
        <v>0.22</v>
      </c>
      <c r="G2220" s="33" t="s">
        <v>450</v>
      </c>
    </row>
    <row r="2221" ht="15.75" customHeight="1">
      <c r="A2221" s="33" t="s">
        <v>6207</v>
      </c>
      <c r="B2221" s="33" t="s">
        <v>1239</v>
      </c>
      <c r="C2221" s="39">
        <v>45861.0</v>
      </c>
      <c r="D2221" s="33" t="s">
        <v>428</v>
      </c>
      <c r="E2221" s="40">
        <v>76.03</v>
      </c>
      <c r="F2221" s="40">
        <v>0.0</v>
      </c>
      <c r="G2221" s="33" t="s">
        <v>450</v>
      </c>
    </row>
    <row r="2222" ht="15.75" customHeight="1">
      <c r="A2222" s="33" t="s">
        <v>6208</v>
      </c>
      <c r="B2222" s="33" t="s">
        <v>1955</v>
      </c>
      <c r="C2222" s="39">
        <v>45804.0</v>
      </c>
      <c r="D2222" s="33" t="s">
        <v>435</v>
      </c>
      <c r="E2222" s="40">
        <v>38.18</v>
      </c>
      <c r="F2222" s="40">
        <v>0.0</v>
      </c>
      <c r="G2222" s="33" t="s">
        <v>431</v>
      </c>
    </row>
    <row r="2223" ht="15.75" customHeight="1">
      <c r="A2223" s="33" t="s">
        <v>6209</v>
      </c>
      <c r="B2223" s="33" t="s">
        <v>731</v>
      </c>
      <c r="C2223" s="39">
        <v>45937.0</v>
      </c>
      <c r="D2223" s="33" t="s">
        <v>435</v>
      </c>
      <c r="E2223" s="40">
        <v>182.95</v>
      </c>
      <c r="F2223" s="40">
        <v>0.0</v>
      </c>
      <c r="G2223" s="33" t="s">
        <v>442</v>
      </c>
    </row>
    <row r="2224" ht="15.75" customHeight="1">
      <c r="A2224" s="33" t="s">
        <v>6210</v>
      </c>
      <c r="B2224" s="33" t="s">
        <v>1705</v>
      </c>
      <c r="C2224" s="39">
        <v>46130.0</v>
      </c>
      <c r="D2224" s="33" t="s">
        <v>428</v>
      </c>
      <c r="E2224" s="40">
        <v>78.58</v>
      </c>
      <c r="F2224" s="40">
        <v>0.0</v>
      </c>
      <c r="G2224" s="33" t="s">
        <v>450</v>
      </c>
    </row>
    <row r="2225" ht="15.75" customHeight="1">
      <c r="A2225" s="33" t="s">
        <v>6211</v>
      </c>
      <c r="B2225" s="33" t="s">
        <v>1352</v>
      </c>
      <c r="C2225" s="39">
        <v>45931.0</v>
      </c>
      <c r="D2225" s="33" t="s">
        <v>461</v>
      </c>
      <c r="E2225" s="40">
        <v>29.12</v>
      </c>
      <c r="F2225" s="40">
        <v>0.51</v>
      </c>
      <c r="G2225" s="33" t="s">
        <v>442</v>
      </c>
    </row>
    <row r="2226" ht="15.75" customHeight="1">
      <c r="A2226" s="33" t="s">
        <v>6212</v>
      </c>
      <c r="B2226" s="33" t="s">
        <v>3612</v>
      </c>
      <c r="C2226" s="39">
        <v>45996.0</v>
      </c>
      <c r="D2226" s="33" t="s">
        <v>440</v>
      </c>
      <c r="E2226" s="40">
        <v>10.75</v>
      </c>
      <c r="F2226" s="40">
        <v>0.0</v>
      </c>
      <c r="G2226" s="33" t="s">
        <v>450</v>
      </c>
    </row>
    <row r="2227" ht="15.75" customHeight="1">
      <c r="A2227" s="33" t="s">
        <v>6213</v>
      </c>
      <c r="B2227" s="33" t="s">
        <v>630</v>
      </c>
      <c r="C2227" s="39">
        <v>45744.0</v>
      </c>
      <c r="D2227" s="33" t="s">
        <v>461</v>
      </c>
      <c r="E2227" s="40">
        <v>15.92</v>
      </c>
      <c r="F2227" s="40">
        <v>0.27</v>
      </c>
      <c r="G2227" s="33" t="s">
        <v>450</v>
      </c>
    </row>
    <row r="2228" ht="15.75" customHeight="1">
      <c r="A2228" s="33" t="s">
        <v>6214</v>
      </c>
      <c r="B2228" s="33" t="s">
        <v>2497</v>
      </c>
      <c r="C2228" s="39">
        <v>45726.0</v>
      </c>
      <c r="D2228" s="33" t="s">
        <v>435</v>
      </c>
      <c r="E2228" s="40">
        <v>100.73</v>
      </c>
      <c r="F2228" s="40">
        <v>0.0</v>
      </c>
      <c r="G2228" s="33" t="s">
        <v>450</v>
      </c>
    </row>
    <row r="2229" ht="15.75" customHeight="1">
      <c r="A2229" s="33" t="s">
        <v>6215</v>
      </c>
      <c r="B2229" s="33" t="s">
        <v>2362</v>
      </c>
      <c r="C2229" s="39">
        <v>46250.0</v>
      </c>
      <c r="D2229" s="33" t="s">
        <v>461</v>
      </c>
      <c r="E2229" s="40">
        <v>197.27</v>
      </c>
      <c r="F2229" s="40">
        <v>2.15</v>
      </c>
      <c r="G2229" s="33" t="s">
        <v>450</v>
      </c>
    </row>
    <row r="2230" ht="15.75" customHeight="1">
      <c r="A2230" s="33" t="s">
        <v>6216</v>
      </c>
      <c r="B2230" s="33" t="s">
        <v>931</v>
      </c>
      <c r="C2230" s="39">
        <v>46034.0</v>
      </c>
      <c r="D2230" s="33" t="s">
        <v>428</v>
      </c>
      <c r="E2230" s="40">
        <v>116.28</v>
      </c>
      <c r="F2230" s="40">
        <v>0.0</v>
      </c>
      <c r="G2230" s="33" t="s">
        <v>450</v>
      </c>
    </row>
    <row r="2231" ht="15.75" customHeight="1">
      <c r="A2231" s="33" t="s">
        <v>6217</v>
      </c>
      <c r="B2231" s="33" t="s">
        <v>597</v>
      </c>
      <c r="C2231" s="39">
        <v>45667.0</v>
      </c>
      <c r="D2231" s="33" t="s">
        <v>479</v>
      </c>
      <c r="E2231" s="40">
        <v>70.1</v>
      </c>
      <c r="F2231" s="40">
        <v>1.2</v>
      </c>
      <c r="G2231" s="33" t="s">
        <v>431</v>
      </c>
    </row>
    <row r="2232" ht="15.75" customHeight="1">
      <c r="A2232" s="33" t="s">
        <v>6218</v>
      </c>
      <c r="B2232" s="33" t="s">
        <v>2669</v>
      </c>
      <c r="C2232" s="39">
        <v>46001.0</v>
      </c>
      <c r="D2232" s="33" t="s">
        <v>461</v>
      </c>
      <c r="E2232" s="40">
        <v>272.61</v>
      </c>
      <c r="F2232" s="40">
        <v>5.05</v>
      </c>
      <c r="G2232" s="33" t="s">
        <v>450</v>
      </c>
    </row>
    <row r="2233" ht="15.75" customHeight="1">
      <c r="A2233" s="33" t="s">
        <v>6219</v>
      </c>
      <c r="B2233" s="33" t="s">
        <v>3092</v>
      </c>
      <c r="C2233" s="39">
        <v>45664.0</v>
      </c>
      <c r="D2233" s="33" t="s">
        <v>461</v>
      </c>
      <c r="E2233" s="40">
        <v>134.61</v>
      </c>
      <c r="F2233" s="40">
        <v>0.71</v>
      </c>
      <c r="G2233" s="33" t="s">
        <v>450</v>
      </c>
    </row>
    <row r="2234" ht="15.75" customHeight="1">
      <c r="A2234" s="33" t="s">
        <v>6220</v>
      </c>
      <c r="B2234" s="33" t="s">
        <v>362</v>
      </c>
      <c r="C2234" s="39">
        <v>45704.0</v>
      </c>
      <c r="D2234" s="33" t="s">
        <v>428</v>
      </c>
      <c r="E2234" s="40">
        <v>95.93</v>
      </c>
      <c r="F2234" s="40">
        <v>0.0</v>
      </c>
      <c r="G2234" s="33" t="s">
        <v>442</v>
      </c>
    </row>
    <row r="2235" ht="15.75" customHeight="1">
      <c r="A2235" s="33" t="s">
        <v>6221</v>
      </c>
      <c r="B2235" s="33" t="s">
        <v>819</v>
      </c>
      <c r="C2235" s="39">
        <v>45884.0</v>
      </c>
      <c r="D2235" s="33" t="s">
        <v>479</v>
      </c>
      <c r="E2235" s="40">
        <v>57.27</v>
      </c>
      <c r="F2235" s="40">
        <v>1.04</v>
      </c>
      <c r="G2235" s="33" t="s">
        <v>450</v>
      </c>
    </row>
    <row r="2236" ht="15.75" customHeight="1">
      <c r="A2236" s="33" t="s">
        <v>6222</v>
      </c>
      <c r="B2236" s="33" t="s">
        <v>3978</v>
      </c>
      <c r="C2236" s="39">
        <v>46056.0</v>
      </c>
      <c r="D2236" s="33" t="s">
        <v>440</v>
      </c>
      <c r="E2236" s="40">
        <v>204.17</v>
      </c>
      <c r="F2236" s="40">
        <v>0.0</v>
      </c>
      <c r="G2236" s="33" t="s">
        <v>450</v>
      </c>
    </row>
    <row r="2237" ht="15.75" customHeight="1">
      <c r="A2237" s="33" t="s">
        <v>6223</v>
      </c>
      <c r="B2237" s="33" t="s">
        <v>1344</v>
      </c>
      <c r="C2237" s="39">
        <v>46034.0</v>
      </c>
      <c r="D2237" s="33" t="s">
        <v>440</v>
      </c>
      <c r="E2237" s="40">
        <v>61.82</v>
      </c>
      <c r="F2237" s="40">
        <v>0.0</v>
      </c>
      <c r="G2237" s="33" t="s">
        <v>450</v>
      </c>
    </row>
    <row r="2238" ht="15.75" customHeight="1">
      <c r="A2238" s="33" t="s">
        <v>6224</v>
      </c>
      <c r="B2238" s="33" t="s">
        <v>401</v>
      </c>
      <c r="C2238" s="39">
        <v>46138.0</v>
      </c>
      <c r="D2238" s="33" t="s">
        <v>440</v>
      </c>
      <c r="E2238" s="40">
        <v>38.06</v>
      </c>
      <c r="F2238" s="40">
        <v>0.0</v>
      </c>
      <c r="G2238" s="33" t="s">
        <v>442</v>
      </c>
    </row>
    <row r="2239" ht="15.75" customHeight="1">
      <c r="A2239" s="33" t="s">
        <v>6225</v>
      </c>
      <c r="B2239" s="33" t="s">
        <v>3055</v>
      </c>
      <c r="C2239" s="39">
        <v>45767.0</v>
      </c>
      <c r="D2239" s="33" t="s">
        <v>435</v>
      </c>
      <c r="E2239" s="40">
        <v>72.46</v>
      </c>
      <c r="F2239" s="40">
        <v>0.0</v>
      </c>
      <c r="G2239" s="33" t="s">
        <v>450</v>
      </c>
    </row>
    <row r="2240" ht="15.75" customHeight="1">
      <c r="A2240" s="33" t="s">
        <v>6226</v>
      </c>
      <c r="B2240" s="33" t="s">
        <v>2063</v>
      </c>
      <c r="C2240" s="39">
        <v>45774.0</v>
      </c>
      <c r="D2240" s="33" t="s">
        <v>461</v>
      </c>
      <c r="E2240" s="40">
        <v>84.01</v>
      </c>
      <c r="F2240" s="40">
        <v>1.56</v>
      </c>
      <c r="G2240" s="33" t="s">
        <v>450</v>
      </c>
    </row>
    <row r="2241" ht="15.75" customHeight="1">
      <c r="A2241" s="33" t="s">
        <v>6227</v>
      </c>
      <c r="B2241" s="33" t="s">
        <v>1130</v>
      </c>
      <c r="C2241" s="39">
        <v>45981.0</v>
      </c>
      <c r="D2241" s="33" t="s">
        <v>440</v>
      </c>
      <c r="E2241" s="40">
        <v>142.85</v>
      </c>
      <c r="F2241" s="40">
        <v>0.0</v>
      </c>
      <c r="G2241" s="33" t="s">
        <v>450</v>
      </c>
    </row>
    <row r="2242" ht="15.75" customHeight="1">
      <c r="A2242" s="33" t="s">
        <v>6228</v>
      </c>
      <c r="B2242" s="33" t="s">
        <v>3305</v>
      </c>
      <c r="C2242" s="39">
        <v>46185.0</v>
      </c>
      <c r="D2242" s="33" t="s">
        <v>461</v>
      </c>
      <c r="E2242" s="40">
        <v>37.27</v>
      </c>
      <c r="F2242" s="40">
        <v>0.47</v>
      </c>
      <c r="G2242" s="33" t="s">
        <v>450</v>
      </c>
    </row>
    <row r="2243" ht="15.75" customHeight="1">
      <c r="A2243" s="33" t="s">
        <v>6229</v>
      </c>
      <c r="B2243" s="33" t="s">
        <v>1152</v>
      </c>
      <c r="C2243" s="39">
        <v>46096.0</v>
      </c>
      <c r="D2243" s="33" t="s">
        <v>435</v>
      </c>
      <c r="E2243" s="40">
        <v>43.64</v>
      </c>
      <c r="F2243" s="40">
        <v>0.0</v>
      </c>
      <c r="G2243" s="33" t="s">
        <v>450</v>
      </c>
    </row>
    <row r="2244" ht="15.75" customHeight="1">
      <c r="A2244" s="33" t="s">
        <v>6230</v>
      </c>
      <c r="B2244" s="33" t="s">
        <v>1192</v>
      </c>
      <c r="C2244" s="39">
        <v>46064.0</v>
      </c>
      <c r="D2244" s="33" t="s">
        <v>440</v>
      </c>
      <c r="E2244" s="40">
        <v>45.67</v>
      </c>
      <c r="F2244" s="40">
        <v>0.0</v>
      </c>
      <c r="G2244" s="33" t="s">
        <v>442</v>
      </c>
    </row>
    <row r="2245" ht="15.75" customHeight="1">
      <c r="A2245" s="33" t="s">
        <v>6231</v>
      </c>
      <c r="B2245" s="33" t="s">
        <v>783</v>
      </c>
      <c r="C2245" s="39">
        <v>45715.0</v>
      </c>
      <c r="D2245" s="33" t="s">
        <v>440</v>
      </c>
      <c r="E2245" s="40">
        <v>69.49</v>
      </c>
      <c r="F2245" s="40">
        <v>0.0</v>
      </c>
      <c r="G2245" s="33" t="s">
        <v>450</v>
      </c>
    </row>
    <row r="2246" ht="15.75" customHeight="1">
      <c r="A2246" s="33" t="s">
        <v>6232</v>
      </c>
      <c r="B2246" s="33" t="s">
        <v>1703</v>
      </c>
      <c r="C2246" s="39">
        <v>46190.0</v>
      </c>
      <c r="D2246" s="33" t="s">
        <v>435</v>
      </c>
      <c r="E2246" s="40">
        <v>29.71</v>
      </c>
      <c r="F2246" s="40">
        <v>0.0</v>
      </c>
      <c r="G2246" s="33" t="s">
        <v>450</v>
      </c>
    </row>
    <row r="2247" ht="15.75" customHeight="1">
      <c r="A2247" s="33" t="s">
        <v>6233</v>
      </c>
      <c r="B2247" s="33" t="s">
        <v>1087</v>
      </c>
      <c r="C2247" s="39">
        <v>46255.0</v>
      </c>
      <c r="D2247" s="33" t="s">
        <v>428</v>
      </c>
      <c r="E2247" s="40">
        <v>181.44</v>
      </c>
      <c r="F2247" s="40">
        <v>0.0</v>
      </c>
      <c r="G2247" s="33" t="s">
        <v>431</v>
      </c>
    </row>
    <row r="2248" ht="15.75" customHeight="1">
      <c r="A2248" s="33" t="s">
        <v>6234</v>
      </c>
      <c r="B2248" s="33" t="s">
        <v>2625</v>
      </c>
      <c r="C2248" s="39">
        <v>46011.0</v>
      </c>
      <c r="D2248" s="33" t="s">
        <v>479</v>
      </c>
      <c r="E2248" s="40">
        <v>16.11</v>
      </c>
      <c r="F2248" s="40">
        <v>0.15</v>
      </c>
      <c r="G2248" s="33" t="s">
        <v>450</v>
      </c>
    </row>
    <row r="2249" ht="15.75" customHeight="1">
      <c r="A2249" s="33" t="s">
        <v>6235</v>
      </c>
      <c r="B2249" s="33" t="s">
        <v>2327</v>
      </c>
      <c r="C2249" s="39">
        <v>45862.0</v>
      </c>
      <c r="D2249" s="33" t="s">
        <v>428</v>
      </c>
      <c r="E2249" s="40">
        <v>208.15</v>
      </c>
      <c r="F2249" s="40">
        <v>0.0</v>
      </c>
      <c r="G2249" s="33" t="s">
        <v>450</v>
      </c>
    </row>
    <row r="2250" ht="15.75" customHeight="1">
      <c r="A2250" s="33" t="s">
        <v>6236</v>
      </c>
      <c r="B2250" s="33" t="s">
        <v>504</v>
      </c>
      <c r="C2250" s="39">
        <v>46060.0</v>
      </c>
      <c r="D2250" s="33" t="s">
        <v>428</v>
      </c>
      <c r="E2250" s="40">
        <v>133.05</v>
      </c>
      <c r="F2250" s="40">
        <v>0.0</v>
      </c>
      <c r="G2250" s="33" t="s">
        <v>431</v>
      </c>
    </row>
    <row r="2251" ht="15.75" customHeight="1">
      <c r="A2251" s="33" t="s">
        <v>6237</v>
      </c>
      <c r="B2251" s="33" t="s">
        <v>1031</v>
      </c>
      <c r="C2251" s="39">
        <v>46047.0</v>
      </c>
      <c r="D2251" s="33" t="s">
        <v>435</v>
      </c>
      <c r="E2251" s="40">
        <v>35.23</v>
      </c>
      <c r="F2251" s="40">
        <v>0.0</v>
      </c>
      <c r="G2251" s="33" t="s">
        <v>450</v>
      </c>
    </row>
    <row r="2252" ht="15.75" customHeight="1">
      <c r="A2252" s="33" t="s">
        <v>6238</v>
      </c>
      <c r="B2252" s="33" t="s">
        <v>1019</v>
      </c>
      <c r="C2252" s="39">
        <v>46221.0</v>
      </c>
      <c r="D2252" s="33" t="s">
        <v>428</v>
      </c>
      <c r="E2252" s="40">
        <v>65.13</v>
      </c>
      <c r="F2252" s="40">
        <v>0.0</v>
      </c>
      <c r="G2252" s="33" t="s">
        <v>450</v>
      </c>
    </row>
    <row r="2253" ht="15.75" customHeight="1">
      <c r="A2253" s="33" t="s">
        <v>6239</v>
      </c>
      <c r="B2253" s="33" t="s">
        <v>273</v>
      </c>
      <c r="C2253" s="39">
        <v>45725.0</v>
      </c>
      <c r="D2253" s="33" t="s">
        <v>435</v>
      </c>
      <c r="E2253" s="40">
        <v>40.5</v>
      </c>
      <c r="F2253" s="40">
        <v>0.0</v>
      </c>
      <c r="G2253" s="33" t="s">
        <v>450</v>
      </c>
    </row>
    <row r="2254" ht="15.75" customHeight="1">
      <c r="A2254" s="33" t="s">
        <v>6240</v>
      </c>
      <c r="B2254" s="33" t="s">
        <v>1703</v>
      </c>
      <c r="C2254" s="39">
        <v>45970.0</v>
      </c>
      <c r="D2254" s="33" t="s">
        <v>428</v>
      </c>
      <c r="E2254" s="40">
        <v>134.67</v>
      </c>
      <c r="F2254" s="40">
        <v>0.0</v>
      </c>
      <c r="G2254" s="33" t="s">
        <v>450</v>
      </c>
    </row>
    <row r="2255" ht="15.75" customHeight="1">
      <c r="A2255" s="33" t="s">
        <v>6241</v>
      </c>
      <c r="B2255" s="33" t="s">
        <v>483</v>
      </c>
      <c r="C2255" s="39">
        <v>46088.0</v>
      </c>
      <c r="D2255" s="33" t="s">
        <v>461</v>
      </c>
      <c r="E2255" s="40">
        <v>193.68</v>
      </c>
      <c r="F2255" s="40">
        <v>3.42</v>
      </c>
      <c r="G2255" s="33" t="s">
        <v>450</v>
      </c>
    </row>
    <row r="2256" ht="15.75" customHeight="1">
      <c r="A2256" s="33" t="s">
        <v>6242</v>
      </c>
      <c r="B2256" s="33" t="s">
        <v>1749</v>
      </c>
      <c r="C2256" s="39">
        <v>45869.0</v>
      </c>
      <c r="D2256" s="33" t="s">
        <v>428</v>
      </c>
      <c r="E2256" s="40">
        <v>439.28</v>
      </c>
      <c r="F2256" s="40">
        <v>0.0</v>
      </c>
      <c r="G2256" s="33" t="s">
        <v>431</v>
      </c>
    </row>
    <row r="2257" ht="15.75" customHeight="1">
      <c r="A2257" s="33" t="s">
        <v>6243</v>
      </c>
      <c r="B2257" s="33" t="s">
        <v>1475</v>
      </c>
      <c r="C2257" s="39">
        <v>46168.0</v>
      </c>
      <c r="D2257" s="33" t="s">
        <v>479</v>
      </c>
      <c r="E2257" s="40">
        <v>110.99</v>
      </c>
      <c r="F2257" s="40">
        <v>1.86</v>
      </c>
      <c r="G2257" s="33" t="s">
        <v>442</v>
      </c>
    </row>
    <row r="2258" ht="15.75" customHeight="1">
      <c r="A2258" s="33" t="s">
        <v>6244</v>
      </c>
      <c r="B2258" s="33" t="s">
        <v>3598</v>
      </c>
      <c r="C2258" s="39">
        <v>45697.0</v>
      </c>
      <c r="D2258" s="33" t="s">
        <v>435</v>
      </c>
      <c r="E2258" s="40">
        <v>16.6</v>
      </c>
      <c r="F2258" s="40">
        <v>0.0</v>
      </c>
      <c r="G2258" s="33" t="s">
        <v>450</v>
      </c>
    </row>
    <row r="2259" ht="15.75" customHeight="1">
      <c r="A2259" s="33" t="s">
        <v>6245</v>
      </c>
      <c r="B2259" s="33" t="s">
        <v>721</v>
      </c>
      <c r="C2259" s="39">
        <v>45721.0</v>
      </c>
      <c r="D2259" s="33" t="s">
        <v>435</v>
      </c>
      <c r="E2259" s="40">
        <v>32.78</v>
      </c>
      <c r="F2259" s="40">
        <v>0.0</v>
      </c>
      <c r="G2259" s="33" t="s">
        <v>450</v>
      </c>
    </row>
    <row r="2260" ht="15.75" customHeight="1">
      <c r="A2260" s="33" t="s">
        <v>6246</v>
      </c>
      <c r="B2260" s="33" t="s">
        <v>183</v>
      </c>
      <c r="C2260" s="39">
        <v>46138.0</v>
      </c>
      <c r="D2260" s="33" t="s">
        <v>435</v>
      </c>
      <c r="E2260" s="40">
        <v>107.01</v>
      </c>
      <c r="F2260" s="40">
        <v>0.0</v>
      </c>
      <c r="G2260" s="33" t="s">
        <v>450</v>
      </c>
    </row>
    <row r="2261" ht="15.75" customHeight="1">
      <c r="A2261" s="33" t="s">
        <v>6247</v>
      </c>
      <c r="B2261" s="33" t="s">
        <v>1703</v>
      </c>
      <c r="C2261" s="39">
        <v>45734.0</v>
      </c>
      <c r="D2261" s="33" t="s">
        <v>428</v>
      </c>
      <c r="E2261" s="40">
        <v>67.38</v>
      </c>
      <c r="F2261" s="40">
        <v>0.0</v>
      </c>
      <c r="G2261" s="33" t="s">
        <v>442</v>
      </c>
    </row>
    <row r="2262" ht="15.75" customHeight="1">
      <c r="A2262" s="33" t="s">
        <v>6248</v>
      </c>
      <c r="B2262" s="33" t="s">
        <v>955</v>
      </c>
      <c r="C2262" s="39">
        <v>45912.0</v>
      </c>
      <c r="D2262" s="33" t="s">
        <v>479</v>
      </c>
      <c r="E2262" s="40">
        <v>131.74</v>
      </c>
      <c r="F2262" s="40">
        <v>1.54</v>
      </c>
      <c r="G2262" s="33" t="s">
        <v>442</v>
      </c>
    </row>
    <row r="2263" ht="15.75" customHeight="1">
      <c r="A2263" s="33" t="s">
        <v>6249</v>
      </c>
      <c r="B2263" s="33" t="s">
        <v>1340</v>
      </c>
      <c r="C2263" s="39">
        <v>45828.0</v>
      </c>
      <c r="D2263" s="33" t="s">
        <v>440</v>
      </c>
      <c r="E2263" s="40">
        <v>97.2</v>
      </c>
      <c r="F2263" s="40">
        <v>0.0</v>
      </c>
      <c r="G2263" s="33" t="s">
        <v>450</v>
      </c>
    </row>
    <row r="2264" ht="15.75" customHeight="1">
      <c r="A2264" s="33" t="s">
        <v>6250</v>
      </c>
      <c r="B2264" s="33" t="s">
        <v>312</v>
      </c>
      <c r="C2264" s="39">
        <v>46075.0</v>
      </c>
      <c r="D2264" s="33" t="s">
        <v>435</v>
      </c>
      <c r="E2264" s="40">
        <v>35.7</v>
      </c>
      <c r="F2264" s="40">
        <v>0.0</v>
      </c>
      <c r="G2264" s="33" t="s">
        <v>450</v>
      </c>
    </row>
    <row r="2265" ht="15.75" customHeight="1">
      <c r="A2265" s="33" t="s">
        <v>6251</v>
      </c>
      <c r="B2265" s="33" t="s">
        <v>781</v>
      </c>
      <c r="C2265" s="39">
        <v>45665.0</v>
      </c>
      <c r="D2265" s="33" t="s">
        <v>435</v>
      </c>
      <c r="E2265" s="40">
        <v>59.11</v>
      </c>
      <c r="F2265" s="40">
        <v>0.0</v>
      </c>
      <c r="G2265" s="33" t="s">
        <v>431</v>
      </c>
    </row>
    <row r="2266" ht="15.75" customHeight="1">
      <c r="A2266" s="33" t="s">
        <v>6252</v>
      </c>
      <c r="B2266" s="33" t="s">
        <v>1488</v>
      </c>
      <c r="C2266" s="39">
        <v>45874.0</v>
      </c>
      <c r="D2266" s="33" t="s">
        <v>440</v>
      </c>
      <c r="E2266" s="40">
        <v>136.26</v>
      </c>
      <c r="F2266" s="40">
        <v>0.0</v>
      </c>
      <c r="G2266" s="33" t="s">
        <v>450</v>
      </c>
    </row>
    <row r="2267" ht="15.75" customHeight="1">
      <c r="A2267" s="33" t="s">
        <v>6253</v>
      </c>
      <c r="B2267" s="33" t="s">
        <v>1868</v>
      </c>
      <c r="C2267" s="39">
        <v>46256.0</v>
      </c>
      <c r="D2267" s="33" t="s">
        <v>461</v>
      </c>
      <c r="E2267" s="40">
        <v>101.32</v>
      </c>
      <c r="F2267" s="40">
        <v>0.75</v>
      </c>
      <c r="G2267" s="33" t="s">
        <v>431</v>
      </c>
    </row>
    <row r="2268" ht="15.75" customHeight="1">
      <c r="A2268" s="33" t="s">
        <v>6254</v>
      </c>
      <c r="B2268" s="33" t="s">
        <v>1045</v>
      </c>
      <c r="C2268" s="39">
        <v>45881.0</v>
      </c>
      <c r="D2268" s="33" t="s">
        <v>428</v>
      </c>
      <c r="E2268" s="40">
        <v>132.79</v>
      </c>
      <c r="F2268" s="40">
        <v>0.0</v>
      </c>
      <c r="G2268" s="33" t="s">
        <v>431</v>
      </c>
    </row>
    <row r="2269" ht="15.75" customHeight="1">
      <c r="A2269" s="33" t="s">
        <v>6255</v>
      </c>
      <c r="B2269" s="33" t="s">
        <v>923</v>
      </c>
      <c r="C2269" s="39">
        <v>46021.0</v>
      </c>
      <c r="D2269" s="33" t="s">
        <v>461</v>
      </c>
      <c r="E2269" s="40">
        <v>22.96</v>
      </c>
      <c r="F2269" s="40">
        <v>0.46</v>
      </c>
      <c r="G2269" s="33" t="s">
        <v>450</v>
      </c>
    </row>
    <row r="2270" ht="15.75" customHeight="1">
      <c r="A2270" s="33" t="s">
        <v>6256</v>
      </c>
      <c r="B2270" s="33" t="s">
        <v>1405</v>
      </c>
      <c r="C2270" s="39">
        <v>46257.0</v>
      </c>
      <c r="D2270" s="33" t="s">
        <v>428</v>
      </c>
      <c r="E2270" s="40">
        <v>38.0</v>
      </c>
      <c r="F2270" s="40">
        <v>0.0</v>
      </c>
      <c r="G2270" s="33" t="s">
        <v>450</v>
      </c>
    </row>
    <row r="2271" ht="15.75" customHeight="1">
      <c r="A2271" s="33" t="s">
        <v>6257</v>
      </c>
      <c r="B2271" s="33" t="s">
        <v>2053</v>
      </c>
      <c r="C2271" s="39">
        <v>46026.0</v>
      </c>
      <c r="D2271" s="33" t="s">
        <v>440</v>
      </c>
      <c r="E2271" s="40">
        <v>172.53</v>
      </c>
      <c r="F2271" s="40">
        <v>0.0</v>
      </c>
      <c r="G2271" s="33" t="s">
        <v>442</v>
      </c>
    </row>
    <row r="2272" ht="15.75" customHeight="1">
      <c r="A2272" s="33" t="s">
        <v>6258</v>
      </c>
      <c r="B2272" s="33" t="s">
        <v>689</v>
      </c>
      <c r="C2272" s="39">
        <v>46116.0</v>
      </c>
      <c r="D2272" s="33" t="s">
        <v>440</v>
      </c>
      <c r="E2272" s="40">
        <v>23.89</v>
      </c>
      <c r="F2272" s="40">
        <v>0.0</v>
      </c>
      <c r="G2272" s="33" t="s">
        <v>450</v>
      </c>
    </row>
    <row r="2273" ht="15.75" customHeight="1">
      <c r="A2273" s="33" t="s">
        <v>6259</v>
      </c>
      <c r="B2273" s="33" t="s">
        <v>3352</v>
      </c>
      <c r="C2273" s="39">
        <v>46240.0</v>
      </c>
      <c r="D2273" s="33" t="s">
        <v>461</v>
      </c>
      <c r="E2273" s="40">
        <v>127.25</v>
      </c>
      <c r="F2273" s="40">
        <v>1.41</v>
      </c>
      <c r="G2273" s="33" t="s">
        <v>442</v>
      </c>
    </row>
    <row r="2274" ht="15.75" customHeight="1">
      <c r="A2274" s="33" t="s">
        <v>6260</v>
      </c>
      <c r="B2274" s="33" t="s">
        <v>1452</v>
      </c>
      <c r="C2274" s="39">
        <v>46032.0</v>
      </c>
      <c r="D2274" s="33" t="s">
        <v>435</v>
      </c>
      <c r="E2274" s="40">
        <v>21.2</v>
      </c>
      <c r="F2274" s="40">
        <v>0.0</v>
      </c>
      <c r="G2274" s="33" t="s">
        <v>450</v>
      </c>
    </row>
    <row r="2275" ht="15.75" customHeight="1">
      <c r="A2275" s="33" t="s">
        <v>6261</v>
      </c>
      <c r="B2275" s="33" t="s">
        <v>3055</v>
      </c>
      <c r="C2275" s="39">
        <v>46163.0</v>
      </c>
      <c r="D2275" s="33" t="s">
        <v>428</v>
      </c>
      <c r="E2275" s="40">
        <v>83.02</v>
      </c>
      <c r="F2275" s="40">
        <v>0.0</v>
      </c>
      <c r="G2275" s="33" t="s">
        <v>431</v>
      </c>
    </row>
    <row r="2276" ht="15.75" customHeight="1">
      <c r="A2276" s="33" t="s">
        <v>6262</v>
      </c>
      <c r="B2276" s="33" t="s">
        <v>1285</v>
      </c>
      <c r="C2276" s="39">
        <v>45966.0</v>
      </c>
      <c r="D2276" s="33" t="s">
        <v>461</v>
      </c>
      <c r="E2276" s="40">
        <v>52.25</v>
      </c>
      <c r="F2276" s="40">
        <v>0.89</v>
      </c>
      <c r="G2276" s="33" t="s">
        <v>431</v>
      </c>
    </row>
    <row r="2277" ht="15.75" customHeight="1">
      <c r="A2277" s="33" t="s">
        <v>6263</v>
      </c>
      <c r="B2277" s="33" t="s">
        <v>356</v>
      </c>
      <c r="C2277" s="39">
        <v>46152.0</v>
      </c>
      <c r="D2277" s="33" t="s">
        <v>435</v>
      </c>
      <c r="E2277" s="40">
        <v>35.25</v>
      </c>
      <c r="F2277" s="40">
        <v>0.0</v>
      </c>
      <c r="G2277" s="33" t="s">
        <v>431</v>
      </c>
    </row>
    <row r="2278" ht="15.75" customHeight="1">
      <c r="A2278" s="33" t="s">
        <v>6264</v>
      </c>
      <c r="B2278" s="33" t="s">
        <v>527</v>
      </c>
      <c r="C2278" s="39">
        <v>46047.0</v>
      </c>
      <c r="D2278" s="33" t="s">
        <v>435</v>
      </c>
      <c r="E2278" s="40">
        <v>88.14</v>
      </c>
      <c r="F2278" s="40">
        <v>0.0</v>
      </c>
      <c r="G2278" s="33" t="s">
        <v>450</v>
      </c>
    </row>
    <row r="2279" ht="15.75" customHeight="1">
      <c r="A2279" s="33" t="s">
        <v>6265</v>
      </c>
      <c r="B2279" s="33" t="s">
        <v>195</v>
      </c>
      <c r="C2279" s="39">
        <v>45864.0</v>
      </c>
      <c r="D2279" s="33" t="s">
        <v>461</v>
      </c>
      <c r="E2279" s="40">
        <v>166.76</v>
      </c>
      <c r="F2279" s="40">
        <v>1.37</v>
      </c>
      <c r="G2279" s="33" t="s">
        <v>442</v>
      </c>
    </row>
    <row r="2280" ht="15.75" customHeight="1">
      <c r="A2280" s="33" t="s">
        <v>6266</v>
      </c>
      <c r="B2280" s="33" t="s">
        <v>533</v>
      </c>
      <c r="C2280" s="39">
        <v>45996.0</v>
      </c>
      <c r="D2280" s="33" t="s">
        <v>461</v>
      </c>
      <c r="E2280" s="40">
        <v>42.78</v>
      </c>
      <c r="F2280" s="40">
        <v>0.29</v>
      </c>
      <c r="G2280" s="33" t="s">
        <v>442</v>
      </c>
    </row>
    <row r="2281" ht="15.75" customHeight="1">
      <c r="A2281" s="33" t="s">
        <v>6267</v>
      </c>
      <c r="B2281" s="33" t="s">
        <v>364</v>
      </c>
      <c r="C2281" s="39">
        <v>45861.0</v>
      </c>
      <c r="D2281" s="33" t="s">
        <v>440</v>
      </c>
      <c r="E2281" s="40">
        <v>8.23</v>
      </c>
      <c r="F2281" s="40">
        <v>0.0</v>
      </c>
      <c r="G2281" s="33" t="s">
        <v>450</v>
      </c>
    </row>
    <row r="2282" ht="15.75" customHeight="1">
      <c r="A2282" s="33" t="s">
        <v>6268</v>
      </c>
      <c r="B2282" s="33" t="s">
        <v>1305</v>
      </c>
      <c r="C2282" s="39">
        <v>45899.0</v>
      </c>
      <c r="D2282" s="33" t="s">
        <v>461</v>
      </c>
      <c r="E2282" s="40">
        <v>68.93</v>
      </c>
      <c r="F2282" s="40">
        <v>0.82</v>
      </c>
      <c r="G2282" s="33" t="s">
        <v>450</v>
      </c>
    </row>
    <row r="2283" ht="15.75" customHeight="1">
      <c r="A2283" s="33" t="s">
        <v>6269</v>
      </c>
      <c r="B2283" s="33" t="s">
        <v>594</v>
      </c>
      <c r="C2283" s="39">
        <v>45835.0</v>
      </c>
      <c r="D2283" s="33" t="s">
        <v>479</v>
      </c>
      <c r="E2283" s="40">
        <v>34.92</v>
      </c>
      <c r="F2283" s="40">
        <v>0.43</v>
      </c>
      <c r="G2283" s="33" t="s">
        <v>450</v>
      </c>
    </row>
    <row r="2284" ht="15.75" customHeight="1">
      <c r="A2284" s="33" t="s">
        <v>6270</v>
      </c>
      <c r="B2284" s="33" t="s">
        <v>462</v>
      </c>
      <c r="C2284" s="39">
        <v>45956.0</v>
      </c>
      <c r="D2284" s="33" t="s">
        <v>461</v>
      </c>
      <c r="E2284" s="40">
        <v>138.26</v>
      </c>
      <c r="F2284" s="40">
        <v>1.35</v>
      </c>
      <c r="G2284" s="33" t="s">
        <v>450</v>
      </c>
    </row>
    <row r="2285" ht="15.75" customHeight="1">
      <c r="A2285" s="33" t="s">
        <v>6271</v>
      </c>
      <c r="B2285" s="33" t="s">
        <v>1812</v>
      </c>
      <c r="C2285" s="39">
        <v>45868.0</v>
      </c>
      <c r="D2285" s="33" t="s">
        <v>479</v>
      </c>
      <c r="E2285" s="40">
        <v>52.13</v>
      </c>
      <c r="F2285" s="40">
        <v>0.3</v>
      </c>
      <c r="G2285" s="33" t="s">
        <v>431</v>
      </c>
    </row>
    <row r="2286" ht="15.75" customHeight="1">
      <c r="A2286" s="33" t="s">
        <v>6272</v>
      </c>
      <c r="B2286" s="33" t="s">
        <v>2340</v>
      </c>
      <c r="C2286" s="39">
        <v>46037.0</v>
      </c>
      <c r="D2286" s="33" t="s">
        <v>479</v>
      </c>
      <c r="E2286" s="40">
        <v>44.18</v>
      </c>
      <c r="F2286" s="40">
        <v>0.35</v>
      </c>
      <c r="G2286" s="33" t="s">
        <v>431</v>
      </c>
    </row>
    <row r="2287" ht="15.75" customHeight="1">
      <c r="A2287" s="33" t="s">
        <v>6273</v>
      </c>
      <c r="B2287" s="33" t="s">
        <v>1247</v>
      </c>
      <c r="C2287" s="39">
        <v>45882.0</v>
      </c>
      <c r="D2287" s="33" t="s">
        <v>440</v>
      </c>
      <c r="E2287" s="40">
        <v>57.02</v>
      </c>
      <c r="F2287" s="40">
        <v>0.0</v>
      </c>
      <c r="G2287" s="33" t="s">
        <v>431</v>
      </c>
    </row>
    <row r="2288" ht="15.75" customHeight="1">
      <c r="A2288" s="33" t="s">
        <v>6274</v>
      </c>
      <c r="B2288" s="33" t="s">
        <v>464</v>
      </c>
      <c r="C2288" s="39">
        <v>45956.0</v>
      </c>
      <c r="D2288" s="33" t="s">
        <v>435</v>
      </c>
      <c r="E2288" s="40">
        <v>166.7</v>
      </c>
      <c r="F2288" s="40">
        <v>0.0</v>
      </c>
      <c r="G2288" s="33" t="s">
        <v>431</v>
      </c>
    </row>
    <row r="2289" ht="15.75" customHeight="1">
      <c r="A2289" s="33" t="s">
        <v>6275</v>
      </c>
      <c r="B2289" s="33" t="s">
        <v>1716</v>
      </c>
      <c r="C2289" s="39">
        <v>45742.0</v>
      </c>
      <c r="D2289" s="33" t="s">
        <v>435</v>
      </c>
      <c r="E2289" s="40">
        <v>105.06</v>
      </c>
      <c r="F2289" s="40">
        <v>0.0</v>
      </c>
      <c r="G2289" s="33" t="s">
        <v>450</v>
      </c>
    </row>
    <row r="2290" ht="15.75" customHeight="1">
      <c r="A2290" s="33" t="s">
        <v>6276</v>
      </c>
      <c r="B2290" s="33" t="s">
        <v>1152</v>
      </c>
      <c r="C2290" s="39">
        <v>45892.0</v>
      </c>
      <c r="D2290" s="33" t="s">
        <v>435</v>
      </c>
      <c r="E2290" s="40">
        <v>30.35</v>
      </c>
      <c r="F2290" s="40">
        <v>0.0</v>
      </c>
      <c r="G2290" s="33" t="s">
        <v>431</v>
      </c>
    </row>
    <row r="2291" ht="15.75" customHeight="1">
      <c r="A2291" s="33" t="s">
        <v>6277</v>
      </c>
      <c r="B2291" s="33" t="s">
        <v>981</v>
      </c>
      <c r="C2291" s="39">
        <v>45874.0</v>
      </c>
      <c r="D2291" s="33" t="s">
        <v>428</v>
      </c>
      <c r="E2291" s="40">
        <v>22.92</v>
      </c>
      <c r="F2291" s="40">
        <v>0.0</v>
      </c>
      <c r="G2291" s="33" t="s">
        <v>450</v>
      </c>
    </row>
    <row r="2292" ht="15.75" customHeight="1">
      <c r="A2292" s="33" t="s">
        <v>6278</v>
      </c>
      <c r="B2292" s="33" t="s">
        <v>1140</v>
      </c>
      <c r="C2292" s="39">
        <v>46241.0</v>
      </c>
      <c r="D2292" s="33" t="s">
        <v>479</v>
      </c>
      <c r="E2292" s="40">
        <v>206.17</v>
      </c>
      <c r="F2292" s="40">
        <v>3.73</v>
      </c>
      <c r="G2292" s="33" t="s">
        <v>450</v>
      </c>
    </row>
    <row r="2293" ht="15.75" customHeight="1">
      <c r="A2293" s="33" t="s">
        <v>6279</v>
      </c>
      <c r="B2293" s="33" t="s">
        <v>2478</v>
      </c>
      <c r="C2293" s="39">
        <v>45929.0</v>
      </c>
      <c r="D2293" s="33" t="s">
        <v>440</v>
      </c>
      <c r="E2293" s="40">
        <v>43.26</v>
      </c>
      <c r="F2293" s="40">
        <v>0.0</v>
      </c>
      <c r="G2293" s="33" t="s">
        <v>450</v>
      </c>
    </row>
    <row r="2294" ht="15.75" customHeight="1">
      <c r="A2294" s="33" t="s">
        <v>6280</v>
      </c>
      <c r="B2294" s="33" t="s">
        <v>278</v>
      </c>
      <c r="C2294" s="39">
        <v>45671.0</v>
      </c>
      <c r="D2294" s="33" t="s">
        <v>428</v>
      </c>
      <c r="E2294" s="40">
        <v>170.16</v>
      </c>
      <c r="F2294" s="40">
        <v>0.0</v>
      </c>
      <c r="G2294" s="33" t="s">
        <v>450</v>
      </c>
    </row>
    <row r="2295" ht="15.75" customHeight="1">
      <c r="A2295" s="33" t="s">
        <v>6281</v>
      </c>
      <c r="B2295" s="33" t="s">
        <v>558</v>
      </c>
      <c r="C2295" s="39">
        <v>45845.0</v>
      </c>
      <c r="D2295" s="33" t="s">
        <v>428</v>
      </c>
      <c r="E2295" s="40">
        <v>66.72</v>
      </c>
      <c r="F2295" s="40">
        <v>0.0</v>
      </c>
      <c r="G2295" s="33" t="s">
        <v>450</v>
      </c>
    </row>
    <row r="2296" ht="15.75" customHeight="1">
      <c r="A2296" s="33" t="s">
        <v>6282</v>
      </c>
      <c r="B2296" s="33" t="s">
        <v>521</v>
      </c>
      <c r="C2296" s="39">
        <v>46100.0</v>
      </c>
      <c r="D2296" s="33" t="s">
        <v>440</v>
      </c>
      <c r="E2296" s="40">
        <v>38.54</v>
      </c>
      <c r="F2296" s="40">
        <v>0.0</v>
      </c>
      <c r="G2296" s="33" t="s">
        <v>450</v>
      </c>
    </row>
    <row r="2297" ht="15.75" customHeight="1">
      <c r="A2297" s="33" t="s">
        <v>6283</v>
      </c>
      <c r="B2297" s="33" t="s">
        <v>684</v>
      </c>
      <c r="C2297" s="39">
        <v>45758.0</v>
      </c>
      <c r="D2297" s="33" t="s">
        <v>440</v>
      </c>
      <c r="E2297" s="40">
        <v>41.24</v>
      </c>
      <c r="F2297" s="40">
        <v>0.0</v>
      </c>
      <c r="G2297" s="33" t="s">
        <v>450</v>
      </c>
    </row>
    <row r="2298" ht="15.75" customHeight="1">
      <c r="A2298" s="33" t="s">
        <v>6284</v>
      </c>
      <c r="B2298" s="33" t="s">
        <v>692</v>
      </c>
      <c r="C2298" s="39">
        <v>45756.0</v>
      </c>
      <c r="D2298" s="33" t="s">
        <v>479</v>
      </c>
      <c r="E2298" s="40">
        <v>69.27</v>
      </c>
      <c r="F2298" s="40">
        <v>0.97</v>
      </c>
      <c r="G2298" s="33" t="s">
        <v>450</v>
      </c>
    </row>
    <row r="2299" ht="15.75" customHeight="1">
      <c r="A2299" s="33" t="s">
        <v>6285</v>
      </c>
      <c r="B2299" s="33" t="s">
        <v>2456</v>
      </c>
      <c r="C2299" s="39">
        <v>45884.0</v>
      </c>
      <c r="D2299" s="33" t="s">
        <v>428</v>
      </c>
      <c r="E2299" s="40">
        <v>7.74</v>
      </c>
      <c r="F2299" s="40">
        <v>0.0</v>
      </c>
      <c r="G2299" s="33" t="s">
        <v>450</v>
      </c>
    </row>
    <row r="2300" ht="15.75" customHeight="1">
      <c r="A2300" s="33" t="s">
        <v>6286</v>
      </c>
      <c r="B2300" s="33" t="s">
        <v>481</v>
      </c>
      <c r="C2300" s="39">
        <v>45874.0</v>
      </c>
      <c r="D2300" s="33" t="s">
        <v>461</v>
      </c>
      <c r="E2300" s="40">
        <v>39.69</v>
      </c>
      <c r="F2300" s="40">
        <v>0.59</v>
      </c>
      <c r="G2300" s="33" t="s">
        <v>442</v>
      </c>
    </row>
    <row r="2301" ht="15.75" customHeight="1">
      <c r="A2301" s="33" t="s">
        <v>6287</v>
      </c>
      <c r="B2301" s="33" t="s">
        <v>1616</v>
      </c>
      <c r="C2301" s="39">
        <v>45949.0</v>
      </c>
      <c r="D2301" s="33" t="s">
        <v>479</v>
      </c>
      <c r="E2301" s="40">
        <v>257.77</v>
      </c>
      <c r="F2301" s="40">
        <v>5.15</v>
      </c>
      <c r="G2301" s="33" t="s">
        <v>442</v>
      </c>
    </row>
    <row r="2302" ht="15.75" customHeight="1">
      <c r="A2302" s="33" t="s">
        <v>6288</v>
      </c>
      <c r="B2302" s="33" t="s">
        <v>2002</v>
      </c>
      <c r="C2302" s="39">
        <v>45678.0</v>
      </c>
      <c r="D2302" s="33" t="s">
        <v>440</v>
      </c>
      <c r="E2302" s="40">
        <v>309.48</v>
      </c>
      <c r="F2302" s="40">
        <v>0.0</v>
      </c>
      <c r="G2302" s="33" t="s">
        <v>450</v>
      </c>
    </row>
    <row r="2303" ht="15.75" customHeight="1">
      <c r="A2303" s="33" t="s">
        <v>6289</v>
      </c>
      <c r="B2303" s="33" t="s">
        <v>1616</v>
      </c>
      <c r="C2303" s="39">
        <v>46095.0</v>
      </c>
      <c r="D2303" s="33" t="s">
        <v>440</v>
      </c>
      <c r="E2303" s="40">
        <v>43.41</v>
      </c>
      <c r="F2303" s="40">
        <v>0.0</v>
      </c>
      <c r="G2303" s="33" t="s">
        <v>450</v>
      </c>
    </row>
    <row r="2304" ht="15.75" customHeight="1">
      <c r="A2304" s="33" t="s">
        <v>6290</v>
      </c>
      <c r="B2304" s="33" t="s">
        <v>572</v>
      </c>
      <c r="C2304" s="39">
        <v>45787.0</v>
      </c>
      <c r="D2304" s="33" t="s">
        <v>435</v>
      </c>
      <c r="E2304" s="40">
        <v>122.5</v>
      </c>
      <c r="F2304" s="40">
        <v>0.0</v>
      </c>
      <c r="G2304" s="33" t="s">
        <v>450</v>
      </c>
    </row>
    <row r="2305" ht="15.75" customHeight="1">
      <c r="A2305" s="33" t="s">
        <v>6291</v>
      </c>
      <c r="B2305" s="33" t="s">
        <v>290</v>
      </c>
      <c r="C2305" s="39">
        <v>46089.0</v>
      </c>
      <c r="D2305" s="33" t="s">
        <v>461</v>
      </c>
      <c r="E2305" s="40">
        <v>102.95</v>
      </c>
      <c r="F2305" s="40">
        <v>1.07</v>
      </c>
      <c r="G2305" s="33" t="s">
        <v>442</v>
      </c>
    </row>
    <row r="2306" ht="15.75" customHeight="1">
      <c r="A2306" s="33" t="s">
        <v>6292</v>
      </c>
      <c r="B2306" s="33" t="s">
        <v>302</v>
      </c>
      <c r="C2306" s="39">
        <v>46000.0</v>
      </c>
      <c r="D2306" s="33" t="s">
        <v>428</v>
      </c>
      <c r="E2306" s="40">
        <v>26.24</v>
      </c>
      <c r="F2306" s="40">
        <v>0.0</v>
      </c>
      <c r="G2306" s="33" t="s">
        <v>450</v>
      </c>
    </row>
    <row r="2307" ht="15.75" customHeight="1">
      <c r="A2307" s="33" t="s">
        <v>6293</v>
      </c>
      <c r="B2307" s="33" t="s">
        <v>3055</v>
      </c>
      <c r="C2307" s="39">
        <v>45781.0</v>
      </c>
      <c r="D2307" s="33" t="s">
        <v>461</v>
      </c>
      <c r="E2307" s="40">
        <v>124.0</v>
      </c>
      <c r="F2307" s="40">
        <v>1.68</v>
      </c>
      <c r="G2307" s="33" t="s">
        <v>450</v>
      </c>
    </row>
    <row r="2308" ht="15.75" customHeight="1">
      <c r="A2308" s="33" t="s">
        <v>6294</v>
      </c>
      <c r="B2308" s="33" t="s">
        <v>852</v>
      </c>
      <c r="C2308" s="39">
        <v>45943.0</v>
      </c>
      <c r="D2308" s="33" t="s">
        <v>440</v>
      </c>
      <c r="E2308" s="40">
        <v>55.95</v>
      </c>
      <c r="F2308" s="40">
        <v>0.0</v>
      </c>
      <c r="G2308" s="33" t="s">
        <v>431</v>
      </c>
    </row>
    <row r="2309" ht="15.75" customHeight="1">
      <c r="A2309" s="33" t="s">
        <v>6295</v>
      </c>
      <c r="B2309" s="33" t="s">
        <v>838</v>
      </c>
      <c r="C2309" s="39">
        <v>45680.0</v>
      </c>
      <c r="D2309" s="33" t="s">
        <v>479</v>
      </c>
      <c r="E2309" s="40">
        <v>80.42</v>
      </c>
      <c r="F2309" s="40">
        <v>1.2</v>
      </c>
      <c r="G2309" s="33" t="s">
        <v>442</v>
      </c>
    </row>
    <row r="2310" ht="15.75" customHeight="1">
      <c r="A2310" s="33" t="s">
        <v>6296</v>
      </c>
      <c r="B2310" s="33" t="s">
        <v>183</v>
      </c>
      <c r="C2310" s="39">
        <v>46083.0</v>
      </c>
      <c r="D2310" s="33" t="s">
        <v>428</v>
      </c>
      <c r="E2310" s="40">
        <v>142.02</v>
      </c>
      <c r="F2310" s="40">
        <v>0.0</v>
      </c>
      <c r="G2310" s="33" t="s">
        <v>442</v>
      </c>
    </row>
    <row r="2311" ht="15.75" customHeight="1">
      <c r="A2311" s="33" t="s">
        <v>6297</v>
      </c>
      <c r="B2311" s="33" t="s">
        <v>692</v>
      </c>
      <c r="C2311" s="39">
        <v>45842.0</v>
      </c>
      <c r="D2311" s="33" t="s">
        <v>479</v>
      </c>
      <c r="E2311" s="40">
        <v>59.1</v>
      </c>
      <c r="F2311" s="40">
        <v>0.68</v>
      </c>
      <c r="G2311" s="33" t="s">
        <v>450</v>
      </c>
    </row>
    <row r="2312" ht="15.75" customHeight="1">
      <c r="A2312" s="33" t="s">
        <v>6298</v>
      </c>
      <c r="B2312" s="33" t="s">
        <v>3687</v>
      </c>
      <c r="C2312" s="39">
        <v>45890.0</v>
      </c>
      <c r="D2312" s="33" t="s">
        <v>428</v>
      </c>
      <c r="E2312" s="40">
        <v>58.56</v>
      </c>
      <c r="F2312" s="40">
        <v>0.0</v>
      </c>
      <c r="G2312" s="33" t="s">
        <v>442</v>
      </c>
    </row>
    <row r="2313" ht="15.75" customHeight="1">
      <c r="A2313" s="33" t="s">
        <v>6299</v>
      </c>
      <c r="B2313" s="33" t="s">
        <v>1850</v>
      </c>
      <c r="C2313" s="39">
        <v>45753.0</v>
      </c>
      <c r="D2313" s="33" t="s">
        <v>479</v>
      </c>
      <c r="E2313" s="40">
        <v>114.43</v>
      </c>
      <c r="F2313" s="40">
        <v>1.67</v>
      </c>
      <c r="G2313" s="33" t="s">
        <v>450</v>
      </c>
    </row>
    <row r="2314" ht="15.75" customHeight="1">
      <c r="A2314" s="33" t="s">
        <v>6300</v>
      </c>
      <c r="B2314" s="33" t="s">
        <v>902</v>
      </c>
      <c r="C2314" s="39">
        <v>45879.0</v>
      </c>
      <c r="D2314" s="33" t="s">
        <v>479</v>
      </c>
      <c r="E2314" s="40">
        <v>173.66</v>
      </c>
      <c r="F2314" s="40">
        <v>1.96</v>
      </c>
      <c r="G2314" s="33" t="s">
        <v>450</v>
      </c>
    </row>
    <row r="2315" ht="15.75" customHeight="1">
      <c r="A2315" s="33" t="s">
        <v>6301</v>
      </c>
      <c r="B2315" s="33" t="s">
        <v>317</v>
      </c>
      <c r="C2315" s="39">
        <v>45898.0</v>
      </c>
      <c r="D2315" s="33" t="s">
        <v>479</v>
      </c>
      <c r="E2315" s="40">
        <v>109.78</v>
      </c>
      <c r="F2315" s="40">
        <v>1.05</v>
      </c>
      <c r="G2315" s="33" t="s">
        <v>442</v>
      </c>
    </row>
    <row r="2316" ht="15.75" customHeight="1">
      <c r="A2316" s="33" t="s">
        <v>6302</v>
      </c>
      <c r="B2316" s="33" t="s">
        <v>634</v>
      </c>
      <c r="C2316" s="39">
        <v>45794.0</v>
      </c>
      <c r="D2316" s="33" t="s">
        <v>440</v>
      </c>
      <c r="E2316" s="40">
        <v>60.92</v>
      </c>
      <c r="F2316" s="40">
        <v>0.0</v>
      </c>
      <c r="G2316" s="33" t="s">
        <v>431</v>
      </c>
    </row>
    <row r="2317" ht="15.75" customHeight="1">
      <c r="A2317" s="33" t="s">
        <v>6303</v>
      </c>
      <c r="B2317" s="33" t="s">
        <v>352</v>
      </c>
      <c r="C2317" s="39">
        <v>46252.0</v>
      </c>
      <c r="D2317" s="33" t="s">
        <v>479</v>
      </c>
      <c r="E2317" s="40">
        <v>161.09</v>
      </c>
      <c r="F2317" s="40">
        <v>1.72</v>
      </c>
      <c r="G2317" s="33" t="s">
        <v>442</v>
      </c>
    </row>
    <row r="2318" ht="15.75" customHeight="1">
      <c r="A2318" s="33" t="s">
        <v>6304</v>
      </c>
      <c r="B2318" s="33" t="s">
        <v>518</v>
      </c>
      <c r="C2318" s="39">
        <v>45827.0</v>
      </c>
      <c r="D2318" s="33" t="s">
        <v>440</v>
      </c>
      <c r="E2318" s="40">
        <v>99.88</v>
      </c>
      <c r="F2318" s="40">
        <v>0.0</v>
      </c>
      <c r="G2318" s="33" t="s">
        <v>450</v>
      </c>
    </row>
    <row r="2319" ht="15.75" customHeight="1">
      <c r="A2319" s="33" t="s">
        <v>6305</v>
      </c>
      <c r="B2319" s="33" t="s">
        <v>177</v>
      </c>
      <c r="C2319" s="39">
        <v>45767.0</v>
      </c>
      <c r="D2319" s="33" t="s">
        <v>461</v>
      </c>
      <c r="E2319" s="40">
        <v>199.61</v>
      </c>
      <c r="F2319" s="40">
        <v>2.45</v>
      </c>
      <c r="G2319" s="33" t="s">
        <v>450</v>
      </c>
    </row>
    <row r="2320" ht="15.75" customHeight="1">
      <c r="A2320" s="33" t="s">
        <v>6306</v>
      </c>
      <c r="B2320" s="33" t="s">
        <v>1887</v>
      </c>
      <c r="C2320" s="39">
        <v>45990.0</v>
      </c>
      <c r="D2320" s="33" t="s">
        <v>461</v>
      </c>
      <c r="E2320" s="40">
        <v>236.37</v>
      </c>
      <c r="F2320" s="40">
        <v>2.21</v>
      </c>
      <c r="G2320" s="33" t="s">
        <v>450</v>
      </c>
    </row>
    <row r="2321" ht="15.75" customHeight="1">
      <c r="A2321" s="33" t="s">
        <v>6307</v>
      </c>
      <c r="B2321" s="33" t="s">
        <v>838</v>
      </c>
      <c r="C2321" s="39">
        <v>45851.0</v>
      </c>
      <c r="D2321" s="33" t="s">
        <v>440</v>
      </c>
      <c r="E2321" s="40">
        <v>108.46</v>
      </c>
      <c r="F2321" s="40">
        <v>0.0</v>
      </c>
      <c r="G2321" s="33" t="s">
        <v>450</v>
      </c>
    </row>
    <row r="2322" ht="15.75" customHeight="1">
      <c r="A2322" s="33" t="s">
        <v>6308</v>
      </c>
      <c r="B2322" s="33" t="s">
        <v>819</v>
      </c>
      <c r="C2322" s="39">
        <v>45933.0</v>
      </c>
      <c r="D2322" s="33" t="s">
        <v>428</v>
      </c>
      <c r="E2322" s="40">
        <v>190.03</v>
      </c>
      <c r="F2322" s="40">
        <v>0.0</v>
      </c>
      <c r="G2322" s="33" t="s">
        <v>442</v>
      </c>
    </row>
    <row r="2323" ht="15.75" customHeight="1">
      <c r="A2323" s="33" t="s">
        <v>6309</v>
      </c>
      <c r="B2323" s="33" t="s">
        <v>470</v>
      </c>
      <c r="C2323" s="39">
        <v>46098.0</v>
      </c>
      <c r="D2323" s="33" t="s">
        <v>479</v>
      </c>
      <c r="E2323" s="40">
        <v>193.93</v>
      </c>
      <c r="F2323" s="40">
        <v>3.45</v>
      </c>
      <c r="G2323" s="33" t="s">
        <v>431</v>
      </c>
    </row>
    <row r="2324" ht="15.75" customHeight="1">
      <c r="A2324" s="33" t="s">
        <v>6310</v>
      </c>
      <c r="B2324" s="33" t="s">
        <v>2040</v>
      </c>
      <c r="C2324" s="39">
        <v>45705.0</v>
      </c>
      <c r="D2324" s="33" t="s">
        <v>428</v>
      </c>
      <c r="E2324" s="40">
        <v>72.3</v>
      </c>
      <c r="F2324" s="40">
        <v>0.0</v>
      </c>
      <c r="G2324" s="33" t="s">
        <v>450</v>
      </c>
    </row>
    <row r="2325" ht="15.75" customHeight="1">
      <c r="A2325" s="33" t="s">
        <v>6311</v>
      </c>
      <c r="B2325" s="33" t="s">
        <v>1113</v>
      </c>
      <c r="C2325" s="39">
        <v>45967.0</v>
      </c>
      <c r="D2325" s="33" t="s">
        <v>461</v>
      </c>
      <c r="E2325" s="40">
        <v>193.89</v>
      </c>
      <c r="F2325" s="40">
        <v>1.02</v>
      </c>
      <c r="G2325" s="33" t="s">
        <v>450</v>
      </c>
    </row>
    <row r="2326" ht="15.75" customHeight="1">
      <c r="A2326" s="33" t="s">
        <v>6312</v>
      </c>
      <c r="B2326" s="33" t="s">
        <v>713</v>
      </c>
      <c r="C2326" s="39">
        <v>45671.0</v>
      </c>
      <c r="D2326" s="33" t="s">
        <v>428</v>
      </c>
      <c r="E2326" s="40">
        <v>83.32</v>
      </c>
      <c r="F2326" s="40">
        <v>0.0</v>
      </c>
      <c r="G2326" s="33" t="s">
        <v>431</v>
      </c>
    </row>
    <row r="2327" ht="15.75" customHeight="1">
      <c r="A2327" s="33" t="s">
        <v>6313</v>
      </c>
      <c r="B2327" s="33" t="s">
        <v>195</v>
      </c>
      <c r="C2327" s="39">
        <v>45684.0</v>
      </c>
      <c r="D2327" s="33" t="s">
        <v>428</v>
      </c>
      <c r="E2327" s="40">
        <v>132.62</v>
      </c>
      <c r="F2327" s="40">
        <v>0.0</v>
      </c>
      <c r="G2327" s="33" t="s">
        <v>450</v>
      </c>
    </row>
    <row r="2328" ht="15.75" customHeight="1">
      <c r="A2328" s="33" t="s">
        <v>6314</v>
      </c>
      <c r="B2328" s="33" t="s">
        <v>2362</v>
      </c>
      <c r="C2328" s="39">
        <v>45714.0</v>
      </c>
      <c r="D2328" s="33" t="s">
        <v>440</v>
      </c>
      <c r="E2328" s="40">
        <v>77.05</v>
      </c>
      <c r="F2328" s="40">
        <v>0.0</v>
      </c>
      <c r="G2328" s="33" t="s">
        <v>450</v>
      </c>
    </row>
    <row r="2329" ht="15.75" customHeight="1">
      <c r="A2329" s="33" t="s">
        <v>6315</v>
      </c>
      <c r="B2329" s="33" t="s">
        <v>929</v>
      </c>
      <c r="C2329" s="39">
        <v>45756.0</v>
      </c>
      <c r="D2329" s="33" t="s">
        <v>440</v>
      </c>
      <c r="E2329" s="40">
        <v>19.11</v>
      </c>
      <c r="F2329" s="40">
        <v>0.0</v>
      </c>
      <c r="G2329" s="33" t="s">
        <v>431</v>
      </c>
    </row>
    <row r="2330" ht="15.75" customHeight="1">
      <c r="A2330" s="33" t="s">
        <v>6316</v>
      </c>
      <c r="B2330" s="33" t="s">
        <v>3687</v>
      </c>
      <c r="C2330" s="39">
        <v>45870.0</v>
      </c>
      <c r="D2330" s="33" t="s">
        <v>428</v>
      </c>
      <c r="E2330" s="40">
        <v>282.68</v>
      </c>
      <c r="F2330" s="40">
        <v>0.0</v>
      </c>
      <c r="G2330" s="33" t="s">
        <v>431</v>
      </c>
    </row>
    <row r="2331" ht="15.75" customHeight="1">
      <c r="A2331" s="33" t="s">
        <v>6317</v>
      </c>
      <c r="B2331" s="33" t="s">
        <v>992</v>
      </c>
      <c r="C2331" s="39">
        <v>46225.0</v>
      </c>
      <c r="D2331" s="33" t="s">
        <v>440</v>
      </c>
      <c r="E2331" s="40">
        <v>128.87</v>
      </c>
      <c r="F2331" s="40">
        <v>0.0</v>
      </c>
      <c r="G2331" s="33" t="s">
        <v>431</v>
      </c>
    </row>
    <row r="2332" ht="15.75" customHeight="1">
      <c r="A2332" s="33" t="s">
        <v>6318</v>
      </c>
      <c r="B2332" s="33" t="s">
        <v>1693</v>
      </c>
      <c r="C2332" s="39">
        <v>46208.0</v>
      </c>
      <c r="D2332" s="33" t="s">
        <v>461</v>
      </c>
      <c r="E2332" s="40">
        <v>137.1</v>
      </c>
      <c r="F2332" s="40">
        <v>1.81</v>
      </c>
      <c r="G2332" s="33" t="s">
        <v>431</v>
      </c>
    </row>
    <row r="2333" ht="15.75" customHeight="1">
      <c r="A2333" s="33" t="s">
        <v>6319</v>
      </c>
      <c r="B2333" s="33" t="s">
        <v>2276</v>
      </c>
      <c r="C2333" s="39">
        <v>45720.0</v>
      </c>
      <c r="D2333" s="33" t="s">
        <v>435</v>
      </c>
      <c r="E2333" s="40">
        <v>89.63</v>
      </c>
      <c r="F2333" s="40">
        <v>0.0</v>
      </c>
      <c r="G2333" s="33" t="s">
        <v>450</v>
      </c>
    </row>
    <row r="2334" ht="15.75" customHeight="1">
      <c r="A2334" s="33" t="s">
        <v>6320</v>
      </c>
      <c r="B2334" s="33" t="s">
        <v>371</v>
      </c>
      <c r="C2334" s="39">
        <v>46259.0</v>
      </c>
      <c r="D2334" s="33" t="s">
        <v>428</v>
      </c>
      <c r="E2334" s="40">
        <v>192.94</v>
      </c>
      <c r="F2334" s="40">
        <v>0.0</v>
      </c>
      <c r="G2334" s="33" t="s">
        <v>450</v>
      </c>
    </row>
    <row r="2335" ht="15.75" customHeight="1">
      <c r="A2335" s="33" t="s">
        <v>6321</v>
      </c>
      <c r="B2335" s="33" t="s">
        <v>2308</v>
      </c>
      <c r="C2335" s="39">
        <v>46043.0</v>
      </c>
      <c r="D2335" s="33" t="s">
        <v>461</v>
      </c>
      <c r="E2335" s="40">
        <v>71.0</v>
      </c>
      <c r="F2335" s="40">
        <v>0.8</v>
      </c>
      <c r="G2335" s="33" t="s">
        <v>431</v>
      </c>
    </row>
    <row r="2336" ht="15.75" customHeight="1">
      <c r="A2336" s="33" t="s">
        <v>6322</v>
      </c>
      <c r="B2336" s="33" t="s">
        <v>2934</v>
      </c>
      <c r="C2336" s="39">
        <v>45994.0</v>
      </c>
      <c r="D2336" s="33" t="s">
        <v>479</v>
      </c>
      <c r="E2336" s="40">
        <v>74.79</v>
      </c>
      <c r="F2336" s="40">
        <v>1.44</v>
      </c>
      <c r="G2336" s="33" t="s">
        <v>450</v>
      </c>
    </row>
    <row r="2337" ht="15.75" customHeight="1">
      <c r="A2337" s="33" t="s">
        <v>6323</v>
      </c>
      <c r="B2337" s="33" t="s">
        <v>273</v>
      </c>
      <c r="C2337" s="39">
        <v>46138.0</v>
      </c>
      <c r="D2337" s="33" t="s">
        <v>479</v>
      </c>
      <c r="E2337" s="40">
        <v>30.71</v>
      </c>
      <c r="F2337" s="40">
        <v>0.43</v>
      </c>
      <c r="G2337" s="33" t="s">
        <v>450</v>
      </c>
    </row>
    <row r="2338" ht="15.75" customHeight="1">
      <c r="A2338" s="33" t="s">
        <v>6324</v>
      </c>
      <c r="B2338" s="33" t="s">
        <v>401</v>
      </c>
      <c r="C2338" s="39">
        <v>45952.0</v>
      </c>
      <c r="D2338" s="33" t="s">
        <v>461</v>
      </c>
      <c r="E2338" s="40">
        <v>96.75</v>
      </c>
      <c r="F2338" s="40">
        <v>1.75</v>
      </c>
      <c r="G2338" s="33" t="s">
        <v>450</v>
      </c>
    </row>
    <row r="2339" ht="15.75" customHeight="1">
      <c r="A2339" s="33" t="s">
        <v>6325</v>
      </c>
      <c r="B2339" s="33" t="s">
        <v>268</v>
      </c>
      <c r="C2339" s="39">
        <v>45819.0</v>
      </c>
      <c r="D2339" s="33" t="s">
        <v>440</v>
      </c>
      <c r="E2339" s="40">
        <v>186.25</v>
      </c>
      <c r="F2339" s="40">
        <v>0.0</v>
      </c>
      <c r="G2339" s="33" t="s">
        <v>431</v>
      </c>
    </row>
    <row r="2340" ht="15.75" customHeight="1">
      <c r="A2340" s="33" t="s">
        <v>6326</v>
      </c>
      <c r="B2340" s="33" t="s">
        <v>294</v>
      </c>
      <c r="C2340" s="39">
        <v>45979.0</v>
      </c>
      <c r="D2340" s="33" t="s">
        <v>440</v>
      </c>
      <c r="E2340" s="40">
        <v>71.71</v>
      </c>
      <c r="F2340" s="40">
        <v>0.0</v>
      </c>
      <c r="G2340" s="33" t="s">
        <v>450</v>
      </c>
    </row>
    <row r="2341" ht="15.75" customHeight="1">
      <c r="A2341" s="33" t="s">
        <v>6327</v>
      </c>
      <c r="B2341" s="33" t="s">
        <v>510</v>
      </c>
      <c r="C2341" s="39">
        <v>46098.0</v>
      </c>
      <c r="D2341" s="33" t="s">
        <v>440</v>
      </c>
      <c r="E2341" s="40">
        <v>26.8</v>
      </c>
      <c r="F2341" s="40">
        <v>0.0</v>
      </c>
      <c r="G2341" s="33" t="s">
        <v>442</v>
      </c>
    </row>
    <row r="2342" ht="15.75" customHeight="1">
      <c r="A2342" s="33" t="s">
        <v>6328</v>
      </c>
      <c r="B2342" s="33" t="s">
        <v>2650</v>
      </c>
      <c r="C2342" s="39">
        <v>46072.0</v>
      </c>
      <c r="D2342" s="33" t="s">
        <v>435</v>
      </c>
      <c r="E2342" s="40">
        <v>160.06</v>
      </c>
      <c r="F2342" s="40">
        <v>0.0</v>
      </c>
      <c r="G2342" s="33" t="s">
        <v>450</v>
      </c>
    </row>
    <row r="2343" ht="15.75" customHeight="1">
      <c r="A2343" s="33" t="s">
        <v>6329</v>
      </c>
      <c r="B2343" s="33" t="s">
        <v>3440</v>
      </c>
      <c r="C2343" s="39">
        <v>45761.0</v>
      </c>
      <c r="D2343" s="33" t="s">
        <v>428</v>
      </c>
      <c r="E2343" s="40">
        <v>115.22</v>
      </c>
      <c r="F2343" s="40">
        <v>0.0</v>
      </c>
      <c r="G2343" s="33" t="s">
        <v>450</v>
      </c>
    </row>
    <row r="2344" ht="15.75" customHeight="1">
      <c r="A2344" s="33" t="s">
        <v>6330</v>
      </c>
      <c r="B2344" s="33" t="s">
        <v>371</v>
      </c>
      <c r="C2344" s="39">
        <v>46227.0</v>
      </c>
      <c r="D2344" s="33" t="s">
        <v>461</v>
      </c>
      <c r="E2344" s="40">
        <v>260.61</v>
      </c>
      <c r="F2344" s="40">
        <v>4.09</v>
      </c>
      <c r="G2344" s="33" t="s">
        <v>431</v>
      </c>
    </row>
    <row r="2345" ht="15.75" customHeight="1">
      <c r="A2345" s="33" t="s">
        <v>6331</v>
      </c>
      <c r="B2345" s="33" t="s">
        <v>2283</v>
      </c>
      <c r="C2345" s="39">
        <v>45830.0</v>
      </c>
      <c r="D2345" s="33" t="s">
        <v>479</v>
      </c>
      <c r="E2345" s="40">
        <v>41.31</v>
      </c>
      <c r="F2345" s="40">
        <v>0.25</v>
      </c>
      <c r="G2345" s="33" t="s">
        <v>431</v>
      </c>
    </row>
    <row r="2346" ht="15.75" customHeight="1">
      <c r="A2346" s="33" t="s">
        <v>6332</v>
      </c>
      <c r="B2346" s="33" t="s">
        <v>1966</v>
      </c>
      <c r="C2346" s="39">
        <v>46155.0</v>
      </c>
      <c r="D2346" s="33" t="s">
        <v>428</v>
      </c>
      <c r="E2346" s="40">
        <v>129.22</v>
      </c>
      <c r="F2346" s="40">
        <v>0.0</v>
      </c>
      <c r="G2346" s="33" t="s">
        <v>450</v>
      </c>
    </row>
    <row r="2347" ht="15.75" customHeight="1">
      <c r="A2347" s="33" t="s">
        <v>6333</v>
      </c>
      <c r="B2347" s="33" t="s">
        <v>1470</v>
      </c>
      <c r="C2347" s="39">
        <v>45847.0</v>
      </c>
      <c r="D2347" s="33" t="s">
        <v>461</v>
      </c>
      <c r="E2347" s="40">
        <v>25.67</v>
      </c>
      <c r="F2347" s="40">
        <v>0.25</v>
      </c>
      <c r="G2347" s="33" t="s">
        <v>431</v>
      </c>
    </row>
    <row r="2348" ht="15.75" customHeight="1">
      <c r="A2348" s="33" t="s">
        <v>6334</v>
      </c>
      <c r="B2348" s="33" t="s">
        <v>4287</v>
      </c>
      <c r="C2348" s="39">
        <v>45696.0</v>
      </c>
      <c r="D2348" s="33" t="s">
        <v>479</v>
      </c>
      <c r="E2348" s="40">
        <v>78.75</v>
      </c>
      <c r="F2348" s="40">
        <v>1.32</v>
      </c>
      <c r="G2348" s="33" t="s">
        <v>442</v>
      </c>
    </row>
    <row r="2349" ht="15.75" customHeight="1">
      <c r="A2349" s="33" t="s">
        <v>6335</v>
      </c>
      <c r="B2349" s="33" t="s">
        <v>1510</v>
      </c>
      <c r="C2349" s="39">
        <v>46262.0</v>
      </c>
      <c r="D2349" s="33" t="s">
        <v>435</v>
      </c>
      <c r="E2349" s="40">
        <v>90.78</v>
      </c>
      <c r="F2349" s="40">
        <v>0.0</v>
      </c>
      <c r="G2349" s="33" t="s">
        <v>450</v>
      </c>
    </row>
    <row r="2350" ht="15.75" customHeight="1">
      <c r="A2350" s="33" t="s">
        <v>6336</v>
      </c>
      <c r="B2350" s="33" t="s">
        <v>407</v>
      </c>
      <c r="C2350" s="39">
        <v>46015.0</v>
      </c>
      <c r="D2350" s="33" t="s">
        <v>479</v>
      </c>
      <c r="E2350" s="40">
        <v>16.91</v>
      </c>
      <c r="F2350" s="40">
        <v>0.29</v>
      </c>
      <c r="G2350" s="33" t="s">
        <v>431</v>
      </c>
    </row>
    <row r="2351" ht="15.75" customHeight="1">
      <c r="A2351" s="33" t="s">
        <v>6337</v>
      </c>
      <c r="B2351" s="33" t="s">
        <v>311</v>
      </c>
      <c r="C2351" s="39">
        <v>45788.0</v>
      </c>
      <c r="D2351" s="33" t="s">
        <v>435</v>
      </c>
      <c r="E2351" s="40">
        <v>176.95</v>
      </c>
      <c r="F2351" s="40">
        <v>0.0</v>
      </c>
      <c r="G2351" s="33" t="s">
        <v>442</v>
      </c>
    </row>
    <row r="2352" ht="15.75" customHeight="1">
      <c r="A2352" s="33" t="s">
        <v>6338</v>
      </c>
      <c r="B2352" s="33" t="s">
        <v>1547</v>
      </c>
      <c r="C2352" s="39">
        <v>45658.0</v>
      </c>
      <c r="D2352" s="33" t="s">
        <v>461</v>
      </c>
      <c r="E2352" s="40">
        <v>144.54</v>
      </c>
      <c r="F2352" s="40">
        <v>2.87</v>
      </c>
      <c r="G2352" s="33" t="s">
        <v>431</v>
      </c>
    </row>
    <row r="2353" ht="15.75" customHeight="1">
      <c r="A2353" s="33" t="s">
        <v>6339</v>
      </c>
      <c r="B2353" s="33" t="s">
        <v>2917</v>
      </c>
      <c r="C2353" s="39">
        <v>45736.0</v>
      </c>
      <c r="D2353" s="33" t="s">
        <v>435</v>
      </c>
      <c r="E2353" s="40">
        <v>115.21</v>
      </c>
      <c r="F2353" s="40">
        <v>0.0</v>
      </c>
      <c r="G2353" s="33" t="s">
        <v>442</v>
      </c>
    </row>
    <row r="2354" ht="15.75" customHeight="1">
      <c r="A2354" s="33" t="s">
        <v>6340</v>
      </c>
      <c r="B2354" s="33" t="s">
        <v>952</v>
      </c>
      <c r="C2354" s="39">
        <v>45761.0</v>
      </c>
      <c r="D2354" s="33" t="s">
        <v>479</v>
      </c>
      <c r="E2354" s="40">
        <v>27.38</v>
      </c>
      <c r="F2354" s="40">
        <v>0.4</v>
      </c>
      <c r="G2354" s="33" t="s">
        <v>431</v>
      </c>
    </row>
    <row r="2355" ht="15.75" customHeight="1">
      <c r="A2355" s="33" t="s">
        <v>6341</v>
      </c>
      <c r="B2355" s="33" t="s">
        <v>308</v>
      </c>
      <c r="C2355" s="39">
        <v>46219.0</v>
      </c>
      <c r="D2355" s="33" t="s">
        <v>440</v>
      </c>
      <c r="E2355" s="40">
        <v>44.97</v>
      </c>
      <c r="F2355" s="40">
        <v>0.0</v>
      </c>
      <c r="G2355" s="33" t="s">
        <v>450</v>
      </c>
    </row>
    <row r="2356" ht="15.75" customHeight="1">
      <c r="A2356" s="33" t="s">
        <v>6342</v>
      </c>
      <c r="B2356" s="33" t="s">
        <v>536</v>
      </c>
      <c r="C2356" s="39">
        <v>45765.0</v>
      </c>
      <c r="D2356" s="33" t="s">
        <v>435</v>
      </c>
      <c r="E2356" s="40">
        <v>156.55</v>
      </c>
      <c r="F2356" s="40">
        <v>0.0</v>
      </c>
      <c r="G2356" s="33" t="s">
        <v>450</v>
      </c>
    </row>
    <row r="2357" ht="15.75" customHeight="1">
      <c r="A2357" s="33" t="s">
        <v>6343</v>
      </c>
      <c r="B2357" s="33" t="s">
        <v>464</v>
      </c>
      <c r="C2357" s="39">
        <v>45756.0</v>
      </c>
      <c r="D2357" s="33" t="s">
        <v>479</v>
      </c>
      <c r="E2357" s="40">
        <v>78.14</v>
      </c>
      <c r="F2357" s="40">
        <v>0.99</v>
      </c>
      <c r="G2357" s="33" t="s">
        <v>450</v>
      </c>
    </row>
    <row r="2358" ht="15.75" customHeight="1">
      <c r="A2358" s="33" t="s">
        <v>6344</v>
      </c>
      <c r="B2358" s="33" t="s">
        <v>2161</v>
      </c>
      <c r="C2358" s="39">
        <v>46166.0</v>
      </c>
      <c r="D2358" s="33" t="s">
        <v>440</v>
      </c>
      <c r="E2358" s="40">
        <v>66.35</v>
      </c>
      <c r="F2358" s="40">
        <v>0.0</v>
      </c>
      <c r="G2358" s="33" t="s">
        <v>450</v>
      </c>
    </row>
    <row r="2359" ht="15.75" customHeight="1">
      <c r="A2359" s="33" t="s">
        <v>6345</v>
      </c>
      <c r="B2359" s="33" t="s">
        <v>1467</v>
      </c>
      <c r="C2359" s="39">
        <v>46191.0</v>
      </c>
      <c r="D2359" s="33" t="s">
        <v>440</v>
      </c>
      <c r="E2359" s="40">
        <v>189.89</v>
      </c>
      <c r="F2359" s="40">
        <v>0.0</v>
      </c>
      <c r="G2359" s="33" t="s">
        <v>450</v>
      </c>
    </row>
    <row r="2360" ht="15.75" customHeight="1">
      <c r="A2360" s="33" t="s">
        <v>6346</v>
      </c>
      <c r="B2360" s="33" t="s">
        <v>689</v>
      </c>
      <c r="C2360" s="39">
        <v>45784.0</v>
      </c>
      <c r="D2360" s="33" t="s">
        <v>428</v>
      </c>
      <c r="E2360" s="40">
        <v>88.27</v>
      </c>
      <c r="F2360" s="40">
        <v>0.0</v>
      </c>
      <c r="G2360" s="33" t="s">
        <v>450</v>
      </c>
    </row>
    <row r="2361" ht="15.75" customHeight="1">
      <c r="A2361" s="33" t="s">
        <v>6347</v>
      </c>
      <c r="B2361" s="33" t="s">
        <v>1883</v>
      </c>
      <c r="C2361" s="39">
        <v>46052.0</v>
      </c>
      <c r="D2361" s="33" t="s">
        <v>440</v>
      </c>
      <c r="E2361" s="40">
        <v>29.74</v>
      </c>
      <c r="F2361" s="40">
        <v>0.0</v>
      </c>
      <c r="G2361" s="33" t="s">
        <v>431</v>
      </c>
    </row>
    <row r="2362" ht="15.75" customHeight="1">
      <c r="A2362" s="33" t="s">
        <v>6348</v>
      </c>
      <c r="B2362" s="33" t="s">
        <v>2063</v>
      </c>
      <c r="C2362" s="39">
        <v>45982.0</v>
      </c>
      <c r="D2362" s="33" t="s">
        <v>479</v>
      </c>
      <c r="E2362" s="40">
        <v>155.19</v>
      </c>
      <c r="F2362" s="40">
        <v>2.75</v>
      </c>
      <c r="G2362" s="33" t="s">
        <v>442</v>
      </c>
    </row>
    <row r="2363" ht="15.75" customHeight="1">
      <c r="A2363" s="33" t="s">
        <v>6349</v>
      </c>
      <c r="B2363" s="33" t="s">
        <v>177</v>
      </c>
      <c r="C2363" s="39">
        <v>46008.0</v>
      </c>
      <c r="D2363" s="33" t="s">
        <v>435</v>
      </c>
      <c r="E2363" s="40">
        <v>26.13</v>
      </c>
      <c r="F2363" s="40">
        <v>0.0</v>
      </c>
      <c r="G2363" s="33" t="s">
        <v>450</v>
      </c>
    </row>
    <row r="2364" ht="15.75" customHeight="1">
      <c r="A2364" s="33" t="s">
        <v>6350</v>
      </c>
      <c r="B2364" s="33" t="s">
        <v>2715</v>
      </c>
      <c r="C2364" s="39">
        <v>45846.0</v>
      </c>
      <c r="D2364" s="33" t="s">
        <v>440</v>
      </c>
      <c r="E2364" s="40">
        <v>78.67</v>
      </c>
      <c r="F2364" s="40">
        <v>0.0</v>
      </c>
      <c r="G2364" s="33" t="s">
        <v>450</v>
      </c>
    </row>
    <row r="2365" ht="15.75" customHeight="1">
      <c r="A2365" s="33" t="s">
        <v>6351</v>
      </c>
      <c r="B2365" s="33" t="s">
        <v>1157</v>
      </c>
      <c r="C2365" s="39">
        <v>46114.0</v>
      </c>
      <c r="D2365" s="33" t="s">
        <v>440</v>
      </c>
      <c r="E2365" s="40">
        <v>97.89</v>
      </c>
      <c r="F2365" s="40">
        <v>0.0</v>
      </c>
      <c r="G2365" s="33" t="s">
        <v>450</v>
      </c>
    </row>
    <row r="2366" ht="15.75" customHeight="1">
      <c r="A2366" s="33" t="s">
        <v>6352</v>
      </c>
      <c r="B2366" s="33" t="s">
        <v>887</v>
      </c>
      <c r="C2366" s="39">
        <v>46192.0</v>
      </c>
      <c r="D2366" s="33" t="s">
        <v>461</v>
      </c>
      <c r="E2366" s="40">
        <v>132.77</v>
      </c>
      <c r="F2366" s="40">
        <v>1.59</v>
      </c>
      <c r="G2366" s="33" t="s">
        <v>450</v>
      </c>
    </row>
    <row r="2367" ht="15.75" customHeight="1">
      <c r="A2367" s="33" t="s">
        <v>6353</v>
      </c>
      <c r="B2367" s="33" t="s">
        <v>1528</v>
      </c>
      <c r="C2367" s="39">
        <v>46098.0</v>
      </c>
      <c r="D2367" s="33" t="s">
        <v>435</v>
      </c>
      <c r="E2367" s="40">
        <v>20.48</v>
      </c>
      <c r="F2367" s="40">
        <v>0.0</v>
      </c>
      <c r="G2367" s="33" t="s">
        <v>450</v>
      </c>
    </row>
    <row r="2368" ht="15.75" customHeight="1">
      <c r="A2368" s="33" t="s">
        <v>6354</v>
      </c>
      <c r="B2368" s="33" t="s">
        <v>1256</v>
      </c>
      <c r="C2368" s="39">
        <v>46206.0</v>
      </c>
      <c r="D2368" s="33" t="s">
        <v>428</v>
      </c>
      <c r="E2368" s="40">
        <v>6.09</v>
      </c>
      <c r="F2368" s="40">
        <v>0.0</v>
      </c>
      <c r="G2368" s="33" t="s">
        <v>431</v>
      </c>
    </row>
    <row r="2369" ht="15.75" customHeight="1">
      <c r="A2369" s="33" t="s">
        <v>6355</v>
      </c>
      <c r="B2369" s="33" t="s">
        <v>590</v>
      </c>
      <c r="C2369" s="39">
        <v>45725.0</v>
      </c>
      <c r="D2369" s="33" t="s">
        <v>435</v>
      </c>
      <c r="E2369" s="40">
        <v>6.44</v>
      </c>
      <c r="F2369" s="40">
        <v>0.0</v>
      </c>
      <c r="G2369" s="33" t="s">
        <v>450</v>
      </c>
    </row>
    <row r="2370" ht="15.75" customHeight="1">
      <c r="A2370" s="33" t="s">
        <v>6356</v>
      </c>
      <c r="B2370" s="33" t="s">
        <v>1222</v>
      </c>
      <c r="C2370" s="39">
        <v>46056.0</v>
      </c>
      <c r="D2370" s="33" t="s">
        <v>461</v>
      </c>
      <c r="E2370" s="40">
        <v>206.44</v>
      </c>
      <c r="F2370" s="40">
        <v>3.93</v>
      </c>
      <c r="G2370" s="33" t="s">
        <v>450</v>
      </c>
    </row>
    <row r="2371" ht="15.75" customHeight="1">
      <c r="A2371" s="33" t="s">
        <v>6357</v>
      </c>
      <c r="B2371" s="33" t="s">
        <v>649</v>
      </c>
      <c r="C2371" s="39">
        <v>46264.0</v>
      </c>
      <c r="D2371" s="33" t="s">
        <v>435</v>
      </c>
      <c r="E2371" s="40">
        <v>16.98</v>
      </c>
      <c r="F2371" s="40">
        <v>0.0</v>
      </c>
      <c r="G2371" s="33" t="s">
        <v>450</v>
      </c>
    </row>
    <row r="2372" ht="15.75" customHeight="1">
      <c r="A2372" s="33" t="s">
        <v>6358</v>
      </c>
      <c r="B2372" s="33" t="s">
        <v>1043</v>
      </c>
      <c r="C2372" s="39">
        <v>45983.0</v>
      </c>
      <c r="D2372" s="33" t="s">
        <v>428</v>
      </c>
      <c r="E2372" s="40">
        <v>243.15</v>
      </c>
      <c r="F2372" s="40">
        <v>0.0</v>
      </c>
      <c r="G2372" s="33" t="s">
        <v>431</v>
      </c>
    </row>
    <row r="2373" ht="15.75" customHeight="1">
      <c r="A2373" s="33" t="s">
        <v>6359</v>
      </c>
      <c r="B2373" s="33" t="s">
        <v>1473</v>
      </c>
      <c r="C2373" s="39">
        <v>46229.0</v>
      </c>
      <c r="D2373" s="33" t="s">
        <v>461</v>
      </c>
      <c r="E2373" s="40">
        <v>167.05</v>
      </c>
      <c r="F2373" s="40">
        <v>3.24</v>
      </c>
      <c r="G2373" s="33" t="s">
        <v>450</v>
      </c>
    </row>
    <row r="2374" ht="15.75" customHeight="1">
      <c r="A2374" s="33" t="s">
        <v>6360</v>
      </c>
      <c r="B2374" s="33" t="s">
        <v>1383</v>
      </c>
      <c r="C2374" s="39">
        <v>45869.0</v>
      </c>
      <c r="D2374" s="33" t="s">
        <v>428</v>
      </c>
      <c r="E2374" s="40">
        <v>34.92</v>
      </c>
      <c r="F2374" s="40">
        <v>0.0</v>
      </c>
      <c r="G2374" s="33" t="s">
        <v>442</v>
      </c>
    </row>
    <row r="2375" ht="15.75" customHeight="1">
      <c r="A2375" s="33" t="s">
        <v>6361</v>
      </c>
      <c r="B2375" s="33" t="s">
        <v>658</v>
      </c>
      <c r="C2375" s="39">
        <v>46202.0</v>
      </c>
      <c r="D2375" s="33" t="s">
        <v>428</v>
      </c>
      <c r="E2375" s="40">
        <v>9.52</v>
      </c>
      <c r="F2375" s="40">
        <v>0.0</v>
      </c>
      <c r="G2375" s="33" t="s">
        <v>450</v>
      </c>
    </row>
    <row r="2376" ht="15.75" customHeight="1">
      <c r="A2376" s="33" t="s">
        <v>6362</v>
      </c>
      <c r="B2376" s="33" t="s">
        <v>3850</v>
      </c>
      <c r="C2376" s="39">
        <v>46227.0</v>
      </c>
      <c r="D2376" s="33" t="s">
        <v>428</v>
      </c>
      <c r="E2376" s="40">
        <v>83.41</v>
      </c>
      <c r="F2376" s="40">
        <v>0.0</v>
      </c>
      <c r="G2376" s="33" t="s">
        <v>450</v>
      </c>
    </row>
    <row r="2377" ht="15.75" customHeight="1">
      <c r="A2377" s="33" t="s">
        <v>6363</v>
      </c>
      <c r="B2377" s="33" t="s">
        <v>1828</v>
      </c>
      <c r="C2377" s="39">
        <v>46035.0</v>
      </c>
      <c r="D2377" s="33" t="s">
        <v>461</v>
      </c>
      <c r="E2377" s="40">
        <v>51.26</v>
      </c>
      <c r="F2377" s="40">
        <v>0.71</v>
      </c>
      <c r="G2377" s="33" t="s">
        <v>431</v>
      </c>
    </row>
    <row r="2378" ht="15.75" customHeight="1">
      <c r="A2378" s="33" t="s">
        <v>6364</v>
      </c>
      <c r="B2378" s="33" t="s">
        <v>753</v>
      </c>
      <c r="C2378" s="39">
        <v>46085.0</v>
      </c>
      <c r="D2378" s="33" t="s">
        <v>428</v>
      </c>
      <c r="E2378" s="40">
        <v>192.07</v>
      </c>
      <c r="F2378" s="40">
        <v>0.0</v>
      </c>
      <c r="G2378" s="33" t="s">
        <v>431</v>
      </c>
    </row>
    <row r="2379" ht="15.75" customHeight="1">
      <c r="A2379" s="33" t="s">
        <v>6365</v>
      </c>
      <c r="B2379" s="33" t="s">
        <v>1972</v>
      </c>
      <c r="C2379" s="39">
        <v>45975.0</v>
      </c>
      <c r="D2379" s="33" t="s">
        <v>435</v>
      </c>
      <c r="E2379" s="40">
        <v>97.15</v>
      </c>
      <c r="F2379" s="40">
        <v>0.0</v>
      </c>
      <c r="G2379" s="33" t="s">
        <v>450</v>
      </c>
    </row>
    <row r="2380" ht="15.75" customHeight="1">
      <c r="A2380" s="33" t="s">
        <v>6366</v>
      </c>
      <c r="B2380" s="33" t="s">
        <v>1416</v>
      </c>
      <c r="C2380" s="39">
        <v>45850.0</v>
      </c>
      <c r="D2380" s="33" t="s">
        <v>461</v>
      </c>
      <c r="E2380" s="40">
        <v>79.38</v>
      </c>
      <c r="F2380" s="40">
        <v>0.59</v>
      </c>
      <c r="G2380" s="33" t="s">
        <v>442</v>
      </c>
    </row>
    <row r="2381" ht="15.75" customHeight="1">
      <c r="A2381" s="33" t="s">
        <v>6367</v>
      </c>
      <c r="B2381" s="33" t="s">
        <v>4287</v>
      </c>
      <c r="C2381" s="39">
        <v>45983.0</v>
      </c>
      <c r="D2381" s="33" t="s">
        <v>428</v>
      </c>
      <c r="E2381" s="40">
        <v>66.64</v>
      </c>
      <c r="F2381" s="40">
        <v>0.0</v>
      </c>
      <c r="G2381" s="33" t="s">
        <v>450</v>
      </c>
    </row>
    <row r="2382" ht="15.75" customHeight="1">
      <c r="A2382" s="33" t="s">
        <v>6368</v>
      </c>
      <c r="B2382" s="33" t="s">
        <v>671</v>
      </c>
      <c r="C2382" s="39">
        <v>46242.0</v>
      </c>
      <c r="D2382" s="33" t="s">
        <v>440</v>
      </c>
      <c r="E2382" s="40">
        <v>132.51</v>
      </c>
      <c r="F2382" s="40">
        <v>0.0</v>
      </c>
      <c r="G2382" s="33" t="s">
        <v>442</v>
      </c>
    </row>
    <row r="2383" ht="15.75" customHeight="1">
      <c r="A2383" s="33" t="s">
        <v>6369</v>
      </c>
      <c r="B2383" s="33" t="s">
        <v>1957</v>
      </c>
      <c r="C2383" s="39">
        <v>45667.0</v>
      </c>
      <c r="D2383" s="33" t="s">
        <v>428</v>
      </c>
      <c r="E2383" s="40">
        <v>73.76</v>
      </c>
      <c r="F2383" s="40">
        <v>0.0</v>
      </c>
      <c r="G2383" s="33" t="s">
        <v>450</v>
      </c>
    </row>
    <row r="2384" ht="15.75" customHeight="1">
      <c r="A2384" s="33" t="s">
        <v>6370</v>
      </c>
      <c r="B2384" s="33" t="s">
        <v>251</v>
      </c>
      <c r="C2384" s="39">
        <v>45782.0</v>
      </c>
      <c r="D2384" s="33" t="s">
        <v>479</v>
      </c>
      <c r="E2384" s="40">
        <v>276.12</v>
      </c>
      <c r="F2384" s="40">
        <v>5.36</v>
      </c>
      <c r="G2384" s="33" t="s">
        <v>442</v>
      </c>
    </row>
    <row r="2385" ht="15.75" customHeight="1">
      <c r="A2385" s="33" t="s">
        <v>6371</v>
      </c>
      <c r="B2385" s="33" t="s">
        <v>1475</v>
      </c>
      <c r="C2385" s="39">
        <v>45961.0</v>
      </c>
      <c r="D2385" s="33" t="s">
        <v>479</v>
      </c>
      <c r="E2385" s="40">
        <v>16.3</v>
      </c>
      <c r="F2385" s="40">
        <v>0.32</v>
      </c>
      <c r="G2385" s="33" t="s">
        <v>431</v>
      </c>
    </row>
    <row r="2386" ht="15.75" customHeight="1">
      <c r="A2386" s="33" t="s">
        <v>6372</v>
      </c>
      <c r="B2386" s="33" t="s">
        <v>2394</v>
      </c>
      <c r="C2386" s="39">
        <v>45864.0</v>
      </c>
      <c r="D2386" s="33" t="s">
        <v>440</v>
      </c>
      <c r="E2386" s="40">
        <v>60.99</v>
      </c>
      <c r="F2386" s="40">
        <v>0.0</v>
      </c>
      <c r="G2386" s="33" t="s">
        <v>450</v>
      </c>
    </row>
    <row r="2387" ht="15.75" customHeight="1">
      <c r="A2387" s="33" t="s">
        <v>6373</v>
      </c>
      <c r="B2387" s="33" t="s">
        <v>287</v>
      </c>
      <c r="C2387" s="39">
        <v>46036.0</v>
      </c>
      <c r="D2387" s="33" t="s">
        <v>435</v>
      </c>
      <c r="E2387" s="40">
        <v>119.15</v>
      </c>
      <c r="F2387" s="40">
        <v>0.0</v>
      </c>
      <c r="G2387" s="33" t="s">
        <v>450</v>
      </c>
    </row>
    <row r="2388" ht="15.75" customHeight="1">
      <c r="A2388" s="33" t="s">
        <v>6374</v>
      </c>
      <c r="B2388" s="33" t="s">
        <v>948</v>
      </c>
      <c r="C2388" s="39">
        <v>45876.0</v>
      </c>
      <c r="D2388" s="33" t="s">
        <v>428</v>
      </c>
      <c r="E2388" s="40">
        <v>107.98</v>
      </c>
      <c r="F2388" s="40">
        <v>0.0</v>
      </c>
      <c r="G2388" s="33" t="s">
        <v>450</v>
      </c>
    </row>
    <row r="2389" ht="15.75" customHeight="1">
      <c r="A2389" s="33" t="s">
        <v>6375</v>
      </c>
      <c r="B2389" s="33" t="s">
        <v>1649</v>
      </c>
      <c r="C2389" s="39">
        <v>46057.0</v>
      </c>
      <c r="D2389" s="33" t="s">
        <v>461</v>
      </c>
      <c r="E2389" s="40">
        <v>275.6</v>
      </c>
      <c r="F2389" s="40">
        <v>3.92</v>
      </c>
      <c r="G2389" s="33" t="s">
        <v>450</v>
      </c>
    </row>
    <row r="2390" ht="15.75" customHeight="1">
      <c r="A2390" s="33" t="s">
        <v>6376</v>
      </c>
      <c r="B2390" s="33" t="s">
        <v>618</v>
      </c>
      <c r="C2390" s="39">
        <v>45722.0</v>
      </c>
      <c r="D2390" s="33" t="s">
        <v>479</v>
      </c>
      <c r="E2390" s="40">
        <v>41.98</v>
      </c>
      <c r="F2390" s="40">
        <v>0.81</v>
      </c>
      <c r="G2390" s="33" t="s">
        <v>450</v>
      </c>
    </row>
    <row r="2391" ht="15.75" customHeight="1">
      <c r="A2391" s="33" t="s">
        <v>6377</v>
      </c>
      <c r="B2391" s="33" t="s">
        <v>458</v>
      </c>
      <c r="C2391" s="39">
        <v>45859.0</v>
      </c>
      <c r="D2391" s="33" t="s">
        <v>428</v>
      </c>
      <c r="E2391" s="40">
        <v>2.55</v>
      </c>
      <c r="F2391" s="40">
        <v>0.0</v>
      </c>
      <c r="G2391" s="33" t="s">
        <v>442</v>
      </c>
    </row>
    <row r="2392" ht="15.75" customHeight="1">
      <c r="A2392" s="33" t="s">
        <v>6378</v>
      </c>
      <c r="B2392" s="33" t="s">
        <v>1311</v>
      </c>
      <c r="C2392" s="39">
        <v>46078.0</v>
      </c>
      <c r="D2392" s="33" t="s">
        <v>435</v>
      </c>
      <c r="E2392" s="40">
        <v>158.1</v>
      </c>
      <c r="F2392" s="40">
        <v>0.0</v>
      </c>
      <c r="G2392" s="33" t="s">
        <v>431</v>
      </c>
    </row>
    <row r="2393" ht="15.75" customHeight="1">
      <c r="A2393" s="33" t="s">
        <v>6379</v>
      </c>
      <c r="B2393" s="33" t="s">
        <v>1527</v>
      </c>
      <c r="C2393" s="39">
        <v>45944.0</v>
      </c>
      <c r="D2393" s="33" t="s">
        <v>461</v>
      </c>
      <c r="E2393" s="40">
        <v>93.72</v>
      </c>
      <c r="F2393" s="40">
        <v>0.98</v>
      </c>
      <c r="G2393" s="33" t="s">
        <v>450</v>
      </c>
    </row>
    <row r="2394" ht="15.75" customHeight="1">
      <c r="A2394" s="33" t="s">
        <v>6380</v>
      </c>
      <c r="B2394" s="33" t="s">
        <v>642</v>
      </c>
      <c r="C2394" s="39">
        <v>46091.0</v>
      </c>
      <c r="D2394" s="33" t="s">
        <v>479</v>
      </c>
      <c r="E2394" s="40">
        <v>159.08</v>
      </c>
      <c r="F2394" s="40">
        <v>1.99</v>
      </c>
      <c r="G2394" s="33" t="s">
        <v>450</v>
      </c>
    </row>
    <row r="2395" ht="15.75" customHeight="1">
      <c r="A2395" s="33" t="s">
        <v>6381</v>
      </c>
      <c r="B2395" s="33" t="s">
        <v>2308</v>
      </c>
      <c r="C2395" s="39">
        <v>46044.0</v>
      </c>
      <c r="D2395" s="33" t="s">
        <v>461</v>
      </c>
      <c r="E2395" s="40">
        <v>104.11</v>
      </c>
      <c r="F2395" s="40">
        <v>0.96</v>
      </c>
      <c r="G2395" s="33" t="s">
        <v>450</v>
      </c>
    </row>
    <row r="2396" ht="15.75" customHeight="1">
      <c r="A2396" s="33" t="s">
        <v>6382</v>
      </c>
      <c r="B2396" s="33" t="s">
        <v>2110</v>
      </c>
      <c r="C2396" s="39">
        <v>45857.0</v>
      </c>
      <c r="D2396" s="33" t="s">
        <v>435</v>
      </c>
      <c r="E2396" s="40">
        <v>4.9</v>
      </c>
      <c r="F2396" s="40">
        <v>0.0</v>
      </c>
      <c r="G2396" s="33" t="s">
        <v>431</v>
      </c>
    </row>
    <row r="2397" ht="15.75" customHeight="1">
      <c r="A2397" s="33" t="s">
        <v>6383</v>
      </c>
      <c r="B2397" s="33" t="s">
        <v>2104</v>
      </c>
      <c r="C2397" s="39">
        <v>45917.0</v>
      </c>
      <c r="D2397" s="33" t="s">
        <v>461</v>
      </c>
      <c r="E2397" s="40">
        <v>109.09</v>
      </c>
      <c r="F2397" s="40">
        <v>1.04</v>
      </c>
      <c r="G2397" s="33" t="s">
        <v>450</v>
      </c>
    </row>
    <row r="2398" ht="15.75" customHeight="1">
      <c r="A2398" s="33" t="s">
        <v>6384</v>
      </c>
      <c r="B2398" s="33" t="s">
        <v>1010</v>
      </c>
      <c r="C2398" s="39">
        <v>46243.0</v>
      </c>
      <c r="D2398" s="33" t="s">
        <v>461</v>
      </c>
      <c r="E2398" s="40">
        <v>41.71</v>
      </c>
      <c r="F2398" s="40">
        <v>0.71</v>
      </c>
      <c r="G2398" s="33" t="s">
        <v>450</v>
      </c>
    </row>
    <row r="2399" ht="15.75" customHeight="1">
      <c r="A2399" s="33" t="s">
        <v>6385</v>
      </c>
      <c r="B2399" s="33" t="s">
        <v>866</v>
      </c>
      <c r="C2399" s="39">
        <v>46242.0</v>
      </c>
      <c r="D2399" s="33" t="s">
        <v>428</v>
      </c>
      <c r="E2399" s="40">
        <v>61.03</v>
      </c>
      <c r="F2399" s="40">
        <v>0.0</v>
      </c>
      <c r="G2399" s="33" t="s">
        <v>431</v>
      </c>
    </row>
    <row r="2400" ht="15.75" customHeight="1">
      <c r="A2400" s="33" t="s">
        <v>6386</v>
      </c>
      <c r="B2400" s="33" t="s">
        <v>2718</v>
      </c>
      <c r="C2400" s="39">
        <v>45679.0</v>
      </c>
      <c r="D2400" s="33" t="s">
        <v>440</v>
      </c>
      <c r="E2400" s="40">
        <v>71.79</v>
      </c>
      <c r="F2400" s="40">
        <v>0.0</v>
      </c>
      <c r="G2400" s="33" t="s">
        <v>450</v>
      </c>
    </row>
    <row r="2401" ht="15.75" customHeight="1">
      <c r="A2401" s="33" t="s">
        <v>6387</v>
      </c>
      <c r="B2401" s="33" t="s">
        <v>916</v>
      </c>
      <c r="C2401" s="39">
        <v>46086.0</v>
      </c>
      <c r="D2401" s="33" t="s">
        <v>435</v>
      </c>
      <c r="E2401" s="40">
        <v>26.1</v>
      </c>
      <c r="F2401" s="40">
        <v>0.0</v>
      </c>
      <c r="G2401" s="33" t="s">
        <v>450</v>
      </c>
    </row>
    <row r="2402" ht="15.75" customHeight="1">
      <c r="A2402" s="33" t="s">
        <v>6388</v>
      </c>
      <c r="B2402" s="33" t="s">
        <v>2283</v>
      </c>
      <c r="C2402" s="39">
        <v>45956.0</v>
      </c>
      <c r="D2402" s="33" t="s">
        <v>435</v>
      </c>
      <c r="E2402" s="40">
        <v>40.43</v>
      </c>
      <c r="F2402" s="40">
        <v>0.0</v>
      </c>
      <c r="G2402" s="33" t="s">
        <v>450</v>
      </c>
    </row>
    <row r="2403" ht="15.75" customHeight="1">
      <c r="A2403" s="33" t="s">
        <v>6389</v>
      </c>
      <c r="B2403" s="33" t="s">
        <v>2283</v>
      </c>
      <c r="C2403" s="39">
        <v>45658.0</v>
      </c>
      <c r="D2403" s="33" t="s">
        <v>435</v>
      </c>
      <c r="E2403" s="40">
        <v>139.08</v>
      </c>
      <c r="F2403" s="40">
        <v>0.0</v>
      </c>
      <c r="G2403" s="33" t="s">
        <v>431</v>
      </c>
    </row>
    <row r="2404" ht="15.75" customHeight="1">
      <c r="A2404" s="33" t="s">
        <v>6390</v>
      </c>
      <c r="B2404" s="33" t="s">
        <v>571</v>
      </c>
      <c r="C2404" s="39">
        <v>46042.0</v>
      </c>
      <c r="D2404" s="33" t="s">
        <v>440</v>
      </c>
      <c r="E2404" s="40">
        <v>138.92</v>
      </c>
      <c r="F2404" s="40">
        <v>0.0</v>
      </c>
      <c r="G2404" s="33" t="s">
        <v>442</v>
      </c>
    </row>
    <row r="2405" ht="15.75" customHeight="1">
      <c r="A2405" s="33" t="s">
        <v>6391</v>
      </c>
      <c r="B2405" s="33" t="s">
        <v>1416</v>
      </c>
      <c r="C2405" s="39">
        <v>45672.0</v>
      </c>
      <c r="D2405" s="33" t="s">
        <v>428</v>
      </c>
      <c r="E2405" s="40">
        <v>14.21</v>
      </c>
      <c r="F2405" s="40">
        <v>0.0</v>
      </c>
      <c r="G2405" s="33" t="s">
        <v>431</v>
      </c>
    </row>
    <row r="2406" ht="15.75" customHeight="1">
      <c r="A2406" s="33" t="s">
        <v>6392</v>
      </c>
      <c r="B2406" s="33" t="s">
        <v>999</v>
      </c>
      <c r="C2406" s="39">
        <v>45851.0</v>
      </c>
      <c r="D2406" s="33" t="s">
        <v>435</v>
      </c>
      <c r="E2406" s="40">
        <v>94.51</v>
      </c>
      <c r="F2406" s="40">
        <v>0.0</v>
      </c>
      <c r="G2406" s="33" t="s">
        <v>450</v>
      </c>
    </row>
    <row r="2407" ht="15.75" customHeight="1">
      <c r="A2407" s="33" t="s">
        <v>6393</v>
      </c>
      <c r="B2407" s="33" t="s">
        <v>1227</v>
      </c>
      <c r="C2407" s="39">
        <v>46077.0</v>
      </c>
      <c r="D2407" s="33" t="s">
        <v>435</v>
      </c>
      <c r="E2407" s="40">
        <v>150.05</v>
      </c>
      <c r="F2407" s="40">
        <v>0.0</v>
      </c>
      <c r="G2407" s="33" t="s">
        <v>442</v>
      </c>
    </row>
    <row r="2408" ht="15.75" customHeight="1">
      <c r="A2408" s="33" t="s">
        <v>6394</v>
      </c>
      <c r="B2408" s="33" t="s">
        <v>3440</v>
      </c>
      <c r="C2408" s="39">
        <v>46151.0</v>
      </c>
      <c r="D2408" s="33" t="s">
        <v>435</v>
      </c>
      <c r="E2408" s="40">
        <v>87.3</v>
      </c>
      <c r="F2408" s="40">
        <v>0.0</v>
      </c>
      <c r="G2408" s="33" t="s">
        <v>442</v>
      </c>
    </row>
    <row r="2409" ht="15.75" customHeight="1">
      <c r="A2409" s="33" t="s">
        <v>6395</v>
      </c>
      <c r="B2409" s="33" t="s">
        <v>2212</v>
      </c>
      <c r="C2409" s="39">
        <v>45908.0</v>
      </c>
      <c r="D2409" s="33" t="s">
        <v>440</v>
      </c>
      <c r="E2409" s="40">
        <v>98.7</v>
      </c>
      <c r="F2409" s="40">
        <v>0.0</v>
      </c>
      <c r="G2409" s="33" t="s">
        <v>450</v>
      </c>
    </row>
    <row r="2410" ht="15.75" customHeight="1">
      <c r="A2410" s="33" t="s">
        <v>6396</v>
      </c>
      <c r="B2410" s="33" t="s">
        <v>306</v>
      </c>
      <c r="C2410" s="39">
        <v>46148.0</v>
      </c>
      <c r="D2410" s="33" t="s">
        <v>461</v>
      </c>
      <c r="E2410" s="40">
        <v>15.49</v>
      </c>
      <c r="F2410" s="40">
        <v>0.11</v>
      </c>
      <c r="G2410" s="33" t="s">
        <v>442</v>
      </c>
    </row>
    <row r="2411" ht="15.75" customHeight="1">
      <c r="A2411" s="33" t="s">
        <v>6397</v>
      </c>
      <c r="B2411" s="33" t="s">
        <v>590</v>
      </c>
      <c r="C2411" s="39">
        <v>46167.0</v>
      </c>
      <c r="D2411" s="33" t="s">
        <v>440</v>
      </c>
      <c r="E2411" s="40">
        <v>187.02</v>
      </c>
      <c r="F2411" s="40">
        <v>0.0</v>
      </c>
      <c r="G2411" s="33" t="s">
        <v>442</v>
      </c>
    </row>
    <row r="2412" ht="15.75" customHeight="1">
      <c r="A2412" s="33" t="s">
        <v>6398</v>
      </c>
      <c r="B2412" s="33" t="s">
        <v>492</v>
      </c>
      <c r="C2412" s="39">
        <v>45929.0</v>
      </c>
      <c r="D2412" s="33" t="s">
        <v>479</v>
      </c>
      <c r="E2412" s="40">
        <v>28.51</v>
      </c>
      <c r="F2412" s="40">
        <v>0.29</v>
      </c>
      <c r="G2412" s="33" t="s">
        <v>442</v>
      </c>
    </row>
    <row r="2413" ht="15.75" customHeight="1">
      <c r="A2413" s="33" t="s">
        <v>6399</v>
      </c>
      <c r="B2413" s="33" t="s">
        <v>2234</v>
      </c>
      <c r="C2413" s="39">
        <v>45763.0</v>
      </c>
      <c r="D2413" s="33" t="s">
        <v>440</v>
      </c>
      <c r="E2413" s="40">
        <v>58.42</v>
      </c>
      <c r="F2413" s="40">
        <v>0.0</v>
      </c>
      <c r="G2413" s="33" t="s">
        <v>450</v>
      </c>
    </row>
    <row r="2414" ht="15.75" customHeight="1">
      <c r="A2414" s="33" t="s">
        <v>6400</v>
      </c>
      <c r="B2414" s="33" t="s">
        <v>2053</v>
      </c>
      <c r="C2414" s="39">
        <v>46058.0</v>
      </c>
      <c r="D2414" s="33" t="s">
        <v>428</v>
      </c>
      <c r="E2414" s="40">
        <v>151.04</v>
      </c>
      <c r="F2414" s="40">
        <v>0.0</v>
      </c>
      <c r="G2414" s="33" t="s">
        <v>431</v>
      </c>
    </row>
    <row r="2415" ht="15.75" customHeight="1">
      <c r="A2415" s="33" t="s">
        <v>6401</v>
      </c>
      <c r="B2415" s="33" t="s">
        <v>1637</v>
      </c>
      <c r="C2415" s="39">
        <v>45666.0</v>
      </c>
      <c r="D2415" s="33" t="s">
        <v>435</v>
      </c>
      <c r="E2415" s="40">
        <v>233.31</v>
      </c>
      <c r="F2415" s="40">
        <v>0.0</v>
      </c>
      <c r="G2415" s="33" t="s">
        <v>450</v>
      </c>
    </row>
    <row r="2416" ht="15.75" customHeight="1">
      <c r="A2416" s="33" t="s">
        <v>6402</v>
      </c>
      <c r="B2416" s="33" t="s">
        <v>692</v>
      </c>
      <c r="C2416" s="39">
        <v>46200.0</v>
      </c>
      <c r="D2416" s="33" t="s">
        <v>440</v>
      </c>
      <c r="E2416" s="40">
        <v>62.53</v>
      </c>
      <c r="F2416" s="40">
        <v>0.0</v>
      </c>
      <c r="G2416" s="33" t="s">
        <v>450</v>
      </c>
    </row>
    <row r="2417" ht="15.75" customHeight="1">
      <c r="A2417" s="33" t="s">
        <v>6403</v>
      </c>
      <c r="B2417" s="33" t="s">
        <v>825</v>
      </c>
      <c r="C2417" s="39">
        <v>45893.0</v>
      </c>
      <c r="D2417" s="33" t="s">
        <v>479</v>
      </c>
      <c r="E2417" s="40">
        <v>322.33</v>
      </c>
      <c r="F2417" s="40">
        <v>2.39</v>
      </c>
      <c r="G2417" s="33" t="s">
        <v>450</v>
      </c>
    </row>
    <row r="2418" ht="15.75" customHeight="1">
      <c r="A2418" s="33" t="s">
        <v>6404</v>
      </c>
      <c r="B2418" s="33" t="s">
        <v>4153</v>
      </c>
      <c r="C2418" s="39">
        <v>46119.0</v>
      </c>
      <c r="D2418" s="33" t="s">
        <v>428</v>
      </c>
      <c r="E2418" s="40">
        <v>89.71</v>
      </c>
      <c r="F2418" s="40">
        <v>0.0</v>
      </c>
      <c r="G2418" s="33" t="s">
        <v>431</v>
      </c>
    </row>
    <row r="2419" ht="15.75" customHeight="1">
      <c r="A2419" s="33" t="s">
        <v>6405</v>
      </c>
      <c r="B2419" s="33" t="s">
        <v>2723</v>
      </c>
      <c r="C2419" s="39">
        <v>46104.0</v>
      </c>
      <c r="D2419" s="33" t="s">
        <v>479</v>
      </c>
      <c r="E2419" s="40">
        <v>82.04</v>
      </c>
      <c r="F2419" s="40">
        <v>0.7</v>
      </c>
      <c r="G2419" s="33" t="s">
        <v>450</v>
      </c>
    </row>
    <row r="2420" ht="15.75" customHeight="1">
      <c r="A2420" s="33" t="s">
        <v>6406</v>
      </c>
      <c r="B2420" s="33" t="s">
        <v>326</v>
      </c>
      <c r="C2420" s="39">
        <v>45945.0</v>
      </c>
      <c r="D2420" s="33" t="s">
        <v>435</v>
      </c>
      <c r="E2420" s="40">
        <v>32.7</v>
      </c>
      <c r="F2420" s="40">
        <v>0.0</v>
      </c>
      <c r="G2420" s="33" t="s">
        <v>450</v>
      </c>
    </row>
    <row r="2421" ht="15.75" customHeight="1">
      <c r="A2421" s="33" t="s">
        <v>6407</v>
      </c>
      <c r="B2421" s="33" t="s">
        <v>2397</v>
      </c>
      <c r="C2421" s="39">
        <v>46247.0</v>
      </c>
      <c r="D2421" s="33" t="s">
        <v>479</v>
      </c>
      <c r="E2421" s="40">
        <v>59.49</v>
      </c>
      <c r="F2421" s="40">
        <v>0.73</v>
      </c>
      <c r="G2421" s="33" t="s">
        <v>431</v>
      </c>
    </row>
    <row r="2422" ht="15.75" customHeight="1">
      <c r="A2422" s="33" t="s">
        <v>6408</v>
      </c>
      <c r="B2422" s="33" t="s">
        <v>2515</v>
      </c>
      <c r="C2422" s="39">
        <v>46141.0</v>
      </c>
      <c r="D2422" s="33" t="s">
        <v>440</v>
      </c>
      <c r="E2422" s="40">
        <v>95.8</v>
      </c>
      <c r="F2422" s="40">
        <v>0.0</v>
      </c>
      <c r="G2422" s="33" t="s">
        <v>450</v>
      </c>
    </row>
    <row r="2423" ht="15.75" customHeight="1">
      <c r="A2423" s="33" t="s">
        <v>6409</v>
      </c>
      <c r="B2423" s="33" t="s">
        <v>732</v>
      </c>
      <c r="C2423" s="39">
        <v>46194.0</v>
      </c>
      <c r="D2423" s="33" t="s">
        <v>440</v>
      </c>
      <c r="E2423" s="40">
        <v>120.3</v>
      </c>
      <c r="F2423" s="40">
        <v>0.0</v>
      </c>
      <c r="G2423" s="33" t="s">
        <v>442</v>
      </c>
    </row>
    <row r="2424" ht="15.75" customHeight="1">
      <c r="A2424" s="33" t="s">
        <v>6410</v>
      </c>
      <c r="B2424" s="33" t="s">
        <v>278</v>
      </c>
      <c r="C2424" s="39">
        <v>45714.0</v>
      </c>
      <c r="D2424" s="33" t="s">
        <v>428</v>
      </c>
      <c r="E2424" s="40">
        <v>116.21</v>
      </c>
      <c r="F2424" s="40">
        <v>0.0</v>
      </c>
      <c r="G2424" s="33" t="s">
        <v>450</v>
      </c>
    </row>
    <row r="2425" ht="15.75" customHeight="1">
      <c r="A2425" s="33" t="s">
        <v>6411</v>
      </c>
      <c r="B2425" s="33" t="s">
        <v>213</v>
      </c>
      <c r="C2425" s="39">
        <v>45951.0</v>
      </c>
      <c r="D2425" s="33" t="s">
        <v>428</v>
      </c>
      <c r="E2425" s="40">
        <v>54.29</v>
      </c>
      <c r="F2425" s="40">
        <v>0.0</v>
      </c>
      <c r="G2425" s="33" t="s">
        <v>442</v>
      </c>
    </row>
    <row r="2426" ht="15.75" customHeight="1">
      <c r="A2426" s="33" t="s">
        <v>6412</v>
      </c>
      <c r="B2426" s="33" t="s">
        <v>441</v>
      </c>
      <c r="C2426" s="39">
        <v>46235.0</v>
      </c>
      <c r="D2426" s="33" t="s">
        <v>440</v>
      </c>
      <c r="E2426" s="40">
        <v>205.17</v>
      </c>
      <c r="F2426" s="40">
        <v>0.0</v>
      </c>
      <c r="G2426" s="33" t="s">
        <v>431</v>
      </c>
    </row>
    <row r="2427" ht="15.75" customHeight="1">
      <c r="A2427" s="33" t="s">
        <v>6413</v>
      </c>
      <c r="B2427" s="33" t="s">
        <v>1605</v>
      </c>
      <c r="C2427" s="39">
        <v>46151.0</v>
      </c>
      <c r="D2427" s="33" t="s">
        <v>479</v>
      </c>
      <c r="E2427" s="40">
        <v>84.18</v>
      </c>
      <c r="F2427" s="40">
        <v>0.74</v>
      </c>
      <c r="G2427" s="33" t="s">
        <v>442</v>
      </c>
    </row>
    <row r="2428" ht="15.75" customHeight="1">
      <c r="A2428" s="33" t="s">
        <v>6414</v>
      </c>
      <c r="B2428" s="33" t="s">
        <v>1014</v>
      </c>
      <c r="C2428" s="39">
        <v>45933.0</v>
      </c>
      <c r="D2428" s="33" t="s">
        <v>479</v>
      </c>
      <c r="E2428" s="40">
        <v>79.94</v>
      </c>
      <c r="F2428" s="40">
        <v>0.66</v>
      </c>
      <c r="G2428" s="33" t="s">
        <v>450</v>
      </c>
    </row>
    <row r="2429" ht="15.75" customHeight="1">
      <c r="A2429" s="33" t="s">
        <v>6415</v>
      </c>
      <c r="B2429" s="33" t="s">
        <v>408</v>
      </c>
      <c r="C2429" s="39">
        <v>45700.0</v>
      </c>
      <c r="D2429" s="33" t="s">
        <v>428</v>
      </c>
      <c r="E2429" s="40">
        <v>30.56</v>
      </c>
      <c r="F2429" s="40">
        <v>0.0</v>
      </c>
      <c r="G2429" s="33" t="s">
        <v>442</v>
      </c>
    </row>
    <row r="2430" ht="15.75" customHeight="1">
      <c r="A2430" s="33" t="s">
        <v>6416</v>
      </c>
      <c r="B2430" s="33" t="s">
        <v>2234</v>
      </c>
      <c r="C2430" s="39">
        <v>45829.0</v>
      </c>
      <c r="D2430" s="33" t="s">
        <v>428</v>
      </c>
      <c r="E2430" s="40">
        <v>129.36</v>
      </c>
      <c r="F2430" s="40">
        <v>0.0</v>
      </c>
      <c r="G2430" s="33" t="s">
        <v>431</v>
      </c>
    </row>
    <row r="2431" ht="15.75" customHeight="1">
      <c r="A2431" s="33" t="s">
        <v>6417</v>
      </c>
      <c r="B2431" s="33" t="s">
        <v>701</v>
      </c>
      <c r="C2431" s="39">
        <v>46005.0</v>
      </c>
      <c r="D2431" s="33" t="s">
        <v>440</v>
      </c>
      <c r="E2431" s="40">
        <v>76.37</v>
      </c>
      <c r="F2431" s="40">
        <v>0.0</v>
      </c>
      <c r="G2431" s="33" t="s">
        <v>431</v>
      </c>
    </row>
    <row r="2432" ht="15.75" customHeight="1">
      <c r="A2432" s="33" t="s">
        <v>6418</v>
      </c>
      <c r="B2432" s="33" t="s">
        <v>769</v>
      </c>
      <c r="C2432" s="39">
        <v>46047.0</v>
      </c>
      <c r="D2432" s="33" t="s">
        <v>435</v>
      </c>
      <c r="E2432" s="40">
        <v>63.23</v>
      </c>
      <c r="F2432" s="40">
        <v>0.0</v>
      </c>
      <c r="G2432" s="33" t="s">
        <v>450</v>
      </c>
    </row>
    <row r="2433" ht="15.75" customHeight="1">
      <c r="A2433" s="33" t="s">
        <v>6419</v>
      </c>
      <c r="B2433" s="33" t="s">
        <v>2063</v>
      </c>
      <c r="C2433" s="39">
        <v>46219.0</v>
      </c>
      <c r="D2433" s="33" t="s">
        <v>435</v>
      </c>
      <c r="E2433" s="40">
        <v>21.83</v>
      </c>
      <c r="F2433" s="40">
        <v>0.0</v>
      </c>
      <c r="G2433" s="33" t="s">
        <v>450</v>
      </c>
    </row>
    <row r="2434" ht="15.75" customHeight="1">
      <c r="A2434" s="33" t="s">
        <v>6420</v>
      </c>
      <c r="B2434" s="33" t="s">
        <v>895</v>
      </c>
      <c r="C2434" s="39">
        <v>45714.0</v>
      </c>
      <c r="D2434" s="33" t="s">
        <v>435</v>
      </c>
      <c r="E2434" s="40">
        <v>22.8</v>
      </c>
      <c r="F2434" s="40">
        <v>0.0</v>
      </c>
      <c r="G2434" s="33" t="s">
        <v>450</v>
      </c>
    </row>
    <row r="2435" ht="15.75" customHeight="1">
      <c r="A2435" s="33" t="s">
        <v>6421</v>
      </c>
      <c r="B2435" s="33" t="s">
        <v>1085</v>
      </c>
      <c r="C2435" s="39">
        <v>45898.0</v>
      </c>
      <c r="D2435" s="33" t="s">
        <v>461</v>
      </c>
      <c r="E2435" s="40">
        <v>103.52</v>
      </c>
      <c r="F2435" s="40">
        <v>0.67</v>
      </c>
      <c r="G2435" s="33" t="s">
        <v>450</v>
      </c>
    </row>
    <row r="2436" ht="15.75" customHeight="1">
      <c r="A2436" s="33" t="s">
        <v>6422</v>
      </c>
      <c r="B2436" s="33" t="s">
        <v>2917</v>
      </c>
      <c r="C2436" s="39">
        <v>45823.0</v>
      </c>
      <c r="D2436" s="33" t="s">
        <v>461</v>
      </c>
      <c r="E2436" s="40">
        <v>226.11</v>
      </c>
      <c r="F2436" s="40">
        <v>2.69</v>
      </c>
      <c r="G2436" s="33" t="s">
        <v>442</v>
      </c>
    </row>
    <row r="2437" ht="15.75" customHeight="1">
      <c r="A2437" s="33" t="s">
        <v>6423</v>
      </c>
      <c r="B2437" s="33" t="s">
        <v>1576</v>
      </c>
      <c r="C2437" s="39">
        <v>46240.0</v>
      </c>
      <c r="D2437" s="33" t="s">
        <v>428</v>
      </c>
      <c r="E2437" s="40">
        <v>67.31</v>
      </c>
      <c r="F2437" s="40">
        <v>0.0</v>
      </c>
      <c r="G2437" s="33" t="s">
        <v>450</v>
      </c>
    </row>
    <row r="2438" ht="15.75" customHeight="1">
      <c r="A2438" s="33" t="s">
        <v>6424</v>
      </c>
      <c r="B2438" s="33" t="s">
        <v>1176</v>
      </c>
      <c r="C2438" s="39">
        <v>45758.0</v>
      </c>
      <c r="D2438" s="33" t="s">
        <v>435</v>
      </c>
      <c r="E2438" s="40">
        <v>66.94</v>
      </c>
      <c r="F2438" s="40">
        <v>0.0</v>
      </c>
      <c r="G2438" s="33" t="s">
        <v>450</v>
      </c>
    </row>
    <row r="2439" ht="15.75" customHeight="1">
      <c r="A2439" s="33" t="s">
        <v>6425</v>
      </c>
      <c r="B2439" s="33" t="s">
        <v>469</v>
      </c>
      <c r="C2439" s="39">
        <v>45791.0</v>
      </c>
      <c r="D2439" s="33" t="s">
        <v>435</v>
      </c>
      <c r="E2439" s="40">
        <v>130.52</v>
      </c>
      <c r="F2439" s="40">
        <v>0.0</v>
      </c>
      <c r="G2439" s="33" t="s">
        <v>431</v>
      </c>
    </row>
    <row r="2440" ht="15.75" customHeight="1">
      <c r="A2440" s="33" t="s">
        <v>6426</v>
      </c>
      <c r="B2440" s="33" t="s">
        <v>225</v>
      </c>
      <c r="C2440" s="39">
        <v>45838.0</v>
      </c>
      <c r="D2440" s="33" t="s">
        <v>435</v>
      </c>
      <c r="E2440" s="40">
        <v>182.35</v>
      </c>
      <c r="F2440" s="40">
        <v>0.0</v>
      </c>
      <c r="G2440" s="33" t="s">
        <v>450</v>
      </c>
    </row>
    <row r="2441" ht="15.75" customHeight="1">
      <c r="A2441" s="33" t="s">
        <v>6427</v>
      </c>
      <c r="B2441" s="33" t="s">
        <v>2303</v>
      </c>
      <c r="C2441" s="39">
        <v>45722.0</v>
      </c>
      <c r="D2441" s="33" t="s">
        <v>461</v>
      </c>
      <c r="E2441" s="40">
        <v>50.06</v>
      </c>
      <c r="F2441" s="40">
        <v>0.76</v>
      </c>
      <c r="G2441" s="33" t="s">
        <v>431</v>
      </c>
    </row>
    <row r="2442" ht="15.75" customHeight="1">
      <c r="A2442" s="33" t="s">
        <v>6428</v>
      </c>
      <c r="B2442" s="33" t="s">
        <v>583</v>
      </c>
      <c r="C2442" s="39">
        <v>46048.0</v>
      </c>
      <c r="D2442" s="33" t="s">
        <v>435</v>
      </c>
      <c r="E2442" s="40">
        <v>31.03</v>
      </c>
      <c r="F2442" s="40">
        <v>0.0</v>
      </c>
      <c r="G2442" s="33" t="s">
        <v>450</v>
      </c>
    </row>
    <row r="2443" ht="15.75" customHeight="1">
      <c r="A2443" s="33" t="s">
        <v>6429</v>
      </c>
      <c r="B2443" s="33" t="s">
        <v>2161</v>
      </c>
      <c r="C2443" s="39">
        <v>45976.0</v>
      </c>
      <c r="D2443" s="33" t="s">
        <v>461</v>
      </c>
      <c r="E2443" s="40">
        <v>74.74</v>
      </c>
      <c r="F2443" s="40">
        <v>0.86</v>
      </c>
      <c r="G2443" s="33" t="s">
        <v>431</v>
      </c>
    </row>
    <row r="2444" ht="15.75" customHeight="1">
      <c r="A2444" s="33" t="s">
        <v>6430</v>
      </c>
      <c r="B2444" s="33" t="s">
        <v>314</v>
      </c>
      <c r="C2444" s="39">
        <v>45996.0</v>
      </c>
      <c r="D2444" s="33" t="s">
        <v>428</v>
      </c>
      <c r="E2444" s="40">
        <v>115.02</v>
      </c>
      <c r="F2444" s="40">
        <v>0.0</v>
      </c>
      <c r="G2444" s="33" t="s">
        <v>450</v>
      </c>
    </row>
    <row r="2445" ht="15.75" customHeight="1">
      <c r="A2445" s="33" t="s">
        <v>6431</v>
      </c>
      <c r="B2445" s="33" t="s">
        <v>1562</v>
      </c>
      <c r="C2445" s="39">
        <v>46208.0</v>
      </c>
      <c r="D2445" s="33" t="s">
        <v>435</v>
      </c>
      <c r="E2445" s="40">
        <v>6.49</v>
      </c>
      <c r="F2445" s="40">
        <v>0.0</v>
      </c>
      <c r="G2445" s="33" t="s">
        <v>442</v>
      </c>
    </row>
    <row r="2446" ht="15.75" customHeight="1">
      <c r="A2446" s="33" t="s">
        <v>6432</v>
      </c>
      <c r="B2446" s="33" t="s">
        <v>1467</v>
      </c>
      <c r="C2446" s="39">
        <v>45920.0</v>
      </c>
      <c r="D2446" s="33" t="s">
        <v>461</v>
      </c>
      <c r="E2446" s="40">
        <v>56.19</v>
      </c>
      <c r="F2446" s="40">
        <v>0.57</v>
      </c>
      <c r="G2446" s="33" t="s">
        <v>450</v>
      </c>
    </row>
    <row r="2447" ht="15.75" customHeight="1">
      <c r="A2447" s="33" t="s">
        <v>6433</v>
      </c>
      <c r="B2447" s="33" t="s">
        <v>2019</v>
      </c>
      <c r="C2447" s="39">
        <v>45846.0</v>
      </c>
      <c r="D2447" s="33" t="s">
        <v>479</v>
      </c>
      <c r="E2447" s="40">
        <v>68.81</v>
      </c>
      <c r="F2447" s="40">
        <v>0.61</v>
      </c>
      <c r="G2447" s="33" t="s">
        <v>450</v>
      </c>
    </row>
    <row r="2448" ht="15.75" customHeight="1">
      <c r="A2448" s="33" t="s">
        <v>6434</v>
      </c>
      <c r="B2448" s="33" t="s">
        <v>2375</v>
      </c>
      <c r="C2448" s="39">
        <v>45885.0</v>
      </c>
      <c r="D2448" s="33" t="s">
        <v>428</v>
      </c>
      <c r="E2448" s="40">
        <v>61.64</v>
      </c>
      <c r="F2448" s="40">
        <v>0.0</v>
      </c>
      <c r="G2448" s="33" t="s">
        <v>450</v>
      </c>
    </row>
    <row r="2449" ht="15.75" customHeight="1">
      <c r="A2449" s="33" t="s">
        <v>6435</v>
      </c>
      <c r="B2449" s="33" t="s">
        <v>806</v>
      </c>
      <c r="C2449" s="39">
        <v>46143.0</v>
      </c>
      <c r="D2449" s="33" t="s">
        <v>440</v>
      </c>
      <c r="E2449" s="40">
        <v>19.68</v>
      </c>
      <c r="F2449" s="40">
        <v>0.0</v>
      </c>
      <c r="G2449" s="33" t="s">
        <v>450</v>
      </c>
    </row>
    <row r="2450" ht="15.75" customHeight="1">
      <c r="A2450" s="33" t="s">
        <v>6436</v>
      </c>
      <c r="B2450" s="33" t="s">
        <v>1065</v>
      </c>
      <c r="C2450" s="39">
        <v>45978.0</v>
      </c>
      <c r="D2450" s="33" t="s">
        <v>440</v>
      </c>
      <c r="E2450" s="40">
        <v>56.37</v>
      </c>
      <c r="F2450" s="40">
        <v>0.0</v>
      </c>
      <c r="G2450" s="33" t="s">
        <v>450</v>
      </c>
    </row>
    <row r="2451" ht="15.75" customHeight="1">
      <c r="A2451" s="33" t="s">
        <v>6437</v>
      </c>
      <c r="B2451" s="33" t="s">
        <v>981</v>
      </c>
      <c r="C2451" s="39">
        <v>45760.0</v>
      </c>
      <c r="D2451" s="33" t="s">
        <v>435</v>
      </c>
      <c r="E2451" s="40">
        <v>69.73</v>
      </c>
      <c r="F2451" s="40">
        <v>0.0</v>
      </c>
      <c r="G2451" s="33" t="s">
        <v>450</v>
      </c>
    </row>
    <row r="2452" ht="15.75" customHeight="1">
      <c r="A2452" s="33" t="s">
        <v>6438</v>
      </c>
      <c r="B2452" s="33" t="s">
        <v>2362</v>
      </c>
      <c r="C2452" s="39">
        <v>46076.0</v>
      </c>
      <c r="D2452" s="33" t="s">
        <v>461</v>
      </c>
      <c r="E2452" s="40">
        <v>36.0</v>
      </c>
      <c r="F2452" s="40">
        <v>0.52</v>
      </c>
      <c r="G2452" s="33" t="s">
        <v>450</v>
      </c>
    </row>
    <row r="2453" ht="15.75" customHeight="1">
      <c r="A2453" s="33" t="s">
        <v>6439</v>
      </c>
      <c r="B2453" s="33" t="s">
        <v>1816</v>
      </c>
      <c r="C2453" s="39">
        <v>46110.0</v>
      </c>
      <c r="D2453" s="33" t="s">
        <v>428</v>
      </c>
      <c r="E2453" s="40">
        <v>96.35</v>
      </c>
      <c r="F2453" s="40">
        <v>0.0</v>
      </c>
      <c r="G2453" s="33" t="s">
        <v>442</v>
      </c>
    </row>
    <row r="2454" ht="15.75" customHeight="1">
      <c r="A2454" s="33" t="s">
        <v>6440</v>
      </c>
      <c r="B2454" s="33" t="s">
        <v>1188</v>
      </c>
      <c r="C2454" s="39">
        <v>45809.0</v>
      </c>
      <c r="D2454" s="33" t="s">
        <v>435</v>
      </c>
      <c r="E2454" s="40">
        <v>144.6</v>
      </c>
      <c r="F2454" s="40">
        <v>0.0</v>
      </c>
      <c r="G2454" s="33" t="s">
        <v>450</v>
      </c>
    </row>
    <row r="2455" ht="15.75" customHeight="1">
      <c r="A2455" s="33" t="s">
        <v>6441</v>
      </c>
      <c r="B2455" s="33" t="s">
        <v>362</v>
      </c>
      <c r="C2455" s="39">
        <v>45996.0</v>
      </c>
      <c r="D2455" s="33" t="s">
        <v>479</v>
      </c>
      <c r="E2455" s="40">
        <v>148.33</v>
      </c>
      <c r="F2455" s="40">
        <v>2.38</v>
      </c>
      <c r="G2455" s="33" t="s">
        <v>450</v>
      </c>
    </row>
    <row r="2456" ht="15.75" customHeight="1">
      <c r="A2456" s="33" t="s">
        <v>6442</v>
      </c>
      <c r="B2456" s="33" t="s">
        <v>2169</v>
      </c>
      <c r="C2456" s="39">
        <v>46000.0</v>
      </c>
      <c r="D2456" s="33" t="s">
        <v>461</v>
      </c>
      <c r="E2456" s="40">
        <v>44.25</v>
      </c>
      <c r="F2456" s="40">
        <v>0.29</v>
      </c>
      <c r="G2456" s="33" t="s">
        <v>431</v>
      </c>
    </row>
    <row r="2457" ht="15.75" customHeight="1">
      <c r="A2457" s="33" t="s">
        <v>6443</v>
      </c>
      <c r="B2457" s="33" t="s">
        <v>1077</v>
      </c>
      <c r="C2457" s="39">
        <v>45764.0</v>
      </c>
      <c r="D2457" s="33" t="s">
        <v>461</v>
      </c>
      <c r="E2457" s="40">
        <v>113.4</v>
      </c>
      <c r="F2457" s="40">
        <v>1.86</v>
      </c>
      <c r="G2457" s="33" t="s">
        <v>450</v>
      </c>
    </row>
    <row r="2458" ht="15.75" customHeight="1">
      <c r="A2458" s="33" t="s">
        <v>6444</v>
      </c>
      <c r="B2458" s="33" t="s">
        <v>2002</v>
      </c>
      <c r="C2458" s="39">
        <v>45663.0</v>
      </c>
      <c r="D2458" s="33" t="s">
        <v>428</v>
      </c>
      <c r="E2458" s="40">
        <v>106.5</v>
      </c>
      <c r="F2458" s="40">
        <v>0.0</v>
      </c>
      <c r="G2458" s="33" t="s">
        <v>442</v>
      </c>
    </row>
    <row r="2459" ht="15.75" customHeight="1">
      <c r="A2459" s="33" t="s">
        <v>6445</v>
      </c>
      <c r="B2459" s="33" t="s">
        <v>726</v>
      </c>
      <c r="C2459" s="39">
        <v>46093.0</v>
      </c>
      <c r="D2459" s="33" t="s">
        <v>461</v>
      </c>
      <c r="E2459" s="40">
        <v>260.56</v>
      </c>
      <c r="F2459" s="40">
        <v>4.69</v>
      </c>
      <c r="G2459" s="33" t="s">
        <v>450</v>
      </c>
    </row>
    <row r="2460" ht="15.75" customHeight="1">
      <c r="A2460" s="33" t="s">
        <v>6446</v>
      </c>
      <c r="B2460" s="33" t="s">
        <v>1825</v>
      </c>
      <c r="C2460" s="39">
        <v>46031.0</v>
      </c>
      <c r="D2460" s="33" t="s">
        <v>428</v>
      </c>
      <c r="E2460" s="40">
        <v>113.83</v>
      </c>
      <c r="F2460" s="40">
        <v>0.0</v>
      </c>
      <c r="G2460" s="33" t="s">
        <v>442</v>
      </c>
    </row>
    <row r="2461" ht="15.75" customHeight="1">
      <c r="A2461" s="33" t="s">
        <v>6447</v>
      </c>
      <c r="B2461" s="33" t="s">
        <v>888</v>
      </c>
      <c r="C2461" s="39">
        <v>46091.0</v>
      </c>
      <c r="D2461" s="33" t="s">
        <v>428</v>
      </c>
      <c r="E2461" s="40">
        <v>118.9</v>
      </c>
      <c r="F2461" s="40">
        <v>0.0</v>
      </c>
      <c r="G2461" s="33" t="s">
        <v>431</v>
      </c>
    </row>
    <row r="2462" ht="15.75" customHeight="1">
      <c r="A2462" s="33" t="s">
        <v>6448</v>
      </c>
      <c r="B2462" s="33" t="s">
        <v>1645</v>
      </c>
      <c r="C2462" s="39">
        <v>45887.0</v>
      </c>
      <c r="D2462" s="33" t="s">
        <v>428</v>
      </c>
      <c r="E2462" s="40">
        <v>165.49</v>
      </c>
      <c r="F2462" s="40">
        <v>0.0</v>
      </c>
      <c r="G2462" s="33" t="s">
        <v>450</v>
      </c>
    </row>
    <row r="2463" ht="15.75" customHeight="1">
      <c r="A2463" s="33" t="s">
        <v>6449</v>
      </c>
      <c r="B2463" s="33" t="s">
        <v>3864</v>
      </c>
      <c r="C2463" s="39">
        <v>45970.0</v>
      </c>
      <c r="D2463" s="33" t="s">
        <v>479</v>
      </c>
      <c r="E2463" s="40">
        <v>25.04</v>
      </c>
      <c r="F2463" s="40">
        <v>0.38</v>
      </c>
      <c r="G2463" s="33" t="s">
        <v>450</v>
      </c>
    </row>
    <row r="2464" ht="15.75" customHeight="1">
      <c r="A2464" s="33" t="s">
        <v>6450</v>
      </c>
      <c r="B2464" s="33" t="s">
        <v>1799</v>
      </c>
      <c r="C2464" s="39">
        <v>46253.0</v>
      </c>
      <c r="D2464" s="33" t="s">
        <v>479</v>
      </c>
      <c r="E2464" s="40">
        <v>82.48</v>
      </c>
      <c r="F2464" s="40">
        <v>1.33</v>
      </c>
      <c r="G2464" s="33" t="s">
        <v>442</v>
      </c>
    </row>
    <row r="2465" ht="15.75" customHeight="1">
      <c r="A2465" s="33" t="s">
        <v>6451</v>
      </c>
      <c r="B2465" s="33" t="s">
        <v>1742</v>
      </c>
      <c r="C2465" s="39">
        <v>45794.0</v>
      </c>
      <c r="D2465" s="33" t="s">
        <v>479</v>
      </c>
      <c r="E2465" s="40">
        <v>235.76</v>
      </c>
      <c r="F2465" s="40">
        <v>2.85</v>
      </c>
      <c r="G2465" s="33" t="s">
        <v>442</v>
      </c>
    </row>
    <row r="2466" ht="15.75" customHeight="1">
      <c r="A2466" s="33" t="s">
        <v>6452</v>
      </c>
      <c r="B2466" s="33" t="s">
        <v>1135</v>
      </c>
      <c r="C2466" s="39">
        <v>46054.0</v>
      </c>
      <c r="D2466" s="33" t="s">
        <v>428</v>
      </c>
      <c r="E2466" s="40">
        <v>239.06</v>
      </c>
      <c r="F2466" s="40">
        <v>0.0</v>
      </c>
      <c r="G2466" s="33" t="s">
        <v>450</v>
      </c>
    </row>
    <row r="2467" ht="15.75" customHeight="1">
      <c r="A2467" s="33" t="s">
        <v>6453</v>
      </c>
      <c r="B2467" s="33" t="s">
        <v>2021</v>
      </c>
      <c r="C2467" s="39">
        <v>45738.0</v>
      </c>
      <c r="D2467" s="33" t="s">
        <v>440</v>
      </c>
      <c r="E2467" s="40">
        <v>56.36</v>
      </c>
      <c r="F2467" s="40">
        <v>0.0</v>
      </c>
      <c r="G2467" s="33" t="s">
        <v>450</v>
      </c>
    </row>
    <row r="2468" ht="15.75" customHeight="1">
      <c r="A2468" s="33" t="s">
        <v>6454</v>
      </c>
      <c r="B2468" s="33" t="s">
        <v>1979</v>
      </c>
      <c r="C2468" s="39">
        <v>45697.0</v>
      </c>
      <c r="D2468" s="33" t="s">
        <v>461</v>
      </c>
      <c r="E2468" s="40">
        <v>231.44</v>
      </c>
      <c r="F2468" s="40">
        <v>1.23</v>
      </c>
      <c r="G2468" s="33" t="s">
        <v>431</v>
      </c>
    </row>
    <row r="2469" ht="15.75" customHeight="1">
      <c r="A2469" s="33" t="s">
        <v>6455</v>
      </c>
      <c r="B2469" s="33" t="s">
        <v>323</v>
      </c>
      <c r="C2469" s="39">
        <v>46239.0</v>
      </c>
      <c r="D2469" s="33" t="s">
        <v>461</v>
      </c>
      <c r="E2469" s="40">
        <v>63.45</v>
      </c>
      <c r="F2469" s="40">
        <v>0.83</v>
      </c>
      <c r="G2469" s="33" t="s">
        <v>450</v>
      </c>
    </row>
    <row r="2470" ht="15.75" customHeight="1">
      <c r="A2470" s="33" t="s">
        <v>6456</v>
      </c>
      <c r="B2470" s="33" t="s">
        <v>2658</v>
      </c>
      <c r="C2470" s="39">
        <v>45736.0</v>
      </c>
      <c r="D2470" s="33" t="s">
        <v>435</v>
      </c>
      <c r="E2470" s="40">
        <v>98.96</v>
      </c>
      <c r="F2470" s="40">
        <v>0.0</v>
      </c>
      <c r="G2470" s="33" t="s">
        <v>431</v>
      </c>
    </row>
    <row r="2471" ht="15.75" customHeight="1">
      <c r="A2471" s="33" t="s">
        <v>6457</v>
      </c>
      <c r="B2471" s="33" t="s">
        <v>2568</v>
      </c>
      <c r="C2471" s="39">
        <v>46056.0</v>
      </c>
      <c r="D2471" s="33" t="s">
        <v>479</v>
      </c>
      <c r="E2471" s="40">
        <v>16.41</v>
      </c>
      <c r="F2471" s="40">
        <v>0.14</v>
      </c>
      <c r="G2471" s="33" t="s">
        <v>442</v>
      </c>
    </row>
    <row r="2472" ht="15.75" customHeight="1">
      <c r="A2472" s="33" t="s">
        <v>6458</v>
      </c>
      <c r="B2472" s="33" t="s">
        <v>1737</v>
      </c>
      <c r="C2472" s="39">
        <v>45970.0</v>
      </c>
      <c r="D2472" s="33" t="s">
        <v>435</v>
      </c>
      <c r="E2472" s="40">
        <v>198.76</v>
      </c>
      <c r="F2472" s="40">
        <v>0.0</v>
      </c>
      <c r="G2472" s="33" t="s">
        <v>450</v>
      </c>
    </row>
    <row r="2473" ht="15.75" customHeight="1">
      <c r="A2473" s="33" t="s">
        <v>6459</v>
      </c>
      <c r="B2473" s="33" t="s">
        <v>3598</v>
      </c>
      <c r="C2473" s="39">
        <v>46149.0</v>
      </c>
      <c r="D2473" s="33" t="s">
        <v>461</v>
      </c>
      <c r="E2473" s="40">
        <v>60.92</v>
      </c>
      <c r="F2473" s="40">
        <v>0.99</v>
      </c>
      <c r="G2473" s="33" t="s">
        <v>450</v>
      </c>
    </row>
    <row r="2474" ht="15.75" customHeight="1">
      <c r="A2474" s="33" t="s">
        <v>6460</v>
      </c>
      <c r="B2474" s="33" t="s">
        <v>1037</v>
      </c>
      <c r="C2474" s="39">
        <v>45989.0</v>
      </c>
      <c r="D2474" s="33" t="s">
        <v>479</v>
      </c>
      <c r="E2474" s="40">
        <v>20.36</v>
      </c>
      <c r="F2474" s="40">
        <v>0.37</v>
      </c>
      <c r="G2474" s="33" t="s">
        <v>431</v>
      </c>
    </row>
    <row r="2475" ht="15.75" customHeight="1">
      <c r="A2475" s="33" t="s">
        <v>6461</v>
      </c>
      <c r="B2475" s="33" t="s">
        <v>1901</v>
      </c>
      <c r="C2475" s="39">
        <v>46081.0</v>
      </c>
      <c r="D2475" s="33" t="s">
        <v>440</v>
      </c>
      <c r="E2475" s="40">
        <v>71.11</v>
      </c>
      <c r="F2475" s="40">
        <v>0.0</v>
      </c>
      <c r="G2475" s="33" t="s">
        <v>442</v>
      </c>
    </row>
    <row r="2476" ht="15.75" customHeight="1">
      <c r="A2476" s="33" t="s">
        <v>6462</v>
      </c>
      <c r="B2476" s="33" t="s">
        <v>1547</v>
      </c>
      <c r="C2476" s="39">
        <v>46200.0</v>
      </c>
      <c r="D2476" s="33" t="s">
        <v>435</v>
      </c>
      <c r="E2476" s="40">
        <v>4.23</v>
      </c>
      <c r="F2476" s="40">
        <v>0.0</v>
      </c>
      <c r="G2476" s="33" t="s">
        <v>450</v>
      </c>
    </row>
    <row r="2477" ht="15.75" customHeight="1">
      <c r="A2477" s="33" t="s">
        <v>6463</v>
      </c>
      <c r="B2477" s="33" t="s">
        <v>952</v>
      </c>
      <c r="C2477" s="39">
        <v>46161.0</v>
      </c>
      <c r="D2477" s="33" t="s">
        <v>435</v>
      </c>
      <c r="E2477" s="40">
        <v>126.46</v>
      </c>
      <c r="F2477" s="40">
        <v>0.0</v>
      </c>
      <c r="G2477" s="33" t="s">
        <v>442</v>
      </c>
    </row>
    <row r="2478" ht="15.75" customHeight="1">
      <c r="A2478" s="33" t="s">
        <v>6464</v>
      </c>
      <c r="B2478" s="33" t="s">
        <v>733</v>
      </c>
      <c r="C2478" s="39">
        <v>46096.0</v>
      </c>
      <c r="D2478" s="33" t="s">
        <v>461</v>
      </c>
      <c r="E2478" s="40">
        <v>174.12</v>
      </c>
      <c r="F2478" s="40">
        <v>2.27</v>
      </c>
      <c r="G2478" s="33" t="s">
        <v>450</v>
      </c>
    </row>
    <row r="2479" ht="15.75" customHeight="1">
      <c r="A2479" s="33" t="s">
        <v>6465</v>
      </c>
      <c r="B2479" s="33" t="s">
        <v>1392</v>
      </c>
      <c r="C2479" s="39">
        <v>45756.0</v>
      </c>
      <c r="D2479" s="33" t="s">
        <v>428</v>
      </c>
      <c r="E2479" s="40">
        <v>31.96</v>
      </c>
      <c r="F2479" s="40">
        <v>0.0</v>
      </c>
      <c r="G2479" s="33" t="s">
        <v>450</v>
      </c>
    </row>
    <row r="2480" ht="15.75" customHeight="1">
      <c r="A2480" s="33" t="s">
        <v>6466</v>
      </c>
      <c r="B2480" s="33" t="s">
        <v>1541</v>
      </c>
      <c r="C2480" s="39">
        <v>45760.0</v>
      </c>
      <c r="D2480" s="33" t="s">
        <v>440</v>
      </c>
      <c r="E2480" s="40">
        <v>30.85</v>
      </c>
      <c r="F2480" s="40">
        <v>0.0</v>
      </c>
      <c r="G2480" s="33" t="s">
        <v>431</v>
      </c>
    </row>
    <row r="2481" ht="15.75" customHeight="1">
      <c r="A2481" s="33" t="s">
        <v>6467</v>
      </c>
      <c r="B2481" s="33" t="s">
        <v>1183</v>
      </c>
      <c r="C2481" s="39">
        <v>45959.0</v>
      </c>
      <c r="D2481" s="33" t="s">
        <v>428</v>
      </c>
      <c r="E2481" s="40">
        <v>119.94</v>
      </c>
      <c r="F2481" s="40">
        <v>0.0</v>
      </c>
      <c r="G2481" s="33" t="s">
        <v>431</v>
      </c>
    </row>
    <row r="2482" ht="15.75" customHeight="1">
      <c r="A2482" s="33" t="s">
        <v>6468</v>
      </c>
      <c r="B2482" s="33" t="s">
        <v>1045</v>
      </c>
      <c r="C2482" s="39">
        <v>46057.0</v>
      </c>
      <c r="D2482" s="33" t="s">
        <v>479</v>
      </c>
      <c r="E2482" s="40">
        <v>130.63</v>
      </c>
      <c r="F2482" s="40">
        <v>2.16</v>
      </c>
      <c r="G2482" s="33" t="s">
        <v>431</v>
      </c>
    </row>
    <row r="2483" ht="15.75" customHeight="1">
      <c r="A2483" s="33" t="s">
        <v>6469</v>
      </c>
      <c r="B2483" s="33" t="s">
        <v>759</v>
      </c>
      <c r="C2483" s="39">
        <v>46062.0</v>
      </c>
      <c r="D2483" s="33" t="s">
        <v>440</v>
      </c>
      <c r="E2483" s="40">
        <v>46.07</v>
      </c>
      <c r="F2483" s="40">
        <v>0.0</v>
      </c>
      <c r="G2483" s="33" t="s">
        <v>442</v>
      </c>
    </row>
    <row r="2484" ht="15.75" customHeight="1">
      <c r="A2484" s="33" t="s">
        <v>6470</v>
      </c>
      <c r="B2484" s="33" t="s">
        <v>686</v>
      </c>
      <c r="C2484" s="39">
        <v>46135.0</v>
      </c>
      <c r="D2484" s="33" t="s">
        <v>479</v>
      </c>
      <c r="E2484" s="40">
        <v>36.16</v>
      </c>
      <c r="F2484" s="40">
        <v>0.47</v>
      </c>
      <c r="G2484" s="33" t="s">
        <v>431</v>
      </c>
    </row>
    <row r="2485" ht="15.75" customHeight="1">
      <c r="A2485" s="33" t="s">
        <v>6471</v>
      </c>
      <c r="B2485" s="33" t="s">
        <v>3140</v>
      </c>
      <c r="C2485" s="39">
        <v>45720.0</v>
      </c>
      <c r="D2485" s="33" t="s">
        <v>461</v>
      </c>
      <c r="E2485" s="40">
        <v>153.2</v>
      </c>
      <c r="F2485" s="40">
        <v>2.26</v>
      </c>
      <c r="G2485" s="33" t="s">
        <v>450</v>
      </c>
    </row>
    <row r="2486" ht="15.75" customHeight="1">
      <c r="A2486" s="33" t="s">
        <v>6472</v>
      </c>
      <c r="B2486" s="33" t="s">
        <v>2239</v>
      </c>
      <c r="C2486" s="39">
        <v>45763.0</v>
      </c>
      <c r="D2486" s="33" t="s">
        <v>428</v>
      </c>
      <c r="E2486" s="40">
        <v>18.27</v>
      </c>
      <c r="F2486" s="40">
        <v>0.0</v>
      </c>
      <c r="G2486" s="33" t="s">
        <v>450</v>
      </c>
    </row>
    <row r="2487" ht="15.75" customHeight="1">
      <c r="A2487" s="33" t="s">
        <v>6473</v>
      </c>
      <c r="B2487" s="33" t="s">
        <v>2478</v>
      </c>
      <c r="C2487" s="39">
        <v>45749.0</v>
      </c>
      <c r="D2487" s="33" t="s">
        <v>479</v>
      </c>
      <c r="E2487" s="40">
        <v>53.77</v>
      </c>
      <c r="F2487" s="40">
        <v>0.71</v>
      </c>
      <c r="G2487" s="33" t="s">
        <v>450</v>
      </c>
    </row>
    <row r="2488" ht="15.75" customHeight="1">
      <c r="A2488" s="33" t="s">
        <v>6474</v>
      </c>
      <c r="B2488" s="33" t="s">
        <v>716</v>
      </c>
      <c r="C2488" s="39">
        <v>45986.0</v>
      </c>
      <c r="D2488" s="33" t="s">
        <v>440</v>
      </c>
      <c r="E2488" s="40">
        <v>35.31</v>
      </c>
      <c r="F2488" s="40">
        <v>0.0</v>
      </c>
      <c r="G2488" s="33" t="s">
        <v>450</v>
      </c>
    </row>
    <row r="2489" ht="15.75" customHeight="1">
      <c r="A2489" s="33" t="s">
        <v>6475</v>
      </c>
      <c r="B2489" s="33" t="s">
        <v>2911</v>
      </c>
      <c r="C2489" s="39">
        <v>46042.0</v>
      </c>
      <c r="D2489" s="33" t="s">
        <v>461</v>
      </c>
      <c r="E2489" s="40">
        <v>118.62</v>
      </c>
      <c r="F2489" s="40">
        <v>1.04</v>
      </c>
      <c r="G2489" s="33" t="s">
        <v>450</v>
      </c>
    </row>
    <row r="2490" ht="15.75" customHeight="1">
      <c r="A2490" s="33" t="s">
        <v>6476</v>
      </c>
      <c r="B2490" s="33" t="s">
        <v>2958</v>
      </c>
      <c r="C2490" s="39">
        <v>45728.0</v>
      </c>
      <c r="D2490" s="33" t="s">
        <v>479</v>
      </c>
      <c r="E2490" s="40">
        <v>37.94</v>
      </c>
      <c r="F2490" s="40">
        <v>0.47</v>
      </c>
      <c r="G2490" s="33" t="s">
        <v>450</v>
      </c>
    </row>
    <row r="2491" ht="15.75" customHeight="1">
      <c r="A2491" s="33" t="s">
        <v>6477</v>
      </c>
      <c r="B2491" s="33" t="s">
        <v>1906</v>
      </c>
      <c r="C2491" s="39">
        <v>46185.0</v>
      </c>
      <c r="D2491" s="33" t="s">
        <v>440</v>
      </c>
      <c r="E2491" s="40">
        <v>167.65</v>
      </c>
      <c r="F2491" s="40">
        <v>0.0</v>
      </c>
      <c r="G2491" s="33" t="s">
        <v>450</v>
      </c>
    </row>
    <row r="2492" ht="15.75" customHeight="1">
      <c r="A2492" s="33" t="s">
        <v>6478</v>
      </c>
      <c r="B2492" s="33" t="s">
        <v>297</v>
      </c>
      <c r="C2492" s="39">
        <v>45842.0</v>
      </c>
      <c r="D2492" s="33" t="s">
        <v>479</v>
      </c>
      <c r="E2492" s="40">
        <v>52.06</v>
      </c>
      <c r="F2492" s="40">
        <v>0.59</v>
      </c>
      <c r="G2492" s="33" t="s">
        <v>431</v>
      </c>
    </row>
    <row r="2493" ht="15.75" customHeight="1">
      <c r="A2493" s="33" t="s">
        <v>6479</v>
      </c>
      <c r="B2493" s="33" t="s">
        <v>959</v>
      </c>
      <c r="C2493" s="39">
        <v>46058.0</v>
      </c>
      <c r="D2493" s="33" t="s">
        <v>479</v>
      </c>
      <c r="E2493" s="40">
        <v>103.63</v>
      </c>
      <c r="F2493" s="40">
        <v>0.75</v>
      </c>
      <c r="G2493" s="33" t="s">
        <v>450</v>
      </c>
    </row>
    <row r="2494" ht="15.75" customHeight="1">
      <c r="A2494" s="33" t="s">
        <v>6480</v>
      </c>
      <c r="B2494" s="33" t="s">
        <v>1620</v>
      </c>
      <c r="C2494" s="39">
        <v>46114.0</v>
      </c>
      <c r="D2494" s="33" t="s">
        <v>435</v>
      </c>
      <c r="E2494" s="40">
        <v>38.59</v>
      </c>
      <c r="F2494" s="40">
        <v>0.0</v>
      </c>
      <c r="G2494" s="33" t="s">
        <v>450</v>
      </c>
    </row>
    <row r="2495" ht="15.75" customHeight="1">
      <c r="A2495" s="33" t="s">
        <v>6481</v>
      </c>
      <c r="B2495" s="33" t="s">
        <v>759</v>
      </c>
      <c r="C2495" s="39">
        <v>45679.0</v>
      </c>
      <c r="D2495" s="33" t="s">
        <v>435</v>
      </c>
      <c r="E2495" s="40">
        <v>89.51</v>
      </c>
      <c r="F2495" s="40">
        <v>0.0</v>
      </c>
      <c r="G2495" s="33" t="s">
        <v>442</v>
      </c>
    </row>
    <row r="2496" ht="15.75" customHeight="1">
      <c r="A2496" s="33" t="s">
        <v>6482</v>
      </c>
      <c r="B2496" s="33" t="s">
        <v>1825</v>
      </c>
      <c r="C2496" s="39">
        <v>46182.0</v>
      </c>
      <c r="D2496" s="33" t="s">
        <v>461</v>
      </c>
      <c r="E2496" s="40">
        <v>43.11</v>
      </c>
      <c r="F2496" s="40">
        <v>0.57</v>
      </c>
      <c r="G2496" s="33" t="s">
        <v>431</v>
      </c>
    </row>
    <row r="2497" ht="15.75" customHeight="1">
      <c r="A2497" s="33" t="s">
        <v>6483</v>
      </c>
      <c r="B2497" s="33" t="s">
        <v>2132</v>
      </c>
      <c r="C2497" s="39">
        <v>46247.0</v>
      </c>
      <c r="D2497" s="33" t="s">
        <v>435</v>
      </c>
      <c r="E2497" s="40">
        <v>29.21</v>
      </c>
      <c r="F2497" s="40">
        <v>0.0</v>
      </c>
      <c r="G2497" s="33" t="s">
        <v>431</v>
      </c>
    </row>
    <row r="2498" ht="15.75" customHeight="1">
      <c r="A2498" s="33" t="s">
        <v>6484</v>
      </c>
      <c r="B2498" s="33" t="s">
        <v>527</v>
      </c>
      <c r="C2498" s="39">
        <v>46239.0</v>
      </c>
      <c r="D2498" s="33" t="s">
        <v>479</v>
      </c>
      <c r="E2498" s="40">
        <v>130.1</v>
      </c>
      <c r="F2498" s="40">
        <v>0.67</v>
      </c>
      <c r="G2498" s="33" t="s">
        <v>431</v>
      </c>
    </row>
    <row r="2499" ht="15.75" customHeight="1">
      <c r="A2499" s="33" t="s">
        <v>6485</v>
      </c>
      <c r="B2499" s="33" t="s">
        <v>1674</v>
      </c>
      <c r="C2499" s="39">
        <v>45742.0</v>
      </c>
      <c r="D2499" s="33" t="s">
        <v>461</v>
      </c>
      <c r="E2499" s="40">
        <v>37.62</v>
      </c>
      <c r="F2499" s="40">
        <v>0.35</v>
      </c>
      <c r="G2499" s="33" t="s">
        <v>450</v>
      </c>
    </row>
    <row r="2500" ht="15.75" customHeight="1">
      <c r="A2500" s="33" t="s">
        <v>6486</v>
      </c>
      <c r="B2500" s="33" t="s">
        <v>314</v>
      </c>
      <c r="C2500" s="39">
        <v>45896.0</v>
      </c>
      <c r="D2500" s="33" t="s">
        <v>440</v>
      </c>
      <c r="E2500" s="40">
        <v>38.24</v>
      </c>
      <c r="F2500" s="40">
        <v>0.0</v>
      </c>
      <c r="G2500" s="33" t="s">
        <v>450</v>
      </c>
    </row>
    <row r="2501" ht="15.75" customHeight="1">
      <c r="A2501" s="33" t="s">
        <v>6487</v>
      </c>
      <c r="B2501" s="33" t="s">
        <v>206</v>
      </c>
      <c r="C2501" s="39">
        <v>45799.0</v>
      </c>
      <c r="D2501" s="33" t="s">
        <v>440</v>
      </c>
      <c r="E2501" s="40">
        <v>83.67</v>
      </c>
      <c r="F2501" s="40">
        <v>0.0</v>
      </c>
      <c r="G2501" s="33" t="s">
        <v>442</v>
      </c>
    </row>
    <row r="2502" ht="15.75" customHeight="1">
      <c r="A2502" s="33" t="s">
        <v>6488</v>
      </c>
      <c r="B2502" s="33" t="s">
        <v>2478</v>
      </c>
      <c r="C2502" s="39">
        <v>45931.0</v>
      </c>
      <c r="D2502" s="33" t="s">
        <v>428</v>
      </c>
      <c r="E2502" s="40">
        <v>95.0</v>
      </c>
      <c r="F2502" s="40">
        <v>0.0</v>
      </c>
      <c r="G2502" s="33" t="s">
        <v>431</v>
      </c>
    </row>
    <row r="2503" ht="15.75" customHeight="1">
      <c r="A2503" s="33" t="s">
        <v>6489</v>
      </c>
      <c r="B2503" s="33" t="s">
        <v>1402</v>
      </c>
      <c r="C2503" s="39">
        <v>46249.0</v>
      </c>
      <c r="D2503" s="33" t="s">
        <v>435</v>
      </c>
      <c r="E2503" s="40">
        <v>28.17</v>
      </c>
      <c r="F2503" s="40">
        <v>0.0</v>
      </c>
      <c r="G2503" s="33" t="s">
        <v>442</v>
      </c>
    </row>
    <row r="2504" ht="15.75" customHeight="1">
      <c r="A2504" s="33" t="s">
        <v>6490</v>
      </c>
      <c r="B2504" s="33" t="s">
        <v>1966</v>
      </c>
      <c r="C2504" s="39">
        <v>46121.0</v>
      </c>
      <c r="D2504" s="33" t="s">
        <v>461</v>
      </c>
      <c r="E2504" s="40">
        <v>111.79</v>
      </c>
      <c r="F2504" s="40">
        <v>0.71</v>
      </c>
      <c r="G2504" s="33" t="s">
        <v>431</v>
      </c>
    </row>
    <row r="2505" ht="15.75" customHeight="1">
      <c r="A2505" s="33" t="s">
        <v>6491</v>
      </c>
      <c r="B2505" s="33" t="s">
        <v>1805</v>
      </c>
      <c r="C2505" s="39">
        <v>46126.0</v>
      </c>
      <c r="D2505" s="33" t="s">
        <v>435</v>
      </c>
      <c r="E2505" s="40">
        <v>40.48</v>
      </c>
      <c r="F2505" s="40">
        <v>0.0</v>
      </c>
      <c r="G2505" s="33" t="s">
        <v>442</v>
      </c>
    </row>
    <row r="2506" ht="15.75" customHeight="1">
      <c r="A2506" s="33" t="s">
        <v>6492</v>
      </c>
      <c r="B2506" s="33" t="s">
        <v>1463</v>
      </c>
      <c r="C2506" s="39">
        <v>45914.0</v>
      </c>
      <c r="D2506" s="33" t="s">
        <v>428</v>
      </c>
      <c r="E2506" s="40">
        <v>21.55</v>
      </c>
      <c r="F2506" s="40">
        <v>0.0</v>
      </c>
      <c r="G2506" s="33" t="s">
        <v>450</v>
      </c>
    </row>
    <row r="2507" ht="15.75" customHeight="1">
      <c r="A2507" s="33" t="s">
        <v>6493</v>
      </c>
      <c r="B2507" s="33" t="s">
        <v>1488</v>
      </c>
      <c r="C2507" s="39">
        <v>46226.0</v>
      </c>
      <c r="D2507" s="33" t="s">
        <v>479</v>
      </c>
      <c r="E2507" s="40">
        <v>60.11</v>
      </c>
      <c r="F2507" s="40">
        <v>0.52</v>
      </c>
      <c r="G2507" s="33" t="s">
        <v>431</v>
      </c>
    </row>
    <row r="2508" ht="15.75" customHeight="1">
      <c r="A2508" s="33" t="s">
        <v>6494</v>
      </c>
      <c r="B2508" s="33" t="s">
        <v>3978</v>
      </c>
      <c r="C2508" s="39">
        <v>46216.0</v>
      </c>
      <c r="D2508" s="33" t="s">
        <v>435</v>
      </c>
      <c r="E2508" s="40">
        <v>59.35</v>
      </c>
      <c r="F2508" s="40">
        <v>0.0</v>
      </c>
      <c r="G2508" s="33" t="s">
        <v>442</v>
      </c>
    </row>
    <row r="2509" ht="15.75" customHeight="1">
      <c r="A2509" s="33" t="s">
        <v>6495</v>
      </c>
      <c r="B2509" s="33" t="s">
        <v>408</v>
      </c>
      <c r="C2509" s="39">
        <v>46147.0</v>
      </c>
      <c r="D2509" s="33" t="s">
        <v>461</v>
      </c>
      <c r="E2509" s="40">
        <v>105.13</v>
      </c>
      <c r="F2509" s="40">
        <v>1.33</v>
      </c>
      <c r="G2509" s="33" t="s">
        <v>450</v>
      </c>
    </row>
    <row r="2510" ht="15.75" customHeight="1">
      <c r="A2510" s="33" t="s">
        <v>6496</v>
      </c>
      <c r="B2510" s="33" t="s">
        <v>870</v>
      </c>
      <c r="C2510" s="39">
        <v>46152.0</v>
      </c>
      <c r="D2510" s="33" t="s">
        <v>435</v>
      </c>
      <c r="E2510" s="40">
        <v>267.11</v>
      </c>
      <c r="F2510" s="40">
        <v>0.0</v>
      </c>
      <c r="G2510" s="33" t="s">
        <v>450</v>
      </c>
    </row>
    <row r="2511" ht="15.75" customHeight="1">
      <c r="A2511" s="33" t="s">
        <v>6497</v>
      </c>
      <c r="B2511" s="33" t="s">
        <v>1076</v>
      </c>
      <c r="C2511" s="39">
        <v>46053.0</v>
      </c>
      <c r="D2511" s="33" t="s">
        <v>440</v>
      </c>
      <c r="E2511" s="40">
        <v>82.55</v>
      </c>
      <c r="F2511" s="40">
        <v>0.0</v>
      </c>
      <c r="G2511" s="33" t="s">
        <v>450</v>
      </c>
    </row>
    <row r="2512" ht="15.75" customHeight="1">
      <c r="A2512" s="33" t="s">
        <v>6498</v>
      </c>
      <c r="B2512" s="33" t="s">
        <v>2221</v>
      </c>
      <c r="C2512" s="39">
        <v>45715.0</v>
      </c>
      <c r="D2512" s="33" t="s">
        <v>479</v>
      </c>
      <c r="E2512" s="40">
        <v>115.89</v>
      </c>
      <c r="F2512" s="40">
        <v>1.75</v>
      </c>
      <c r="G2512" s="33" t="s">
        <v>450</v>
      </c>
    </row>
    <row r="2513" ht="15.75" customHeight="1">
      <c r="A2513" s="33" t="s">
        <v>6499</v>
      </c>
      <c r="B2513" s="33" t="s">
        <v>318</v>
      </c>
      <c r="C2513" s="39">
        <v>45830.0</v>
      </c>
      <c r="D2513" s="33" t="s">
        <v>461</v>
      </c>
      <c r="E2513" s="40">
        <v>15.9</v>
      </c>
      <c r="F2513" s="40">
        <v>0.21</v>
      </c>
      <c r="G2513" s="33" t="s">
        <v>450</v>
      </c>
    </row>
    <row r="2514" ht="15.75" customHeight="1">
      <c r="A2514" s="33" t="s">
        <v>6500</v>
      </c>
      <c r="B2514" s="33" t="s">
        <v>474</v>
      </c>
      <c r="C2514" s="39">
        <v>46124.0</v>
      </c>
      <c r="D2514" s="33" t="s">
        <v>479</v>
      </c>
      <c r="E2514" s="40">
        <v>173.15</v>
      </c>
      <c r="F2514" s="40">
        <v>3.29</v>
      </c>
      <c r="G2514" s="33" t="s">
        <v>450</v>
      </c>
    </row>
    <row r="2515" ht="15.75" customHeight="1">
      <c r="A2515" s="33" t="s">
        <v>6501</v>
      </c>
      <c r="B2515" s="33" t="s">
        <v>1080</v>
      </c>
      <c r="C2515" s="39">
        <v>45856.0</v>
      </c>
      <c r="D2515" s="33" t="s">
        <v>428</v>
      </c>
      <c r="E2515" s="40">
        <v>68.31</v>
      </c>
      <c r="F2515" s="40">
        <v>0.0</v>
      </c>
      <c r="G2515" s="33" t="s">
        <v>450</v>
      </c>
    </row>
    <row r="2516" ht="15.75" customHeight="1">
      <c r="A2516" s="33" t="s">
        <v>6502</v>
      </c>
      <c r="B2516" s="33" t="s">
        <v>2283</v>
      </c>
      <c r="C2516" s="39">
        <v>45762.0</v>
      </c>
      <c r="D2516" s="33" t="s">
        <v>479</v>
      </c>
      <c r="E2516" s="40">
        <v>23.46</v>
      </c>
      <c r="F2516" s="40">
        <v>0.26</v>
      </c>
      <c r="G2516" s="33" t="s">
        <v>450</v>
      </c>
    </row>
    <row r="2517" ht="15.75" customHeight="1">
      <c r="A2517" s="33" t="s">
        <v>6503</v>
      </c>
      <c r="B2517" s="33" t="s">
        <v>1130</v>
      </c>
      <c r="C2517" s="39">
        <v>46232.0</v>
      </c>
      <c r="D2517" s="33" t="s">
        <v>440</v>
      </c>
      <c r="E2517" s="40">
        <v>168.61</v>
      </c>
      <c r="F2517" s="40">
        <v>0.0</v>
      </c>
      <c r="G2517" s="33" t="s">
        <v>450</v>
      </c>
    </row>
    <row r="2518" ht="15.75" customHeight="1">
      <c r="A2518" s="33" t="s">
        <v>6504</v>
      </c>
      <c r="B2518" s="33" t="s">
        <v>763</v>
      </c>
      <c r="C2518" s="39">
        <v>45954.0</v>
      </c>
      <c r="D2518" s="33" t="s">
        <v>440</v>
      </c>
      <c r="E2518" s="40">
        <v>70.69</v>
      </c>
      <c r="F2518" s="40">
        <v>0.0</v>
      </c>
      <c r="G2518" s="33" t="s">
        <v>431</v>
      </c>
    </row>
    <row r="2519" ht="15.75" customHeight="1">
      <c r="A2519" s="33" t="s">
        <v>6505</v>
      </c>
      <c r="B2519" s="33" t="s">
        <v>1470</v>
      </c>
      <c r="C2519" s="39">
        <v>46180.0</v>
      </c>
      <c r="D2519" s="33" t="s">
        <v>428</v>
      </c>
      <c r="E2519" s="40">
        <v>149.86</v>
      </c>
      <c r="F2519" s="40">
        <v>0.0</v>
      </c>
      <c r="G2519" s="33" t="s">
        <v>450</v>
      </c>
    </row>
    <row r="2520" ht="15.75" customHeight="1">
      <c r="A2520" s="33" t="s">
        <v>6506</v>
      </c>
      <c r="B2520" s="33" t="s">
        <v>672</v>
      </c>
      <c r="C2520" s="39">
        <v>45830.0</v>
      </c>
      <c r="D2520" s="33" t="s">
        <v>461</v>
      </c>
      <c r="E2520" s="40">
        <v>286.61</v>
      </c>
      <c r="F2520" s="40">
        <v>4.84</v>
      </c>
      <c r="G2520" s="33" t="s">
        <v>431</v>
      </c>
    </row>
    <row r="2521" ht="15.75" customHeight="1">
      <c r="A2521" s="33" t="s">
        <v>6507</v>
      </c>
      <c r="B2521" s="33" t="s">
        <v>1052</v>
      </c>
      <c r="C2521" s="39">
        <v>45876.0</v>
      </c>
      <c r="D2521" s="33" t="s">
        <v>435</v>
      </c>
      <c r="E2521" s="40">
        <v>17.87</v>
      </c>
      <c r="F2521" s="40">
        <v>0.0</v>
      </c>
      <c r="G2521" s="33" t="s">
        <v>450</v>
      </c>
    </row>
    <row r="2522" ht="15.75" customHeight="1">
      <c r="A2522" s="33" t="s">
        <v>6508</v>
      </c>
      <c r="B2522" s="33" t="s">
        <v>2669</v>
      </c>
      <c r="C2522" s="39">
        <v>45866.0</v>
      </c>
      <c r="D2522" s="33" t="s">
        <v>461</v>
      </c>
      <c r="E2522" s="40">
        <v>39.0</v>
      </c>
      <c r="F2522" s="40">
        <v>0.57</v>
      </c>
      <c r="G2522" s="33" t="s">
        <v>450</v>
      </c>
    </row>
    <row r="2523" ht="15.75" customHeight="1">
      <c r="A2523" s="33" t="s">
        <v>6509</v>
      </c>
      <c r="B2523" s="33" t="s">
        <v>3934</v>
      </c>
      <c r="C2523" s="39">
        <v>45884.0</v>
      </c>
      <c r="D2523" s="33" t="s">
        <v>479</v>
      </c>
      <c r="E2523" s="40">
        <v>131.58</v>
      </c>
      <c r="F2523" s="40">
        <v>1.46</v>
      </c>
      <c r="G2523" s="33" t="s">
        <v>450</v>
      </c>
    </row>
    <row r="2524" ht="15.75" customHeight="1">
      <c r="A2524" s="33" t="s">
        <v>6510</v>
      </c>
      <c r="B2524" s="33" t="s">
        <v>3088</v>
      </c>
      <c r="C2524" s="39">
        <v>45923.0</v>
      </c>
      <c r="D2524" s="33" t="s">
        <v>440</v>
      </c>
      <c r="E2524" s="40">
        <v>74.52</v>
      </c>
      <c r="F2524" s="40">
        <v>0.0</v>
      </c>
      <c r="G2524" s="33" t="s">
        <v>450</v>
      </c>
    </row>
    <row r="2525" ht="15.75" customHeight="1">
      <c r="A2525" s="33" t="s">
        <v>6511</v>
      </c>
      <c r="B2525" s="33" t="s">
        <v>2723</v>
      </c>
      <c r="C2525" s="39">
        <v>45838.0</v>
      </c>
      <c r="D2525" s="33" t="s">
        <v>435</v>
      </c>
      <c r="E2525" s="40">
        <v>4.91</v>
      </c>
      <c r="F2525" s="40">
        <v>0.0</v>
      </c>
      <c r="G2525" s="33" t="s">
        <v>450</v>
      </c>
    </row>
    <row r="2526" ht="15.75" customHeight="1">
      <c r="A2526" s="33" t="s">
        <v>6512</v>
      </c>
      <c r="B2526" s="33" t="s">
        <v>861</v>
      </c>
      <c r="C2526" s="39">
        <v>46152.0</v>
      </c>
      <c r="D2526" s="33" t="s">
        <v>428</v>
      </c>
      <c r="E2526" s="40">
        <v>54.77</v>
      </c>
      <c r="F2526" s="40">
        <v>0.0</v>
      </c>
      <c r="G2526" s="33" t="s">
        <v>450</v>
      </c>
    </row>
    <row r="2527" ht="15.75" customHeight="1">
      <c r="A2527" s="33" t="s">
        <v>6513</v>
      </c>
      <c r="B2527" s="33" t="s">
        <v>1421</v>
      </c>
      <c r="C2527" s="39">
        <v>45855.0</v>
      </c>
      <c r="D2527" s="33" t="s">
        <v>435</v>
      </c>
      <c r="E2527" s="40">
        <v>62.32</v>
      </c>
      <c r="F2527" s="40">
        <v>0.0</v>
      </c>
      <c r="G2527" s="33" t="s">
        <v>450</v>
      </c>
    </row>
    <row r="2528" ht="15.75" customHeight="1">
      <c r="A2528" s="33" t="s">
        <v>6514</v>
      </c>
      <c r="B2528" s="33" t="s">
        <v>408</v>
      </c>
      <c r="C2528" s="39">
        <v>45926.0</v>
      </c>
      <c r="D2528" s="33" t="s">
        <v>428</v>
      </c>
      <c r="E2528" s="40">
        <v>70.76</v>
      </c>
      <c r="F2528" s="40">
        <v>0.0</v>
      </c>
      <c r="G2528" s="33" t="s">
        <v>450</v>
      </c>
    </row>
    <row r="2529" ht="15.75" customHeight="1">
      <c r="A2529" s="33" t="s">
        <v>6515</v>
      </c>
      <c r="B2529" s="33" t="s">
        <v>1222</v>
      </c>
      <c r="C2529" s="39">
        <v>46180.0</v>
      </c>
      <c r="D2529" s="33" t="s">
        <v>435</v>
      </c>
      <c r="E2529" s="40">
        <v>37.72</v>
      </c>
      <c r="F2529" s="40">
        <v>0.0</v>
      </c>
      <c r="G2529" s="33" t="s">
        <v>450</v>
      </c>
    </row>
    <row r="2530" ht="15.75" customHeight="1">
      <c r="A2530" s="33" t="s">
        <v>6516</v>
      </c>
      <c r="B2530" s="33" t="s">
        <v>817</v>
      </c>
      <c r="C2530" s="39">
        <v>45923.0</v>
      </c>
      <c r="D2530" s="33" t="s">
        <v>479</v>
      </c>
      <c r="E2530" s="40">
        <v>203.9</v>
      </c>
      <c r="F2530" s="40">
        <v>1.26</v>
      </c>
      <c r="G2530" s="33" t="s">
        <v>450</v>
      </c>
    </row>
    <row r="2531" ht="15.75" customHeight="1">
      <c r="A2531" s="33" t="s">
        <v>6517</v>
      </c>
      <c r="B2531" s="33" t="s">
        <v>3850</v>
      </c>
      <c r="C2531" s="39">
        <v>45664.0</v>
      </c>
      <c r="D2531" s="33" t="s">
        <v>435</v>
      </c>
      <c r="E2531" s="40">
        <v>15.92</v>
      </c>
      <c r="F2531" s="40">
        <v>0.0</v>
      </c>
      <c r="G2531" s="33" t="s">
        <v>450</v>
      </c>
    </row>
    <row r="2532" ht="15.75" customHeight="1">
      <c r="A2532" s="33" t="s">
        <v>6518</v>
      </c>
      <c r="B2532" s="33" t="s">
        <v>1102</v>
      </c>
      <c r="C2532" s="39">
        <v>45658.0</v>
      </c>
      <c r="D2532" s="33" t="s">
        <v>479</v>
      </c>
      <c r="E2532" s="40">
        <v>99.57</v>
      </c>
      <c r="F2532" s="40">
        <v>1.09</v>
      </c>
      <c r="G2532" s="33" t="s">
        <v>442</v>
      </c>
    </row>
    <row r="2533" ht="15.75" customHeight="1">
      <c r="A2533" s="33" t="s">
        <v>6519</v>
      </c>
      <c r="B2533" s="33" t="s">
        <v>3633</v>
      </c>
      <c r="C2533" s="39">
        <v>45922.0</v>
      </c>
      <c r="D2533" s="33" t="s">
        <v>428</v>
      </c>
      <c r="E2533" s="40">
        <v>46.52</v>
      </c>
      <c r="F2533" s="40">
        <v>0.0</v>
      </c>
      <c r="G2533" s="33" t="s">
        <v>442</v>
      </c>
    </row>
    <row r="2534" ht="15.75" customHeight="1">
      <c r="A2534" s="33" t="s">
        <v>6520</v>
      </c>
      <c r="B2534" s="33" t="s">
        <v>3179</v>
      </c>
      <c r="C2534" s="39">
        <v>46051.0</v>
      </c>
      <c r="D2534" s="33" t="s">
        <v>479</v>
      </c>
      <c r="E2534" s="40">
        <v>43.64</v>
      </c>
      <c r="F2534" s="40">
        <v>0.3</v>
      </c>
      <c r="G2534" s="33" t="s">
        <v>450</v>
      </c>
    </row>
    <row r="2535" ht="15.75" customHeight="1">
      <c r="A2535" s="33" t="s">
        <v>6521</v>
      </c>
      <c r="B2535" s="33" t="s">
        <v>2234</v>
      </c>
      <c r="C2535" s="39">
        <v>46230.0</v>
      </c>
      <c r="D2535" s="33" t="s">
        <v>479</v>
      </c>
      <c r="E2535" s="40">
        <v>185.64</v>
      </c>
      <c r="F2535" s="40">
        <v>2.3</v>
      </c>
      <c r="G2535" s="33" t="s">
        <v>442</v>
      </c>
    </row>
    <row r="2536" ht="15.75" customHeight="1">
      <c r="A2536" s="33" t="s">
        <v>6522</v>
      </c>
      <c r="B2536" s="33" t="s">
        <v>2521</v>
      </c>
      <c r="C2536" s="39">
        <v>45737.0</v>
      </c>
      <c r="D2536" s="33" t="s">
        <v>435</v>
      </c>
      <c r="E2536" s="40">
        <v>59.64</v>
      </c>
      <c r="F2536" s="40">
        <v>0.0</v>
      </c>
      <c r="G2536" s="33" t="s">
        <v>431</v>
      </c>
    </row>
    <row r="2537" ht="15.75" customHeight="1">
      <c r="A2537" s="33" t="s">
        <v>6523</v>
      </c>
      <c r="B2537" s="33" t="s">
        <v>3177</v>
      </c>
      <c r="C2537" s="39">
        <v>45987.0</v>
      </c>
      <c r="D2537" s="33" t="s">
        <v>428</v>
      </c>
      <c r="E2537" s="40">
        <v>99.99</v>
      </c>
      <c r="F2537" s="40">
        <v>0.0</v>
      </c>
      <c r="G2537" s="33" t="s">
        <v>431</v>
      </c>
    </row>
    <row r="2538" ht="15.75" customHeight="1">
      <c r="A2538" s="33" t="s">
        <v>6524</v>
      </c>
      <c r="B2538" s="33" t="s">
        <v>1972</v>
      </c>
      <c r="C2538" s="39">
        <v>45833.0</v>
      </c>
      <c r="D2538" s="33" t="s">
        <v>440</v>
      </c>
      <c r="E2538" s="40">
        <v>137.97</v>
      </c>
      <c r="F2538" s="40">
        <v>0.0</v>
      </c>
      <c r="G2538" s="33" t="s">
        <v>450</v>
      </c>
    </row>
    <row r="2539" ht="15.75" customHeight="1">
      <c r="A2539" s="33" t="s">
        <v>6525</v>
      </c>
      <c r="B2539" s="33" t="s">
        <v>1640</v>
      </c>
      <c r="C2539" s="39">
        <v>45931.0</v>
      </c>
      <c r="D2539" s="33" t="s">
        <v>479</v>
      </c>
      <c r="E2539" s="40">
        <v>77.23</v>
      </c>
      <c r="F2539" s="40">
        <v>0.69</v>
      </c>
      <c r="G2539" s="33" t="s">
        <v>431</v>
      </c>
    </row>
    <row r="2540" ht="15.75" customHeight="1">
      <c r="A2540" s="33" t="s">
        <v>6526</v>
      </c>
      <c r="B2540" s="33" t="s">
        <v>504</v>
      </c>
      <c r="C2540" s="39">
        <v>45926.0</v>
      </c>
      <c r="D2540" s="33" t="s">
        <v>428</v>
      </c>
      <c r="E2540" s="40">
        <v>187.42</v>
      </c>
      <c r="F2540" s="40">
        <v>0.0</v>
      </c>
      <c r="G2540" s="33" t="s">
        <v>450</v>
      </c>
    </row>
    <row r="2541" ht="15.75" customHeight="1">
      <c r="A2541" s="33" t="s">
        <v>6527</v>
      </c>
      <c r="B2541" s="33" t="s">
        <v>1237</v>
      </c>
      <c r="C2541" s="39">
        <v>45847.0</v>
      </c>
      <c r="D2541" s="33" t="s">
        <v>461</v>
      </c>
      <c r="E2541" s="40">
        <v>21.06</v>
      </c>
      <c r="F2541" s="40">
        <v>0.39</v>
      </c>
      <c r="G2541" s="33" t="s">
        <v>431</v>
      </c>
    </row>
    <row r="2542" ht="15.75" customHeight="1">
      <c r="A2542" s="33" t="s">
        <v>6528</v>
      </c>
      <c r="B2542" s="33" t="s">
        <v>2340</v>
      </c>
      <c r="C2542" s="39">
        <v>45669.0</v>
      </c>
      <c r="D2542" s="33" t="s">
        <v>461</v>
      </c>
      <c r="E2542" s="40">
        <v>104.58</v>
      </c>
      <c r="F2542" s="40">
        <v>0.56</v>
      </c>
      <c r="G2542" s="33" t="s">
        <v>450</v>
      </c>
    </row>
    <row r="2543" ht="15.75" customHeight="1">
      <c r="A2543" s="33" t="s">
        <v>6529</v>
      </c>
      <c r="B2543" s="33" t="s">
        <v>2375</v>
      </c>
      <c r="C2543" s="39">
        <v>45702.0</v>
      </c>
      <c r="D2543" s="33" t="s">
        <v>435</v>
      </c>
      <c r="E2543" s="40">
        <v>269.03</v>
      </c>
      <c r="F2543" s="40">
        <v>0.0</v>
      </c>
      <c r="G2543" s="33" t="s">
        <v>442</v>
      </c>
    </row>
    <row r="2544" ht="15.75" customHeight="1">
      <c r="A2544" s="33" t="s">
        <v>6530</v>
      </c>
      <c r="B2544" s="33" t="s">
        <v>3295</v>
      </c>
      <c r="C2544" s="39">
        <v>45975.0</v>
      </c>
      <c r="D2544" s="33" t="s">
        <v>479</v>
      </c>
      <c r="E2544" s="40">
        <v>98.11</v>
      </c>
      <c r="F2544" s="40">
        <v>1.87</v>
      </c>
      <c r="G2544" s="33" t="s">
        <v>431</v>
      </c>
    </row>
    <row r="2545" ht="15.75" customHeight="1">
      <c r="A2545" s="33" t="s">
        <v>6531</v>
      </c>
      <c r="B2545" s="33" t="s">
        <v>201</v>
      </c>
      <c r="C2545" s="39">
        <v>45794.0</v>
      </c>
      <c r="D2545" s="33" t="s">
        <v>479</v>
      </c>
      <c r="E2545" s="40">
        <v>12.07</v>
      </c>
      <c r="F2545" s="40">
        <v>0.09</v>
      </c>
      <c r="G2545" s="33" t="s">
        <v>450</v>
      </c>
    </row>
    <row r="2546" ht="15.75" customHeight="1">
      <c r="A2546" s="33" t="s">
        <v>6532</v>
      </c>
      <c r="B2546" s="33" t="s">
        <v>916</v>
      </c>
      <c r="C2546" s="39">
        <v>45856.0</v>
      </c>
      <c r="D2546" s="33" t="s">
        <v>435</v>
      </c>
      <c r="E2546" s="40">
        <v>107.33</v>
      </c>
      <c r="F2546" s="40">
        <v>0.0</v>
      </c>
      <c r="G2546" s="33" t="s">
        <v>442</v>
      </c>
    </row>
    <row r="2547" ht="15.75" customHeight="1">
      <c r="A2547" s="33" t="s">
        <v>6533</v>
      </c>
      <c r="B2547" s="33" t="s">
        <v>474</v>
      </c>
      <c r="C2547" s="39">
        <v>45712.0</v>
      </c>
      <c r="D2547" s="33" t="s">
        <v>440</v>
      </c>
      <c r="E2547" s="40">
        <v>209.6</v>
      </c>
      <c r="F2547" s="40">
        <v>0.0</v>
      </c>
      <c r="G2547" s="33" t="s">
        <v>450</v>
      </c>
    </row>
    <row r="2548" ht="15.75" customHeight="1">
      <c r="A2548" s="33" t="s">
        <v>6534</v>
      </c>
      <c r="B2548" s="33" t="s">
        <v>630</v>
      </c>
      <c r="C2548" s="39">
        <v>45688.0</v>
      </c>
      <c r="D2548" s="33" t="s">
        <v>428</v>
      </c>
      <c r="E2548" s="40">
        <v>55.37</v>
      </c>
      <c r="F2548" s="40">
        <v>0.0</v>
      </c>
      <c r="G2548" s="33" t="s">
        <v>442</v>
      </c>
    </row>
    <row r="2549" ht="15.75" customHeight="1">
      <c r="A2549" s="33" t="s">
        <v>6535</v>
      </c>
      <c r="B2549" s="33" t="s">
        <v>278</v>
      </c>
      <c r="C2549" s="39">
        <v>45734.0</v>
      </c>
      <c r="D2549" s="33" t="s">
        <v>428</v>
      </c>
      <c r="E2549" s="40">
        <v>54.8</v>
      </c>
      <c r="F2549" s="40">
        <v>0.0</v>
      </c>
      <c r="G2549" s="33" t="s">
        <v>431</v>
      </c>
    </row>
    <row r="2550" ht="15.75" customHeight="1">
      <c r="A2550" s="33" t="s">
        <v>6536</v>
      </c>
      <c r="B2550" s="33" t="s">
        <v>1158</v>
      </c>
      <c r="C2550" s="39">
        <v>45887.0</v>
      </c>
      <c r="D2550" s="33" t="s">
        <v>428</v>
      </c>
      <c r="E2550" s="40">
        <v>127.78</v>
      </c>
      <c r="F2550" s="40">
        <v>0.0</v>
      </c>
      <c r="G2550" s="33" t="s">
        <v>450</v>
      </c>
    </row>
    <row r="2551" ht="15.75" customHeight="1">
      <c r="A2551" s="33" t="s">
        <v>6537</v>
      </c>
      <c r="B2551" s="33" t="s">
        <v>1955</v>
      </c>
      <c r="C2551" s="39">
        <v>45757.0</v>
      </c>
      <c r="D2551" s="33" t="s">
        <v>428</v>
      </c>
      <c r="E2551" s="40">
        <v>111.49</v>
      </c>
      <c r="F2551" s="40">
        <v>0.0</v>
      </c>
      <c r="G2551" s="33" t="s">
        <v>431</v>
      </c>
    </row>
    <row r="2552" ht="15.75" customHeight="1">
      <c r="A2552" s="33" t="s">
        <v>6538</v>
      </c>
      <c r="B2552" s="33" t="s">
        <v>969</v>
      </c>
      <c r="C2552" s="39">
        <v>45798.0</v>
      </c>
      <c r="D2552" s="33" t="s">
        <v>428</v>
      </c>
      <c r="E2552" s="40">
        <v>79.46</v>
      </c>
      <c r="F2552" s="40">
        <v>0.0</v>
      </c>
      <c r="G2552" s="33" t="s">
        <v>442</v>
      </c>
    </row>
    <row r="2553" ht="15.75" customHeight="1">
      <c r="A2553" s="33" t="s">
        <v>6539</v>
      </c>
      <c r="B2553" s="33" t="s">
        <v>845</v>
      </c>
      <c r="C2553" s="39">
        <v>45841.0</v>
      </c>
      <c r="D2553" s="33" t="s">
        <v>435</v>
      </c>
      <c r="E2553" s="40">
        <v>40.21</v>
      </c>
      <c r="F2553" s="40">
        <v>0.0</v>
      </c>
      <c r="G2553" s="33" t="s">
        <v>450</v>
      </c>
    </row>
    <row r="2554" ht="15.75" customHeight="1">
      <c r="A2554" s="33" t="s">
        <v>6540</v>
      </c>
      <c r="B2554" s="33" t="s">
        <v>1062</v>
      </c>
      <c r="C2554" s="39">
        <v>45834.0</v>
      </c>
      <c r="D2554" s="33" t="s">
        <v>428</v>
      </c>
      <c r="E2554" s="40">
        <v>50.39</v>
      </c>
      <c r="F2554" s="40">
        <v>0.0</v>
      </c>
      <c r="G2554" s="33" t="s">
        <v>450</v>
      </c>
    </row>
    <row r="2555" ht="15.75" customHeight="1">
      <c r="A2555" s="33" t="s">
        <v>6541</v>
      </c>
      <c r="B2555" s="33" t="s">
        <v>1893</v>
      </c>
      <c r="C2555" s="39">
        <v>45664.0</v>
      </c>
      <c r="D2555" s="33" t="s">
        <v>461</v>
      </c>
      <c r="E2555" s="40">
        <v>30.15</v>
      </c>
      <c r="F2555" s="40">
        <v>0.21</v>
      </c>
      <c r="G2555" s="33" t="s">
        <v>450</v>
      </c>
    </row>
    <row r="2556" ht="15.75" customHeight="1">
      <c r="A2556" s="33" t="s">
        <v>6542</v>
      </c>
      <c r="B2556" s="33" t="s">
        <v>1285</v>
      </c>
      <c r="C2556" s="39">
        <v>45729.0</v>
      </c>
      <c r="D2556" s="33" t="s">
        <v>428</v>
      </c>
      <c r="E2556" s="40">
        <v>10.54</v>
      </c>
      <c r="F2556" s="40">
        <v>0.0</v>
      </c>
      <c r="G2556" s="33" t="s">
        <v>431</v>
      </c>
    </row>
    <row r="2557" ht="15.75" customHeight="1">
      <c r="A2557" s="33" t="s">
        <v>6543</v>
      </c>
      <c r="B2557" s="33" t="s">
        <v>267</v>
      </c>
      <c r="C2557" s="39">
        <v>46234.0</v>
      </c>
      <c r="D2557" s="33" t="s">
        <v>461</v>
      </c>
      <c r="E2557" s="40">
        <v>173.25</v>
      </c>
      <c r="F2557" s="40">
        <v>3.33</v>
      </c>
      <c r="G2557" s="33" t="s">
        <v>450</v>
      </c>
    </row>
    <row r="2558" ht="15.75" customHeight="1">
      <c r="A2558" s="33" t="s">
        <v>6544</v>
      </c>
      <c r="B2558" s="33" t="s">
        <v>2625</v>
      </c>
      <c r="C2558" s="39">
        <v>46063.0</v>
      </c>
      <c r="D2558" s="33" t="s">
        <v>435</v>
      </c>
      <c r="E2558" s="40">
        <v>132.81</v>
      </c>
      <c r="F2558" s="40">
        <v>0.0</v>
      </c>
      <c r="G2558" s="33" t="s">
        <v>431</v>
      </c>
    </row>
    <row r="2559" ht="15.75" customHeight="1">
      <c r="A2559" s="33" t="s">
        <v>6545</v>
      </c>
      <c r="B2559" s="33" t="s">
        <v>3978</v>
      </c>
      <c r="C2559" s="39">
        <v>45733.0</v>
      </c>
      <c r="D2559" s="33" t="s">
        <v>479</v>
      </c>
      <c r="E2559" s="40">
        <v>123.43</v>
      </c>
      <c r="F2559" s="40">
        <v>0.74</v>
      </c>
      <c r="G2559" s="33" t="s">
        <v>450</v>
      </c>
    </row>
    <row r="2560" ht="15.75" customHeight="1">
      <c r="A2560" s="33" t="s">
        <v>6546</v>
      </c>
      <c r="B2560" s="33" t="s">
        <v>964</v>
      </c>
      <c r="C2560" s="39">
        <v>45830.0</v>
      </c>
      <c r="D2560" s="33" t="s">
        <v>461</v>
      </c>
      <c r="E2560" s="40">
        <v>121.76</v>
      </c>
      <c r="F2560" s="40">
        <v>1.66</v>
      </c>
      <c r="G2560" s="33" t="s">
        <v>431</v>
      </c>
    </row>
    <row r="2561" ht="15.75" customHeight="1">
      <c r="A2561" s="33" t="s">
        <v>6547</v>
      </c>
      <c r="B2561" s="33" t="s">
        <v>2023</v>
      </c>
      <c r="C2561" s="39">
        <v>45890.0</v>
      </c>
      <c r="D2561" s="33" t="s">
        <v>435</v>
      </c>
      <c r="E2561" s="40">
        <v>63.96</v>
      </c>
      <c r="F2561" s="40">
        <v>0.0</v>
      </c>
      <c r="G2561" s="33" t="s">
        <v>450</v>
      </c>
    </row>
    <row r="2562" ht="15.75" customHeight="1">
      <c r="A2562" s="33" t="s">
        <v>6548</v>
      </c>
      <c r="B2562" s="33" t="s">
        <v>969</v>
      </c>
      <c r="C2562" s="39">
        <v>46207.0</v>
      </c>
      <c r="D2562" s="33" t="s">
        <v>479</v>
      </c>
      <c r="E2562" s="40">
        <v>57.14</v>
      </c>
      <c r="F2562" s="40">
        <v>0.55</v>
      </c>
      <c r="G2562" s="33" t="s">
        <v>431</v>
      </c>
    </row>
    <row r="2563" ht="15.75" customHeight="1">
      <c r="A2563" s="33" t="s">
        <v>6549</v>
      </c>
      <c r="B2563" s="33" t="s">
        <v>2570</v>
      </c>
      <c r="C2563" s="39">
        <v>46191.0</v>
      </c>
      <c r="D2563" s="33" t="s">
        <v>461</v>
      </c>
      <c r="E2563" s="40">
        <v>23.7</v>
      </c>
      <c r="F2563" s="40">
        <v>0.33</v>
      </c>
      <c r="G2563" s="33" t="s">
        <v>450</v>
      </c>
    </row>
    <row r="2564" ht="15.75" customHeight="1">
      <c r="A2564" s="33" t="s">
        <v>6550</v>
      </c>
      <c r="B2564" s="33" t="s">
        <v>1911</v>
      </c>
      <c r="C2564" s="39">
        <v>46125.0</v>
      </c>
      <c r="D2564" s="33" t="s">
        <v>479</v>
      </c>
      <c r="E2564" s="40">
        <v>140.89</v>
      </c>
      <c r="F2564" s="40">
        <v>1.25</v>
      </c>
      <c r="G2564" s="33" t="s">
        <v>450</v>
      </c>
    </row>
    <row r="2565" ht="15.75" customHeight="1">
      <c r="A2565" s="33" t="s">
        <v>6551</v>
      </c>
      <c r="B2565" s="33" t="s">
        <v>2161</v>
      </c>
      <c r="C2565" s="39">
        <v>45722.0</v>
      </c>
      <c r="D2565" s="33" t="s">
        <v>461</v>
      </c>
      <c r="E2565" s="40">
        <v>377.57</v>
      </c>
      <c r="F2565" s="40">
        <v>2.62</v>
      </c>
      <c r="G2565" s="33" t="s">
        <v>450</v>
      </c>
    </row>
    <row r="2566" ht="15.75" customHeight="1">
      <c r="A2566" s="33" t="s">
        <v>6552</v>
      </c>
      <c r="B2566" s="33" t="s">
        <v>2299</v>
      </c>
      <c r="C2566" s="39">
        <v>45955.0</v>
      </c>
      <c r="D2566" s="33" t="s">
        <v>435</v>
      </c>
      <c r="E2566" s="40">
        <v>103.93</v>
      </c>
      <c r="F2566" s="40">
        <v>0.0</v>
      </c>
      <c r="G2566" s="33" t="s">
        <v>442</v>
      </c>
    </row>
    <row r="2567" ht="15.75" customHeight="1">
      <c r="A2567" s="33" t="s">
        <v>6553</v>
      </c>
      <c r="B2567" s="33" t="s">
        <v>864</v>
      </c>
      <c r="C2567" s="39">
        <v>45951.0</v>
      </c>
      <c r="D2567" s="33" t="s">
        <v>440</v>
      </c>
      <c r="E2567" s="40">
        <v>155.51</v>
      </c>
      <c r="F2567" s="40">
        <v>0.0</v>
      </c>
      <c r="G2567" s="33" t="s">
        <v>442</v>
      </c>
    </row>
    <row r="2568" ht="15.75" customHeight="1">
      <c r="A2568" s="33" t="s">
        <v>6554</v>
      </c>
      <c r="B2568" s="33" t="s">
        <v>2317</v>
      </c>
      <c r="C2568" s="39">
        <v>46044.0</v>
      </c>
      <c r="D2568" s="33" t="s">
        <v>428</v>
      </c>
      <c r="E2568" s="40">
        <v>155.94</v>
      </c>
      <c r="F2568" s="40">
        <v>0.0</v>
      </c>
      <c r="G2568" s="33" t="s">
        <v>442</v>
      </c>
    </row>
    <row r="2569" ht="15.75" customHeight="1">
      <c r="A2569" s="33" t="s">
        <v>6555</v>
      </c>
      <c r="B2569" s="33" t="s">
        <v>1297</v>
      </c>
      <c r="C2569" s="39">
        <v>46170.0</v>
      </c>
      <c r="D2569" s="33" t="s">
        <v>479</v>
      </c>
      <c r="E2569" s="40">
        <v>219.02</v>
      </c>
      <c r="F2569" s="40">
        <v>1.49</v>
      </c>
      <c r="G2569" s="33" t="s">
        <v>431</v>
      </c>
    </row>
    <row r="2570" ht="15.75" customHeight="1">
      <c r="A2570" s="33" t="s">
        <v>6556</v>
      </c>
      <c r="B2570" s="33" t="s">
        <v>268</v>
      </c>
      <c r="C2570" s="39">
        <v>45852.0</v>
      </c>
      <c r="D2570" s="33" t="s">
        <v>435</v>
      </c>
      <c r="E2570" s="40">
        <v>35.59</v>
      </c>
      <c r="F2570" s="40">
        <v>0.0</v>
      </c>
      <c r="G2570" s="33" t="s">
        <v>442</v>
      </c>
    </row>
    <row r="2571" ht="15.75" customHeight="1">
      <c r="A2571" s="33" t="s">
        <v>6557</v>
      </c>
      <c r="B2571" s="33" t="s">
        <v>1099</v>
      </c>
      <c r="C2571" s="39">
        <v>45996.0</v>
      </c>
      <c r="D2571" s="33" t="s">
        <v>435</v>
      </c>
      <c r="E2571" s="40">
        <v>16.24</v>
      </c>
      <c r="F2571" s="40">
        <v>0.0</v>
      </c>
      <c r="G2571" s="33" t="s">
        <v>431</v>
      </c>
    </row>
    <row r="2572" ht="15.75" customHeight="1">
      <c r="A2572" s="33" t="s">
        <v>6558</v>
      </c>
      <c r="B2572" s="33" t="s">
        <v>1816</v>
      </c>
      <c r="C2572" s="39">
        <v>45818.0</v>
      </c>
      <c r="D2572" s="33" t="s">
        <v>479</v>
      </c>
      <c r="E2572" s="40">
        <v>88.8</v>
      </c>
      <c r="F2572" s="40">
        <v>1.28</v>
      </c>
      <c r="G2572" s="33" t="s">
        <v>450</v>
      </c>
    </row>
    <row r="2573" ht="15.75" customHeight="1">
      <c r="A2573" s="33" t="s">
        <v>6559</v>
      </c>
      <c r="B2573" s="33" t="s">
        <v>2914</v>
      </c>
      <c r="C2573" s="39">
        <v>45785.0</v>
      </c>
      <c r="D2573" s="33" t="s">
        <v>428</v>
      </c>
      <c r="E2573" s="40">
        <v>68.82</v>
      </c>
      <c r="F2573" s="40">
        <v>0.0</v>
      </c>
      <c r="G2573" s="33" t="s">
        <v>450</v>
      </c>
    </row>
    <row r="2574" ht="15.75" customHeight="1">
      <c r="A2574" s="33" t="s">
        <v>6560</v>
      </c>
      <c r="B2574" s="33" t="s">
        <v>872</v>
      </c>
      <c r="C2574" s="39">
        <v>45848.0</v>
      </c>
      <c r="D2574" s="33" t="s">
        <v>435</v>
      </c>
      <c r="E2574" s="40">
        <v>356.24</v>
      </c>
      <c r="F2574" s="40">
        <v>0.0</v>
      </c>
      <c r="G2574" s="33" t="s">
        <v>450</v>
      </c>
    </row>
    <row r="2575" ht="15.75" customHeight="1">
      <c r="A2575" s="33" t="s">
        <v>6561</v>
      </c>
      <c r="B2575" s="33" t="s">
        <v>913</v>
      </c>
      <c r="C2575" s="39">
        <v>46104.0</v>
      </c>
      <c r="D2575" s="33" t="s">
        <v>435</v>
      </c>
      <c r="E2575" s="40">
        <v>30.61</v>
      </c>
      <c r="F2575" s="40">
        <v>0.0</v>
      </c>
      <c r="G2575" s="33" t="s">
        <v>450</v>
      </c>
    </row>
    <row r="2576" ht="15.75" customHeight="1">
      <c r="A2576" s="33" t="s">
        <v>6562</v>
      </c>
      <c r="B2576" s="33" t="s">
        <v>2732</v>
      </c>
      <c r="C2576" s="39">
        <v>45923.0</v>
      </c>
      <c r="D2576" s="33" t="s">
        <v>440</v>
      </c>
      <c r="E2576" s="40">
        <v>266.34</v>
      </c>
      <c r="F2576" s="40">
        <v>0.0</v>
      </c>
      <c r="G2576" s="33" t="s">
        <v>450</v>
      </c>
    </row>
    <row r="2577" ht="15.75" customHeight="1">
      <c r="A2577" s="33" t="s">
        <v>6563</v>
      </c>
      <c r="B2577" s="33" t="s">
        <v>1649</v>
      </c>
      <c r="C2577" s="39">
        <v>46071.0</v>
      </c>
      <c r="D2577" s="33" t="s">
        <v>440</v>
      </c>
      <c r="E2577" s="40">
        <v>69.38</v>
      </c>
      <c r="F2577" s="40">
        <v>0.0</v>
      </c>
      <c r="G2577" s="33" t="s">
        <v>442</v>
      </c>
    </row>
    <row r="2578" ht="15.75" customHeight="1">
      <c r="A2578" s="33" t="s">
        <v>6564</v>
      </c>
      <c r="B2578" s="33" t="s">
        <v>1076</v>
      </c>
      <c r="C2578" s="39">
        <v>46077.0</v>
      </c>
      <c r="D2578" s="33" t="s">
        <v>435</v>
      </c>
      <c r="E2578" s="40">
        <v>27.2</v>
      </c>
      <c r="F2578" s="40">
        <v>0.0</v>
      </c>
      <c r="G2578" s="33" t="s">
        <v>450</v>
      </c>
    </row>
    <row r="2579" ht="15.75" customHeight="1">
      <c r="A2579" s="33" t="s">
        <v>6565</v>
      </c>
      <c r="B2579" s="33" t="s">
        <v>3434</v>
      </c>
      <c r="C2579" s="39">
        <v>45877.0</v>
      </c>
      <c r="D2579" s="33" t="s">
        <v>440</v>
      </c>
      <c r="E2579" s="40">
        <v>233.45</v>
      </c>
      <c r="F2579" s="40">
        <v>0.0</v>
      </c>
      <c r="G2579" s="33" t="s">
        <v>450</v>
      </c>
    </row>
    <row r="2580" ht="15.75" customHeight="1">
      <c r="A2580" s="33" t="s">
        <v>6566</v>
      </c>
      <c r="B2580" s="33" t="s">
        <v>1669</v>
      </c>
      <c r="C2580" s="39">
        <v>46237.0</v>
      </c>
      <c r="D2580" s="33" t="s">
        <v>461</v>
      </c>
      <c r="E2580" s="40">
        <v>36.11</v>
      </c>
      <c r="F2580" s="40">
        <v>0.33</v>
      </c>
      <c r="G2580" s="33" t="s">
        <v>442</v>
      </c>
    </row>
    <row r="2581" ht="15.75" customHeight="1">
      <c r="A2581" s="33" t="s">
        <v>6567</v>
      </c>
      <c r="B2581" s="33" t="s">
        <v>1179</v>
      </c>
      <c r="C2581" s="39">
        <v>45686.0</v>
      </c>
      <c r="D2581" s="33" t="s">
        <v>428</v>
      </c>
      <c r="E2581" s="40">
        <v>156.18</v>
      </c>
      <c r="F2581" s="40">
        <v>0.0</v>
      </c>
      <c r="G2581" s="33" t="s">
        <v>431</v>
      </c>
    </row>
    <row r="2582" ht="15.75" customHeight="1">
      <c r="A2582" s="33" t="s">
        <v>6568</v>
      </c>
      <c r="B2582" s="33" t="s">
        <v>2715</v>
      </c>
      <c r="C2582" s="39">
        <v>46202.0</v>
      </c>
      <c r="D2582" s="33" t="s">
        <v>440</v>
      </c>
      <c r="E2582" s="40">
        <v>90.79</v>
      </c>
      <c r="F2582" s="40">
        <v>0.0</v>
      </c>
      <c r="G2582" s="33" t="s">
        <v>450</v>
      </c>
    </row>
    <row r="2583" ht="15.75" customHeight="1">
      <c r="A2583" s="33" t="s">
        <v>6569</v>
      </c>
      <c r="B2583" s="33" t="s">
        <v>1297</v>
      </c>
      <c r="C2583" s="39">
        <v>45662.0</v>
      </c>
      <c r="D2583" s="33" t="s">
        <v>461</v>
      </c>
      <c r="E2583" s="40">
        <v>265.69</v>
      </c>
      <c r="F2583" s="40">
        <v>3.24</v>
      </c>
      <c r="G2583" s="33" t="s">
        <v>450</v>
      </c>
    </row>
    <row r="2584" ht="15.75" customHeight="1">
      <c r="A2584" s="33" t="s">
        <v>6570</v>
      </c>
      <c r="B2584" s="33" t="s">
        <v>1470</v>
      </c>
      <c r="C2584" s="39">
        <v>45890.0</v>
      </c>
      <c r="D2584" s="33" t="s">
        <v>428</v>
      </c>
      <c r="E2584" s="40">
        <v>180.42</v>
      </c>
      <c r="F2584" s="40">
        <v>0.0</v>
      </c>
      <c r="G2584" s="33" t="s">
        <v>450</v>
      </c>
    </row>
    <row r="2585" ht="15.75" customHeight="1">
      <c r="A2585" s="33" t="s">
        <v>6571</v>
      </c>
      <c r="B2585" s="33" t="s">
        <v>686</v>
      </c>
      <c r="C2585" s="39">
        <v>46159.0</v>
      </c>
      <c r="D2585" s="33" t="s">
        <v>435</v>
      </c>
      <c r="E2585" s="40">
        <v>67.92</v>
      </c>
      <c r="F2585" s="40">
        <v>0.0</v>
      </c>
      <c r="G2585" s="33" t="s">
        <v>450</v>
      </c>
    </row>
    <row r="2586" ht="15.75" customHeight="1">
      <c r="A2586" s="33" t="s">
        <v>6572</v>
      </c>
      <c r="B2586" s="33" t="s">
        <v>1065</v>
      </c>
      <c r="C2586" s="39">
        <v>46073.0</v>
      </c>
      <c r="D2586" s="33" t="s">
        <v>428</v>
      </c>
      <c r="E2586" s="40">
        <v>234.28</v>
      </c>
      <c r="F2586" s="40">
        <v>0.0</v>
      </c>
      <c r="G2586" s="33" t="s">
        <v>431</v>
      </c>
    </row>
    <row r="2587" ht="15.75" customHeight="1">
      <c r="A2587" s="33" t="s">
        <v>6573</v>
      </c>
      <c r="B2587" s="33" t="s">
        <v>923</v>
      </c>
      <c r="C2587" s="39">
        <v>45853.0</v>
      </c>
      <c r="D2587" s="33" t="s">
        <v>435</v>
      </c>
      <c r="E2587" s="40">
        <v>113.74</v>
      </c>
      <c r="F2587" s="40">
        <v>0.0</v>
      </c>
      <c r="G2587" s="33" t="s">
        <v>450</v>
      </c>
    </row>
    <row r="2588" ht="15.75" customHeight="1">
      <c r="A2588" s="33" t="s">
        <v>6574</v>
      </c>
      <c r="B2588" s="33" t="s">
        <v>2002</v>
      </c>
      <c r="C2588" s="39">
        <v>46195.0</v>
      </c>
      <c r="D2588" s="33" t="s">
        <v>461</v>
      </c>
      <c r="E2588" s="40">
        <v>81.15</v>
      </c>
      <c r="F2588" s="40">
        <v>1.27</v>
      </c>
      <c r="G2588" s="33" t="s">
        <v>450</v>
      </c>
    </row>
    <row r="2589" ht="15.75" customHeight="1">
      <c r="A2589" s="33" t="s">
        <v>6575</v>
      </c>
      <c r="B2589" s="33" t="s">
        <v>342</v>
      </c>
      <c r="C2589" s="39">
        <v>45741.0</v>
      </c>
      <c r="D2589" s="33" t="s">
        <v>461</v>
      </c>
      <c r="E2589" s="40">
        <v>89.28</v>
      </c>
      <c r="F2589" s="40">
        <v>0.92</v>
      </c>
      <c r="G2589" s="33" t="s">
        <v>450</v>
      </c>
    </row>
    <row r="2590" ht="15.75" customHeight="1">
      <c r="A2590" s="33" t="s">
        <v>6576</v>
      </c>
      <c r="B2590" s="33" t="s">
        <v>961</v>
      </c>
      <c r="C2590" s="39">
        <v>46065.0</v>
      </c>
      <c r="D2590" s="33" t="s">
        <v>428</v>
      </c>
      <c r="E2590" s="40">
        <v>160.56</v>
      </c>
      <c r="F2590" s="40">
        <v>0.0</v>
      </c>
      <c r="G2590" s="33" t="s">
        <v>450</v>
      </c>
    </row>
    <row r="2591" ht="15.75" customHeight="1">
      <c r="A2591" s="33" t="s">
        <v>6577</v>
      </c>
      <c r="B2591" s="33" t="s">
        <v>3978</v>
      </c>
      <c r="C2591" s="39">
        <v>45972.0</v>
      </c>
      <c r="D2591" s="33" t="s">
        <v>479</v>
      </c>
      <c r="E2591" s="40">
        <v>65.13</v>
      </c>
      <c r="F2591" s="40">
        <v>0.41</v>
      </c>
      <c r="G2591" s="33" t="s">
        <v>450</v>
      </c>
    </row>
    <row r="2592" ht="15.75" customHeight="1">
      <c r="A2592" s="33" t="s">
        <v>6578</v>
      </c>
      <c r="B2592" s="33" t="s">
        <v>3088</v>
      </c>
      <c r="C2592" s="39">
        <v>45783.0</v>
      </c>
      <c r="D2592" s="33" t="s">
        <v>461</v>
      </c>
      <c r="E2592" s="40">
        <v>50.77</v>
      </c>
      <c r="F2592" s="40">
        <v>0.85</v>
      </c>
      <c r="G2592" s="33" t="s">
        <v>442</v>
      </c>
    </row>
    <row r="2593" ht="15.75" customHeight="1">
      <c r="A2593" s="33" t="s">
        <v>6579</v>
      </c>
      <c r="B2593" s="33" t="s">
        <v>2268</v>
      </c>
      <c r="C2593" s="39">
        <v>46216.0</v>
      </c>
      <c r="D2593" s="33" t="s">
        <v>435</v>
      </c>
      <c r="E2593" s="40">
        <v>41.0</v>
      </c>
      <c r="F2593" s="40">
        <v>0.0</v>
      </c>
      <c r="G2593" s="33" t="s">
        <v>450</v>
      </c>
    </row>
    <row r="2594" ht="15.75" customHeight="1">
      <c r="A2594" s="33" t="s">
        <v>6580</v>
      </c>
      <c r="B2594" s="33" t="s">
        <v>1069</v>
      </c>
      <c r="C2594" s="39">
        <v>46122.0</v>
      </c>
      <c r="D2594" s="33" t="s">
        <v>479</v>
      </c>
      <c r="E2594" s="40">
        <v>102.86</v>
      </c>
      <c r="F2594" s="40">
        <v>1.71</v>
      </c>
      <c r="G2594" s="33" t="s">
        <v>431</v>
      </c>
    </row>
    <row r="2595" ht="15.75" customHeight="1">
      <c r="A2595" s="33" t="s">
        <v>6581</v>
      </c>
      <c r="B2595" s="33" t="s">
        <v>1402</v>
      </c>
      <c r="C2595" s="39">
        <v>45663.0</v>
      </c>
      <c r="D2595" s="33" t="s">
        <v>428</v>
      </c>
      <c r="E2595" s="40">
        <v>43.67</v>
      </c>
      <c r="F2595" s="40">
        <v>0.0</v>
      </c>
      <c r="G2595" s="33" t="s">
        <v>450</v>
      </c>
    </row>
    <row r="2596" ht="15.75" customHeight="1">
      <c r="A2596" s="33" t="s">
        <v>6582</v>
      </c>
      <c r="B2596" s="33" t="s">
        <v>2187</v>
      </c>
      <c r="C2596" s="39">
        <v>45710.0</v>
      </c>
      <c r="D2596" s="33" t="s">
        <v>435</v>
      </c>
      <c r="E2596" s="40">
        <v>162.25</v>
      </c>
      <c r="F2596" s="40">
        <v>0.0</v>
      </c>
      <c r="G2596" s="33" t="s">
        <v>450</v>
      </c>
    </row>
    <row r="2597" ht="15.75" customHeight="1">
      <c r="A2597" s="33" t="s">
        <v>6583</v>
      </c>
      <c r="B2597" s="33" t="s">
        <v>2340</v>
      </c>
      <c r="C2597" s="39">
        <v>45692.0</v>
      </c>
      <c r="D2597" s="33" t="s">
        <v>435</v>
      </c>
      <c r="E2597" s="40">
        <v>63.84</v>
      </c>
      <c r="F2597" s="40">
        <v>0.0</v>
      </c>
      <c r="G2597" s="33" t="s">
        <v>450</v>
      </c>
    </row>
    <row r="2598" ht="15.75" customHeight="1">
      <c r="A2598" s="33" t="s">
        <v>6584</v>
      </c>
      <c r="B2598" s="33" t="s">
        <v>2197</v>
      </c>
      <c r="C2598" s="39">
        <v>45910.0</v>
      </c>
      <c r="D2598" s="33" t="s">
        <v>461</v>
      </c>
      <c r="E2598" s="40">
        <v>120.36</v>
      </c>
      <c r="F2598" s="40">
        <v>1.3</v>
      </c>
      <c r="G2598" s="33" t="s">
        <v>450</v>
      </c>
    </row>
    <row r="2599" ht="15.75" customHeight="1">
      <c r="A2599" s="33" t="s">
        <v>6585</v>
      </c>
      <c r="B2599" s="33" t="s">
        <v>2816</v>
      </c>
      <c r="C2599" s="39">
        <v>45911.0</v>
      </c>
      <c r="D2599" s="33" t="s">
        <v>479</v>
      </c>
      <c r="E2599" s="40">
        <v>187.63</v>
      </c>
      <c r="F2599" s="40">
        <v>1.62</v>
      </c>
      <c r="G2599" s="33" t="s">
        <v>442</v>
      </c>
    </row>
    <row r="2600" ht="15.75" customHeight="1">
      <c r="A2600" s="33" t="s">
        <v>6586</v>
      </c>
      <c r="B2600" s="33" t="s">
        <v>326</v>
      </c>
      <c r="C2600" s="39">
        <v>46097.0</v>
      </c>
      <c r="D2600" s="33" t="s">
        <v>479</v>
      </c>
      <c r="E2600" s="40">
        <v>223.46</v>
      </c>
      <c r="F2600" s="40">
        <v>2.77</v>
      </c>
      <c r="G2600" s="33" t="s">
        <v>450</v>
      </c>
    </row>
    <row r="2601" ht="15.75" customHeight="1">
      <c r="A2601" s="33" t="s">
        <v>6587</v>
      </c>
      <c r="B2601" s="33" t="s">
        <v>526</v>
      </c>
      <c r="C2601" s="39">
        <v>46068.0</v>
      </c>
      <c r="D2601" s="33" t="s">
        <v>440</v>
      </c>
      <c r="E2601" s="40">
        <v>94.99</v>
      </c>
      <c r="F2601" s="40">
        <v>0.0</v>
      </c>
      <c r="G2601" s="33" t="s">
        <v>450</v>
      </c>
    </row>
    <row r="2602" ht="15.75" customHeight="1">
      <c r="A2602" s="33" t="s">
        <v>6588</v>
      </c>
      <c r="B2602" s="33" t="s">
        <v>1528</v>
      </c>
      <c r="C2602" s="39">
        <v>45667.0</v>
      </c>
      <c r="D2602" s="33" t="s">
        <v>435</v>
      </c>
      <c r="E2602" s="40">
        <v>8.82</v>
      </c>
      <c r="F2602" s="40">
        <v>0.0</v>
      </c>
      <c r="G2602" s="33" t="s">
        <v>450</v>
      </c>
    </row>
    <row r="2603" ht="15.75" customHeight="1">
      <c r="A2603" s="33" t="s">
        <v>6589</v>
      </c>
      <c r="B2603" s="33" t="s">
        <v>620</v>
      </c>
      <c r="C2603" s="39">
        <v>45946.0</v>
      </c>
      <c r="D2603" s="33" t="s">
        <v>461</v>
      </c>
      <c r="E2603" s="40">
        <v>9.56</v>
      </c>
      <c r="F2603" s="40">
        <v>0.19</v>
      </c>
      <c r="G2603" s="33" t="s">
        <v>431</v>
      </c>
    </row>
    <row r="2604" ht="15.75" customHeight="1">
      <c r="A2604" s="33" t="s">
        <v>6590</v>
      </c>
      <c r="B2604" s="33" t="s">
        <v>536</v>
      </c>
      <c r="C2604" s="39">
        <v>46134.0</v>
      </c>
      <c r="D2604" s="33" t="s">
        <v>440</v>
      </c>
      <c r="E2604" s="40">
        <v>159.18</v>
      </c>
      <c r="F2604" s="40">
        <v>0.0</v>
      </c>
      <c r="G2604" s="33" t="s">
        <v>431</v>
      </c>
    </row>
    <row r="2605" ht="15.75" customHeight="1">
      <c r="A2605" s="33" t="s">
        <v>6591</v>
      </c>
      <c r="B2605" s="33" t="s">
        <v>558</v>
      </c>
      <c r="C2605" s="39">
        <v>46202.0</v>
      </c>
      <c r="D2605" s="33" t="s">
        <v>461</v>
      </c>
      <c r="E2605" s="40">
        <v>33.8</v>
      </c>
      <c r="F2605" s="40">
        <v>0.39</v>
      </c>
      <c r="G2605" s="33" t="s">
        <v>442</v>
      </c>
    </row>
    <row r="2606" ht="15.75" customHeight="1">
      <c r="A2606" s="33" t="s">
        <v>6592</v>
      </c>
      <c r="B2606" s="33" t="s">
        <v>282</v>
      </c>
      <c r="C2606" s="39">
        <v>45835.0</v>
      </c>
      <c r="D2606" s="33" t="s">
        <v>479</v>
      </c>
      <c r="E2606" s="40">
        <v>61.42</v>
      </c>
      <c r="F2606" s="40">
        <v>0.68</v>
      </c>
      <c r="G2606" s="33" t="s">
        <v>431</v>
      </c>
    </row>
    <row r="2607" ht="15.75" customHeight="1">
      <c r="A2607" s="33" t="s">
        <v>6593</v>
      </c>
      <c r="B2607" s="33" t="s">
        <v>4533</v>
      </c>
      <c r="C2607" s="39">
        <v>45684.0</v>
      </c>
      <c r="D2607" s="33" t="s">
        <v>440</v>
      </c>
      <c r="E2607" s="40">
        <v>176.13</v>
      </c>
      <c r="F2607" s="40">
        <v>0.0</v>
      </c>
      <c r="G2607" s="33" t="s">
        <v>450</v>
      </c>
    </row>
    <row r="2608" ht="15.75" customHeight="1">
      <c r="A2608" s="33" t="s">
        <v>6594</v>
      </c>
      <c r="B2608" s="33" t="s">
        <v>1742</v>
      </c>
      <c r="C2608" s="39">
        <v>45750.0</v>
      </c>
      <c r="D2608" s="33" t="s">
        <v>440</v>
      </c>
      <c r="E2608" s="40">
        <v>51.34</v>
      </c>
      <c r="F2608" s="40">
        <v>0.0</v>
      </c>
      <c r="G2608" s="33" t="s">
        <v>442</v>
      </c>
    </row>
    <row r="2609" ht="15.75" customHeight="1">
      <c r="A2609" s="33" t="s">
        <v>6595</v>
      </c>
      <c r="B2609" s="33" t="s">
        <v>569</v>
      </c>
      <c r="C2609" s="39">
        <v>45864.0</v>
      </c>
      <c r="D2609" s="33" t="s">
        <v>461</v>
      </c>
      <c r="E2609" s="40">
        <v>23.78</v>
      </c>
      <c r="F2609" s="40">
        <v>0.2</v>
      </c>
      <c r="G2609" s="33" t="s">
        <v>450</v>
      </c>
    </row>
    <row r="2610" ht="15.75" customHeight="1">
      <c r="A2610" s="33" t="s">
        <v>6596</v>
      </c>
      <c r="B2610" s="33" t="s">
        <v>1239</v>
      </c>
      <c r="C2610" s="39">
        <v>45927.0</v>
      </c>
      <c r="D2610" s="33" t="s">
        <v>440</v>
      </c>
      <c r="E2610" s="40">
        <v>63.09</v>
      </c>
      <c r="F2610" s="40">
        <v>0.0</v>
      </c>
      <c r="G2610" s="33" t="s">
        <v>450</v>
      </c>
    </row>
    <row r="2611" ht="15.75" customHeight="1">
      <c r="A2611" s="33" t="s">
        <v>6597</v>
      </c>
      <c r="B2611" s="33" t="s">
        <v>3864</v>
      </c>
      <c r="C2611" s="39">
        <v>45871.0</v>
      </c>
      <c r="D2611" s="33" t="s">
        <v>428</v>
      </c>
      <c r="E2611" s="40">
        <v>137.96</v>
      </c>
      <c r="F2611" s="40">
        <v>0.0</v>
      </c>
      <c r="G2611" s="33" t="s">
        <v>450</v>
      </c>
    </row>
    <row r="2612" ht="15.75" customHeight="1">
      <c r="A2612" s="33" t="s">
        <v>6598</v>
      </c>
      <c r="B2612" s="33" t="s">
        <v>1014</v>
      </c>
      <c r="C2612" s="39">
        <v>45712.0</v>
      </c>
      <c r="D2612" s="33" t="s">
        <v>479</v>
      </c>
      <c r="E2612" s="40">
        <v>50.47</v>
      </c>
      <c r="F2612" s="40">
        <v>0.52</v>
      </c>
      <c r="G2612" s="33" t="s">
        <v>450</v>
      </c>
    </row>
    <row r="2613" ht="15.75" customHeight="1">
      <c r="A2613" s="33" t="s">
        <v>6599</v>
      </c>
      <c r="B2613" s="33" t="s">
        <v>1700</v>
      </c>
      <c r="C2613" s="39">
        <v>45864.0</v>
      </c>
      <c r="D2613" s="33" t="s">
        <v>428</v>
      </c>
      <c r="E2613" s="40">
        <v>124.49</v>
      </c>
      <c r="F2613" s="40">
        <v>0.0</v>
      </c>
      <c r="G2613" s="33" t="s">
        <v>450</v>
      </c>
    </row>
    <row r="2614" ht="15.75" customHeight="1">
      <c r="A2614" s="33" t="s">
        <v>6600</v>
      </c>
      <c r="B2614" s="33" t="s">
        <v>1289</v>
      </c>
      <c r="C2614" s="39">
        <v>45833.0</v>
      </c>
      <c r="D2614" s="33" t="s">
        <v>479</v>
      </c>
      <c r="E2614" s="40">
        <v>24.57</v>
      </c>
      <c r="F2614" s="40">
        <v>0.2</v>
      </c>
      <c r="G2614" s="33" t="s">
        <v>450</v>
      </c>
    </row>
    <row r="2615" ht="15.75" customHeight="1">
      <c r="A2615" s="33" t="s">
        <v>6601</v>
      </c>
      <c r="B2615" s="33" t="s">
        <v>1637</v>
      </c>
      <c r="C2615" s="39">
        <v>45954.0</v>
      </c>
      <c r="D2615" s="33" t="s">
        <v>479</v>
      </c>
      <c r="E2615" s="40">
        <v>39.9</v>
      </c>
      <c r="F2615" s="40">
        <v>0.42</v>
      </c>
      <c r="G2615" s="33" t="s">
        <v>442</v>
      </c>
    </row>
    <row r="2616" ht="15.75" customHeight="1">
      <c r="A2616" s="33" t="s">
        <v>6602</v>
      </c>
      <c r="B2616" s="33" t="s">
        <v>2456</v>
      </c>
      <c r="C2616" s="39">
        <v>45706.0</v>
      </c>
      <c r="D2616" s="33" t="s">
        <v>479</v>
      </c>
      <c r="E2616" s="40">
        <v>63.86</v>
      </c>
      <c r="F2616" s="40">
        <v>0.55</v>
      </c>
      <c r="G2616" s="33" t="s">
        <v>442</v>
      </c>
    </row>
    <row r="2617" ht="15.75" customHeight="1">
      <c r="A2617" s="33" t="s">
        <v>6603</v>
      </c>
      <c r="B2617" s="33" t="s">
        <v>474</v>
      </c>
      <c r="C2617" s="39">
        <v>46137.0</v>
      </c>
      <c r="D2617" s="33" t="s">
        <v>479</v>
      </c>
      <c r="E2617" s="40">
        <v>192.57</v>
      </c>
      <c r="F2617" s="40">
        <v>3.17</v>
      </c>
      <c r="G2617" s="33" t="s">
        <v>431</v>
      </c>
    </row>
    <row r="2618" ht="15.75" customHeight="1">
      <c r="A2618" s="33" t="s">
        <v>6604</v>
      </c>
      <c r="B2618" s="33" t="s">
        <v>2570</v>
      </c>
      <c r="C2618" s="39">
        <v>45911.0</v>
      </c>
      <c r="D2618" s="33" t="s">
        <v>479</v>
      </c>
      <c r="E2618" s="40">
        <v>56.12</v>
      </c>
      <c r="F2618" s="40">
        <v>0.82</v>
      </c>
      <c r="G2618" s="33" t="s">
        <v>431</v>
      </c>
    </row>
    <row r="2619" ht="15.75" customHeight="1">
      <c r="A2619" s="33" t="s">
        <v>6605</v>
      </c>
      <c r="B2619" s="33" t="s">
        <v>1452</v>
      </c>
      <c r="C2619" s="39">
        <v>45850.0</v>
      </c>
      <c r="D2619" s="33" t="s">
        <v>428</v>
      </c>
      <c r="E2619" s="40">
        <v>49.39</v>
      </c>
      <c r="F2619" s="40">
        <v>0.0</v>
      </c>
      <c r="G2619" s="33" t="s">
        <v>450</v>
      </c>
    </row>
    <row r="2620" ht="15.75" customHeight="1">
      <c r="A2620" s="33" t="s">
        <v>6606</v>
      </c>
      <c r="B2620" s="33" t="s">
        <v>590</v>
      </c>
      <c r="C2620" s="39">
        <v>46208.0</v>
      </c>
      <c r="D2620" s="33" t="s">
        <v>461</v>
      </c>
      <c r="E2620" s="40">
        <v>49.57</v>
      </c>
      <c r="F2620" s="40">
        <v>0.99</v>
      </c>
      <c r="G2620" s="33" t="s">
        <v>431</v>
      </c>
    </row>
    <row r="2621" ht="15.75" customHeight="1">
      <c r="A2621" s="33" t="s">
        <v>6607</v>
      </c>
      <c r="B2621" s="33" t="s">
        <v>649</v>
      </c>
      <c r="C2621" s="39">
        <v>46109.0</v>
      </c>
      <c r="D2621" s="33" t="s">
        <v>435</v>
      </c>
      <c r="E2621" s="40">
        <v>124.39</v>
      </c>
      <c r="F2621" s="40">
        <v>0.0</v>
      </c>
      <c r="G2621" s="33" t="s">
        <v>450</v>
      </c>
    </row>
    <row r="2622" ht="15.75" customHeight="1">
      <c r="A2622" s="33" t="s">
        <v>6608</v>
      </c>
      <c r="B2622" s="33" t="s">
        <v>534</v>
      </c>
      <c r="C2622" s="39">
        <v>45741.0</v>
      </c>
      <c r="D2622" s="33" t="s">
        <v>435</v>
      </c>
      <c r="E2622" s="40">
        <v>147.7</v>
      </c>
      <c r="F2622" s="40">
        <v>0.0</v>
      </c>
      <c r="G2622" s="33" t="s">
        <v>431</v>
      </c>
    </row>
    <row r="2623" ht="15.75" customHeight="1">
      <c r="A2623" s="33" t="s">
        <v>6609</v>
      </c>
      <c r="B2623" s="33" t="s">
        <v>3179</v>
      </c>
      <c r="C2623" s="39">
        <v>45746.0</v>
      </c>
      <c r="D2623" s="33" t="s">
        <v>435</v>
      </c>
      <c r="E2623" s="40">
        <v>186.67</v>
      </c>
      <c r="F2623" s="40">
        <v>0.0</v>
      </c>
      <c r="G2623" s="33" t="s">
        <v>431</v>
      </c>
    </row>
    <row r="2624" ht="15.75" customHeight="1">
      <c r="A2624" s="33" t="s">
        <v>6610</v>
      </c>
      <c r="B2624" s="33" t="s">
        <v>1176</v>
      </c>
      <c r="C2624" s="39">
        <v>45659.0</v>
      </c>
      <c r="D2624" s="33" t="s">
        <v>461</v>
      </c>
      <c r="E2624" s="40">
        <v>294.38</v>
      </c>
      <c r="F2624" s="40">
        <v>4.8</v>
      </c>
      <c r="G2624" s="33" t="s">
        <v>431</v>
      </c>
    </row>
    <row r="2625" ht="15.75" customHeight="1">
      <c r="A2625" s="33" t="s">
        <v>6611</v>
      </c>
      <c r="B2625" s="33" t="s">
        <v>801</v>
      </c>
      <c r="C2625" s="39">
        <v>45998.0</v>
      </c>
      <c r="D2625" s="33" t="s">
        <v>440</v>
      </c>
      <c r="E2625" s="40">
        <v>103.38</v>
      </c>
      <c r="F2625" s="40">
        <v>0.0</v>
      </c>
      <c r="G2625" s="33" t="s">
        <v>450</v>
      </c>
    </row>
    <row r="2626" ht="15.75" customHeight="1">
      <c r="A2626" s="33" t="s">
        <v>6612</v>
      </c>
      <c r="B2626" s="33" t="s">
        <v>1344</v>
      </c>
      <c r="C2626" s="39">
        <v>45873.0</v>
      </c>
      <c r="D2626" s="33" t="s">
        <v>440</v>
      </c>
      <c r="E2626" s="40">
        <v>44.2</v>
      </c>
      <c r="F2626" s="40">
        <v>0.0</v>
      </c>
      <c r="G2626" s="33" t="s">
        <v>442</v>
      </c>
    </row>
    <row r="2627" ht="15.75" customHeight="1">
      <c r="A2627" s="33" t="s">
        <v>6613</v>
      </c>
      <c r="B2627" s="33" t="s">
        <v>1488</v>
      </c>
      <c r="C2627" s="39">
        <v>45885.0</v>
      </c>
      <c r="D2627" s="33" t="s">
        <v>428</v>
      </c>
      <c r="E2627" s="40">
        <v>71.33</v>
      </c>
      <c r="F2627" s="40">
        <v>0.0</v>
      </c>
      <c r="G2627" s="33" t="s">
        <v>450</v>
      </c>
    </row>
    <row r="2628" ht="15.75" customHeight="1">
      <c r="A2628" s="33" t="s">
        <v>6614</v>
      </c>
      <c r="B2628" s="33" t="s">
        <v>1842</v>
      </c>
      <c r="C2628" s="39">
        <v>45967.0</v>
      </c>
      <c r="D2628" s="33" t="s">
        <v>435</v>
      </c>
      <c r="E2628" s="40">
        <v>35.46</v>
      </c>
      <c r="F2628" s="40">
        <v>0.0</v>
      </c>
      <c r="G2628" s="33" t="s">
        <v>450</v>
      </c>
    </row>
    <row r="2629" ht="15.75" customHeight="1">
      <c r="A2629" s="33" t="s">
        <v>6615</v>
      </c>
      <c r="B2629" s="33" t="s">
        <v>870</v>
      </c>
      <c r="C2629" s="39">
        <v>45985.0</v>
      </c>
      <c r="D2629" s="33" t="s">
        <v>435</v>
      </c>
      <c r="E2629" s="40">
        <v>89.6</v>
      </c>
      <c r="F2629" s="40">
        <v>0.0</v>
      </c>
      <c r="G2629" s="33" t="s">
        <v>450</v>
      </c>
    </row>
    <row r="2630" ht="15.75" customHeight="1">
      <c r="A2630" s="33" t="s">
        <v>6616</v>
      </c>
      <c r="B2630" s="33" t="s">
        <v>255</v>
      </c>
      <c r="C2630" s="39">
        <v>45658.0</v>
      </c>
      <c r="D2630" s="33" t="s">
        <v>435</v>
      </c>
      <c r="E2630" s="40">
        <v>41.12</v>
      </c>
      <c r="F2630" s="40">
        <v>0.0</v>
      </c>
      <c r="G2630" s="33" t="s">
        <v>450</v>
      </c>
    </row>
    <row r="2631" ht="15.75" customHeight="1">
      <c r="A2631" s="33" t="s">
        <v>6617</v>
      </c>
      <c r="B2631" s="33" t="s">
        <v>2669</v>
      </c>
      <c r="C2631" s="39">
        <v>45723.0</v>
      </c>
      <c r="D2631" s="33" t="s">
        <v>440</v>
      </c>
      <c r="E2631" s="40">
        <v>185.89</v>
      </c>
      <c r="F2631" s="40">
        <v>0.0</v>
      </c>
      <c r="G2631" s="33" t="s">
        <v>450</v>
      </c>
    </row>
    <row r="2632" ht="15.75" customHeight="1">
      <c r="A2632" s="33" t="s">
        <v>6618</v>
      </c>
      <c r="B2632" s="33" t="s">
        <v>402</v>
      </c>
      <c r="C2632" s="39">
        <v>46137.0</v>
      </c>
      <c r="D2632" s="33" t="s">
        <v>435</v>
      </c>
      <c r="E2632" s="40">
        <v>97.45</v>
      </c>
      <c r="F2632" s="40">
        <v>0.0</v>
      </c>
      <c r="G2632" s="33" t="s">
        <v>450</v>
      </c>
    </row>
    <row r="2633" ht="15.75" customHeight="1">
      <c r="A2633" s="33" t="s">
        <v>6619</v>
      </c>
      <c r="B2633" s="33" t="s">
        <v>2424</v>
      </c>
      <c r="C2633" s="39">
        <v>46236.0</v>
      </c>
      <c r="D2633" s="33" t="s">
        <v>461</v>
      </c>
      <c r="E2633" s="40">
        <v>227.77</v>
      </c>
      <c r="F2633" s="40">
        <v>1.17</v>
      </c>
      <c r="G2633" s="33" t="s">
        <v>450</v>
      </c>
    </row>
    <row r="2634" ht="15.75" customHeight="1">
      <c r="A2634" s="33" t="s">
        <v>6620</v>
      </c>
      <c r="B2634" s="33" t="s">
        <v>1402</v>
      </c>
      <c r="C2634" s="39">
        <v>46166.0</v>
      </c>
      <c r="D2634" s="33" t="s">
        <v>461</v>
      </c>
      <c r="E2634" s="40">
        <v>143.97</v>
      </c>
      <c r="F2634" s="40">
        <v>1.44</v>
      </c>
      <c r="G2634" s="33" t="s">
        <v>442</v>
      </c>
    </row>
    <row r="2635" ht="15.75" customHeight="1">
      <c r="A2635" s="33" t="s">
        <v>6621</v>
      </c>
      <c r="B2635" s="33" t="s">
        <v>929</v>
      </c>
      <c r="C2635" s="39">
        <v>46208.0</v>
      </c>
      <c r="D2635" s="33" t="s">
        <v>435</v>
      </c>
      <c r="E2635" s="40">
        <v>134.74</v>
      </c>
      <c r="F2635" s="40">
        <v>0.0</v>
      </c>
      <c r="G2635" s="33" t="s">
        <v>431</v>
      </c>
    </row>
    <row r="2636" ht="15.75" customHeight="1">
      <c r="A2636" s="33" t="s">
        <v>6622</v>
      </c>
      <c r="B2636" s="33" t="s">
        <v>3452</v>
      </c>
      <c r="C2636" s="39">
        <v>45939.0</v>
      </c>
      <c r="D2636" s="33" t="s">
        <v>479</v>
      </c>
      <c r="E2636" s="40">
        <v>23.59</v>
      </c>
      <c r="F2636" s="40">
        <v>0.37</v>
      </c>
      <c r="G2636" s="33" t="s">
        <v>431</v>
      </c>
    </row>
    <row r="2637" ht="15.75" customHeight="1">
      <c r="A2637" s="33" t="s">
        <v>6623</v>
      </c>
      <c r="B2637" s="33" t="s">
        <v>1475</v>
      </c>
      <c r="C2637" s="39">
        <v>46159.0</v>
      </c>
      <c r="D2637" s="33" t="s">
        <v>440</v>
      </c>
      <c r="E2637" s="40">
        <v>124.23</v>
      </c>
      <c r="F2637" s="40">
        <v>0.0</v>
      </c>
      <c r="G2637" s="33" t="s">
        <v>442</v>
      </c>
    </row>
    <row r="2638" ht="15.75" customHeight="1">
      <c r="A2638" s="33" t="s">
        <v>6624</v>
      </c>
      <c r="B2638" s="33" t="s">
        <v>2447</v>
      </c>
      <c r="C2638" s="39">
        <v>46193.0</v>
      </c>
      <c r="D2638" s="33" t="s">
        <v>435</v>
      </c>
      <c r="E2638" s="40">
        <v>290.17</v>
      </c>
      <c r="F2638" s="40">
        <v>0.0</v>
      </c>
      <c r="G2638" s="33" t="s">
        <v>431</v>
      </c>
    </row>
    <row r="2639" ht="15.75" customHeight="1">
      <c r="A2639" s="33" t="s">
        <v>6625</v>
      </c>
      <c r="B2639" s="33" t="s">
        <v>539</v>
      </c>
      <c r="C2639" s="39">
        <v>46199.0</v>
      </c>
      <c r="D2639" s="33" t="s">
        <v>479</v>
      </c>
      <c r="E2639" s="40">
        <v>57.54</v>
      </c>
      <c r="F2639" s="40">
        <v>1.1</v>
      </c>
      <c r="G2639" s="33" t="s">
        <v>450</v>
      </c>
    </row>
    <row r="2640" ht="15.75" customHeight="1">
      <c r="A2640" s="33" t="s">
        <v>6626</v>
      </c>
      <c r="B2640" s="33" t="s">
        <v>329</v>
      </c>
      <c r="C2640" s="39">
        <v>45748.0</v>
      </c>
      <c r="D2640" s="33" t="s">
        <v>461</v>
      </c>
      <c r="E2640" s="40">
        <v>166.6</v>
      </c>
      <c r="F2640" s="40">
        <v>1.41</v>
      </c>
      <c r="G2640" s="33" t="s">
        <v>431</v>
      </c>
    </row>
    <row r="2641" ht="15.75" customHeight="1">
      <c r="A2641" s="33" t="s">
        <v>6627</v>
      </c>
      <c r="B2641" s="33" t="s">
        <v>255</v>
      </c>
      <c r="C2641" s="39">
        <v>45747.0</v>
      </c>
      <c r="D2641" s="33" t="s">
        <v>440</v>
      </c>
      <c r="E2641" s="40">
        <v>17.12</v>
      </c>
      <c r="F2641" s="40">
        <v>0.0</v>
      </c>
      <c r="G2641" s="33" t="s">
        <v>431</v>
      </c>
    </row>
    <row r="2642" ht="15.75" customHeight="1">
      <c r="A2642" s="33" t="s">
        <v>6628</v>
      </c>
      <c r="B2642" s="33" t="s">
        <v>1375</v>
      </c>
      <c r="C2642" s="39">
        <v>45902.0</v>
      </c>
      <c r="D2642" s="33" t="s">
        <v>461</v>
      </c>
      <c r="E2642" s="40">
        <v>30.75</v>
      </c>
      <c r="F2642" s="40">
        <v>0.54</v>
      </c>
      <c r="G2642" s="33" t="s">
        <v>450</v>
      </c>
    </row>
    <row r="2643" ht="15.75" customHeight="1">
      <c r="A2643" s="33" t="s">
        <v>6629</v>
      </c>
      <c r="B2643" s="33" t="s">
        <v>2809</v>
      </c>
      <c r="C2643" s="39">
        <v>45963.0</v>
      </c>
      <c r="D2643" s="33" t="s">
        <v>428</v>
      </c>
      <c r="E2643" s="40">
        <v>75.36</v>
      </c>
      <c r="F2643" s="40">
        <v>0.0</v>
      </c>
      <c r="G2643" s="33" t="s">
        <v>450</v>
      </c>
    </row>
    <row r="2644" ht="15.75" customHeight="1">
      <c r="A2644" s="33" t="s">
        <v>6630</v>
      </c>
      <c r="B2644" s="33" t="s">
        <v>753</v>
      </c>
      <c r="C2644" s="39">
        <v>46239.0</v>
      </c>
      <c r="D2644" s="33" t="s">
        <v>435</v>
      </c>
      <c r="E2644" s="40">
        <v>50.09</v>
      </c>
      <c r="F2644" s="40">
        <v>0.0</v>
      </c>
      <c r="G2644" s="33" t="s">
        <v>450</v>
      </c>
    </row>
    <row r="2645" ht="15.75" customHeight="1">
      <c r="A2645" s="33" t="s">
        <v>6631</v>
      </c>
      <c r="B2645" s="33" t="s">
        <v>662</v>
      </c>
      <c r="C2645" s="39">
        <v>45850.0</v>
      </c>
      <c r="D2645" s="33" t="s">
        <v>435</v>
      </c>
      <c r="E2645" s="40">
        <v>40.57</v>
      </c>
      <c r="F2645" s="40">
        <v>0.0</v>
      </c>
      <c r="G2645" s="33" t="s">
        <v>450</v>
      </c>
    </row>
    <row r="2646" ht="15.75" customHeight="1">
      <c r="A2646" s="33" t="s">
        <v>6632</v>
      </c>
      <c r="B2646" s="33" t="s">
        <v>1249</v>
      </c>
      <c r="C2646" s="39">
        <v>46162.0</v>
      </c>
      <c r="D2646" s="33" t="s">
        <v>440</v>
      </c>
      <c r="E2646" s="40">
        <v>50.3</v>
      </c>
      <c r="F2646" s="40">
        <v>0.0</v>
      </c>
      <c r="G2646" s="33" t="s">
        <v>450</v>
      </c>
    </row>
    <row r="2647" ht="15.75" customHeight="1">
      <c r="A2647" s="33" t="s">
        <v>6633</v>
      </c>
      <c r="B2647" s="33" t="s">
        <v>3305</v>
      </c>
      <c r="C2647" s="39">
        <v>46196.0</v>
      </c>
      <c r="D2647" s="33" t="s">
        <v>428</v>
      </c>
      <c r="E2647" s="40">
        <v>114.5</v>
      </c>
      <c r="F2647" s="40">
        <v>0.0</v>
      </c>
      <c r="G2647" s="33" t="s">
        <v>431</v>
      </c>
    </row>
    <row r="2648" ht="15.75" customHeight="1">
      <c r="A2648" s="33" t="s">
        <v>6634</v>
      </c>
      <c r="B2648" s="33" t="s">
        <v>1422</v>
      </c>
      <c r="C2648" s="39">
        <v>46243.0</v>
      </c>
      <c r="D2648" s="33" t="s">
        <v>435</v>
      </c>
      <c r="E2648" s="40">
        <v>168.02</v>
      </c>
      <c r="F2648" s="40">
        <v>0.0</v>
      </c>
      <c r="G2648" s="33" t="s">
        <v>450</v>
      </c>
    </row>
    <row r="2649" ht="15.75" customHeight="1">
      <c r="A2649" s="33" t="s">
        <v>6635</v>
      </c>
      <c r="B2649" s="33" t="s">
        <v>2469</v>
      </c>
      <c r="C2649" s="39">
        <v>45772.0</v>
      </c>
      <c r="D2649" s="33" t="s">
        <v>479</v>
      </c>
      <c r="E2649" s="40">
        <v>121.63</v>
      </c>
      <c r="F2649" s="40">
        <v>1.76</v>
      </c>
      <c r="G2649" s="33" t="s">
        <v>442</v>
      </c>
    </row>
    <row r="2650" ht="15.75" customHeight="1">
      <c r="A2650" s="33" t="s">
        <v>6636</v>
      </c>
      <c r="B2650" s="33" t="s">
        <v>902</v>
      </c>
      <c r="C2650" s="39">
        <v>45804.0</v>
      </c>
      <c r="D2650" s="33" t="s">
        <v>479</v>
      </c>
      <c r="E2650" s="40">
        <v>126.76</v>
      </c>
      <c r="F2650" s="40">
        <v>2.24</v>
      </c>
      <c r="G2650" s="33" t="s">
        <v>431</v>
      </c>
    </row>
    <row r="2651" ht="15.75" customHeight="1">
      <c r="A2651" s="33" t="s">
        <v>6637</v>
      </c>
      <c r="B2651" s="33" t="s">
        <v>2221</v>
      </c>
      <c r="C2651" s="39">
        <v>45791.0</v>
      </c>
      <c r="D2651" s="33" t="s">
        <v>435</v>
      </c>
      <c r="E2651" s="40">
        <v>77.95</v>
      </c>
      <c r="F2651" s="40">
        <v>0.0</v>
      </c>
      <c r="G2651" s="33" t="s">
        <v>442</v>
      </c>
    </row>
    <row r="2652" ht="15.75" customHeight="1">
      <c r="A2652" s="33" t="s">
        <v>6638</v>
      </c>
      <c r="B2652" s="33" t="s">
        <v>825</v>
      </c>
      <c r="C2652" s="39">
        <v>46104.0</v>
      </c>
      <c r="D2652" s="33" t="s">
        <v>435</v>
      </c>
      <c r="E2652" s="40">
        <v>29.93</v>
      </c>
      <c r="F2652" s="40">
        <v>0.0</v>
      </c>
      <c r="G2652" s="33" t="s">
        <v>450</v>
      </c>
    </row>
    <row r="2653" ht="15.75" customHeight="1">
      <c r="A2653" s="33" t="s">
        <v>6639</v>
      </c>
      <c r="B2653" s="33" t="s">
        <v>195</v>
      </c>
      <c r="C2653" s="39">
        <v>46074.0</v>
      </c>
      <c r="D2653" s="33" t="s">
        <v>435</v>
      </c>
      <c r="E2653" s="40">
        <v>73.2</v>
      </c>
      <c r="F2653" s="40">
        <v>0.0</v>
      </c>
      <c r="G2653" s="33" t="s">
        <v>450</v>
      </c>
    </row>
    <row r="2654" ht="15.75" customHeight="1">
      <c r="A2654" s="33" t="s">
        <v>6640</v>
      </c>
      <c r="B2654" s="33" t="s">
        <v>2123</v>
      </c>
      <c r="C2654" s="39">
        <v>45905.0</v>
      </c>
      <c r="D2654" s="33" t="s">
        <v>435</v>
      </c>
      <c r="E2654" s="40">
        <v>91.35</v>
      </c>
      <c r="F2654" s="40">
        <v>0.0</v>
      </c>
      <c r="G2654" s="33" t="s">
        <v>450</v>
      </c>
    </row>
    <row r="2655" ht="15.75" customHeight="1">
      <c r="A2655" s="33" t="s">
        <v>6641</v>
      </c>
      <c r="B2655" s="33" t="s">
        <v>726</v>
      </c>
      <c r="C2655" s="39">
        <v>45711.0</v>
      </c>
      <c r="D2655" s="33" t="s">
        <v>479</v>
      </c>
      <c r="E2655" s="40">
        <v>173.24</v>
      </c>
      <c r="F2655" s="40">
        <v>1.69</v>
      </c>
      <c r="G2655" s="33" t="s">
        <v>450</v>
      </c>
    </row>
    <row r="2656" ht="15.75" customHeight="1">
      <c r="A2656" s="33" t="s">
        <v>6642</v>
      </c>
      <c r="B2656" s="33" t="s">
        <v>895</v>
      </c>
      <c r="C2656" s="39">
        <v>45974.0</v>
      </c>
      <c r="D2656" s="33" t="s">
        <v>428</v>
      </c>
      <c r="E2656" s="40">
        <v>252.31</v>
      </c>
      <c r="F2656" s="40">
        <v>0.0</v>
      </c>
      <c r="G2656" s="33" t="s">
        <v>431</v>
      </c>
    </row>
    <row r="2657" ht="15.75" customHeight="1">
      <c r="A2657" s="33" t="s">
        <v>6643</v>
      </c>
      <c r="B2657" s="33" t="s">
        <v>2752</v>
      </c>
      <c r="C2657" s="39">
        <v>46102.0</v>
      </c>
      <c r="D2657" s="33" t="s">
        <v>440</v>
      </c>
      <c r="E2657" s="40">
        <v>107.6</v>
      </c>
      <c r="F2657" s="40">
        <v>0.0</v>
      </c>
      <c r="G2657" s="33" t="s">
        <v>431</v>
      </c>
    </row>
    <row r="2658" ht="15.75" customHeight="1">
      <c r="A2658" s="33" t="s">
        <v>6644</v>
      </c>
      <c r="B2658" s="33" t="s">
        <v>2283</v>
      </c>
      <c r="C2658" s="39">
        <v>45945.0</v>
      </c>
      <c r="D2658" s="33" t="s">
        <v>440</v>
      </c>
      <c r="E2658" s="40">
        <v>161.06</v>
      </c>
      <c r="F2658" s="40">
        <v>0.0</v>
      </c>
      <c r="G2658" s="33" t="s">
        <v>450</v>
      </c>
    </row>
    <row r="2659" ht="15.75" customHeight="1">
      <c r="A2659" s="33" t="s">
        <v>6645</v>
      </c>
      <c r="B2659" s="33" t="s">
        <v>260</v>
      </c>
      <c r="C2659" s="39">
        <v>45820.0</v>
      </c>
      <c r="D2659" s="33" t="s">
        <v>440</v>
      </c>
      <c r="E2659" s="40">
        <v>6.66</v>
      </c>
      <c r="F2659" s="40">
        <v>0.0</v>
      </c>
      <c r="G2659" s="33" t="s">
        <v>450</v>
      </c>
    </row>
    <row r="2660" ht="15.75" customHeight="1">
      <c r="A2660" s="33" t="s">
        <v>6646</v>
      </c>
      <c r="B2660" s="33" t="s">
        <v>2589</v>
      </c>
      <c r="C2660" s="39">
        <v>46017.0</v>
      </c>
      <c r="D2660" s="33" t="s">
        <v>428</v>
      </c>
      <c r="E2660" s="40">
        <v>62.97</v>
      </c>
      <c r="F2660" s="40">
        <v>0.0</v>
      </c>
      <c r="G2660" s="33" t="s">
        <v>431</v>
      </c>
    </row>
    <row r="2661" ht="15.75" customHeight="1">
      <c r="A2661" s="33" t="s">
        <v>6647</v>
      </c>
      <c r="B2661" s="33" t="s">
        <v>2104</v>
      </c>
      <c r="C2661" s="39">
        <v>46059.0</v>
      </c>
      <c r="D2661" s="33" t="s">
        <v>428</v>
      </c>
      <c r="E2661" s="40">
        <v>77.67</v>
      </c>
      <c r="F2661" s="40">
        <v>0.0</v>
      </c>
      <c r="G2661" s="33" t="s">
        <v>431</v>
      </c>
    </row>
    <row r="2662" ht="15.75" customHeight="1">
      <c r="A2662" s="33" t="s">
        <v>6648</v>
      </c>
      <c r="B2662" s="33" t="s">
        <v>404</v>
      </c>
      <c r="C2662" s="39">
        <v>46016.0</v>
      </c>
      <c r="D2662" s="33" t="s">
        <v>461</v>
      </c>
      <c r="E2662" s="40">
        <v>119.38</v>
      </c>
      <c r="F2662" s="40">
        <v>0.96</v>
      </c>
      <c r="G2662" s="33" t="s">
        <v>431</v>
      </c>
    </row>
    <row r="2663" ht="15.75" customHeight="1">
      <c r="A2663" s="33" t="s">
        <v>6649</v>
      </c>
      <c r="B2663" s="33" t="s">
        <v>1789</v>
      </c>
      <c r="C2663" s="39">
        <v>46187.0</v>
      </c>
      <c r="D2663" s="33" t="s">
        <v>479</v>
      </c>
      <c r="E2663" s="40">
        <v>256.35</v>
      </c>
      <c r="F2663" s="40">
        <v>4.43</v>
      </c>
      <c r="G2663" s="33" t="s">
        <v>442</v>
      </c>
    </row>
    <row r="2664" ht="15.75" customHeight="1">
      <c r="A2664" s="33" t="s">
        <v>6650</v>
      </c>
      <c r="B2664" s="33" t="s">
        <v>496</v>
      </c>
      <c r="C2664" s="39">
        <v>45848.0</v>
      </c>
      <c r="D2664" s="33" t="s">
        <v>435</v>
      </c>
      <c r="E2664" s="40">
        <v>102.88</v>
      </c>
      <c r="F2664" s="40">
        <v>0.0</v>
      </c>
      <c r="G2664" s="33" t="s">
        <v>450</v>
      </c>
    </row>
    <row r="2665" ht="15.75" customHeight="1">
      <c r="A2665" s="33" t="s">
        <v>6651</v>
      </c>
      <c r="B2665" s="33" t="s">
        <v>2497</v>
      </c>
      <c r="C2665" s="39">
        <v>46028.0</v>
      </c>
      <c r="D2665" s="33" t="s">
        <v>428</v>
      </c>
      <c r="E2665" s="40">
        <v>14.7</v>
      </c>
      <c r="F2665" s="40">
        <v>0.0</v>
      </c>
      <c r="G2665" s="33" t="s">
        <v>450</v>
      </c>
    </row>
    <row r="2666" ht="15.75" customHeight="1">
      <c r="A2666" s="33" t="s">
        <v>6652</v>
      </c>
      <c r="B2666" s="33" t="s">
        <v>1382</v>
      </c>
      <c r="C2666" s="39">
        <v>46177.0</v>
      </c>
      <c r="D2666" s="33" t="s">
        <v>435</v>
      </c>
      <c r="E2666" s="40">
        <v>127.84</v>
      </c>
      <c r="F2666" s="40">
        <v>0.0</v>
      </c>
      <c r="G2666" s="33" t="s">
        <v>450</v>
      </c>
    </row>
    <row r="2667" ht="15.75" customHeight="1">
      <c r="A2667" s="33" t="s">
        <v>6653</v>
      </c>
      <c r="B2667" s="33" t="s">
        <v>3177</v>
      </c>
      <c r="C2667" s="39">
        <v>45787.0</v>
      </c>
      <c r="D2667" s="33" t="s">
        <v>435</v>
      </c>
      <c r="E2667" s="40">
        <v>59.22</v>
      </c>
      <c r="F2667" s="40">
        <v>0.0</v>
      </c>
      <c r="G2667" s="33" t="s">
        <v>431</v>
      </c>
    </row>
    <row r="2668" ht="15.75" customHeight="1">
      <c r="A2668" s="33" t="s">
        <v>6654</v>
      </c>
      <c r="B2668" s="33" t="s">
        <v>1991</v>
      </c>
      <c r="C2668" s="39">
        <v>45828.0</v>
      </c>
      <c r="D2668" s="33" t="s">
        <v>461</v>
      </c>
      <c r="E2668" s="40">
        <v>119.02</v>
      </c>
      <c r="F2668" s="40">
        <v>0.63</v>
      </c>
      <c r="G2668" s="33" t="s">
        <v>431</v>
      </c>
    </row>
    <row r="2669" ht="15.75" customHeight="1">
      <c r="A2669" s="33" t="s">
        <v>6655</v>
      </c>
      <c r="B2669" s="33" t="s">
        <v>731</v>
      </c>
      <c r="C2669" s="39">
        <v>45687.0</v>
      </c>
      <c r="D2669" s="33" t="s">
        <v>435</v>
      </c>
      <c r="E2669" s="40">
        <v>135.44</v>
      </c>
      <c r="F2669" s="40">
        <v>0.0</v>
      </c>
      <c r="G2669" s="33" t="s">
        <v>431</v>
      </c>
    </row>
    <row r="2670" ht="15.75" customHeight="1">
      <c r="A2670" s="33" t="s">
        <v>6656</v>
      </c>
      <c r="B2670" s="33" t="s">
        <v>362</v>
      </c>
      <c r="C2670" s="39">
        <v>45885.0</v>
      </c>
      <c r="D2670" s="33" t="s">
        <v>435</v>
      </c>
      <c r="E2670" s="40">
        <v>13.53</v>
      </c>
      <c r="F2670" s="40">
        <v>0.0</v>
      </c>
      <c r="G2670" s="33" t="s">
        <v>450</v>
      </c>
    </row>
    <row r="2671" ht="15.75" customHeight="1">
      <c r="A2671" s="33" t="s">
        <v>6657</v>
      </c>
      <c r="B2671" s="33" t="s">
        <v>381</v>
      </c>
      <c r="C2671" s="39">
        <v>45685.0</v>
      </c>
      <c r="D2671" s="33" t="s">
        <v>479</v>
      </c>
      <c r="E2671" s="40">
        <v>74.47</v>
      </c>
      <c r="F2671" s="40">
        <v>0.89</v>
      </c>
      <c r="G2671" s="33" t="s">
        <v>431</v>
      </c>
    </row>
    <row r="2672" ht="15.75" customHeight="1">
      <c r="A2672" s="33" t="s">
        <v>6658</v>
      </c>
      <c r="B2672" s="33" t="s">
        <v>300</v>
      </c>
      <c r="C2672" s="39">
        <v>46111.0</v>
      </c>
      <c r="D2672" s="33" t="s">
        <v>435</v>
      </c>
      <c r="E2672" s="40">
        <v>76.68</v>
      </c>
      <c r="F2672" s="40">
        <v>0.0</v>
      </c>
      <c r="G2672" s="33" t="s">
        <v>450</v>
      </c>
    </row>
    <row r="2673" ht="15.75" customHeight="1">
      <c r="A2673" s="33" t="s">
        <v>6659</v>
      </c>
      <c r="B2673" s="33" t="s">
        <v>1495</v>
      </c>
      <c r="C2673" s="39">
        <v>45711.0</v>
      </c>
      <c r="D2673" s="33" t="s">
        <v>440</v>
      </c>
      <c r="E2673" s="40">
        <v>101.95</v>
      </c>
      <c r="F2673" s="40">
        <v>0.0</v>
      </c>
      <c r="G2673" s="33" t="s">
        <v>450</v>
      </c>
    </row>
    <row r="2674" ht="15.75" customHeight="1">
      <c r="A2674" s="33" t="s">
        <v>6660</v>
      </c>
      <c r="B2674" s="33" t="s">
        <v>1405</v>
      </c>
      <c r="C2674" s="39">
        <v>46078.0</v>
      </c>
      <c r="D2674" s="33" t="s">
        <v>461</v>
      </c>
      <c r="E2674" s="40">
        <v>43.42</v>
      </c>
      <c r="F2674" s="40">
        <v>0.49</v>
      </c>
      <c r="G2674" s="33" t="s">
        <v>450</v>
      </c>
    </row>
    <row r="2675" ht="15.75" customHeight="1">
      <c r="A2675" s="33" t="s">
        <v>6661</v>
      </c>
      <c r="B2675" s="33" t="s">
        <v>753</v>
      </c>
      <c r="C2675" s="39">
        <v>46009.0</v>
      </c>
      <c r="D2675" s="33" t="s">
        <v>435</v>
      </c>
      <c r="E2675" s="40">
        <v>33.23</v>
      </c>
      <c r="F2675" s="40">
        <v>0.0</v>
      </c>
      <c r="G2675" s="33" t="s">
        <v>450</v>
      </c>
    </row>
    <row r="2676" ht="15.75" customHeight="1">
      <c r="A2676" s="33" t="s">
        <v>6662</v>
      </c>
      <c r="B2676" s="33" t="s">
        <v>1080</v>
      </c>
      <c r="C2676" s="39">
        <v>46257.0</v>
      </c>
      <c r="D2676" s="33" t="s">
        <v>461</v>
      </c>
      <c r="E2676" s="40">
        <v>253.53</v>
      </c>
      <c r="F2676" s="40">
        <v>4.6</v>
      </c>
      <c r="G2676" s="33" t="s">
        <v>450</v>
      </c>
    </row>
    <row r="2677" ht="15.75" customHeight="1">
      <c r="A2677" s="33" t="s">
        <v>6663</v>
      </c>
      <c r="B2677" s="33" t="s">
        <v>2104</v>
      </c>
      <c r="C2677" s="39">
        <v>45869.0</v>
      </c>
      <c r="D2677" s="33" t="s">
        <v>435</v>
      </c>
      <c r="E2677" s="40">
        <v>94.36</v>
      </c>
      <c r="F2677" s="40">
        <v>0.0</v>
      </c>
      <c r="G2677" s="33" t="s">
        <v>450</v>
      </c>
    </row>
    <row r="2678" ht="15.75" customHeight="1">
      <c r="A2678" s="33" t="s">
        <v>6664</v>
      </c>
      <c r="B2678" s="33" t="s">
        <v>2019</v>
      </c>
      <c r="C2678" s="39">
        <v>45867.0</v>
      </c>
      <c r="D2678" s="33" t="s">
        <v>461</v>
      </c>
      <c r="E2678" s="40">
        <v>36.56</v>
      </c>
      <c r="F2678" s="40">
        <v>0.53</v>
      </c>
      <c r="G2678" s="33" t="s">
        <v>450</v>
      </c>
    </row>
    <row r="2679" ht="15.75" customHeight="1">
      <c r="A2679" s="33" t="s">
        <v>6665</v>
      </c>
      <c r="B2679" s="33" t="s">
        <v>633</v>
      </c>
      <c r="C2679" s="39">
        <v>45805.0</v>
      </c>
      <c r="D2679" s="33" t="s">
        <v>435</v>
      </c>
      <c r="E2679" s="40">
        <v>51.3</v>
      </c>
      <c r="F2679" s="40">
        <v>0.0</v>
      </c>
      <c r="G2679" s="33" t="s">
        <v>450</v>
      </c>
    </row>
    <row r="2680" ht="15.75" customHeight="1">
      <c r="A2680" s="33" t="s">
        <v>6666</v>
      </c>
      <c r="B2680" s="33" t="s">
        <v>3088</v>
      </c>
      <c r="C2680" s="39">
        <v>45984.0</v>
      </c>
      <c r="D2680" s="33" t="s">
        <v>461</v>
      </c>
      <c r="E2680" s="40">
        <v>261.44</v>
      </c>
      <c r="F2680" s="40">
        <v>3.29</v>
      </c>
      <c r="G2680" s="33" t="s">
        <v>450</v>
      </c>
    </row>
    <row r="2681" ht="15.75" customHeight="1">
      <c r="A2681" s="33" t="s">
        <v>6667</v>
      </c>
      <c r="B2681" s="33" t="s">
        <v>3452</v>
      </c>
      <c r="C2681" s="39">
        <v>45791.0</v>
      </c>
      <c r="D2681" s="33" t="s">
        <v>461</v>
      </c>
      <c r="E2681" s="40">
        <v>196.59</v>
      </c>
      <c r="F2681" s="40">
        <v>1.68</v>
      </c>
      <c r="G2681" s="33" t="s">
        <v>431</v>
      </c>
    </row>
    <row r="2682" ht="15.75" customHeight="1">
      <c r="A2682" s="33" t="s">
        <v>6668</v>
      </c>
      <c r="B2682" s="33" t="s">
        <v>2187</v>
      </c>
      <c r="C2682" s="39">
        <v>45726.0</v>
      </c>
      <c r="D2682" s="33" t="s">
        <v>461</v>
      </c>
      <c r="E2682" s="40">
        <v>46.61</v>
      </c>
      <c r="F2682" s="40">
        <v>0.87</v>
      </c>
      <c r="G2682" s="33" t="s">
        <v>450</v>
      </c>
    </row>
    <row r="2683" ht="15.75" customHeight="1">
      <c r="A2683" s="33" t="s">
        <v>6669</v>
      </c>
      <c r="B2683" s="33" t="s">
        <v>521</v>
      </c>
      <c r="C2683" s="39">
        <v>46233.0</v>
      </c>
      <c r="D2683" s="33" t="s">
        <v>440</v>
      </c>
      <c r="E2683" s="40">
        <v>30.36</v>
      </c>
      <c r="F2683" s="40">
        <v>0.0</v>
      </c>
      <c r="G2683" s="33" t="s">
        <v>431</v>
      </c>
    </row>
    <row r="2684" ht="15.75" customHeight="1">
      <c r="A2684" s="33" t="s">
        <v>6670</v>
      </c>
      <c r="B2684" s="33" t="s">
        <v>1399</v>
      </c>
      <c r="C2684" s="39">
        <v>46070.0</v>
      </c>
      <c r="D2684" s="33" t="s">
        <v>440</v>
      </c>
      <c r="E2684" s="40">
        <v>32.55</v>
      </c>
      <c r="F2684" s="40">
        <v>0.0</v>
      </c>
      <c r="G2684" s="33" t="s">
        <v>450</v>
      </c>
    </row>
    <row r="2685" ht="15.75" customHeight="1">
      <c r="A2685" s="33" t="s">
        <v>6671</v>
      </c>
      <c r="B2685" s="33" t="s">
        <v>1076</v>
      </c>
      <c r="C2685" s="39">
        <v>45730.0</v>
      </c>
      <c r="D2685" s="33" t="s">
        <v>428</v>
      </c>
      <c r="E2685" s="40">
        <v>182.4</v>
      </c>
      <c r="F2685" s="40">
        <v>0.0</v>
      </c>
      <c r="G2685" s="33" t="s">
        <v>450</v>
      </c>
    </row>
    <row r="2686" ht="15.75" customHeight="1">
      <c r="A2686" s="33" t="s">
        <v>6672</v>
      </c>
      <c r="B2686" s="33" t="s">
        <v>1147</v>
      </c>
      <c r="C2686" s="39">
        <v>46033.0</v>
      </c>
      <c r="D2686" s="33" t="s">
        <v>461</v>
      </c>
      <c r="E2686" s="40">
        <v>55.98</v>
      </c>
      <c r="F2686" s="40">
        <v>0.71</v>
      </c>
      <c r="G2686" s="33" t="s">
        <v>450</v>
      </c>
    </row>
    <row r="2687" ht="15.75" customHeight="1">
      <c r="A2687" s="33" t="s">
        <v>6673</v>
      </c>
      <c r="B2687" s="33" t="s">
        <v>510</v>
      </c>
      <c r="C2687" s="39">
        <v>45843.0</v>
      </c>
      <c r="D2687" s="33" t="s">
        <v>435</v>
      </c>
      <c r="E2687" s="40">
        <v>19.37</v>
      </c>
      <c r="F2687" s="40">
        <v>0.0</v>
      </c>
      <c r="G2687" s="33" t="s">
        <v>442</v>
      </c>
    </row>
    <row r="2688" ht="15.75" customHeight="1">
      <c r="A2688" s="33" t="s">
        <v>6674</v>
      </c>
      <c r="B2688" s="33" t="s">
        <v>349</v>
      </c>
      <c r="C2688" s="39">
        <v>45767.0</v>
      </c>
      <c r="D2688" s="33" t="s">
        <v>435</v>
      </c>
      <c r="E2688" s="40">
        <v>52.68</v>
      </c>
      <c r="F2688" s="40">
        <v>0.0</v>
      </c>
      <c r="G2688" s="33" t="s">
        <v>450</v>
      </c>
    </row>
    <row r="2689" ht="15.75" customHeight="1">
      <c r="A2689" s="33" t="s">
        <v>6675</v>
      </c>
      <c r="B2689" s="33" t="s">
        <v>737</v>
      </c>
      <c r="C2689" s="39">
        <v>45944.0</v>
      </c>
      <c r="D2689" s="33" t="s">
        <v>440</v>
      </c>
      <c r="E2689" s="40">
        <v>101.13</v>
      </c>
      <c r="F2689" s="40">
        <v>0.0</v>
      </c>
      <c r="G2689" s="33" t="s">
        <v>431</v>
      </c>
    </row>
    <row r="2690" ht="15.75" customHeight="1">
      <c r="A2690" s="33" t="s">
        <v>6676</v>
      </c>
      <c r="B2690" s="33" t="s">
        <v>749</v>
      </c>
      <c r="C2690" s="39">
        <v>46136.0</v>
      </c>
      <c r="D2690" s="33" t="s">
        <v>461</v>
      </c>
      <c r="E2690" s="40">
        <v>73.42</v>
      </c>
      <c r="F2690" s="40">
        <v>0.61</v>
      </c>
      <c r="G2690" s="33" t="s">
        <v>450</v>
      </c>
    </row>
    <row r="2691" ht="15.75" customHeight="1">
      <c r="A2691" s="33" t="s">
        <v>6677</v>
      </c>
      <c r="B2691" s="33" t="s">
        <v>981</v>
      </c>
      <c r="C2691" s="39">
        <v>45658.0</v>
      </c>
      <c r="D2691" s="33" t="s">
        <v>440</v>
      </c>
      <c r="E2691" s="40">
        <v>198.92</v>
      </c>
      <c r="F2691" s="40">
        <v>0.0</v>
      </c>
      <c r="G2691" s="33" t="s">
        <v>442</v>
      </c>
    </row>
    <row r="2692" ht="15.75" customHeight="1">
      <c r="A2692" s="33" t="s">
        <v>6678</v>
      </c>
      <c r="B2692" s="33" t="s">
        <v>326</v>
      </c>
      <c r="C2692" s="39">
        <v>45873.0</v>
      </c>
      <c r="D2692" s="33" t="s">
        <v>428</v>
      </c>
      <c r="E2692" s="40">
        <v>102.07</v>
      </c>
      <c r="F2692" s="40">
        <v>0.0</v>
      </c>
      <c r="G2692" s="33" t="s">
        <v>450</v>
      </c>
    </row>
    <row r="2693" ht="15.75" customHeight="1">
      <c r="A2693" s="33" t="s">
        <v>6679</v>
      </c>
      <c r="B2693" s="33" t="s">
        <v>888</v>
      </c>
      <c r="C2693" s="39">
        <v>46217.0</v>
      </c>
      <c r="D2693" s="33" t="s">
        <v>479</v>
      </c>
      <c r="E2693" s="40">
        <v>112.69</v>
      </c>
      <c r="F2693" s="40">
        <v>2.1</v>
      </c>
      <c r="G2693" s="33" t="s">
        <v>450</v>
      </c>
    </row>
    <row r="2694" ht="15.75" customHeight="1">
      <c r="A2694" s="33" t="s">
        <v>6680</v>
      </c>
      <c r="B2694" s="33" t="s">
        <v>2188</v>
      </c>
      <c r="C2694" s="39">
        <v>45897.0</v>
      </c>
      <c r="D2694" s="33" t="s">
        <v>428</v>
      </c>
      <c r="E2694" s="40">
        <v>154.28</v>
      </c>
      <c r="F2694" s="40">
        <v>0.0</v>
      </c>
      <c r="G2694" s="33" t="s">
        <v>442</v>
      </c>
    </row>
    <row r="2695" ht="15.75" customHeight="1">
      <c r="A2695" s="33" t="s">
        <v>6681</v>
      </c>
      <c r="B2695" s="33" t="s">
        <v>864</v>
      </c>
      <c r="C2695" s="39">
        <v>45718.0</v>
      </c>
      <c r="D2695" s="33" t="s">
        <v>428</v>
      </c>
      <c r="E2695" s="40">
        <v>148.59</v>
      </c>
      <c r="F2695" s="40">
        <v>0.0</v>
      </c>
      <c r="G2695" s="33" t="s">
        <v>450</v>
      </c>
    </row>
    <row r="2696" ht="15.75" customHeight="1">
      <c r="A2696" s="33" t="s">
        <v>6682</v>
      </c>
      <c r="B2696" s="33" t="s">
        <v>1495</v>
      </c>
      <c r="C2696" s="39">
        <v>45918.0</v>
      </c>
      <c r="D2696" s="33" t="s">
        <v>479</v>
      </c>
      <c r="E2696" s="40">
        <v>52.46</v>
      </c>
      <c r="F2696" s="40">
        <v>0.86</v>
      </c>
      <c r="G2696" s="33" t="s">
        <v>442</v>
      </c>
    </row>
    <row r="2697" ht="15.75" customHeight="1">
      <c r="A2697" s="33" t="s">
        <v>6683</v>
      </c>
      <c r="B2697" s="33" t="s">
        <v>2144</v>
      </c>
      <c r="C2697" s="39">
        <v>46072.0</v>
      </c>
      <c r="D2697" s="33" t="s">
        <v>428</v>
      </c>
      <c r="E2697" s="40">
        <v>30.88</v>
      </c>
      <c r="F2697" s="40">
        <v>0.0</v>
      </c>
      <c r="G2697" s="33" t="s">
        <v>450</v>
      </c>
    </row>
    <row r="2698" ht="15.75" customHeight="1">
      <c r="A2698" s="33" t="s">
        <v>6684</v>
      </c>
      <c r="B2698" s="33" t="s">
        <v>1799</v>
      </c>
      <c r="C2698" s="39">
        <v>46262.0</v>
      </c>
      <c r="D2698" s="33" t="s">
        <v>479</v>
      </c>
      <c r="E2698" s="40">
        <v>96.04</v>
      </c>
      <c r="F2698" s="40">
        <v>1.54</v>
      </c>
      <c r="G2698" s="33" t="s">
        <v>450</v>
      </c>
    </row>
    <row r="2699" ht="15.75" customHeight="1">
      <c r="A2699" s="33" t="s">
        <v>6685</v>
      </c>
      <c r="B2699" s="33" t="s">
        <v>1703</v>
      </c>
      <c r="C2699" s="39">
        <v>46039.0</v>
      </c>
      <c r="D2699" s="33" t="s">
        <v>435</v>
      </c>
      <c r="E2699" s="40">
        <v>86.28</v>
      </c>
      <c r="F2699" s="40">
        <v>0.0</v>
      </c>
      <c r="G2699" s="33" t="s">
        <v>431</v>
      </c>
    </row>
    <row r="2700" ht="15.75" customHeight="1">
      <c r="A2700" s="33" t="s">
        <v>6686</v>
      </c>
      <c r="B2700" s="33" t="s">
        <v>2622</v>
      </c>
      <c r="C2700" s="39">
        <v>45688.0</v>
      </c>
      <c r="D2700" s="33" t="s">
        <v>440</v>
      </c>
      <c r="E2700" s="40">
        <v>102.65</v>
      </c>
      <c r="F2700" s="40">
        <v>0.0</v>
      </c>
      <c r="G2700" s="33" t="s">
        <v>450</v>
      </c>
    </row>
    <row r="2701" ht="15.75" customHeight="1">
      <c r="A2701" s="33" t="s">
        <v>6687</v>
      </c>
      <c r="B2701" s="33" t="s">
        <v>553</v>
      </c>
      <c r="C2701" s="39">
        <v>46149.0</v>
      </c>
      <c r="D2701" s="33" t="s">
        <v>479</v>
      </c>
      <c r="E2701" s="40">
        <v>109.14</v>
      </c>
      <c r="F2701" s="40">
        <v>1.77</v>
      </c>
      <c r="G2701" s="33" t="s">
        <v>450</v>
      </c>
    </row>
    <row r="2702" ht="15.75" customHeight="1">
      <c r="A2702" s="33" t="s">
        <v>6688</v>
      </c>
      <c r="B2702" s="33" t="s">
        <v>576</v>
      </c>
      <c r="C2702" s="39">
        <v>46131.0</v>
      </c>
      <c r="D2702" s="33" t="s">
        <v>428</v>
      </c>
      <c r="E2702" s="40">
        <v>240.66</v>
      </c>
      <c r="F2702" s="40">
        <v>0.0</v>
      </c>
      <c r="G2702" s="33" t="s">
        <v>442</v>
      </c>
    </row>
    <row r="2703" ht="15.75" customHeight="1">
      <c r="A2703" s="33" t="s">
        <v>6689</v>
      </c>
      <c r="B2703" s="33" t="s">
        <v>1181</v>
      </c>
      <c r="C2703" s="39">
        <v>46053.0</v>
      </c>
      <c r="D2703" s="33" t="s">
        <v>428</v>
      </c>
      <c r="E2703" s="40">
        <v>64.88</v>
      </c>
      <c r="F2703" s="40">
        <v>0.0</v>
      </c>
      <c r="G2703" s="33" t="s">
        <v>450</v>
      </c>
    </row>
    <row r="2704" ht="15.75" customHeight="1">
      <c r="A2704" s="33" t="s">
        <v>6690</v>
      </c>
      <c r="B2704" s="33" t="s">
        <v>1368</v>
      </c>
      <c r="C2704" s="39">
        <v>46202.0</v>
      </c>
      <c r="D2704" s="33" t="s">
        <v>435</v>
      </c>
      <c r="E2704" s="40">
        <v>112.37</v>
      </c>
      <c r="F2704" s="40">
        <v>0.0</v>
      </c>
      <c r="G2704" s="33" t="s">
        <v>450</v>
      </c>
    </row>
    <row r="2705" ht="15.75" customHeight="1">
      <c r="A2705" s="33" t="s">
        <v>6691</v>
      </c>
      <c r="B2705" s="33" t="s">
        <v>250</v>
      </c>
      <c r="C2705" s="39">
        <v>46125.0</v>
      </c>
      <c r="D2705" s="33" t="s">
        <v>435</v>
      </c>
      <c r="E2705" s="40">
        <v>30.76</v>
      </c>
      <c r="F2705" s="40">
        <v>0.0</v>
      </c>
      <c r="G2705" s="33" t="s">
        <v>442</v>
      </c>
    </row>
    <row r="2706" ht="15.75" customHeight="1">
      <c r="A2706" s="33" t="s">
        <v>6692</v>
      </c>
      <c r="B2706" s="33" t="s">
        <v>1735</v>
      </c>
      <c r="C2706" s="39">
        <v>45798.0</v>
      </c>
      <c r="D2706" s="33" t="s">
        <v>479</v>
      </c>
      <c r="E2706" s="40">
        <v>40.51</v>
      </c>
      <c r="F2706" s="40">
        <v>0.6</v>
      </c>
      <c r="G2706" s="33" t="s">
        <v>431</v>
      </c>
    </row>
    <row r="2707" ht="15.75" customHeight="1">
      <c r="A2707" s="33" t="s">
        <v>6693</v>
      </c>
      <c r="B2707" s="33" t="s">
        <v>195</v>
      </c>
      <c r="C2707" s="39">
        <v>45913.0</v>
      </c>
      <c r="D2707" s="33" t="s">
        <v>479</v>
      </c>
      <c r="E2707" s="40">
        <v>82.16</v>
      </c>
      <c r="F2707" s="40">
        <v>1.36</v>
      </c>
      <c r="G2707" s="33" t="s">
        <v>431</v>
      </c>
    </row>
    <row r="2708" ht="15.75" customHeight="1">
      <c r="A2708" s="33" t="s">
        <v>6694</v>
      </c>
      <c r="B2708" s="33" t="s">
        <v>855</v>
      </c>
      <c r="C2708" s="39">
        <v>45966.0</v>
      </c>
      <c r="D2708" s="33" t="s">
        <v>461</v>
      </c>
      <c r="E2708" s="40">
        <v>35.37</v>
      </c>
      <c r="F2708" s="40">
        <v>0.51</v>
      </c>
      <c r="G2708" s="33" t="s">
        <v>450</v>
      </c>
    </row>
    <row r="2709" ht="15.75" customHeight="1">
      <c r="A2709" s="33" t="s">
        <v>6695</v>
      </c>
      <c r="B2709" s="33" t="s">
        <v>1311</v>
      </c>
      <c r="C2709" s="39">
        <v>45954.0</v>
      </c>
      <c r="D2709" s="33" t="s">
        <v>440</v>
      </c>
      <c r="E2709" s="40">
        <v>129.62</v>
      </c>
      <c r="F2709" s="40">
        <v>0.0</v>
      </c>
      <c r="G2709" s="33" t="s">
        <v>431</v>
      </c>
    </row>
    <row r="2710" ht="15.75" customHeight="1">
      <c r="A2710" s="33" t="s">
        <v>6696</v>
      </c>
      <c r="B2710" s="33" t="s">
        <v>2676</v>
      </c>
      <c r="C2710" s="39">
        <v>46045.0</v>
      </c>
      <c r="D2710" s="33" t="s">
        <v>428</v>
      </c>
      <c r="E2710" s="40">
        <v>115.95</v>
      </c>
      <c r="F2710" s="40">
        <v>0.0</v>
      </c>
      <c r="G2710" s="33" t="s">
        <v>450</v>
      </c>
    </row>
    <row r="2711" ht="15.75" customHeight="1">
      <c r="A2711" s="33" t="s">
        <v>6697</v>
      </c>
      <c r="B2711" s="33" t="s">
        <v>1374</v>
      </c>
      <c r="C2711" s="39">
        <v>46083.0</v>
      </c>
      <c r="D2711" s="33" t="s">
        <v>479</v>
      </c>
      <c r="E2711" s="40">
        <v>47.17</v>
      </c>
      <c r="F2711" s="40">
        <v>0.46</v>
      </c>
      <c r="G2711" s="33" t="s">
        <v>431</v>
      </c>
    </row>
    <row r="2712" ht="15.75" customHeight="1">
      <c r="A2712" s="33" t="s">
        <v>6698</v>
      </c>
      <c r="B2712" s="33" t="s">
        <v>845</v>
      </c>
      <c r="C2712" s="39">
        <v>45721.0</v>
      </c>
      <c r="D2712" s="33" t="s">
        <v>440</v>
      </c>
      <c r="E2712" s="40">
        <v>68.73</v>
      </c>
      <c r="F2712" s="40">
        <v>0.0</v>
      </c>
      <c r="G2712" s="33" t="s">
        <v>450</v>
      </c>
    </row>
    <row r="2713" ht="15.75" customHeight="1">
      <c r="A2713" s="33" t="s">
        <v>6699</v>
      </c>
      <c r="B2713" s="33" t="s">
        <v>1998</v>
      </c>
      <c r="C2713" s="39">
        <v>46003.0</v>
      </c>
      <c r="D2713" s="33" t="s">
        <v>479</v>
      </c>
      <c r="E2713" s="40">
        <v>183.69</v>
      </c>
      <c r="F2713" s="40">
        <v>0.96</v>
      </c>
      <c r="G2713" s="33" t="s">
        <v>450</v>
      </c>
    </row>
    <row r="2714" ht="15.75" customHeight="1">
      <c r="A2714" s="33" t="s">
        <v>6700</v>
      </c>
      <c r="B2714" s="33" t="s">
        <v>2879</v>
      </c>
      <c r="C2714" s="39">
        <v>45681.0</v>
      </c>
      <c r="D2714" s="33" t="s">
        <v>428</v>
      </c>
      <c r="E2714" s="40">
        <v>95.19</v>
      </c>
      <c r="F2714" s="40">
        <v>0.0</v>
      </c>
      <c r="G2714" s="33" t="s">
        <v>431</v>
      </c>
    </row>
    <row r="2715" ht="15.75" customHeight="1">
      <c r="A2715" s="33" t="s">
        <v>6701</v>
      </c>
      <c r="B2715" s="33" t="s">
        <v>1920</v>
      </c>
      <c r="C2715" s="39">
        <v>45968.0</v>
      </c>
      <c r="D2715" s="33" t="s">
        <v>440</v>
      </c>
      <c r="E2715" s="40">
        <v>337.19</v>
      </c>
      <c r="F2715" s="40">
        <v>0.0</v>
      </c>
      <c r="G2715" s="33" t="s">
        <v>431</v>
      </c>
    </row>
    <row r="2716" ht="15.75" customHeight="1">
      <c r="A2716" s="33" t="s">
        <v>6702</v>
      </c>
      <c r="B2716" s="33" t="s">
        <v>322</v>
      </c>
      <c r="C2716" s="39">
        <v>45914.0</v>
      </c>
      <c r="D2716" s="33" t="s">
        <v>479</v>
      </c>
      <c r="E2716" s="40">
        <v>68.78</v>
      </c>
      <c r="F2716" s="40">
        <v>0.44</v>
      </c>
      <c r="G2716" s="33" t="s">
        <v>442</v>
      </c>
    </row>
    <row r="2717" ht="15.75" customHeight="1">
      <c r="A2717" s="33" t="s">
        <v>6703</v>
      </c>
      <c r="B2717" s="33" t="s">
        <v>306</v>
      </c>
      <c r="C2717" s="39">
        <v>45782.0</v>
      </c>
      <c r="D2717" s="33" t="s">
        <v>428</v>
      </c>
      <c r="E2717" s="40">
        <v>75.3</v>
      </c>
      <c r="F2717" s="40">
        <v>0.0</v>
      </c>
      <c r="G2717" s="33" t="s">
        <v>442</v>
      </c>
    </row>
    <row r="2718" ht="15.75" customHeight="1">
      <c r="A2718" s="33" t="s">
        <v>6704</v>
      </c>
      <c r="B2718" s="33" t="s">
        <v>3633</v>
      </c>
      <c r="C2718" s="39">
        <v>46259.0</v>
      </c>
      <c r="D2718" s="33" t="s">
        <v>435</v>
      </c>
      <c r="E2718" s="40">
        <v>82.17</v>
      </c>
      <c r="F2718" s="40">
        <v>0.0</v>
      </c>
      <c r="G2718" s="33" t="s">
        <v>450</v>
      </c>
    </row>
    <row r="2719" ht="15.75" customHeight="1">
      <c r="A2719" s="33" t="s">
        <v>6705</v>
      </c>
      <c r="B2719" s="33" t="s">
        <v>1344</v>
      </c>
      <c r="C2719" s="39">
        <v>45814.0</v>
      </c>
      <c r="D2719" s="33" t="s">
        <v>479</v>
      </c>
      <c r="E2719" s="40">
        <v>16.8</v>
      </c>
      <c r="F2719" s="40">
        <v>0.23</v>
      </c>
      <c r="G2719" s="33" t="s">
        <v>442</v>
      </c>
    </row>
    <row r="2720" ht="15.75" customHeight="1">
      <c r="A2720" s="33" t="s">
        <v>6706</v>
      </c>
      <c r="B2720" s="33" t="s">
        <v>1253</v>
      </c>
      <c r="C2720" s="39">
        <v>45692.0</v>
      </c>
      <c r="D2720" s="33" t="s">
        <v>461</v>
      </c>
      <c r="E2720" s="40">
        <v>72.57</v>
      </c>
      <c r="F2720" s="40">
        <v>0.63</v>
      </c>
      <c r="G2720" s="33" t="s">
        <v>450</v>
      </c>
    </row>
    <row r="2721" ht="15.75" customHeight="1">
      <c r="A2721" s="33" t="s">
        <v>6707</v>
      </c>
      <c r="B2721" s="33" t="s">
        <v>478</v>
      </c>
      <c r="C2721" s="39">
        <v>45875.0</v>
      </c>
      <c r="D2721" s="33" t="s">
        <v>428</v>
      </c>
      <c r="E2721" s="40">
        <v>70.59</v>
      </c>
      <c r="F2721" s="40">
        <v>0.0</v>
      </c>
      <c r="G2721" s="33" t="s">
        <v>450</v>
      </c>
    </row>
    <row r="2722" ht="15.75" customHeight="1">
      <c r="A2722" s="33" t="s">
        <v>6708</v>
      </c>
      <c r="B2722" s="33" t="s">
        <v>630</v>
      </c>
      <c r="C2722" s="39">
        <v>46117.0</v>
      </c>
      <c r="D2722" s="33" t="s">
        <v>435</v>
      </c>
      <c r="E2722" s="40">
        <v>138.17</v>
      </c>
      <c r="F2722" s="40">
        <v>0.0</v>
      </c>
      <c r="G2722" s="33" t="s">
        <v>431</v>
      </c>
    </row>
    <row r="2723" ht="15.75" customHeight="1">
      <c r="A2723" s="33" t="s">
        <v>6709</v>
      </c>
      <c r="B2723" s="33" t="s">
        <v>501</v>
      </c>
      <c r="C2723" s="39">
        <v>45663.0</v>
      </c>
      <c r="D2723" s="33" t="s">
        <v>461</v>
      </c>
      <c r="E2723" s="40">
        <v>188.85</v>
      </c>
      <c r="F2723" s="40">
        <v>2.04</v>
      </c>
      <c r="G2723" s="33" t="s">
        <v>450</v>
      </c>
    </row>
    <row r="2724" ht="15.75" customHeight="1">
      <c r="A2724" s="33" t="s">
        <v>6710</v>
      </c>
      <c r="B2724" s="33" t="s">
        <v>1541</v>
      </c>
      <c r="C2724" s="39">
        <v>45957.0</v>
      </c>
      <c r="D2724" s="33" t="s">
        <v>428</v>
      </c>
      <c r="E2724" s="40">
        <v>64.1</v>
      </c>
      <c r="F2724" s="40">
        <v>0.0</v>
      </c>
      <c r="G2724" s="33" t="s">
        <v>442</v>
      </c>
    </row>
    <row r="2725" ht="15.75" customHeight="1">
      <c r="A2725" s="33" t="s">
        <v>6711</v>
      </c>
      <c r="B2725" s="33" t="s">
        <v>2177</v>
      </c>
      <c r="C2725" s="39">
        <v>45911.0</v>
      </c>
      <c r="D2725" s="33" t="s">
        <v>440</v>
      </c>
      <c r="E2725" s="40">
        <v>8.75</v>
      </c>
      <c r="F2725" s="40">
        <v>0.0</v>
      </c>
      <c r="G2725" s="33" t="s">
        <v>450</v>
      </c>
    </row>
    <row r="2726" ht="15.75" customHeight="1">
      <c r="A2726" s="33" t="s">
        <v>6712</v>
      </c>
      <c r="B2726" s="33" t="s">
        <v>1561</v>
      </c>
      <c r="C2726" s="39">
        <v>46183.0</v>
      </c>
      <c r="D2726" s="33" t="s">
        <v>461</v>
      </c>
      <c r="E2726" s="40">
        <v>92.1</v>
      </c>
      <c r="F2726" s="40">
        <v>1.22</v>
      </c>
      <c r="G2726" s="33" t="s">
        <v>450</v>
      </c>
    </row>
    <row r="2727" ht="15.75" customHeight="1">
      <c r="A2727" s="33" t="s">
        <v>6713</v>
      </c>
      <c r="B2727" s="33" t="s">
        <v>3452</v>
      </c>
      <c r="C2727" s="39">
        <v>45659.0</v>
      </c>
      <c r="D2727" s="33" t="s">
        <v>479</v>
      </c>
      <c r="E2727" s="40">
        <v>34.98</v>
      </c>
      <c r="F2727" s="40">
        <v>0.4</v>
      </c>
      <c r="G2727" s="33" t="s">
        <v>431</v>
      </c>
    </row>
    <row r="2728" ht="15.75" customHeight="1">
      <c r="A2728" s="33" t="s">
        <v>6714</v>
      </c>
      <c r="B2728" s="33" t="s">
        <v>1541</v>
      </c>
      <c r="C2728" s="39">
        <v>45668.0</v>
      </c>
      <c r="D2728" s="33" t="s">
        <v>461</v>
      </c>
      <c r="E2728" s="40">
        <v>98.32</v>
      </c>
      <c r="F2728" s="40">
        <v>0.57</v>
      </c>
      <c r="G2728" s="33" t="s">
        <v>431</v>
      </c>
    </row>
    <row r="2729" ht="15.75" customHeight="1">
      <c r="A2729" s="33" t="s">
        <v>6715</v>
      </c>
      <c r="B2729" s="33" t="s">
        <v>526</v>
      </c>
      <c r="C2729" s="39">
        <v>46000.0</v>
      </c>
      <c r="D2729" s="33" t="s">
        <v>440</v>
      </c>
      <c r="E2729" s="40">
        <v>96.42</v>
      </c>
      <c r="F2729" s="40">
        <v>0.0</v>
      </c>
      <c r="G2729" s="33" t="s">
        <v>450</v>
      </c>
    </row>
    <row r="2730" ht="15.75" customHeight="1">
      <c r="A2730" s="33" t="s">
        <v>6716</v>
      </c>
      <c r="B2730" s="33" t="s">
        <v>1444</v>
      </c>
      <c r="C2730" s="39">
        <v>45766.0</v>
      </c>
      <c r="D2730" s="33" t="s">
        <v>435</v>
      </c>
      <c r="E2730" s="40">
        <v>44.11</v>
      </c>
      <c r="F2730" s="40">
        <v>0.0</v>
      </c>
      <c r="G2730" s="33" t="s">
        <v>431</v>
      </c>
    </row>
    <row r="2731" ht="15.75" customHeight="1">
      <c r="A2731" s="33" t="s">
        <v>6717</v>
      </c>
      <c r="B2731" s="33" t="s">
        <v>1188</v>
      </c>
      <c r="C2731" s="39">
        <v>46085.0</v>
      </c>
      <c r="D2731" s="33" t="s">
        <v>428</v>
      </c>
      <c r="E2731" s="40">
        <v>92.68</v>
      </c>
      <c r="F2731" s="40">
        <v>0.0</v>
      </c>
      <c r="G2731" s="33" t="s">
        <v>450</v>
      </c>
    </row>
    <row r="2732" ht="15.75" customHeight="1">
      <c r="A2732" s="33" t="s">
        <v>6718</v>
      </c>
      <c r="B2732" s="33" t="s">
        <v>984</v>
      </c>
      <c r="C2732" s="39">
        <v>45826.0</v>
      </c>
      <c r="D2732" s="33" t="s">
        <v>440</v>
      </c>
      <c r="E2732" s="40">
        <v>20.07</v>
      </c>
      <c r="F2732" s="40">
        <v>0.0</v>
      </c>
      <c r="G2732" s="33" t="s">
        <v>450</v>
      </c>
    </row>
    <row r="2733" ht="15.75" customHeight="1">
      <c r="A2733" s="33" t="s">
        <v>6719</v>
      </c>
      <c r="B2733" s="33" t="s">
        <v>441</v>
      </c>
      <c r="C2733" s="39">
        <v>45999.0</v>
      </c>
      <c r="D2733" s="33" t="s">
        <v>435</v>
      </c>
      <c r="E2733" s="40">
        <v>102.9</v>
      </c>
      <c r="F2733" s="40">
        <v>0.0</v>
      </c>
      <c r="G2733" s="33" t="s">
        <v>431</v>
      </c>
    </row>
    <row r="2734" ht="15.75" customHeight="1">
      <c r="A2734" s="33" t="s">
        <v>6720</v>
      </c>
      <c r="B2734" s="33" t="s">
        <v>2958</v>
      </c>
      <c r="C2734" s="39">
        <v>45680.0</v>
      </c>
      <c r="D2734" s="33" t="s">
        <v>428</v>
      </c>
      <c r="E2734" s="40">
        <v>147.49</v>
      </c>
      <c r="F2734" s="40">
        <v>0.0</v>
      </c>
      <c r="G2734" s="33" t="s">
        <v>450</v>
      </c>
    </row>
    <row r="2735" ht="15.75" customHeight="1">
      <c r="A2735" s="33" t="s">
        <v>6721</v>
      </c>
      <c r="B2735" s="33" t="s">
        <v>3177</v>
      </c>
      <c r="C2735" s="39">
        <v>46078.0</v>
      </c>
      <c r="D2735" s="33" t="s">
        <v>428</v>
      </c>
      <c r="E2735" s="40">
        <v>119.74</v>
      </c>
      <c r="F2735" s="40">
        <v>0.0</v>
      </c>
      <c r="G2735" s="33" t="s">
        <v>442</v>
      </c>
    </row>
    <row r="2736" ht="15.75" customHeight="1">
      <c r="A2736" s="33" t="s">
        <v>6722</v>
      </c>
      <c r="B2736" s="33" t="s">
        <v>4154</v>
      </c>
      <c r="C2736" s="39">
        <v>45972.0</v>
      </c>
      <c r="D2736" s="33" t="s">
        <v>461</v>
      </c>
      <c r="E2736" s="40">
        <v>53.46</v>
      </c>
      <c r="F2736" s="40">
        <v>0.71</v>
      </c>
      <c r="G2736" s="33" t="s">
        <v>450</v>
      </c>
    </row>
    <row r="2737" ht="15.75" customHeight="1">
      <c r="A2737" s="33" t="s">
        <v>6723</v>
      </c>
      <c r="B2737" s="33" t="s">
        <v>587</v>
      </c>
      <c r="C2737" s="39">
        <v>45658.0</v>
      </c>
      <c r="D2737" s="33" t="s">
        <v>479</v>
      </c>
      <c r="E2737" s="40">
        <v>139.81</v>
      </c>
      <c r="F2737" s="40">
        <v>2.45</v>
      </c>
      <c r="G2737" s="33" t="s">
        <v>442</v>
      </c>
    </row>
    <row r="2738" ht="15.75" customHeight="1">
      <c r="A2738" s="33" t="s">
        <v>6724</v>
      </c>
      <c r="B2738" s="33" t="s">
        <v>4287</v>
      </c>
      <c r="C2738" s="39">
        <v>45819.0</v>
      </c>
      <c r="D2738" s="33" t="s">
        <v>440</v>
      </c>
      <c r="E2738" s="40">
        <v>128.67</v>
      </c>
      <c r="F2738" s="40">
        <v>0.0</v>
      </c>
      <c r="G2738" s="33" t="s">
        <v>450</v>
      </c>
    </row>
    <row r="2739" ht="15.75" customHeight="1">
      <c r="A2739" s="33" t="s">
        <v>6725</v>
      </c>
      <c r="B2739" s="33" t="s">
        <v>1868</v>
      </c>
      <c r="C2739" s="39">
        <v>45694.0</v>
      </c>
      <c r="D2739" s="33" t="s">
        <v>461</v>
      </c>
      <c r="E2739" s="40">
        <v>132.87</v>
      </c>
      <c r="F2739" s="40">
        <v>0.67</v>
      </c>
      <c r="G2739" s="33" t="s">
        <v>442</v>
      </c>
    </row>
    <row r="2740" ht="15.75" customHeight="1">
      <c r="A2740" s="33" t="s">
        <v>6726</v>
      </c>
      <c r="B2740" s="33" t="s">
        <v>1422</v>
      </c>
      <c r="C2740" s="39">
        <v>45685.0</v>
      </c>
      <c r="D2740" s="33" t="s">
        <v>461</v>
      </c>
      <c r="E2740" s="40">
        <v>204.56</v>
      </c>
      <c r="F2740" s="40">
        <v>3.52</v>
      </c>
      <c r="G2740" s="33" t="s">
        <v>442</v>
      </c>
    </row>
    <row r="2741" ht="15.75" customHeight="1">
      <c r="A2741" s="33" t="s">
        <v>6727</v>
      </c>
      <c r="B2741" s="33" t="s">
        <v>606</v>
      </c>
      <c r="C2741" s="39">
        <v>46081.0</v>
      </c>
      <c r="D2741" s="33" t="s">
        <v>479</v>
      </c>
      <c r="E2741" s="40">
        <v>110.21</v>
      </c>
      <c r="F2741" s="40">
        <v>1.87</v>
      </c>
      <c r="G2741" s="33" t="s">
        <v>450</v>
      </c>
    </row>
    <row r="2742" ht="15.75" customHeight="1">
      <c r="A2742" s="33" t="s">
        <v>6728</v>
      </c>
      <c r="B2742" s="33" t="s">
        <v>518</v>
      </c>
      <c r="C2742" s="39">
        <v>45917.0</v>
      </c>
      <c r="D2742" s="33" t="s">
        <v>461</v>
      </c>
      <c r="E2742" s="40">
        <v>31.75</v>
      </c>
      <c r="F2742" s="40">
        <v>0.21</v>
      </c>
      <c r="G2742" s="33" t="s">
        <v>431</v>
      </c>
    </row>
    <row r="2743" ht="15.75" customHeight="1">
      <c r="A2743" s="33" t="s">
        <v>6729</v>
      </c>
      <c r="B2743" s="33" t="s">
        <v>1547</v>
      </c>
      <c r="C2743" s="39">
        <v>46145.0</v>
      </c>
      <c r="D2743" s="33" t="s">
        <v>479</v>
      </c>
      <c r="E2743" s="40">
        <v>37.02</v>
      </c>
      <c r="F2743" s="40">
        <v>0.56</v>
      </c>
      <c r="G2743" s="33" t="s">
        <v>450</v>
      </c>
    </row>
    <row r="2744" ht="15.75" customHeight="1">
      <c r="A2744" s="33" t="s">
        <v>6730</v>
      </c>
      <c r="B2744" s="33" t="s">
        <v>2515</v>
      </c>
      <c r="C2744" s="39">
        <v>45814.0</v>
      </c>
      <c r="D2744" s="33" t="s">
        <v>428</v>
      </c>
      <c r="E2744" s="40">
        <v>110.27</v>
      </c>
      <c r="F2744" s="40">
        <v>0.0</v>
      </c>
      <c r="G2744" s="33" t="s">
        <v>450</v>
      </c>
    </row>
    <row r="2745" ht="15.75" customHeight="1">
      <c r="A2745" s="33" t="s">
        <v>6731</v>
      </c>
      <c r="B2745" s="33" t="s">
        <v>1482</v>
      </c>
      <c r="C2745" s="39">
        <v>46093.0</v>
      </c>
      <c r="D2745" s="33" t="s">
        <v>461</v>
      </c>
      <c r="E2745" s="40">
        <v>71.68</v>
      </c>
      <c r="F2745" s="40">
        <v>0.99</v>
      </c>
      <c r="G2745" s="33" t="s">
        <v>442</v>
      </c>
    </row>
    <row r="2746" ht="15.75" customHeight="1">
      <c r="A2746" s="33" t="s">
        <v>6732</v>
      </c>
      <c r="B2746" s="33" t="s">
        <v>763</v>
      </c>
      <c r="C2746" s="39">
        <v>46031.0</v>
      </c>
      <c r="D2746" s="33" t="s">
        <v>440</v>
      </c>
      <c r="E2746" s="40">
        <v>61.35</v>
      </c>
      <c r="F2746" s="40">
        <v>0.0</v>
      </c>
      <c r="G2746" s="33" t="s">
        <v>431</v>
      </c>
    </row>
    <row r="2747" ht="15.75" customHeight="1">
      <c r="A2747" s="33" t="s">
        <v>6733</v>
      </c>
      <c r="B2747" s="33" t="s">
        <v>401</v>
      </c>
      <c r="C2747" s="39">
        <v>46060.0</v>
      </c>
      <c r="D2747" s="33" t="s">
        <v>461</v>
      </c>
      <c r="E2747" s="40">
        <v>126.01</v>
      </c>
      <c r="F2747" s="40">
        <v>1.1</v>
      </c>
      <c r="G2747" s="33" t="s">
        <v>431</v>
      </c>
    </row>
    <row r="2748" ht="15.75" customHeight="1">
      <c r="A2748" s="33" t="s">
        <v>6734</v>
      </c>
      <c r="B2748" s="33" t="s">
        <v>3807</v>
      </c>
      <c r="C2748" s="39">
        <v>46160.0</v>
      </c>
      <c r="D2748" s="33" t="s">
        <v>440</v>
      </c>
      <c r="E2748" s="40">
        <v>26.38</v>
      </c>
      <c r="F2748" s="40">
        <v>0.0</v>
      </c>
      <c r="G2748" s="33" t="s">
        <v>450</v>
      </c>
    </row>
    <row r="2749" ht="15.75" customHeight="1">
      <c r="A2749" s="33" t="s">
        <v>6735</v>
      </c>
      <c r="B2749" s="33" t="s">
        <v>913</v>
      </c>
      <c r="C2749" s="39">
        <v>46087.0</v>
      </c>
      <c r="D2749" s="33" t="s">
        <v>440</v>
      </c>
      <c r="E2749" s="40">
        <v>127.8</v>
      </c>
      <c r="F2749" s="40">
        <v>0.0</v>
      </c>
      <c r="G2749" s="33" t="s">
        <v>450</v>
      </c>
    </row>
    <row r="2750" ht="15.75" customHeight="1">
      <c r="A2750" s="33" t="s">
        <v>6736</v>
      </c>
      <c r="B2750" s="33" t="s">
        <v>2650</v>
      </c>
      <c r="C2750" s="39">
        <v>46110.0</v>
      </c>
      <c r="D2750" s="33" t="s">
        <v>428</v>
      </c>
      <c r="E2750" s="40">
        <v>68.34</v>
      </c>
      <c r="F2750" s="40">
        <v>0.0</v>
      </c>
      <c r="G2750" s="33" t="s">
        <v>431</v>
      </c>
    </row>
    <row r="2751" ht="15.75" customHeight="1">
      <c r="A2751" s="33" t="s">
        <v>6737</v>
      </c>
      <c r="B2751" s="33" t="s">
        <v>1957</v>
      </c>
      <c r="C2751" s="39">
        <v>46106.0</v>
      </c>
      <c r="D2751" s="33" t="s">
        <v>479</v>
      </c>
      <c r="E2751" s="40">
        <v>104.99</v>
      </c>
      <c r="F2751" s="40">
        <v>0.86</v>
      </c>
      <c r="G2751" s="33" t="s">
        <v>450</v>
      </c>
    </row>
    <row r="2752" ht="15.75" customHeight="1">
      <c r="A2752" s="33" t="s">
        <v>6738</v>
      </c>
      <c r="B2752" s="33" t="s">
        <v>2073</v>
      </c>
      <c r="C2752" s="39">
        <v>45929.0</v>
      </c>
      <c r="D2752" s="33" t="s">
        <v>435</v>
      </c>
      <c r="E2752" s="40">
        <v>28.7</v>
      </c>
      <c r="F2752" s="40">
        <v>0.0</v>
      </c>
      <c r="G2752" s="33" t="s">
        <v>442</v>
      </c>
    </row>
    <row r="2753" ht="15.75" customHeight="1">
      <c r="A2753" s="33" t="s">
        <v>6739</v>
      </c>
      <c r="B2753" s="33" t="s">
        <v>668</v>
      </c>
      <c r="C2753" s="39">
        <v>46097.0</v>
      </c>
      <c r="D2753" s="33" t="s">
        <v>440</v>
      </c>
      <c r="E2753" s="40">
        <v>131.38</v>
      </c>
      <c r="F2753" s="40">
        <v>0.0</v>
      </c>
      <c r="G2753" s="33" t="s">
        <v>450</v>
      </c>
    </row>
    <row r="2754" ht="15.75" customHeight="1">
      <c r="A2754" s="33" t="s">
        <v>6740</v>
      </c>
      <c r="B2754" s="33" t="s">
        <v>1725</v>
      </c>
      <c r="C2754" s="39">
        <v>46169.0</v>
      </c>
      <c r="D2754" s="33" t="s">
        <v>428</v>
      </c>
      <c r="E2754" s="40">
        <v>165.93</v>
      </c>
      <c r="F2754" s="40">
        <v>0.0</v>
      </c>
      <c r="G2754" s="33" t="s">
        <v>450</v>
      </c>
    </row>
    <row r="2755" ht="15.75" customHeight="1">
      <c r="A2755" s="33" t="s">
        <v>6741</v>
      </c>
      <c r="B2755" s="33" t="s">
        <v>268</v>
      </c>
      <c r="C2755" s="39">
        <v>46105.0</v>
      </c>
      <c r="D2755" s="33" t="s">
        <v>461</v>
      </c>
      <c r="E2755" s="40">
        <v>529.39</v>
      </c>
      <c r="F2755" s="40">
        <v>2.73</v>
      </c>
      <c r="G2755" s="33" t="s">
        <v>450</v>
      </c>
    </row>
    <row r="2756" ht="15.75" customHeight="1">
      <c r="A2756" s="33" t="s">
        <v>6742</v>
      </c>
      <c r="B2756" s="33" t="s">
        <v>1235</v>
      </c>
      <c r="C2756" s="39">
        <v>46026.0</v>
      </c>
      <c r="D2756" s="33" t="s">
        <v>428</v>
      </c>
      <c r="E2756" s="40">
        <v>99.95</v>
      </c>
      <c r="F2756" s="40">
        <v>0.0</v>
      </c>
      <c r="G2756" s="33" t="s">
        <v>431</v>
      </c>
    </row>
    <row r="2757" ht="15.75" customHeight="1">
      <c r="A2757" s="33" t="s">
        <v>6743</v>
      </c>
      <c r="B2757" s="33" t="s">
        <v>1108</v>
      </c>
      <c r="C2757" s="39">
        <v>45702.0</v>
      </c>
      <c r="D2757" s="33" t="s">
        <v>479</v>
      </c>
      <c r="E2757" s="40">
        <v>161.87</v>
      </c>
      <c r="F2757" s="40">
        <v>3.21</v>
      </c>
      <c r="G2757" s="33" t="s">
        <v>450</v>
      </c>
    </row>
    <row r="2758" ht="15.75" customHeight="1">
      <c r="A2758" s="33" t="s">
        <v>6744</v>
      </c>
      <c r="B2758" s="33" t="s">
        <v>1092</v>
      </c>
      <c r="C2758" s="39">
        <v>45923.0</v>
      </c>
      <c r="D2758" s="33" t="s">
        <v>435</v>
      </c>
      <c r="E2758" s="40">
        <v>35.27</v>
      </c>
      <c r="F2758" s="40">
        <v>0.0</v>
      </c>
      <c r="G2758" s="33" t="s">
        <v>442</v>
      </c>
    </row>
    <row r="2759" ht="15.75" customHeight="1">
      <c r="A2759" s="33" t="s">
        <v>6745</v>
      </c>
      <c r="B2759" s="33" t="s">
        <v>1452</v>
      </c>
      <c r="C2759" s="39">
        <v>45696.0</v>
      </c>
      <c r="D2759" s="33" t="s">
        <v>435</v>
      </c>
      <c r="E2759" s="40">
        <v>197.12</v>
      </c>
      <c r="F2759" s="40">
        <v>0.0</v>
      </c>
      <c r="G2759" s="33" t="s">
        <v>450</v>
      </c>
    </row>
    <row r="2760" ht="15.75" customHeight="1">
      <c r="A2760" s="33" t="s">
        <v>6746</v>
      </c>
      <c r="B2760" s="33" t="s">
        <v>314</v>
      </c>
      <c r="C2760" s="39">
        <v>45721.0</v>
      </c>
      <c r="D2760" s="33" t="s">
        <v>435</v>
      </c>
      <c r="E2760" s="40">
        <v>21.62</v>
      </c>
      <c r="F2760" s="40">
        <v>0.0</v>
      </c>
      <c r="G2760" s="33" t="s">
        <v>442</v>
      </c>
    </row>
    <row r="2761" ht="15.75" customHeight="1">
      <c r="A2761" s="33" t="s">
        <v>6747</v>
      </c>
      <c r="B2761" s="33" t="s">
        <v>1557</v>
      </c>
      <c r="C2761" s="39">
        <v>45877.0</v>
      </c>
      <c r="D2761" s="33" t="s">
        <v>461</v>
      </c>
      <c r="E2761" s="40">
        <v>251.16</v>
      </c>
      <c r="F2761" s="40">
        <v>4.31</v>
      </c>
      <c r="G2761" s="33" t="s">
        <v>450</v>
      </c>
    </row>
    <row r="2762" ht="15.75" customHeight="1">
      <c r="A2762" s="33" t="s">
        <v>6748</v>
      </c>
      <c r="B2762" s="33" t="s">
        <v>728</v>
      </c>
      <c r="C2762" s="39">
        <v>45939.0</v>
      </c>
      <c r="D2762" s="33" t="s">
        <v>461</v>
      </c>
      <c r="E2762" s="40">
        <v>92.7</v>
      </c>
      <c r="F2762" s="40">
        <v>1.72</v>
      </c>
      <c r="G2762" s="33" t="s">
        <v>450</v>
      </c>
    </row>
    <row r="2763" ht="15.75" customHeight="1">
      <c r="A2763" s="33" t="s">
        <v>6749</v>
      </c>
      <c r="B2763" s="33" t="s">
        <v>2019</v>
      </c>
      <c r="C2763" s="39">
        <v>45978.0</v>
      </c>
      <c r="D2763" s="33" t="s">
        <v>479</v>
      </c>
      <c r="E2763" s="40">
        <v>23.78</v>
      </c>
      <c r="F2763" s="40">
        <v>0.31</v>
      </c>
      <c r="G2763" s="33" t="s">
        <v>450</v>
      </c>
    </row>
    <row r="2764" ht="15.75" customHeight="1">
      <c r="A2764" s="33" t="s">
        <v>6750</v>
      </c>
      <c r="B2764" s="33" t="s">
        <v>597</v>
      </c>
      <c r="C2764" s="39">
        <v>46204.0</v>
      </c>
      <c r="D2764" s="33" t="s">
        <v>461</v>
      </c>
      <c r="E2764" s="40">
        <v>62.74</v>
      </c>
      <c r="F2764" s="40">
        <v>0.66</v>
      </c>
      <c r="G2764" s="33" t="s">
        <v>450</v>
      </c>
    </row>
    <row r="2765" ht="15.75" customHeight="1">
      <c r="A2765" s="33" t="s">
        <v>6751</v>
      </c>
      <c r="B2765" s="33" t="s">
        <v>880</v>
      </c>
      <c r="C2765" s="39">
        <v>46120.0</v>
      </c>
      <c r="D2765" s="33" t="s">
        <v>479</v>
      </c>
      <c r="E2765" s="40">
        <v>160.67</v>
      </c>
      <c r="F2765" s="40">
        <v>2.5</v>
      </c>
      <c r="G2765" s="33" t="s">
        <v>442</v>
      </c>
    </row>
    <row r="2766" ht="15.75" customHeight="1">
      <c r="A2766" s="33" t="s">
        <v>6752</v>
      </c>
      <c r="B2766" s="33" t="s">
        <v>2911</v>
      </c>
      <c r="C2766" s="39">
        <v>45914.0</v>
      </c>
      <c r="D2766" s="33" t="s">
        <v>461</v>
      </c>
      <c r="E2766" s="40">
        <v>72.75</v>
      </c>
      <c r="F2766" s="40">
        <v>0.39</v>
      </c>
      <c r="G2766" s="33" t="s">
        <v>450</v>
      </c>
    </row>
    <row r="2767" ht="15.75" customHeight="1">
      <c r="A2767" s="33" t="s">
        <v>6753</v>
      </c>
      <c r="B2767" s="33" t="s">
        <v>1475</v>
      </c>
      <c r="C2767" s="39">
        <v>45861.0</v>
      </c>
      <c r="D2767" s="33" t="s">
        <v>461</v>
      </c>
      <c r="E2767" s="40">
        <v>71.98</v>
      </c>
      <c r="F2767" s="40">
        <v>1.33</v>
      </c>
      <c r="G2767" s="33" t="s">
        <v>450</v>
      </c>
    </row>
    <row r="2768" ht="15.75" customHeight="1">
      <c r="A2768" s="33" t="s">
        <v>6754</v>
      </c>
      <c r="B2768" s="33" t="s">
        <v>548</v>
      </c>
      <c r="C2768" s="39">
        <v>46090.0</v>
      </c>
      <c r="D2768" s="33" t="s">
        <v>479</v>
      </c>
      <c r="E2768" s="40">
        <v>150.5</v>
      </c>
      <c r="F2768" s="40">
        <v>1.33</v>
      </c>
      <c r="G2768" s="33" t="s">
        <v>450</v>
      </c>
    </row>
    <row r="2769" ht="15.75" customHeight="1">
      <c r="A2769" s="33" t="s">
        <v>6755</v>
      </c>
      <c r="B2769" s="33" t="s">
        <v>1991</v>
      </c>
      <c r="C2769" s="39">
        <v>45824.0</v>
      </c>
      <c r="D2769" s="33" t="s">
        <v>461</v>
      </c>
      <c r="E2769" s="40">
        <v>77.57</v>
      </c>
      <c r="F2769" s="40">
        <v>0.61</v>
      </c>
      <c r="G2769" s="33" t="s">
        <v>450</v>
      </c>
    </row>
    <row r="2770" ht="15.75" customHeight="1">
      <c r="A2770" s="33" t="s">
        <v>6756</v>
      </c>
      <c r="B2770" s="33" t="s">
        <v>923</v>
      </c>
      <c r="C2770" s="39">
        <v>46194.0</v>
      </c>
      <c r="D2770" s="33" t="s">
        <v>440</v>
      </c>
      <c r="E2770" s="40">
        <v>188.75</v>
      </c>
      <c r="F2770" s="40">
        <v>0.0</v>
      </c>
      <c r="G2770" s="33" t="s">
        <v>450</v>
      </c>
    </row>
    <row r="2771" ht="15.75" customHeight="1">
      <c r="A2771" s="33" t="s">
        <v>6757</v>
      </c>
      <c r="B2771" s="33" t="s">
        <v>1374</v>
      </c>
      <c r="C2771" s="39">
        <v>46132.0</v>
      </c>
      <c r="D2771" s="33" t="s">
        <v>461</v>
      </c>
      <c r="E2771" s="40">
        <v>52.08</v>
      </c>
      <c r="F2771" s="40">
        <v>0.31</v>
      </c>
      <c r="G2771" s="33" t="s">
        <v>450</v>
      </c>
    </row>
    <row r="2772" ht="15.75" customHeight="1">
      <c r="A2772" s="33" t="s">
        <v>6758</v>
      </c>
      <c r="B2772" s="33" t="s">
        <v>3179</v>
      </c>
      <c r="C2772" s="39">
        <v>46072.0</v>
      </c>
      <c r="D2772" s="33" t="s">
        <v>428</v>
      </c>
      <c r="E2772" s="40">
        <v>15.3</v>
      </c>
      <c r="F2772" s="40">
        <v>0.0</v>
      </c>
      <c r="G2772" s="33" t="s">
        <v>450</v>
      </c>
    </row>
    <row r="2773" ht="15.75" customHeight="1">
      <c r="A2773" s="33" t="s">
        <v>6759</v>
      </c>
      <c r="B2773" s="33" t="s">
        <v>314</v>
      </c>
      <c r="C2773" s="39">
        <v>45809.0</v>
      </c>
      <c r="D2773" s="33" t="s">
        <v>440</v>
      </c>
      <c r="E2773" s="40">
        <v>81.11</v>
      </c>
      <c r="F2773" s="40">
        <v>0.0</v>
      </c>
      <c r="G2773" s="33" t="s">
        <v>442</v>
      </c>
    </row>
    <row r="2774" ht="15.75" customHeight="1">
      <c r="A2774" s="33" t="s">
        <v>6760</v>
      </c>
      <c r="B2774" s="33" t="s">
        <v>474</v>
      </c>
      <c r="C2774" s="39">
        <v>46035.0</v>
      </c>
      <c r="D2774" s="33" t="s">
        <v>461</v>
      </c>
      <c r="E2774" s="40">
        <v>88.64</v>
      </c>
      <c r="F2774" s="40">
        <v>1.11</v>
      </c>
      <c r="G2774" s="33" t="s">
        <v>450</v>
      </c>
    </row>
    <row r="2775" ht="15.75" customHeight="1">
      <c r="A2775" s="33" t="s">
        <v>6761</v>
      </c>
      <c r="B2775" s="33" t="s">
        <v>2255</v>
      </c>
      <c r="C2775" s="39">
        <v>46156.0</v>
      </c>
      <c r="D2775" s="33" t="s">
        <v>435</v>
      </c>
      <c r="E2775" s="40">
        <v>50.41</v>
      </c>
      <c r="F2775" s="40">
        <v>0.0</v>
      </c>
      <c r="G2775" s="33" t="s">
        <v>450</v>
      </c>
    </row>
    <row r="2776" ht="15.75" customHeight="1">
      <c r="A2776" s="33" t="s">
        <v>6762</v>
      </c>
      <c r="B2776" s="33" t="s">
        <v>838</v>
      </c>
      <c r="C2776" s="39">
        <v>45701.0</v>
      </c>
      <c r="D2776" s="33" t="s">
        <v>440</v>
      </c>
      <c r="E2776" s="40">
        <v>102.84</v>
      </c>
      <c r="F2776" s="40">
        <v>0.0</v>
      </c>
      <c r="G2776" s="33" t="s">
        <v>442</v>
      </c>
    </row>
    <row r="2777" ht="15.75" customHeight="1">
      <c r="A2777" s="33" t="s">
        <v>6763</v>
      </c>
      <c r="B2777" s="33" t="s">
        <v>1473</v>
      </c>
      <c r="C2777" s="39">
        <v>45765.0</v>
      </c>
      <c r="D2777" s="33" t="s">
        <v>461</v>
      </c>
      <c r="E2777" s="40">
        <v>18.22</v>
      </c>
      <c r="F2777" s="40">
        <v>0.2</v>
      </c>
      <c r="G2777" s="33" t="s">
        <v>431</v>
      </c>
    </row>
    <row r="2778" ht="15.75" customHeight="1">
      <c r="A2778" s="33" t="s">
        <v>6764</v>
      </c>
      <c r="B2778" s="33" t="s">
        <v>1693</v>
      </c>
      <c r="C2778" s="39">
        <v>45970.0</v>
      </c>
      <c r="D2778" s="33" t="s">
        <v>440</v>
      </c>
      <c r="E2778" s="40">
        <v>105.03</v>
      </c>
      <c r="F2778" s="40">
        <v>0.0</v>
      </c>
      <c r="G2778" s="33" t="s">
        <v>450</v>
      </c>
    </row>
    <row r="2779" ht="15.75" customHeight="1">
      <c r="A2779" s="33" t="s">
        <v>6765</v>
      </c>
      <c r="B2779" s="33" t="s">
        <v>1510</v>
      </c>
      <c r="C2779" s="39">
        <v>45876.0</v>
      </c>
      <c r="D2779" s="33" t="s">
        <v>440</v>
      </c>
      <c r="E2779" s="40">
        <v>30.3</v>
      </c>
      <c r="F2779" s="40">
        <v>0.0</v>
      </c>
      <c r="G2779" s="33" t="s">
        <v>450</v>
      </c>
    </row>
    <row r="2780" ht="15.75" customHeight="1">
      <c r="A2780" s="33" t="s">
        <v>6766</v>
      </c>
      <c r="B2780" s="33" t="s">
        <v>1181</v>
      </c>
      <c r="C2780" s="39">
        <v>46088.0</v>
      </c>
      <c r="D2780" s="33" t="s">
        <v>440</v>
      </c>
      <c r="E2780" s="40">
        <v>23.7</v>
      </c>
      <c r="F2780" s="40">
        <v>0.0</v>
      </c>
      <c r="G2780" s="33" t="s">
        <v>450</v>
      </c>
    </row>
    <row r="2781" ht="15.75" customHeight="1">
      <c r="A2781" s="33" t="s">
        <v>6767</v>
      </c>
      <c r="B2781" s="33" t="s">
        <v>284</v>
      </c>
      <c r="C2781" s="39">
        <v>45901.0</v>
      </c>
      <c r="D2781" s="33" t="s">
        <v>435</v>
      </c>
      <c r="E2781" s="40">
        <v>86.79</v>
      </c>
      <c r="F2781" s="40">
        <v>0.0</v>
      </c>
      <c r="G2781" s="33" t="s">
        <v>442</v>
      </c>
    </row>
    <row r="2782" ht="15.75" customHeight="1">
      <c r="A2782" s="33" t="s">
        <v>6768</v>
      </c>
      <c r="B2782" s="33" t="s">
        <v>1360</v>
      </c>
      <c r="C2782" s="39">
        <v>46262.0</v>
      </c>
      <c r="D2782" s="33" t="s">
        <v>461</v>
      </c>
      <c r="E2782" s="40">
        <v>21.85</v>
      </c>
      <c r="F2782" s="40">
        <v>0.14</v>
      </c>
      <c r="G2782" s="33" t="s">
        <v>450</v>
      </c>
    </row>
    <row r="2783" ht="15.75" customHeight="1">
      <c r="A2783" s="33" t="s">
        <v>6769</v>
      </c>
      <c r="B2783" s="33" t="s">
        <v>533</v>
      </c>
      <c r="C2783" s="39">
        <v>45839.0</v>
      </c>
      <c r="D2783" s="33" t="s">
        <v>435</v>
      </c>
      <c r="E2783" s="40">
        <v>10.13</v>
      </c>
      <c r="F2783" s="40">
        <v>0.0</v>
      </c>
      <c r="G2783" s="33" t="s">
        <v>450</v>
      </c>
    </row>
    <row r="2784" ht="15.75" customHeight="1">
      <c r="A2784" s="33" t="s">
        <v>6770</v>
      </c>
      <c r="B2784" s="33" t="s">
        <v>664</v>
      </c>
      <c r="C2784" s="39">
        <v>45876.0</v>
      </c>
      <c r="D2784" s="33" t="s">
        <v>440</v>
      </c>
      <c r="E2784" s="40">
        <v>115.35</v>
      </c>
      <c r="F2784" s="40">
        <v>0.0</v>
      </c>
      <c r="G2784" s="33" t="s">
        <v>450</v>
      </c>
    </row>
    <row r="2785" ht="15.75" customHeight="1">
      <c r="A2785" s="33" t="s">
        <v>6771</v>
      </c>
      <c r="B2785" s="33" t="s">
        <v>627</v>
      </c>
      <c r="C2785" s="39">
        <v>45660.0</v>
      </c>
      <c r="D2785" s="33" t="s">
        <v>440</v>
      </c>
      <c r="E2785" s="40">
        <v>33.61</v>
      </c>
      <c r="F2785" s="40">
        <v>0.0</v>
      </c>
      <c r="G2785" s="33" t="s">
        <v>442</v>
      </c>
    </row>
    <row r="2786" ht="15.75" customHeight="1">
      <c r="A2786" s="33" t="s">
        <v>6772</v>
      </c>
      <c r="B2786" s="33" t="s">
        <v>329</v>
      </c>
      <c r="C2786" s="39">
        <v>45808.0</v>
      </c>
      <c r="D2786" s="33" t="s">
        <v>428</v>
      </c>
      <c r="E2786" s="40">
        <v>124.01</v>
      </c>
      <c r="F2786" s="40">
        <v>0.0</v>
      </c>
      <c r="G2786" s="33" t="s">
        <v>450</v>
      </c>
    </row>
    <row r="2787" ht="15.75" customHeight="1">
      <c r="A2787" s="33" t="s">
        <v>6773</v>
      </c>
      <c r="B2787" s="33" t="s">
        <v>861</v>
      </c>
      <c r="C2787" s="39">
        <v>45800.0</v>
      </c>
      <c r="D2787" s="33" t="s">
        <v>428</v>
      </c>
      <c r="E2787" s="40">
        <v>66.25</v>
      </c>
      <c r="F2787" s="40">
        <v>0.0</v>
      </c>
      <c r="G2787" s="33" t="s">
        <v>442</v>
      </c>
    </row>
    <row r="2788" ht="15.75" customHeight="1">
      <c r="A2788" s="33" t="s">
        <v>6774</v>
      </c>
      <c r="B2788" s="33" t="s">
        <v>1945</v>
      </c>
      <c r="C2788" s="39">
        <v>46121.0</v>
      </c>
      <c r="D2788" s="33" t="s">
        <v>435</v>
      </c>
      <c r="E2788" s="40">
        <v>86.73</v>
      </c>
      <c r="F2788" s="40">
        <v>0.0</v>
      </c>
      <c r="G2788" s="33" t="s">
        <v>431</v>
      </c>
    </row>
    <row r="2789" ht="15.75" customHeight="1">
      <c r="A2789" s="33" t="s">
        <v>6775</v>
      </c>
      <c r="B2789" s="33" t="s">
        <v>483</v>
      </c>
      <c r="C2789" s="39">
        <v>45862.0</v>
      </c>
      <c r="D2789" s="33" t="s">
        <v>435</v>
      </c>
      <c r="E2789" s="40">
        <v>162.43</v>
      </c>
      <c r="F2789" s="40">
        <v>0.0</v>
      </c>
      <c r="G2789" s="33" t="s">
        <v>450</v>
      </c>
    </row>
    <row r="2790" ht="15.75" customHeight="1">
      <c r="A2790" s="33" t="s">
        <v>6776</v>
      </c>
      <c r="B2790" s="33" t="s">
        <v>282</v>
      </c>
      <c r="C2790" s="39">
        <v>45781.0</v>
      </c>
      <c r="D2790" s="33" t="s">
        <v>461</v>
      </c>
      <c r="E2790" s="40">
        <v>110.84</v>
      </c>
      <c r="F2790" s="40">
        <v>0.81</v>
      </c>
      <c r="G2790" s="33" t="s">
        <v>450</v>
      </c>
    </row>
    <row r="2791" ht="15.75" customHeight="1">
      <c r="A2791" s="33" t="s">
        <v>6777</v>
      </c>
      <c r="B2791" s="33" t="s">
        <v>879</v>
      </c>
      <c r="C2791" s="39">
        <v>45848.0</v>
      </c>
      <c r="D2791" s="33" t="s">
        <v>440</v>
      </c>
      <c r="E2791" s="40">
        <v>125.91</v>
      </c>
      <c r="F2791" s="40">
        <v>0.0</v>
      </c>
      <c r="G2791" s="33" t="s">
        <v>450</v>
      </c>
    </row>
    <row r="2792" ht="15.75" customHeight="1">
      <c r="A2792" s="33" t="s">
        <v>6778</v>
      </c>
      <c r="B2792" s="33" t="s">
        <v>3572</v>
      </c>
      <c r="C2792" s="39">
        <v>45999.0</v>
      </c>
      <c r="D2792" s="33" t="s">
        <v>461</v>
      </c>
      <c r="E2792" s="40">
        <v>122.67</v>
      </c>
      <c r="F2792" s="40">
        <v>1.79</v>
      </c>
      <c r="G2792" s="33" t="s">
        <v>450</v>
      </c>
    </row>
    <row r="2793" ht="15.75" customHeight="1">
      <c r="A2793" s="33" t="s">
        <v>6779</v>
      </c>
      <c r="B2793" s="33" t="s">
        <v>3440</v>
      </c>
      <c r="C2793" s="39">
        <v>46134.0</v>
      </c>
      <c r="D2793" s="33" t="s">
        <v>428</v>
      </c>
      <c r="E2793" s="40">
        <v>46.52</v>
      </c>
      <c r="F2793" s="40">
        <v>0.0</v>
      </c>
      <c r="G2793" s="33" t="s">
        <v>450</v>
      </c>
    </row>
    <row r="2794" ht="15.75" customHeight="1">
      <c r="A2794" s="33" t="s">
        <v>6780</v>
      </c>
      <c r="B2794" s="33" t="s">
        <v>828</v>
      </c>
      <c r="C2794" s="39">
        <v>46252.0</v>
      </c>
      <c r="D2794" s="33" t="s">
        <v>435</v>
      </c>
      <c r="E2794" s="40">
        <v>107.27</v>
      </c>
      <c r="F2794" s="40">
        <v>0.0</v>
      </c>
      <c r="G2794" s="33" t="s">
        <v>442</v>
      </c>
    </row>
    <row r="2795" ht="15.75" customHeight="1">
      <c r="A2795" s="33" t="s">
        <v>6781</v>
      </c>
      <c r="B2795" s="33" t="s">
        <v>1735</v>
      </c>
      <c r="C2795" s="39">
        <v>45686.0</v>
      </c>
      <c r="D2795" s="33" t="s">
        <v>428</v>
      </c>
      <c r="E2795" s="40">
        <v>37.63</v>
      </c>
      <c r="F2795" s="40">
        <v>0.0</v>
      </c>
      <c r="G2795" s="33" t="s">
        <v>450</v>
      </c>
    </row>
    <row r="2796" ht="15.75" customHeight="1">
      <c r="A2796" s="33" t="s">
        <v>6782</v>
      </c>
      <c r="B2796" s="33" t="s">
        <v>201</v>
      </c>
      <c r="C2796" s="39">
        <v>46168.0</v>
      </c>
      <c r="D2796" s="33" t="s">
        <v>435</v>
      </c>
      <c r="E2796" s="40">
        <v>107.44</v>
      </c>
      <c r="F2796" s="40">
        <v>0.0</v>
      </c>
      <c r="G2796" s="33" t="s">
        <v>450</v>
      </c>
    </row>
    <row r="2797" ht="15.75" customHeight="1">
      <c r="A2797" s="33" t="s">
        <v>6783</v>
      </c>
      <c r="B2797" s="33" t="s">
        <v>1475</v>
      </c>
      <c r="C2797" s="39">
        <v>45894.0</v>
      </c>
      <c r="D2797" s="33" t="s">
        <v>440</v>
      </c>
      <c r="E2797" s="40">
        <v>63.79</v>
      </c>
      <c r="F2797" s="40">
        <v>0.0</v>
      </c>
      <c r="G2797" s="33" t="s">
        <v>431</v>
      </c>
    </row>
    <row r="2798" ht="15.75" customHeight="1">
      <c r="A2798" s="33" t="s">
        <v>6784</v>
      </c>
      <c r="B2798" s="33" t="s">
        <v>284</v>
      </c>
      <c r="C2798" s="39">
        <v>46148.0</v>
      </c>
      <c r="D2798" s="33" t="s">
        <v>479</v>
      </c>
      <c r="E2798" s="40">
        <v>74.49</v>
      </c>
      <c r="F2798" s="40">
        <v>0.75</v>
      </c>
      <c r="G2798" s="33" t="s">
        <v>450</v>
      </c>
    </row>
    <row r="2799" ht="15.75" customHeight="1">
      <c r="A2799" s="33" t="s">
        <v>6785</v>
      </c>
      <c r="B2799" s="33" t="s">
        <v>2177</v>
      </c>
      <c r="C2799" s="39">
        <v>45680.0</v>
      </c>
      <c r="D2799" s="33" t="s">
        <v>428</v>
      </c>
      <c r="E2799" s="40">
        <v>232.43</v>
      </c>
      <c r="F2799" s="40">
        <v>0.0</v>
      </c>
      <c r="G2799" s="33" t="s">
        <v>450</v>
      </c>
    </row>
    <row r="2800" ht="15.75" customHeight="1">
      <c r="A2800" s="33" t="s">
        <v>6786</v>
      </c>
      <c r="B2800" s="33" t="s">
        <v>2199</v>
      </c>
      <c r="C2800" s="39">
        <v>46038.0</v>
      </c>
      <c r="D2800" s="33" t="s">
        <v>479</v>
      </c>
      <c r="E2800" s="40">
        <v>119.03</v>
      </c>
      <c r="F2800" s="40">
        <v>1.41</v>
      </c>
      <c r="G2800" s="33" t="s">
        <v>431</v>
      </c>
    </row>
    <row r="2801" ht="15.75" customHeight="1">
      <c r="A2801" s="33" t="s">
        <v>6787</v>
      </c>
      <c r="B2801" s="33" t="s">
        <v>526</v>
      </c>
      <c r="C2801" s="39">
        <v>46222.0</v>
      </c>
      <c r="D2801" s="33" t="s">
        <v>435</v>
      </c>
      <c r="E2801" s="40">
        <v>49.58</v>
      </c>
      <c r="F2801" s="40">
        <v>0.0</v>
      </c>
      <c r="G2801" s="33" t="s">
        <v>442</v>
      </c>
    </row>
    <row r="2802" ht="15.75" customHeight="1">
      <c r="A2802" s="33" t="s">
        <v>6788</v>
      </c>
      <c r="B2802" s="33" t="s">
        <v>2188</v>
      </c>
      <c r="C2802" s="39">
        <v>45681.0</v>
      </c>
      <c r="D2802" s="33" t="s">
        <v>440</v>
      </c>
      <c r="E2802" s="40">
        <v>18.11</v>
      </c>
      <c r="F2802" s="40">
        <v>0.0</v>
      </c>
      <c r="G2802" s="33" t="s">
        <v>442</v>
      </c>
    </row>
    <row r="2803" ht="15.75" customHeight="1">
      <c r="A2803" s="33" t="s">
        <v>6789</v>
      </c>
      <c r="B2803" s="33" t="s">
        <v>539</v>
      </c>
      <c r="C2803" s="39">
        <v>46137.0</v>
      </c>
      <c r="D2803" s="33" t="s">
        <v>461</v>
      </c>
      <c r="E2803" s="40">
        <v>88.82</v>
      </c>
      <c r="F2803" s="40">
        <v>1.42</v>
      </c>
      <c r="G2803" s="33" t="s">
        <v>450</v>
      </c>
    </row>
    <row r="2804" ht="15.75" customHeight="1">
      <c r="A2804" s="33" t="s">
        <v>6790</v>
      </c>
      <c r="B2804" s="33" t="s">
        <v>2650</v>
      </c>
      <c r="C2804" s="39">
        <v>45727.0</v>
      </c>
      <c r="D2804" s="33" t="s">
        <v>479</v>
      </c>
      <c r="E2804" s="40">
        <v>20.66</v>
      </c>
      <c r="F2804" s="40">
        <v>0.27</v>
      </c>
      <c r="G2804" s="33" t="s">
        <v>431</v>
      </c>
    </row>
    <row r="2805" ht="15.75" customHeight="1">
      <c r="A2805" s="33" t="s">
        <v>6791</v>
      </c>
      <c r="B2805" s="33" t="s">
        <v>501</v>
      </c>
      <c r="C2805" s="39">
        <v>46254.0</v>
      </c>
      <c r="D2805" s="33" t="s">
        <v>435</v>
      </c>
      <c r="E2805" s="40">
        <v>252.36</v>
      </c>
      <c r="F2805" s="40">
        <v>0.0</v>
      </c>
      <c r="G2805" s="33" t="s">
        <v>450</v>
      </c>
    </row>
    <row r="2806" ht="15.75" customHeight="1">
      <c r="A2806" s="33" t="s">
        <v>6792</v>
      </c>
      <c r="B2806" s="33" t="s">
        <v>916</v>
      </c>
      <c r="C2806" s="39">
        <v>46109.0</v>
      </c>
      <c r="D2806" s="33" t="s">
        <v>479</v>
      </c>
      <c r="E2806" s="40">
        <v>76.15</v>
      </c>
      <c r="F2806" s="40">
        <v>1.49</v>
      </c>
      <c r="G2806" s="33" t="s">
        <v>450</v>
      </c>
    </row>
    <row r="2807" ht="15.75" customHeight="1">
      <c r="A2807" s="33" t="s">
        <v>6793</v>
      </c>
      <c r="B2807" s="33" t="s">
        <v>1092</v>
      </c>
      <c r="C2807" s="39">
        <v>46210.0</v>
      </c>
      <c r="D2807" s="33" t="s">
        <v>479</v>
      </c>
      <c r="E2807" s="40">
        <v>151.42</v>
      </c>
      <c r="F2807" s="40">
        <v>1.1</v>
      </c>
      <c r="G2807" s="33" t="s">
        <v>442</v>
      </c>
    </row>
    <row r="2808" ht="15.75" customHeight="1">
      <c r="A2808" s="33" t="s">
        <v>6794</v>
      </c>
      <c r="B2808" s="33" t="s">
        <v>731</v>
      </c>
      <c r="C2808" s="39">
        <v>46202.0</v>
      </c>
      <c r="D2808" s="33" t="s">
        <v>435</v>
      </c>
      <c r="E2808" s="40">
        <v>25.21</v>
      </c>
      <c r="F2808" s="40">
        <v>0.0</v>
      </c>
      <c r="G2808" s="33" t="s">
        <v>450</v>
      </c>
    </row>
    <row r="2809" ht="15.75" customHeight="1">
      <c r="A2809" s="33" t="s">
        <v>6795</v>
      </c>
      <c r="B2809" s="33" t="s">
        <v>2879</v>
      </c>
      <c r="C2809" s="39">
        <v>45849.0</v>
      </c>
      <c r="D2809" s="33" t="s">
        <v>440</v>
      </c>
      <c r="E2809" s="40">
        <v>116.86</v>
      </c>
      <c r="F2809" s="40">
        <v>0.0</v>
      </c>
      <c r="G2809" s="33" t="s">
        <v>450</v>
      </c>
    </row>
    <row r="2810" ht="15.75" customHeight="1">
      <c r="A2810" s="33" t="s">
        <v>6796</v>
      </c>
      <c r="B2810" s="33" t="s">
        <v>1945</v>
      </c>
      <c r="C2810" s="39">
        <v>45910.0</v>
      </c>
      <c r="D2810" s="33" t="s">
        <v>428</v>
      </c>
      <c r="E2810" s="40">
        <v>173.54</v>
      </c>
      <c r="F2810" s="40">
        <v>0.0</v>
      </c>
      <c r="G2810" s="33" t="s">
        <v>450</v>
      </c>
    </row>
    <row r="2811" ht="15.75" customHeight="1">
      <c r="A2811" s="33" t="s">
        <v>6797</v>
      </c>
      <c r="B2811" s="33" t="s">
        <v>819</v>
      </c>
      <c r="C2811" s="39">
        <v>46077.0</v>
      </c>
      <c r="D2811" s="33" t="s">
        <v>461</v>
      </c>
      <c r="E2811" s="40">
        <v>123.75</v>
      </c>
      <c r="F2811" s="40">
        <v>0.78</v>
      </c>
      <c r="G2811" s="33" t="s">
        <v>450</v>
      </c>
    </row>
    <row r="2812" ht="15.75" customHeight="1">
      <c r="A2812" s="33" t="s">
        <v>6798</v>
      </c>
      <c r="B2812" s="33" t="s">
        <v>2879</v>
      </c>
      <c r="C2812" s="39">
        <v>45764.0</v>
      </c>
      <c r="D2812" s="33" t="s">
        <v>435</v>
      </c>
      <c r="E2812" s="40">
        <v>143.59</v>
      </c>
      <c r="F2812" s="40">
        <v>0.0</v>
      </c>
      <c r="G2812" s="33" t="s">
        <v>450</v>
      </c>
    </row>
    <row r="2813" ht="15.75" customHeight="1">
      <c r="A2813" s="33" t="s">
        <v>6799</v>
      </c>
      <c r="B2813" s="33" t="s">
        <v>327</v>
      </c>
      <c r="C2813" s="39">
        <v>45844.0</v>
      </c>
      <c r="D2813" s="33" t="s">
        <v>435</v>
      </c>
      <c r="E2813" s="40">
        <v>109.34</v>
      </c>
      <c r="F2813" s="40">
        <v>0.0</v>
      </c>
      <c r="G2813" s="33" t="s">
        <v>450</v>
      </c>
    </row>
    <row r="2814" ht="15.75" customHeight="1">
      <c r="A2814" s="33" t="s">
        <v>6800</v>
      </c>
      <c r="B2814" s="33" t="s">
        <v>2053</v>
      </c>
      <c r="C2814" s="39">
        <v>45718.0</v>
      </c>
      <c r="D2814" s="33" t="s">
        <v>440</v>
      </c>
      <c r="E2814" s="40">
        <v>59.24</v>
      </c>
      <c r="F2814" s="40">
        <v>0.0</v>
      </c>
      <c r="G2814" s="33" t="s">
        <v>450</v>
      </c>
    </row>
    <row r="2815" ht="15.75" customHeight="1">
      <c r="A2815" s="33" t="s">
        <v>6801</v>
      </c>
      <c r="B2815" s="33" t="s">
        <v>833</v>
      </c>
      <c r="C2815" s="39">
        <v>46197.0</v>
      </c>
      <c r="D2815" s="33" t="s">
        <v>479</v>
      </c>
      <c r="E2815" s="40">
        <v>39.0</v>
      </c>
      <c r="F2815" s="40">
        <v>0.6</v>
      </c>
      <c r="G2815" s="33" t="s">
        <v>450</v>
      </c>
    </row>
    <row r="2816" ht="15.75" customHeight="1">
      <c r="A2816" s="33" t="s">
        <v>6802</v>
      </c>
      <c r="B2816" s="33" t="s">
        <v>1135</v>
      </c>
      <c r="C2816" s="39">
        <v>45808.0</v>
      </c>
      <c r="D2816" s="33" t="s">
        <v>479</v>
      </c>
      <c r="E2816" s="40">
        <v>44.62</v>
      </c>
      <c r="F2816" s="40">
        <v>0.46</v>
      </c>
      <c r="G2816" s="33" t="s">
        <v>431</v>
      </c>
    </row>
    <row r="2817" ht="15.75" customHeight="1">
      <c r="A2817" s="33" t="s">
        <v>6803</v>
      </c>
      <c r="B2817" s="33" t="s">
        <v>1247</v>
      </c>
      <c r="C2817" s="39">
        <v>45907.0</v>
      </c>
      <c r="D2817" s="33" t="s">
        <v>461</v>
      </c>
      <c r="E2817" s="40">
        <v>256.35</v>
      </c>
      <c r="F2817" s="40">
        <v>4.54</v>
      </c>
      <c r="G2817" s="33" t="s">
        <v>431</v>
      </c>
    </row>
    <row r="2818" ht="15.75" customHeight="1">
      <c r="A2818" s="33" t="s">
        <v>6804</v>
      </c>
      <c r="B2818" s="33" t="s">
        <v>4154</v>
      </c>
      <c r="C2818" s="39">
        <v>45932.0</v>
      </c>
      <c r="D2818" s="33" t="s">
        <v>435</v>
      </c>
      <c r="E2818" s="40">
        <v>95.85</v>
      </c>
      <c r="F2818" s="40">
        <v>0.0</v>
      </c>
      <c r="G2818" s="33" t="s">
        <v>431</v>
      </c>
    </row>
    <row r="2819" ht="15.75" customHeight="1">
      <c r="A2819" s="33" t="s">
        <v>6805</v>
      </c>
      <c r="B2819" s="33" t="s">
        <v>686</v>
      </c>
      <c r="C2819" s="39">
        <v>45886.0</v>
      </c>
      <c r="D2819" s="33" t="s">
        <v>435</v>
      </c>
      <c r="E2819" s="40">
        <v>184.75</v>
      </c>
      <c r="F2819" s="40">
        <v>0.0</v>
      </c>
      <c r="G2819" s="33" t="s">
        <v>450</v>
      </c>
    </row>
    <row r="2820" ht="15.75" customHeight="1">
      <c r="A2820" s="33" t="s">
        <v>6806</v>
      </c>
      <c r="B2820" s="33" t="s">
        <v>2197</v>
      </c>
      <c r="C2820" s="39">
        <v>46130.0</v>
      </c>
      <c r="D2820" s="33" t="s">
        <v>461</v>
      </c>
      <c r="E2820" s="40">
        <v>52.06</v>
      </c>
      <c r="F2820" s="40">
        <v>0.92</v>
      </c>
      <c r="G2820" s="33" t="s">
        <v>450</v>
      </c>
    </row>
    <row r="2821" ht="15.75" customHeight="1">
      <c r="A2821" s="33" t="s">
        <v>6807</v>
      </c>
      <c r="B2821" s="33" t="s">
        <v>350</v>
      </c>
      <c r="C2821" s="39">
        <v>46212.0</v>
      </c>
      <c r="D2821" s="33" t="s">
        <v>428</v>
      </c>
      <c r="E2821" s="40">
        <v>137.69</v>
      </c>
      <c r="F2821" s="40">
        <v>0.0</v>
      </c>
      <c r="G2821" s="33" t="s">
        <v>450</v>
      </c>
    </row>
    <row r="2822" ht="15.75" customHeight="1">
      <c r="A2822" s="33" t="s">
        <v>6808</v>
      </c>
      <c r="B2822" s="33" t="s">
        <v>1424</v>
      </c>
      <c r="C2822" s="39">
        <v>46005.0</v>
      </c>
      <c r="D2822" s="33" t="s">
        <v>435</v>
      </c>
      <c r="E2822" s="40">
        <v>36.59</v>
      </c>
      <c r="F2822" s="40">
        <v>0.0</v>
      </c>
      <c r="G2822" s="33" t="s">
        <v>442</v>
      </c>
    </row>
    <row r="2823" ht="15.75" customHeight="1">
      <c r="A2823" s="33" t="s">
        <v>6809</v>
      </c>
      <c r="B2823" s="33" t="s">
        <v>2144</v>
      </c>
      <c r="C2823" s="39">
        <v>46165.0</v>
      </c>
      <c r="D2823" s="33" t="s">
        <v>440</v>
      </c>
      <c r="E2823" s="40">
        <v>67.67</v>
      </c>
      <c r="F2823" s="40">
        <v>0.0</v>
      </c>
      <c r="G2823" s="33" t="s">
        <v>450</v>
      </c>
    </row>
    <row r="2824" ht="15.75" customHeight="1">
      <c r="A2824" s="33" t="s">
        <v>6810</v>
      </c>
      <c r="B2824" s="33" t="s">
        <v>2732</v>
      </c>
      <c r="C2824" s="39">
        <v>45725.0</v>
      </c>
      <c r="D2824" s="33" t="s">
        <v>461</v>
      </c>
      <c r="E2824" s="40">
        <v>57.05</v>
      </c>
      <c r="F2824" s="40">
        <v>0.5</v>
      </c>
      <c r="G2824" s="33" t="s">
        <v>450</v>
      </c>
    </row>
    <row r="2825" ht="15.75" customHeight="1">
      <c r="A2825" s="33" t="s">
        <v>6811</v>
      </c>
      <c r="B2825" s="33" t="s">
        <v>579</v>
      </c>
      <c r="C2825" s="39">
        <v>46244.0</v>
      </c>
      <c r="D2825" s="33" t="s">
        <v>435</v>
      </c>
      <c r="E2825" s="40">
        <v>237.16</v>
      </c>
      <c r="F2825" s="40">
        <v>0.0</v>
      </c>
      <c r="G2825" s="33" t="s">
        <v>450</v>
      </c>
    </row>
    <row r="2826" ht="15.75" customHeight="1">
      <c r="A2826" s="33" t="s">
        <v>6812</v>
      </c>
      <c r="B2826" s="33" t="s">
        <v>2669</v>
      </c>
      <c r="C2826" s="39">
        <v>45728.0</v>
      </c>
      <c r="D2826" s="33" t="s">
        <v>428</v>
      </c>
      <c r="E2826" s="40">
        <v>42.27</v>
      </c>
      <c r="F2826" s="40">
        <v>0.0</v>
      </c>
      <c r="G2826" s="33" t="s">
        <v>450</v>
      </c>
    </row>
    <row r="2827" ht="15.75" customHeight="1">
      <c r="A2827" s="33" t="s">
        <v>6813</v>
      </c>
      <c r="B2827" s="33" t="s">
        <v>662</v>
      </c>
      <c r="C2827" s="39">
        <v>45698.0</v>
      </c>
      <c r="D2827" s="33" t="s">
        <v>440</v>
      </c>
      <c r="E2827" s="40">
        <v>127.17</v>
      </c>
      <c r="F2827" s="40">
        <v>0.0</v>
      </c>
      <c r="G2827" s="33" t="s">
        <v>450</v>
      </c>
    </row>
    <row r="2828" ht="15.75" customHeight="1">
      <c r="A2828" s="33" t="s">
        <v>6814</v>
      </c>
      <c r="B2828" s="33" t="s">
        <v>1528</v>
      </c>
      <c r="C2828" s="39">
        <v>45671.0</v>
      </c>
      <c r="D2828" s="33" t="s">
        <v>479</v>
      </c>
      <c r="E2828" s="40">
        <v>111.4</v>
      </c>
      <c r="F2828" s="40">
        <v>1.65</v>
      </c>
      <c r="G2828" s="33" t="s">
        <v>450</v>
      </c>
    </row>
    <row r="2829" ht="15.75" customHeight="1">
      <c r="A2829" s="33" t="s">
        <v>6815</v>
      </c>
      <c r="B2829" s="33" t="s">
        <v>258</v>
      </c>
      <c r="C2829" s="39">
        <v>45805.0</v>
      </c>
      <c r="D2829" s="33" t="s">
        <v>440</v>
      </c>
      <c r="E2829" s="40">
        <v>27.51</v>
      </c>
      <c r="F2829" s="40">
        <v>0.0</v>
      </c>
      <c r="G2829" s="33" t="s">
        <v>450</v>
      </c>
    </row>
    <row r="2830" ht="15.75" customHeight="1">
      <c r="A2830" s="33" t="s">
        <v>6816</v>
      </c>
      <c r="B2830" s="33" t="s">
        <v>3598</v>
      </c>
      <c r="C2830" s="39">
        <v>46166.0</v>
      </c>
      <c r="D2830" s="33" t="s">
        <v>461</v>
      </c>
      <c r="E2830" s="40">
        <v>186.09</v>
      </c>
      <c r="F2830" s="40">
        <v>1.43</v>
      </c>
      <c r="G2830" s="33" t="s">
        <v>450</v>
      </c>
    </row>
    <row r="2831" ht="15.75" customHeight="1">
      <c r="A2831" s="33" t="s">
        <v>6817</v>
      </c>
      <c r="B2831" s="33" t="s">
        <v>1031</v>
      </c>
      <c r="C2831" s="39">
        <v>45840.0</v>
      </c>
      <c r="D2831" s="33" t="s">
        <v>435</v>
      </c>
      <c r="E2831" s="40">
        <v>200.89</v>
      </c>
      <c r="F2831" s="40">
        <v>0.0</v>
      </c>
      <c r="G2831" s="33" t="s">
        <v>450</v>
      </c>
    </row>
    <row r="2832" ht="15.75" customHeight="1">
      <c r="A2832" s="33" t="s">
        <v>6818</v>
      </c>
      <c r="B2832" s="33" t="s">
        <v>1140</v>
      </c>
      <c r="C2832" s="39">
        <v>46138.0</v>
      </c>
      <c r="D2832" s="33" t="s">
        <v>435</v>
      </c>
      <c r="E2832" s="40">
        <v>96.15</v>
      </c>
      <c r="F2832" s="40">
        <v>0.0</v>
      </c>
      <c r="G2832" s="33" t="s">
        <v>450</v>
      </c>
    </row>
    <row r="2833" ht="15.75" customHeight="1">
      <c r="A2833" s="33" t="s">
        <v>6819</v>
      </c>
      <c r="B2833" s="33" t="s">
        <v>356</v>
      </c>
      <c r="C2833" s="39">
        <v>45915.0</v>
      </c>
      <c r="D2833" s="33" t="s">
        <v>479</v>
      </c>
      <c r="E2833" s="40">
        <v>84.66</v>
      </c>
      <c r="F2833" s="40">
        <v>1.69</v>
      </c>
      <c r="G2833" s="33" t="s">
        <v>450</v>
      </c>
    </row>
    <row r="2834" ht="15.75" customHeight="1">
      <c r="A2834" s="33" t="s">
        <v>6820</v>
      </c>
      <c r="B2834" s="33" t="s">
        <v>1340</v>
      </c>
      <c r="C2834" s="39">
        <v>45721.0</v>
      </c>
      <c r="D2834" s="33" t="s">
        <v>428</v>
      </c>
      <c r="E2834" s="40">
        <v>14.99</v>
      </c>
      <c r="F2834" s="40">
        <v>0.0</v>
      </c>
      <c r="G2834" s="33" t="s">
        <v>450</v>
      </c>
    </row>
    <row r="2835" ht="15.75" customHeight="1">
      <c r="A2835" s="33" t="s">
        <v>6821</v>
      </c>
      <c r="B2835" s="33" t="s">
        <v>793</v>
      </c>
      <c r="C2835" s="39">
        <v>45945.0</v>
      </c>
      <c r="D2835" s="33" t="s">
        <v>461</v>
      </c>
      <c r="E2835" s="40">
        <v>23.75</v>
      </c>
      <c r="F2835" s="40">
        <v>0.34</v>
      </c>
      <c r="G2835" s="33" t="s">
        <v>442</v>
      </c>
    </row>
    <row r="2836" ht="15.75" customHeight="1">
      <c r="A2836" s="33" t="s">
        <v>6822</v>
      </c>
      <c r="B2836" s="33" t="s">
        <v>2110</v>
      </c>
      <c r="C2836" s="39">
        <v>45799.0</v>
      </c>
      <c r="D2836" s="33" t="s">
        <v>461</v>
      </c>
      <c r="E2836" s="40">
        <v>66.24</v>
      </c>
      <c r="F2836" s="40">
        <v>0.67</v>
      </c>
      <c r="G2836" s="33" t="s">
        <v>450</v>
      </c>
    </row>
    <row r="2837" ht="15.75" customHeight="1">
      <c r="A2837" s="33" t="s">
        <v>6823</v>
      </c>
      <c r="B2837" s="33" t="s">
        <v>3342</v>
      </c>
      <c r="C2837" s="39">
        <v>45834.0</v>
      </c>
      <c r="D2837" s="33" t="s">
        <v>479</v>
      </c>
      <c r="E2837" s="40">
        <v>37.64</v>
      </c>
      <c r="F2837" s="40">
        <v>0.68</v>
      </c>
      <c r="G2837" s="33" t="s">
        <v>450</v>
      </c>
    </row>
    <row r="2838" ht="15.75" customHeight="1">
      <c r="A2838" s="33" t="s">
        <v>6824</v>
      </c>
      <c r="B2838" s="33" t="s">
        <v>1941</v>
      </c>
      <c r="C2838" s="39">
        <v>45971.0</v>
      </c>
      <c r="D2838" s="33" t="s">
        <v>435</v>
      </c>
      <c r="E2838" s="40">
        <v>151.55</v>
      </c>
      <c r="F2838" s="40">
        <v>0.0</v>
      </c>
      <c r="G2838" s="33" t="s">
        <v>442</v>
      </c>
    </row>
    <row r="2839" ht="15.75" customHeight="1">
      <c r="A2839" s="33" t="s">
        <v>6825</v>
      </c>
      <c r="B2839" s="33" t="s">
        <v>3128</v>
      </c>
      <c r="C2839" s="39">
        <v>46137.0</v>
      </c>
      <c r="D2839" s="33" t="s">
        <v>479</v>
      </c>
      <c r="E2839" s="40">
        <v>22.83</v>
      </c>
      <c r="F2839" s="40">
        <v>0.36</v>
      </c>
      <c r="G2839" s="33" t="s">
        <v>442</v>
      </c>
    </row>
    <row r="2840" ht="15.75" customHeight="1">
      <c r="A2840" s="33" t="s">
        <v>6826</v>
      </c>
      <c r="B2840" s="33" t="s">
        <v>426</v>
      </c>
      <c r="C2840" s="39">
        <v>46014.0</v>
      </c>
      <c r="D2840" s="33" t="s">
        <v>428</v>
      </c>
      <c r="E2840" s="40">
        <v>20.8</v>
      </c>
      <c r="F2840" s="40">
        <v>0.0</v>
      </c>
      <c r="G2840" s="33" t="s">
        <v>450</v>
      </c>
    </row>
    <row r="2841" ht="15.75" customHeight="1">
      <c r="A2841" s="33" t="s">
        <v>6827</v>
      </c>
      <c r="B2841" s="33" t="s">
        <v>731</v>
      </c>
      <c r="C2841" s="39">
        <v>45793.0</v>
      </c>
      <c r="D2841" s="33" t="s">
        <v>461</v>
      </c>
      <c r="E2841" s="40">
        <v>119.25</v>
      </c>
      <c r="F2841" s="40">
        <v>1.48</v>
      </c>
      <c r="G2841" s="33" t="s">
        <v>450</v>
      </c>
    </row>
    <row r="2842" ht="15.75" customHeight="1">
      <c r="A2842" s="33" t="s">
        <v>6828</v>
      </c>
      <c r="B2842" s="33" t="s">
        <v>887</v>
      </c>
      <c r="C2842" s="39">
        <v>46093.0</v>
      </c>
      <c r="D2842" s="33" t="s">
        <v>461</v>
      </c>
      <c r="E2842" s="40">
        <v>105.96</v>
      </c>
      <c r="F2842" s="40">
        <v>0.65</v>
      </c>
      <c r="G2842" s="33" t="s">
        <v>442</v>
      </c>
    </row>
    <row r="2843" ht="15.75" customHeight="1">
      <c r="A2843" s="33" t="s">
        <v>6829</v>
      </c>
      <c r="B2843" s="33" t="s">
        <v>1314</v>
      </c>
      <c r="C2843" s="39">
        <v>46080.0</v>
      </c>
      <c r="D2843" s="33" t="s">
        <v>440</v>
      </c>
      <c r="E2843" s="40">
        <v>91.13</v>
      </c>
      <c r="F2843" s="40">
        <v>0.0</v>
      </c>
      <c r="G2843" s="33" t="s">
        <v>450</v>
      </c>
    </row>
    <row r="2844" ht="15.75" customHeight="1">
      <c r="A2844" s="33" t="s">
        <v>6830</v>
      </c>
      <c r="B2844" s="33" t="s">
        <v>1137</v>
      </c>
      <c r="C2844" s="39">
        <v>45801.0</v>
      </c>
      <c r="D2844" s="33" t="s">
        <v>479</v>
      </c>
      <c r="E2844" s="40">
        <v>138.07</v>
      </c>
      <c r="F2844" s="40">
        <v>0.72</v>
      </c>
      <c r="G2844" s="33" t="s">
        <v>450</v>
      </c>
    </row>
    <row r="2845" ht="15.75" customHeight="1">
      <c r="A2845" s="33" t="s">
        <v>6831</v>
      </c>
      <c r="B2845" s="33" t="s">
        <v>2040</v>
      </c>
      <c r="C2845" s="39">
        <v>46175.0</v>
      </c>
      <c r="D2845" s="33" t="s">
        <v>461</v>
      </c>
      <c r="E2845" s="40">
        <v>48.48</v>
      </c>
      <c r="F2845" s="40">
        <v>0.6</v>
      </c>
      <c r="G2845" s="33" t="s">
        <v>431</v>
      </c>
    </row>
    <row r="2846" ht="15.75" customHeight="1">
      <c r="A2846" s="33" t="s">
        <v>6832</v>
      </c>
      <c r="B2846" s="33" t="s">
        <v>250</v>
      </c>
      <c r="C2846" s="39">
        <v>46169.0</v>
      </c>
      <c r="D2846" s="33" t="s">
        <v>461</v>
      </c>
      <c r="E2846" s="40">
        <v>59.17</v>
      </c>
      <c r="F2846" s="40">
        <v>0.62</v>
      </c>
      <c r="G2846" s="33" t="s">
        <v>450</v>
      </c>
    </row>
    <row r="2847" ht="15.75" customHeight="1">
      <c r="A2847" s="33" t="s">
        <v>6833</v>
      </c>
      <c r="B2847" s="33" t="s">
        <v>255</v>
      </c>
      <c r="C2847" s="39">
        <v>46024.0</v>
      </c>
      <c r="D2847" s="33" t="s">
        <v>428</v>
      </c>
      <c r="E2847" s="40">
        <v>103.58</v>
      </c>
      <c r="F2847" s="40">
        <v>0.0</v>
      </c>
      <c r="G2847" s="33" t="s">
        <v>450</v>
      </c>
    </row>
    <row r="2848" ht="15.75" customHeight="1">
      <c r="A2848" s="33" t="s">
        <v>6834</v>
      </c>
      <c r="B2848" s="33" t="s">
        <v>1883</v>
      </c>
      <c r="C2848" s="39">
        <v>45837.0</v>
      </c>
      <c r="D2848" s="33" t="s">
        <v>461</v>
      </c>
      <c r="E2848" s="40">
        <v>95.73</v>
      </c>
      <c r="F2848" s="40">
        <v>1.54</v>
      </c>
      <c r="G2848" s="33" t="s">
        <v>450</v>
      </c>
    </row>
    <row r="2849" ht="15.75" customHeight="1">
      <c r="A2849" s="33" t="s">
        <v>6835</v>
      </c>
      <c r="B2849" s="33" t="s">
        <v>1127</v>
      </c>
      <c r="C2849" s="39">
        <v>45872.0</v>
      </c>
      <c r="D2849" s="33" t="s">
        <v>440</v>
      </c>
      <c r="E2849" s="40">
        <v>40.48</v>
      </c>
      <c r="F2849" s="40">
        <v>0.0</v>
      </c>
      <c r="G2849" s="33" t="s">
        <v>450</v>
      </c>
    </row>
    <row r="2850" ht="15.75" customHeight="1">
      <c r="A2850" s="33" t="s">
        <v>6836</v>
      </c>
      <c r="B2850" s="33" t="s">
        <v>2259</v>
      </c>
      <c r="C2850" s="39">
        <v>45924.0</v>
      </c>
      <c r="D2850" s="33" t="s">
        <v>440</v>
      </c>
      <c r="E2850" s="40">
        <v>168.72</v>
      </c>
      <c r="F2850" s="40">
        <v>0.0</v>
      </c>
      <c r="G2850" s="33" t="s">
        <v>450</v>
      </c>
    </row>
    <row r="2851" ht="15.75" customHeight="1">
      <c r="A2851" s="33" t="s">
        <v>6837</v>
      </c>
      <c r="B2851" s="33" t="s">
        <v>3190</v>
      </c>
      <c r="C2851" s="39">
        <v>45772.0</v>
      </c>
      <c r="D2851" s="33" t="s">
        <v>461</v>
      </c>
      <c r="E2851" s="40">
        <v>28.28</v>
      </c>
      <c r="F2851" s="40">
        <v>0.24</v>
      </c>
      <c r="G2851" s="33" t="s">
        <v>450</v>
      </c>
    </row>
    <row r="2852" ht="15.75" customHeight="1">
      <c r="A2852" s="33" t="s">
        <v>6838</v>
      </c>
      <c r="B2852" s="33" t="s">
        <v>1649</v>
      </c>
      <c r="C2852" s="39">
        <v>45843.0</v>
      </c>
      <c r="D2852" s="33" t="s">
        <v>428</v>
      </c>
      <c r="E2852" s="40">
        <v>63.09</v>
      </c>
      <c r="F2852" s="40">
        <v>0.0</v>
      </c>
      <c r="G2852" s="33" t="s">
        <v>431</v>
      </c>
    </row>
    <row r="2853" ht="15.75" customHeight="1">
      <c r="A2853" s="33" t="s">
        <v>6839</v>
      </c>
      <c r="B2853" s="33" t="s">
        <v>3598</v>
      </c>
      <c r="C2853" s="39">
        <v>45739.0</v>
      </c>
      <c r="D2853" s="33" t="s">
        <v>428</v>
      </c>
      <c r="E2853" s="40">
        <v>30.24</v>
      </c>
      <c r="F2853" s="40">
        <v>0.0</v>
      </c>
      <c r="G2853" s="33" t="s">
        <v>450</v>
      </c>
    </row>
    <row r="2854" ht="15.75" customHeight="1">
      <c r="A2854" s="33" t="s">
        <v>6840</v>
      </c>
      <c r="B2854" s="33" t="s">
        <v>540</v>
      </c>
      <c r="C2854" s="39">
        <v>45751.0</v>
      </c>
      <c r="D2854" s="33" t="s">
        <v>461</v>
      </c>
      <c r="E2854" s="40">
        <v>329.39</v>
      </c>
      <c r="F2854" s="40">
        <v>2.28</v>
      </c>
      <c r="G2854" s="33" t="s">
        <v>450</v>
      </c>
    </row>
    <row r="2855" ht="15.75" customHeight="1">
      <c r="A2855" s="33" t="s">
        <v>6841</v>
      </c>
      <c r="B2855" s="33" t="s">
        <v>1881</v>
      </c>
      <c r="C2855" s="39">
        <v>46109.0</v>
      </c>
      <c r="D2855" s="33" t="s">
        <v>479</v>
      </c>
      <c r="E2855" s="40">
        <v>86.38</v>
      </c>
      <c r="F2855" s="40">
        <v>1.69</v>
      </c>
      <c r="G2855" s="33" t="s">
        <v>450</v>
      </c>
    </row>
    <row r="2856" ht="15.75" customHeight="1">
      <c r="A2856" s="33" t="s">
        <v>6842</v>
      </c>
      <c r="B2856" s="33" t="s">
        <v>1266</v>
      </c>
      <c r="C2856" s="39">
        <v>45735.0</v>
      </c>
      <c r="D2856" s="33" t="s">
        <v>428</v>
      </c>
      <c r="E2856" s="40">
        <v>35.56</v>
      </c>
      <c r="F2856" s="40">
        <v>0.0</v>
      </c>
      <c r="G2856" s="33" t="s">
        <v>442</v>
      </c>
    </row>
    <row r="2857" ht="15.75" customHeight="1">
      <c r="A2857" s="33" t="s">
        <v>6843</v>
      </c>
      <c r="B2857" s="33" t="s">
        <v>2987</v>
      </c>
      <c r="C2857" s="39">
        <v>45942.0</v>
      </c>
      <c r="D2857" s="33" t="s">
        <v>428</v>
      </c>
      <c r="E2857" s="40">
        <v>57.42</v>
      </c>
      <c r="F2857" s="40">
        <v>0.0</v>
      </c>
      <c r="G2857" s="33" t="s">
        <v>450</v>
      </c>
    </row>
    <row r="2858" ht="15.75" customHeight="1">
      <c r="A2858" s="33" t="s">
        <v>6844</v>
      </c>
      <c r="B2858" s="33" t="s">
        <v>539</v>
      </c>
      <c r="C2858" s="39">
        <v>45918.0</v>
      </c>
      <c r="D2858" s="33" t="s">
        <v>435</v>
      </c>
      <c r="E2858" s="40">
        <v>102.49</v>
      </c>
      <c r="F2858" s="40">
        <v>0.0</v>
      </c>
      <c r="G2858" s="33" t="s">
        <v>450</v>
      </c>
    </row>
    <row r="2859" ht="15.75" customHeight="1">
      <c r="A2859" s="33" t="s">
        <v>6845</v>
      </c>
      <c r="B2859" s="33" t="s">
        <v>1467</v>
      </c>
      <c r="C2859" s="39">
        <v>45686.0</v>
      </c>
      <c r="D2859" s="33" t="s">
        <v>440</v>
      </c>
      <c r="E2859" s="40">
        <v>150.8</v>
      </c>
      <c r="F2859" s="40">
        <v>0.0</v>
      </c>
      <c r="G2859" s="33" t="s">
        <v>450</v>
      </c>
    </row>
    <row r="2860" ht="15.75" customHeight="1">
      <c r="A2860" s="33" t="s">
        <v>6846</v>
      </c>
      <c r="B2860" s="33" t="s">
        <v>1399</v>
      </c>
      <c r="C2860" s="39">
        <v>46162.0</v>
      </c>
      <c r="D2860" s="33" t="s">
        <v>440</v>
      </c>
      <c r="E2860" s="40">
        <v>38.76</v>
      </c>
      <c r="F2860" s="40">
        <v>0.0</v>
      </c>
      <c r="G2860" s="33" t="s">
        <v>450</v>
      </c>
    </row>
    <row r="2861" ht="15.75" customHeight="1">
      <c r="A2861" s="33" t="s">
        <v>6847</v>
      </c>
      <c r="B2861" s="33" t="s">
        <v>1828</v>
      </c>
      <c r="C2861" s="39">
        <v>46255.0</v>
      </c>
      <c r="D2861" s="33" t="s">
        <v>479</v>
      </c>
      <c r="E2861" s="40">
        <v>207.84</v>
      </c>
      <c r="F2861" s="40">
        <v>3.44</v>
      </c>
      <c r="G2861" s="33" t="s">
        <v>450</v>
      </c>
    </row>
    <row r="2862" ht="15.75" customHeight="1">
      <c r="A2862" s="33" t="s">
        <v>6848</v>
      </c>
      <c r="B2862" s="33" t="s">
        <v>1217</v>
      </c>
      <c r="C2862" s="39">
        <v>46045.0</v>
      </c>
      <c r="D2862" s="33" t="s">
        <v>440</v>
      </c>
      <c r="E2862" s="40">
        <v>83.91</v>
      </c>
      <c r="F2862" s="40">
        <v>0.0</v>
      </c>
      <c r="G2862" s="33" t="s">
        <v>431</v>
      </c>
    </row>
    <row r="2863" ht="15.75" customHeight="1">
      <c r="A2863" s="33" t="s">
        <v>6849</v>
      </c>
      <c r="B2863" s="33" t="s">
        <v>929</v>
      </c>
      <c r="C2863" s="39">
        <v>46065.0</v>
      </c>
      <c r="D2863" s="33" t="s">
        <v>440</v>
      </c>
      <c r="E2863" s="40">
        <v>120.04</v>
      </c>
      <c r="F2863" s="40">
        <v>0.0</v>
      </c>
      <c r="G2863" s="33" t="s">
        <v>450</v>
      </c>
    </row>
    <row r="2864" ht="15.75" customHeight="1">
      <c r="A2864" s="33" t="s">
        <v>6850</v>
      </c>
      <c r="B2864" s="33" t="s">
        <v>337</v>
      </c>
      <c r="C2864" s="39">
        <v>45799.0</v>
      </c>
      <c r="D2864" s="33" t="s">
        <v>435</v>
      </c>
      <c r="E2864" s="40">
        <v>53.89</v>
      </c>
      <c r="F2864" s="40">
        <v>0.0</v>
      </c>
      <c r="G2864" s="33" t="s">
        <v>450</v>
      </c>
    </row>
    <row r="2865" ht="15.75" customHeight="1">
      <c r="A2865" s="33" t="s">
        <v>6851</v>
      </c>
      <c r="B2865" s="33" t="s">
        <v>563</v>
      </c>
      <c r="C2865" s="39">
        <v>46170.0</v>
      </c>
      <c r="D2865" s="33" t="s">
        <v>435</v>
      </c>
      <c r="E2865" s="40">
        <v>108.1</v>
      </c>
      <c r="F2865" s="40">
        <v>0.0</v>
      </c>
      <c r="G2865" s="33" t="s">
        <v>450</v>
      </c>
    </row>
    <row r="2866" ht="15.75" customHeight="1">
      <c r="A2866" s="33" t="s">
        <v>6852</v>
      </c>
      <c r="B2866" s="33" t="s">
        <v>2268</v>
      </c>
      <c r="C2866" s="39">
        <v>46134.0</v>
      </c>
      <c r="D2866" s="33" t="s">
        <v>479</v>
      </c>
      <c r="E2866" s="40">
        <v>50.67</v>
      </c>
      <c r="F2866" s="40">
        <v>0.41</v>
      </c>
      <c r="G2866" s="33" t="s">
        <v>450</v>
      </c>
    </row>
    <row r="2867" ht="15.75" customHeight="1">
      <c r="A2867" s="33" t="s">
        <v>6853</v>
      </c>
      <c r="B2867" s="33" t="s">
        <v>763</v>
      </c>
      <c r="C2867" s="39">
        <v>45923.0</v>
      </c>
      <c r="D2867" s="33" t="s">
        <v>428</v>
      </c>
      <c r="E2867" s="40">
        <v>59.98</v>
      </c>
      <c r="F2867" s="40">
        <v>0.0</v>
      </c>
      <c r="G2867" s="33" t="s">
        <v>431</v>
      </c>
    </row>
    <row r="2868" ht="15.75" customHeight="1">
      <c r="A2868" s="33" t="s">
        <v>6854</v>
      </c>
      <c r="B2868" s="33" t="s">
        <v>2911</v>
      </c>
      <c r="C2868" s="39">
        <v>46086.0</v>
      </c>
      <c r="D2868" s="33" t="s">
        <v>440</v>
      </c>
      <c r="E2868" s="40">
        <v>154.76</v>
      </c>
      <c r="F2868" s="40">
        <v>0.0</v>
      </c>
      <c r="G2868" s="33" t="s">
        <v>442</v>
      </c>
    </row>
    <row r="2869" ht="15.75" customHeight="1">
      <c r="A2869" s="33" t="s">
        <v>6855</v>
      </c>
      <c r="B2869" s="33" t="s">
        <v>876</v>
      </c>
      <c r="C2869" s="39">
        <v>46237.0</v>
      </c>
      <c r="D2869" s="33" t="s">
        <v>440</v>
      </c>
      <c r="E2869" s="40">
        <v>115.36</v>
      </c>
      <c r="F2869" s="40">
        <v>0.0</v>
      </c>
      <c r="G2869" s="33" t="s">
        <v>442</v>
      </c>
    </row>
    <row r="2870" ht="15.75" customHeight="1">
      <c r="A2870" s="33" t="s">
        <v>6856</v>
      </c>
      <c r="B2870" s="33" t="s">
        <v>1052</v>
      </c>
      <c r="C2870" s="39">
        <v>46023.0</v>
      </c>
      <c r="D2870" s="33" t="s">
        <v>440</v>
      </c>
      <c r="E2870" s="40">
        <v>64.92</v>
      </c>
      <c r="F2870" s="40">
        <v>0.0</v>
      </c>
      <c r="G2870" s="33" t="s">
        <v>450</v>
      </c>
    </row>
    <row r="2871" ht="15.75" customHeight="1">
      <c r="A2871" s="33" t="s">
        <v>6857</v>
      </c>
      <c r="B2871" s="33" t="s">
        <v>1305</v>
      </c>
      <c r="C2871" s="39">
        <v>45779.0</v>
      </c>
      <c r="D2871" s="33" t="s">
        <v>428</v>
      </c>
      <c r="E2871" s="40">
        <v>148.98</v>
      </c>
      <c r="F2871" s="40">
        <v>0.0</v>
      </c>
      <c r="G2871" s="33" t="s">
        <v>450</v>
      </c>
    </row>
    <row r="2872" ht="15.75" customHeight="1">
      <c r="A2872" s="33" t="s">
        <v>6858</v>
      </c>
      <c r="B2872" s="33" t="s">
        <v>675</v>
      </c>
      <c r="C2872" s="39">
        <v>45858.0</v>
      </c>
      <c r="D2872" s="33" t="s">
        <v>461</v>
      </c>
      <c r="E2872" s="40">
        <v>100.06</v>
      </c>
      <c r="F2872" s="40">
        <v>1.53</v>
      </c>
      <c r="G2872" s="33" t="s">
        <v>450</v>
      </c>
    </row>
    <row r="2873" ht="15.75" customHeight="1">
      <c r="A2873" s="33" t="s">
        <v>6859</v>
      </c>
      <c r="B2873" s="33" t="s">
        <v>3128</v>
      </c>
      <c r="C2873" s="39">
        <v>45770.0</v>
      </c>
      <c r="D2873" s="33" t="s">
        <v>461</v>
      </c>
      <c r="E2873" s="40">
        <v>12.28</v>
      </c>
      <c r="F2873" s="40">
        <v>0.06</v>
      </c>
      <c r="G2873" s="33" t="s">
        <v>450</v>
      </c>
    </row>
    <row r="2874" ht="15.75" customHeight="1">
      <c r="A2874" s="33" t="s">
        <v>6860</v>
      </c>
      <c r="B2874" s="33" t="s">
        <v>1368</v>
      </c>
      <c r="C2874" s="39">
        <v>45859.0</v>
      </c>
      <c r="D2874" s="33" t="s">
        <v>435</v>
      </c>
      <c r="E2874" s="40">
        <v>74.79</v>
      </c>
      <c r="F2874" s="40">
        <v>0.0</v>
      </c>
      <c r="G2874" s="33" t="s">
        <v>450</v>
      </c>
    </row>
    <row r="2875" ht="15.75" customHeight="1">
      <c r="A2875" s="33" t="s">
        <v>6861</v>
      </c>
      <c r="B2875" s="33" t="s">
        <v>870</v>
      </c>
      <c r="C2875" s="39">
        <v>46198.0</v>
      </c>
      <c r="D2875" s="33" t="s">
        <v>428</v>
      </c>
      <c r="E2875" s="40">
        <v>152.42</v>
      </c>
      <c r="F2875" s="40">
        <v>0.0</v>
      </c>
      <c r="G2875" s="33" t="s">
        <v>442</v>
      </c>
    </row>
    <row r="2876" ht="15.75" customHeight="1">
      <c r="A2876" s="33" t="s">
        <v>6862</v>
      </c>
      <c r="B2876" s="33" t="s">
        <v>2658</v>
      </c>
      <c r="C2876" s="39">
        <v>45773.0</v>
      </c>
      <c r="D2876" s="33" t="s">
        <v>435</v>
      </c>
      <c r="E2876" s="40">
        <v>251.16</v>
      </c>
      <c r="F2876" s="40">
        <v>0.0</v>
      </c>
      <c r="G2876" s="33" t="s">
        <v>431</v>
      </c>
    </row>
    <row r="2877" ht="15.75" customHeight="1">
      <c r="A2877" s="33" t="s">
        <v>6863</v>
      </c>
      <c r="B2877" s="33" t="s">
        <v>733</v>
      </c>
      <c r="C2877" s="39">
        <v>46199.0</v>
      </c>
      <c r="D2877" s="33" t="s">
        <v>428</v>
      </c>
      <c r="E2877" s="40">
        <v>32.51</v>
      </c>
      <c r="F2877" s="40">
        <v>0.0</v>
      </c>
      <c r="G2877" s="33" t="s">
        <v>450</v>
      </c>
    </row>
    <row r="2878" ht="15.75" customHeight="1">
      <c r="A2878" s="33" t="s">
        <v>6864</v>
      </c>
      <c r="B2878" s="33" t="s">
        <v>1462</v>
      </c>
      <c r="C2878" s="39">
        <v>45831.0</v>
      </c>
      <c r="D2878" s="33" t="s">
        <v>428</v>
      </c>
      <c r="E2878" s="40">
        <v>145.61</v>
      </c>
      <c r="F2878" s="40">
        <v>0.0</v>
      </c>
      <c r="G2878" s="33" t="s">
        <v>442</v>
      </c>
    </row>
    <row r="2879" ht="15.75" customHeight="1">
      <c r="A2879" s="33" t="s">
        <v>6865</v>
      </c>
      <c r="B2879" s="33" t="s">
        <v>3140</v>
      </c>
      <c r="C2879" s="39">
        <v>45960.0</v>
      </c>
      <c r="D2879" s="33" t="s">
        <v>479</v>
      </c>
      <c r="E2879" s="40">
        <v>83.46</v>
      </c>
      <c r="F2879" s="40">
        <v>0.45</v>
      </c>
      <c r="G2879" s="33" t="s">
        <v>431</v>
      </c>
    </row>
    <row r="2880" ht="15.75" customHeight="1">
      <c r="A2880" s="33" t="s">
        <v>6866</v>
      </c>
      <c r="B2880" s="33" t="s">
        <v>2741</v>
      </c>
      <c r="C2880" s="39">
        <v>45978.0</v>
      </c>
      <c r="D2880" s="33" t="s">
        <v>428</v>
      </c>
      <c r="E2880" s="40">
        <v>27.5</v>
      </c>
      <c r="F2880" s="40">
        <v>0.0</v>
      </c>
      <c r="G2880" s="33" t="s">
        <v>442</v>
      </c>
    </row>
    <row r="2881" ht="15.75" customHeight="1">
      <c r="A2881" s="33" t="s">
        <v>6867</v>
      </c>
      <c r="B2881" s="33" t="s">
        <v>1422</v>
      </c>
      <c r="C2881" s="39">
        <v>45734.0</v>
      </c>
      <c r="D2881" s="33" t="s">
        <v>428</v>
      </c>
      <c r="E2881" s="40">
        <v>29.81</v>
      </c>
      <c r="F2881" s="40">
        <v>0.0</v>
      </c>
      <c r="G2881" s="33" t="s">
        <v>431</v>
      </c>
    </row>
    <row r="2882" ht="15.75" customHeight="1">
      <c r="A2882" s="33" t="s">
        <v>6868</v>
      </c>
      <c r="B2882" s="33" t="s">
        <v>460</v>
      </c>
      <c r="C2882" s="39">
        <v>45769.0</v>
      </c>
      <c r="D2882" s="33" t="s">
        <v>479</v>
      </c>
      <c r="E2882" s="40">
        <v>33.65</v>
      </c>
      <c r="F2882" s="40">
        <v>0.42</v>
      </c>
      <c r="G2882" s="33" t="s">
        <v>431</v>
      </c>
    </row>
    <row r="2883" ht="15.75" customHeight="1">
      <c r="A2883" s="33" t="s">
        <v>6869</v>
      </c>
      <c r="B2883" s="33" t="s">
        <v>1227</v>
      </c>
      <c r="C2883" s="39">
        <v>45843.0</v>
      </c>
      <c r="D2883" s="33" t="s">
        <v>461</v>
      </c>
      <c r="E2883" s="40">
        <v>19.76</v>
      </c>
      <c r="F2883" s="40">
        <v>0.37</v>
      </c>
      <c r="G2883" s="33" t="s">
        <v>450</v>
      </c>
    </row>
    <row r="2884" ht="15.75" customHeight="1">
      <c r="A2884" s="33" t="s">
        <v>6870</v>
      </c>
      <c r="B2884" s="33" t="s">
        <v>700</v>
      </c>
      <c r="C2884" s="39">
        <v>45694.0</v>
      </c>
      <c r="D2884" s="33" t="s">
        <v>479</v>
      </c>
      <c r="E2884" s="40">
        <v>25.16</v>
      </c>
      <c r="F2884" s="40">
        <v>0.16</v>
      </c>
      <c r="G2884" s="33" t="s">
        <v>450</v>
      </c>
    </row>
    <row r="2885" ht="15.75" customHeight="1">
      <c r="A2885" s="33" t="s">
        <v>6871</v>
      </c>
      <c r="B2885" s="33" t="s">
        <v>887</v>
      </c>
      <c r="C2885" s="39">
        <v>46115.0</v>
      </c>
      <c r="D2885" s="33" t="s">
        <v>479</v>
      </c>
      <c r="E2885" s="40">
        <v>85.97</v>
      </c>
      <c r="F2885" s="40">
        <v>1.55</v>
      </c>
      <c r="G2885" s="33" t="s">
        <v>431</v>
      </c>
    </row>
    <row r="2886" ht="15.75" customHeight="1">
      <c r="A2886" s="33" t="s">
        <v>6872</v>
      </c>
      <c r="B2886" s="33" t="s">
        <v>848</v>
      </c>
      <c r="C2886" s="39">
        <v>45989.0</v>
      </c>
      <c r="D2886" s="33" t="s">
        <v>440</v>
      </c>
      <c r="E2886" s="40">
        <v>11.97</v>
      </c>
      <c r="F2886" s="40">
        <v>0.0</v>
      </c>
      <c r="G2886" s="33" t="s">
        <v>442</v>
      </c>
    </row>
    <row r="2887" ht="15.75" customHeight="1">
      <c r="A2887" s="33" t="s">
        <v>6873</v>
      </c>
      <c r="B2887" s="33" t="s">
        <v>949</v>
      </c>
      <c r="C2887" s="39">
        <v>46171.0</v>
      </c>
      <c r="D2887" s="33" t="s">
        <v>461</v>
      </c>
      <c r="E2887" s="40">
        <v>39.3</v>
      </c>
      <c r="F2887" s="40">
        <v>0.3</v>
      </c>
      <c r="G2887" s="33" t="s">
        <v>450</v>
      </c>
    </row>
    <row r="2888" ht="15.75" customHeight="1">
      <c r="A2888" s="33" t="s">
        <v>6874</v>
      </c>
      <c r="B2888" s="33" t="s">
        <v>981</v>
      </c>
      <c r="C2888" s="39">
        <v>46181.0</v>
      </c>
      <c r="D2888" s="33" t="s">
        <v>440</v>
      </c>
      <c r="E2888" s="40">
        <v>60.5</v>
      </c>
      <c r="F2888" s="40">
        <v>0.0</v>
      </c>
      <c r="G2888" s="33" t="s">
        <v>431</v>
      </c>
    </row>
    <row r="2889" ht="15.75" customHeight="1">
      <c r="A2889" s="33" t="s">
        <v>6875</v>
      </c>
      <c r="B2889" s="33" t="s">
        <v>1025</v>
      </c>
      <c r="C2889" s="39">
        <v>45869.0</v>
      </c>
      <c r="D2889" s="33" t="s">
        <v>435</v>
      </c>
      <c r="E2889" s="40">
        <v>39.51</v>
      </c>
      <c r="F2889" s="40">
        <v>0.0</v>
      </c>
      <c r="G2889" s="33" t="s">
        <v>450</v>
      </c>
    </row>
    <row r="2890" ht="15.75" customHeight="1">
      <c r="A2890" s="33" t="s">
        <v>6876</v>
      </c>
      <c r="B2890" s="33" t="s">
        <v>2239</v>
      </c>
      <c r="C2890" s="39">
        <v>46153.0</v>
      </c>
      <c r="D2890" s="33" t="s">
        <v>440</v>
      </c>
      <c r="E2890" s="40">
        <v>22.41</v>
      </c>
      <c r="F2890" s="40">
        <v>0.0</v>
      </c>
      <c r="G2890" s="33" t="s">
        <v>450</v>
      </c>
    </row>
    <row r="2891" ht="15.75" customHeight="1">
      <c r="A2891" s="33" t="s">
        <v>6877</v>
      </c>
      <c r="B2891" s="33" t="s">
        <v>548</v>
      </c>
      <c r="C2891" s="39">
        <v>45695.0</v>
      </c>
      <c r="D2891" s="33" t="s">
        <v>435</v>
      </c>
      <c r="E2891" s="40">
        <v>81.43</v>
      </c>
      <c r="F2891" s="40">
        <v>0.0</v>
      </c>
      <c r="G2891" s="33" t="s">
        <v>431</v>
      </c>
    </row>
    <row r="2892" ht="15.75" customHeight="1">
      <c r="A2892" s="33" t="s">
        <v>6878</v>
      </c>
      <c r="B2892" s="33" t="s">
        <v>955</v>
      </c>
      <c r="C2892" s="39">
        <v>45918.0</v>
      </c>
      <c r="D2892" s="33" t="s">
        <v>428</v>
      </c>
      <c r="E2892" s="40">
        <v>38.8</v>
      </c>
      <c r="F2892" s="40">
        <v>0.0</v>
      </c>
      <c r="G2892" s="33" t="s">
        <v>450</v>
      </c>
    </row>
    <row r="2893" ht="15.75" customHeight="1">
      <c r="A2893" s="33" t="s">
        <v>6879</v>
      </c>
      <c r="B2893" s="33" t="s">
        <v>689</v>
      </c>
      <c r="C2893" s="39">
        <v>46062.0</v>
      </c>
      <c r="D2893" s="33" t="s">
        <v>440</v>
      </c>
      <c r="E2893" s="40">
        <v>41.57</v>
      </c>
      <c r="F2893" s="40">
        <v>0.0</v>
      </c>
      <c r="G2893" s="33" t="s">
        <v>442</v>
      </c>
    </row>
    <row r="2894" ht="15.75" customHeight="1">
      <c r="A2894" s="33" t="s">
        <v>6880</v>
      </c>
      <c r="B2894" s="33" t="s">
        <v>1080</v>
      </c>
      <c r="C2894" s="39">
        <v>45941.0</v>
      </c>
      <c r="D2894" s="33" t="s">
        <v>461</v>
      </c>
      <c r="E2894" s="40">
        <v>72.09</v>
      </c>
      <c r="F2894" s="40">
        <v>0.54</v>
      </c>
      <c r="G2894" s="33" t="s">
        <v>450</v>
      </c>
    </row>
    <row r="2895" ht="15.75" customHeight="1">
      <c r="A2895" s="33" t="s">
        <v>6881</v>
      </c>
      <c r="B2895" s="33" t="s">
        <v>2129</v>
      </c>
      <c r="C2895" s="39">
        <v>46106.0</v>
      </c>
      <c r="D2895" s="33" t="s">
        <v>479</v>
      </c>
      <c r="E2895" s="40">
        <v>126.57</v>
      </c>
      <c r="F2895" s="40">
        <v>1.83</v>
      </c>
      <c r="G2895" s="33" t="s">
        <v>450</v>
      </c>
    </row>
    <row r="2896" ht="15.75" customHeight="1">
      <c r="A2896" s="33" t="s">
        <v>6882</v>
      </c>
      <c r="B2896" s="33" t="s">
        <v>291</v>
      </c>
      <c r="C2896" s="39">
        <v>46179.0</v>
      </c>
      <c r="D2896" s="33" t="s">
        <v>440</v>
      </c>
      <c r="E2896" s="40">
        <v>47.41</v>
      </c>
      <c r="F2896" s="40">
        <v>0.0</v>
      </c>
      <c r="G2896" s="33" t="s">
        <v>442</v>
      </c>
    </row>
    <row r="2897" ht="15.75" customHeight="1">
      <c r="A2897" s="33" t="s">
        <v>6883</v>
      </c>
      <c r="B2897" s="33" t="s">
        <v>527</v>
      </c>
      <c r="C2897" s="39">
        <v>45915.0</v>
      </c>
      <c r="D2897" s="33" t="s">
        <v>440</v>
      </c>
      <c r="E2897" s="40">
        <v>49.52</v>
      </c>
      <c r="F2897" s="40">
        <v>0.0</v>
      </c>
      <c r="G2897" s="33" t="s">
        <v>431</v>
      </c>
    </row>
    <row r="2898" ht="15.75" customHeight="1">
      <c r="A2898" s="33" t="s">
        <v>6884</v>
      </c>
      <c r="B2898" s="33" t="s">
        <v>293</v>
      </c>
      <c r="C2898" s="39">
        <v>45824.0</v>
      </c>
      <c r="D2898" s="33" t="s">
        <v>428</v>
      </c>
      <c r="E2898" s="40">
        <v>26.49</v>
      </c>
      <c r="F2898" s="40">
        <v>0.0</v>
      </c>
      <c r="G2898" s="33" t="s">
        <v>450</v>
      </c>
    </row>
    <row r="2899" ht="15.75" customHeight="1">
      <c r="A2899" s="33" t="s">
        <v>6885</v>
      </c>
      <c r="B2899" s="33" t="s">
        <v>1247</v>
      </c>
      <c r="C2899" s="39">
        <v>46011.0</v>
      </c>
      <c r="D2899" s="33" t="s">
        <v>479</v>
      </c>
      <c r="E2899" s="40">
        <v>151.23</v>
      </c>
      <c r="F2899" s="40">
        <v>2.32</v>
      </c>
      <c r="G2899" s="33" t="s">
        <v>450</v>
      </c>
    </row>
    <row r="2900" ht="15.75" customHeight="1">
      <c r="A2900" s="33" t="s">
        <v>6886</v>
      </c>
      <c r="B2900" s="33" t="s">
        <v>2375</v>
      </c>
      <c r="C2900" s="39">
        <v>46185.0</v>
      </c>
      <c r="D2900" s="33" t="s">
        <v>479</v>
      </c>
      <c r="E2900" s="40">
        <v>82.52</v>
      </c>
      <c r="F2900" s="40">
        <v>0.57</v>
      </c>
      <c r="G2900" s="33" t="s">
        <v>450</v>
      </c>
    </row>
    <row r="2901" ht="15.75" customHeight="1">
      <c r="A2901" s="33" t="s">
        <v>6887</v>
      </c>
      <c r="B2901" s="33" t="s">
        <v>3295</v>
      </c>
      <c r="C2901" s="39">
        <v>46257.0</v>
      </c>
      <c r="D2901" s="33" t="s">
        <v>461</v>
      </c>
      <c r="E2901" s="40">
        <v>144.63</v>
      </c>
      <c r="F2901" s="40">
        <v>1.72</v>
      </c>
      <c r="G2901" s="33" t="s">
        <v>442</v>
      </c>
    </row>
    <row r="2902" ht="15.75" customHeight="1">
      <c r="A2902" s="33" t="s">
        <v>6888</v>
      </c>
      <c r="B2902" s="33" t="s">
        <v>1528</v>
      </c>
      <c r="C2902" s="39">
        <v>46153.0</v>
      </c>
      <c r="D2902" s="33" t="s">
        <v>428</v>
      </c>
      <c r="E2902" s="40">
        <v>161.08</v>
      </c>
      <c r="F2902" s="40">
        <v>0.0</v>
      </c>
      <c r="G2902" s="33" t="s">
        <v>450</v>
      </c>
    </row>
    <row r="2903" ht="15.75" customHeight="1">
      <c r="A2903" s="33" t="s">
        <v>6889</v>
      </c>
      <c r="B2903" s="33" t="s">
        <v>1256</v>
      </c>
      <c r="C2903" s="39">
        <v>45806.0</v>
      </c>
      <c r="D2903" s="33" t="s">
        <v>461</v>
      </c>
      <c r="E2903" s="40">
        <v>46.86</v>
      </c>
      <c r="F2903" s="40">
        <v>0.82</v>
      </c>
      <c r="G2903" s="33" t="s">
        <v>431</v>
      </c>
    </row>
    <row r="2904" ht="15.75" customHeight="1">
      <c r="A2904" s="33" t="s">
        <v>6890</v>
      </c>
      <c r="B2904" s="33" t="s">
        <v>3344</v>
      </c>
      <c r="C2904" s="39">
        <v>45782.0</v>
      </c>
      <c r="D2904" s="33" t="s">
        <v>479</v>
      </c>
      <c r="E2904" s="40">
        <v>137.14</v>
      </c>
      <c r="F2904" s="40">
        <v>1.65</v>
      </c>
      <c r="G2904" s="33" t="s">
        <v>450</v>
      </c>
    </row>
    <row r="2905" ht="15.75" customHeight="1">
      <c r="A2905" s="33" t="s">
        <v>6891</v>
      </c>
      <c r="B2905" s="33" t="s">
        <v>1957</v>
      </c>
      <c r="C2905" s="39">
        <v>46005.0</v>
      </c>
      <c r="D2905" s="33" t="s">
        <v>428</v>
      </c>
      <c r="E2905" s="40">
        <v>88.79</v>
      </c>
      <c r="F2905" s="40">
        <v>0.0</v>
      </c>
      <c r="G2905" s="33" t="s">
        <v>431</v>
      </c>
    </row>
    <row r="2906" ht="15.75" customHeight="1">
      <c r="A2906" s="33" t="s">
        <v>6892</v>
      </c>
      <c r="B2906" s="33" t="s">
        <v>726</v>
      </c>
      <c r="C2906" s="39">
        <v>45902.0</v>
      </c>
      <c r="D2906" s="33" t="s">
        <v>428</v>
      </c>
      <c r="E2906" s="40">
        <v>50.49</v>
      </c>
      <c r="F2906" s="40">
        <v>0.0</v>
      </c>
      <c r="G2906" s="33" t="s">
        <v>442</v>
      </c>
    </row>
    <row r="2907" ht="15.75" customHeight="1">
      <c r="A2907" s="33" t="s">
        <v>6893</v>
      </c>
      <c r="B2907" s="33" t="s">
        <v>1735</v>
      </c>
      <c r="C2907" s="39">
        <v>46028.0</v>
      </c>
      <c r="D2907" s="33" t="s">
        <v>428</v>
      </c>
      <c r="E2907" s="40">
        <v>44.03</v>
      </c>
      <c r="F2907" s="40">
        <v>0.0</v>
      </c>
      <c r="G2907" s="33" t="s">
        <v>450</v>
      </c>
    </row>
    <row r="2908" ht="15.75" customHeight="1">
      <c r="A2908" s="33" t="s">
        <v>6894</v>
      </c>
      <c r="B2908" s="33" t="s">
        <v>2508</v>
      </c>
      <c r="C2908" s="39">
        <v>46218.0</v>
      </c>
      <c r="D2908" s="33" t="s">
        <v>435</v>
      </c>
      <c r="E2908" s="40">
        <v>80.78</v>
      </c>
      <c r="F2908" s="40">
        <v>0.0</v>
      </c>
      <c r="G2908" s="33" t="s">
        <v>450</v>
      </c>
    </row>
    <row r="2909" ht="15.75" customHeight="1">
      <c r="A2909" s="33" t="s">
        <v>6895</v>
      </c>
      <c r="B2909" s="33" t="s">
        <v>659</v>
      </c>
      <c r="C2909" s="39">
        <v>45991.0</v>
      </c>
      <c r="D2909" s="33" t="s">
        <v>428</v>
      </c>
      <c r="E2909" s="40">
        <v>95.81</v>
      </c>
      <c r="F2909" s="40">
        <v>0.0</v>
      </c>
      <c r="G2909" s="33" t="s">
        <v>450</v>
      </c>
    </row>
    <row r="2910" ht="15.75" customHeight="1">
      <c r="A2910" s="33" t="s">
        <v>6896</v>
      </c>
      <c r="B2910" s="33" t="s">
        <v>2154</v>
      </c>
      <c r="C2910" s="39">
        <v>45873.0</v>
      </c>
      <c r="D2910" s="33" t="s">
        <v>435</v>
      </c>
      <c r="E2910" s="40">
        <v>8.65</v>
      </c>
      <c r="F2910" s="40">
        <v>0.0</v>
      </c>
      <c r="G2910" s="33" t="s">
        <v>442</v>
      </c>
    </row>
    <row r="2911" ht="15.75" customHeight="1">
      <c r="A2911" s="33" t="s">
        <v>6897</v>
      </c>
      <c r="B2911" s="33" t="s">
        <v>1222</v>
      </c>
      <c r="C2911" s="39">
        <v>46185.0</v>
      </c>
      <c r="D2911" s="33" t="s">
        <v>461</v>
      </c>
      <c r="E2911" s="40">
        <v>56.69</v>
      </c>
      <c r="F2911" s="40">
        <v>1.03</v>
      </c>
      <c r="G2911" s="33" t="s">
        <v>431</v>
      </c>
    </row>
    <row r="2912" ht="15.75" customHeight="1">
      <c r="A2912" s="33" t="s">
        <v>6898</v>
      </c>
      <c r="B2912" s="33" t="s">
        <v>1285</v>
      </c>
      <c r="C2912" s="39">
        <v>45924.0</v>
      </c>
      <c r="D2912" s="33" t="s">
        <v>461</v>
      </c>
      <c r="E2912" s="40">
        <v>92.82</v>
      </c>
      <c r="F2912" s="40">
        <v>1.69</v>
      </c>
      <c r="G2912" s="33" t="s">
        <v>450</v>
      </c>
    </row>
    <row r="2913" ht="15.75" customHeight="1">
      <c r="A2913" s="33" t="s">
        <v>6899</v>
      </c>
      <c r="B2913" s="33" t="s">
        <v>2169</v>
      </c>
      <c r="C2913" s="39">
        <v>46025.0</v>
      </c>
      <c r="D2913" s="33" t="s">
        <v>440</v>
      </c>
      <c r="E2913" s="40">
        <v>109.45</v>
      </c>
      <c r="F2913" s="40">
        <v>0.0</v>
      </c>
      <c r="G2913" s="33" t="s">
        <v>450</v>
      </c>
    </row>
    <row r="2914" ht="15.75" customHeight="1">
      <c r="A2914" s="33" t="s">
        <v>6900</v>
      </c>
      <c r="B2914" s="33" t="s">
        <v>285</v>
      </c>
      <c r="C2914" s="39">
        <v>45740.0</v>
      </c>
      <c r="D2914" s="33" t="s">
        <v>435</v>
      </c>
      <c r="E2914" s="40">
        <v>71.66</v>
      </c>
      <c r="F2914" s="40">
        <v>0.0</v>
      </c>
      <c r="G2914" s="33" t="s">
        <v>442</v>
      </c>
    </row>
    <row r="2915" ht="15.75" customHeight="1">
      <c r="A2915" s="33" t="s">
        <v>6901</v>
      </c>
      <c r="B2915" s="33" t="s">
        <v>462</v>
      </c>
      <c r="C2915" s="39">
        <v>45966.0</v>
      </c>
      <c r="D2915" s="33" t="s">
        <v>428</v>
      </c>
      <c r="E2915" s="40">
        <v>107.07</v>
      </c>
      <c r="F2915" s="40">
        <v>0.0</v>
      </c>
      <c r="G2915" s="33" t="s">
        <v>431</v>
      </c>
    </row>
    <row r="2916" ht="15.75" customHeight="1">
      <c r="A2916" s="33" t="s">
        <v>6902</v>
      </c>
      <c r="B2916" s="33" t="s">
        <v>317</v>
      </c>
      <c r="C2916" s="39">
        <v>45916.0</v>
      </c>
      <c r="D2916" s="33" t="s">
        <v>428</v>
      </c>
      <c r="E2916" s="40">
        <v>44.09</v>
      </c>
      <c r="F2916" s="40">
        <v>0.0</v>
      </c>
      <c r="G2916" s="33" t="s">
        <v>450</v>
      </c>
    </row>
    <row r="2917" ht="15.75" customHeight="1">
      <c r="A2917" s="33" t="s">
        <v>6903</v>
      </c>
      <c r="B2917" s="33" t="s">
        <v>2177</v>
      </c>
      <c r="C2917" s="39">
        <v>45732.0</v>
      </c>
      <c r="D2917" s="33" t="s">
        <v>435</v>
      </c>
      <c r="E2917" s="40">
        <v>105.11</v>
      </c>
      <c r="F2917" s="40">
        <v>0.0</v>
      </c>
      <c r="G2917" s="33" t="s">
        <v>450</v>
      </c>
    </row>
    <row r="2918" ht="15.75" customHeight="1">
      <c r="A2918" s="33" t="s">
        <v>6904</v>
      </c>
      <c r="B2918" s="33" t="s">
        <v>1359</v>
      </c>
      <c r="C2918" s="39">
        <v>45786.0</v>
      </c>
      <c r="D2918" s="33" t="s">
        <v>461</v>
      </c>
      <c r="E2918" s="40">
        <v>94.97</v>
      </c>
      <c r="F2918" s="40">
        <v>1.18</v>
      </c>
      <c r="G2918" s="33" t="s">
        <v>442</v>
      </c>
    </row>
    <row r="2919" ht="15.75" customHeight="1">
      <c r="A2919" s="33" t="s">
        <v>6905</v>
      </c>
      <c r="B2919" s="33" t="s">
        <v>769</v>
      </c>
      <c r="C2919" s="39">
        <v>46084.0</v>
      </c>
      <c r="D2919" s="33" t="s">
        <v>435</v>
      </c>
      <c r="E2919" s="40">
        <v>159.31</v>
      </c>
      <c r="F2919" s="40">
        <v>0.0</v>
      </c>
      <c r="G2919" s="33" t="s">
        <v>450</v>
      </c>
    </row>
    <row r="2920" ht="15.75" customHeight="1">
      <c r="A2920" s="33" t="s">
        <v>6906</v>
      </c>
      <c r="B2920" s="33" t="s">
        <v>732</v>
      </c>
      <c r="C2920" s="39">
        <v>45767.0</v>
      </c>
      <c r="D2920" s="33" t="s">
        <v>479</v>
      </c>
      <c r="E2920" s="40">
        <v>215.05</v>
      </c>
      <c r="F2920" s="40">
        <v>1.47</v>
      </c>
      <c r="G2920" s="33" t="s">
        <v>431</v>
      </c>
    </row>
    <row r="2921" ht="15.75" customHeight="1">
      <c r="A2921" s="33" t="s">
        <v>6907</v>
      </c>
      <c r="B2921" s="33" t="s">
        <v>1135</v>
      </c>
      <c r="C2921" s="39">
        <v>45738.0</v>
      </c>
      <c r="D2921" s="33" t="s">
        <v>440</v>
      </c>
      <c r="E2921" s="40">
        <v>162.0</v>
      </c>
      <c r="F2921" s="40">
        <v>0.0</v>
      </c>
      <c r="G2921" s="33" t="s">
        <v>450</v>
      </c>
    </row>
    <row r="2922" ht="15.75" customHeight="1">
      <c r="A2922" s="33" t="s">
        <v>6908</v>
      </c>
      <c r="B2922" s="33" t="s">
        <v>1640</v>
      </c>
      <c r="C2922" s="39">
        <v>45692.0</v>
      </c>
      <c r="D2922" s="33" t="s">
        <v>461</v>
      </c>
      <c r="E2922" s="40">
        <v>64.9</v>
      </c>
      <c r="F2922" s="40">
        <v>0.81</v>
      </c>
      <c r="G2922" s="33" t="s">
        <v>450</v>
      </c>
    </row>
    <row r="2923" ht="15.75" customHeight="1">
      <c r="A2923" s="33" t="s">
        <v>6909</v>
      </c>
      <c r="B2923" s="33" t="s">
        <v>1045</v>
      </c>
      <c r="C2923" s="39">
        <v>45674.0</v>
      </c>
      <c r="D2923" s="33" t="s">
        <v>479</v>
      </c>
      <c r="E2923" s="40">
        <v>27.97</v>
      </c>
      <c r="F2923" s="40">
        <v>0.14</v>
      </c>
      <c r="G2923" s="33" t="s">
        <v>450</v>
      </c>
    </row>
    <row r="2924" ht="15.75" customHeight="1">
      <c r="A2924" s="33" t="s">
        <v>6910</v>
      </c>
      <c r="B2924" s="33" t="s">
        <v>620</v>
      </c>
      <c r="C2924" s="39">
        <v>45921.0</v>
      </c>
      <c r="D2924" s="33" t="s">
        <v>479</v>
      </c>
      <c r="E2924" s="40">
        <v>39.28</v>
      </c>
      <c r="F2924" s="40">
        <v>0.31</v>
      </c>
      <c r="G2924" s="33" t="s">
        <v>450</v>
      </c>
    </row>
    <row r="2925" ht="15.75" customHeight="1">
      <c r="A2925" s="33" t="s">
        <v>6911</v>
      </c>
      <c r="B2925" s="33" t="s">
        <v>1884</v>
      </c>
      <c r="C2925" s="39">
        <v>45954.0</v>
      </c>
      <c r="D2925" s="33" t="s">
        <v>461</v>
      </c>
      <c r="E2925" s="40">
        <v>211.14</v>
      </c>
      <c r="F2925" s="40">
        <v>1.54</v>
      </c>
      <c r="G2925" s="33" t="s">
        <v>450</v>
      </c>
    </row>
    <row r="2926" ht="15.75" customHeight="1">
      <c r="A2926" s="33" t="s">
        <v>6912</v>
      </c>
      <c r="B2926" s="33" t="s">
        <v>804</v>
      </c>
      <c r="C2926" s="39">
        <v>46036.0</v>
      </c>
      <c r="D2926" s="33" t="s">
        <v>479</v>
      </c>
      <c r="E2926" s="40">
        <v>83.99</v>
      </c>
      <c r="F2926" s="40">
        <v>0.5</v>
      </c>
      <c r="G2926" s="33" t="s">
        <v>450</v>
      </c>
    </row>
    <row r="2927" ht="15.75" customHeight="1">
      <c r="A2927" s="33" t="s">
        <v>6913</v>
      </c>
      <c r="B2927" s="33" t="s">
        <v>1998</v>
      </c>
      <c r="C2927" s="39">
        <v>46005.0</v>
      </c>
      <c r="D2927" s="33" t="s">
        <v>435</v>
      </c>
      <c r="E2927" s="40">
        <v>97.74</v>
      </c>
      <c r="F2927" s="40">
        <v>0.0</v>
      </c>
      <c r="G2927" s="33" t="s">
        <v>450</v>
      </c>
    </row>
    <row r="2928" ht="15.75" customHeight="1">
      <c r="A2928" s="33" t="s">
        <v>6914</v>
      </c>
      <c r="B2928" s="33" t="s">
        <v>3613</v>
      </c>
      <c r="C2928" s="39">
        <v>45983.0</v>
      </c>
      <c r="D2928" s="33" t="s">
        <v>479</v>
      </c>
      <c r="E2928" s="40">
        <v>144.51</v>
      </c>
      <c r="F2928" s="40">
        <v>2.82</v>
      </c>
      <c r="G2928" s="33" t="s">
        <v>450</v>
      </c>
    </row>
    <row r="2929" ht="15.75" customHeight="1">
      <c r="A2929" s="33" t="s">
        <v>6915</v>
      </c>
      <c r="B2929" s="33" t="s">
        <v>1620</v>
      </c>
      <c r="C2929" s="39">
        <v>46264.0</v>
      </c>
      <c r="D2929" s="33" t="s">
        <v>461</v>
      </c>
      <c r="E2929" s="40">
        <v>80.2</v>
      </c>
      <c r="F2929" s="40">
        <v>1.47</v>
      </c>
      <c r="G2929" s="33" t="s">
        <v>431</v>
      </c>
    </row>
    <row r="2930" ht="15.75" customHeight="1">
      <c r="A2930" s="33" t="s">
        <v>6916</v>
      </c>
      <c r="B2930" s="33" t="s">
        <v>793</v>
      </c>
      <c r="C2930" s="39">
        <v>45809.0</v>
      </c>
      <c r="D2930" s="33" t="s">
        <v>479</v>
      </c>
      <c r="E2930" s="40">
        <v>178.97</v>
      </c>
      <c r="F2930" s="40">
        <v>3.55</v>
      </c>
      <c r="G2930" s="33" t="s">
        <v>442</v>
      </c>
    </row>
    <row r="2931" ht="15.75" customHeight="1">
      <c r="A2931" s="33" t="s">
        <v>6917</v>
      </c>
      <c r="B2931" s="33" t="s">
        <v>447</v>
      </c>
      <c r="C2931" s="39">
        <v>46090.0</v>
      </c>
      <c r="D2931" s="33" t="s">
        <v>435</v>
      </c>
      <c r="E2931" s="40">
        <v>24.82</v>
      </c>
      <c r="F2931" s="40">
        <v>0.0</v>
      </c>
      <c r="G2931" s="33" t="s">
        <v>450</v>
      </c>
    </row>
    <row r="2932" ht="15.75" customHeight="1">
      <c r="A2932" s="33" t="s">
        <v>6918</v>
      </c>
      <c r="B2932" s="33" t="s">
        <v>2723</v>
      </c>
      <c r="C2932" s="39">
        <v>45706.0</v>
      </c>
      <c r="D2932" s="33" t="s">
        <v>435</v>
      </c>
      <c r="E2932" s="40">
        <v>113.16</v>
      </c>
      <c r="F2932" s="40">
        <v>0.0</v>
      </c>
      <c r="G2932" s="33" t="s">
        <v>442</v>
      </c>
    </row>
    <row r="2933" ht="15.75" customHeight="1">
      <c r="A2933" s="33" t="s">
        <v>6919</v>
      </c>
      <c r="B2933" s="33" t="s">
        <v>1318</v>
      </c>
      <c r="C2933" s="39">
        <v>46173.0</v>
      </c>
      <c r="D2933" s="33" t="s">
        <v>440</v>
      </c>
      <c r="E2933" s="40">
        <v>255.81</v>
      </c>
      <c r="F2933" s="40">
        <v>0.0</v>
      </c>
      <c r="G2933" s="33" t="s">
        <v>442</v>
      </c>
    </row>
    <row r="2934" ht="15.75" customHeight="1">
      <c r="A2934" s="33" t="s">
        <v>6920</v>
      </c>
      <c r="B2934" s="33" t="s">
        <v>2264</v>
      </c>
      <c r="C2934" s="39">
        <v>45878.0</v>
      </c>
      <c r="D2934" s="33" t="s">
        <v>461</v>
      </c>
      <c r="E2934" s="40">
        <v>188.82</v>
      </c>
      <c r="F2934" s="40">
        <v>1.67</v>
      </c>
      <c r="G2934" s="33" t="s">
        <v>450</v>
      </c>
    </row>
    <row r="2935" ht="15.75" customHeight="1">
      <c r="A2935" s="33" t="s">
        <v>6921</v>
      </c>
      <c r="B2935" s="33" t="s">
        <v>984</v>
      </c>
      <c r="C2935" s="39">
        <v>45868.0</v>
      </c>
      <c r="D2935" s="33" t="s">
        <v>440</v>
      </c>
      <c r="E2935" s="40">
        <v>196.34</v>
      </c>
      <c r="F2935" s="40">
        <v>0.0</v>
      </c>
      <c r="G2935" s="33" t="s">
        <v>450</v>
      </c>
    </row>
    <row r="2936" ht="15.75" customHeight="1">
      <c r="A2936" s="33" t="s">
        <v>6922</v>
      </c>
      <c r="B2936" s="33" t="s">
        <v>268</v>
      </c>
      <c r="C2936" s="39">
        <v>45740.0</v>
      </c>
      <c r="D2936" s="33" t="s">
        <v>428</v>
      </c>
      <c r="E2936" s="40">
        <v>22.45</v>
      </c>
      <c r="F2936" s="40">
        <v>0.0</v>
      </c>
      <c r="G2936" s="33" t="s">
        <v>442</v>
      </c>
    </row>
    <row r="2937" ht="15.75" customHeight="1">
      <c r="A2937" s="33" t="s">
        <v>6923</v>
      </c>
      <c r="B2937" s="33" t="s">
        <v>1651</v>
      </c>
      <c r="C2937" s="39">
        <v>45966.0</v>
      </c>
      <c r="D2937" s="33" t="s">
        <v>440</v>
      </c>
      <c r="E2937" s="40">
        <v>93.82</v>
      </c>
      <c r="F2937" s="40">
        <v>0.0</v>
      </c>
      <c r="G2937" s="33" t="s">
        <v>442</v>
      </c>
    </row>
    <row r="2938" ht="15.75" customHeight="1">
      <c r="A2938" s="33" t="s">
        <v>6924</v>
      </c>
      <c r="B2938" s="33" t="s">
        <v>258</v>
      </c>
      <c r="C2938" s="39">
        <v>45900.0</v>
      </c>
      <c r="D2938" s="33" t="s">
        <v>479</v>
      </c>
      <c r="E2938" s="40">
        <v>72.81</v>
      </c>
      <c r="F2938" s="40">
        <v>0.98</v>
      </c>
      <c r="G2938" s="33" t="s">
        <v>450</v>
      </c>
    </row>
    <row r="2939" ht="15.75" customHeight="1">
      <c r="A2939" s="33" t="s">
        <v>6925</v>
      </c>
      <c r="B2939" s="33" t="s">
        <v>267</v>
      </c>
      <c r="C2939" s="39">
        <v>46249.0</v>
      </c>
      <c r="D2939" s="33" t="s">
        <v>461</v>
      </c>
      <c r="E2939" s="40">
        <v>39.06</v>
      </c>
      <c r="F2939" s="40">
        <v>0.37</v>
      </c>
      <c r="G2939" s="33" t="s">
        <v>450</v>
      </c>
    </row>
    <row r="2940" ht="15.75" customHeight="1">
      <c r="A2940" s="33" t="s">
        <v>6926</v>
      </c>
      <c r="B2940" s="33" t="s">
        <v>1216</v>
      </c>
      <c r="C2940" s="39">
        <v>45766.0</v>
      </c>
      <c r="D2940" s="33" t="s">
        <v>461</v>
      </c>
      <c r="E2940" s="40">
        <v>94.93</v>
      </c>
      <c r="F2940" s="40">
        <v>0.88</v>
      </c>
      <c r="G2940" s="33" t="s">
        <v>442</v>
      </c>
    </row>
    <row r="2941" ht="15.75" customHeight="1">
      <c r="A2941" s="33" t="s">
        <v>6927</v>
      </c>
      <c r="B2941" s="33" t="s">
        <v>2110</v>
      </c>
      <c r="C2941" s="39">
        <v>45911.0</v>
      </c>
      <c r="D2941" s="33" t="s">
        <v>435</v>
      </c>
      <c r="E2941" s="40">
        <v>28.23</v>
      </c>
      <c r="F2941" s="40">
        <v>0.0</v>
      </c>
      <c r="G2941" s="33" t="s">
        <v>431</v>
      </c>
    </row>
    <row r="2942" ht="15.75" customHeight="1">
      <c r="A2942" s="33" t="s">
        <v>6928</v>
      </c>
      <c r="B2942" s="33" t="s">
        <v>1500</v>
      </c>
      <c r="C2942" s="39">
        <v>46204.0</v>
      </c>
      <c r="D2942" s="33" t="s">
        <v>435</v>
      </c>
      <c r="E2942" s="40">
        <v>106.89</v>
      </c>
      <c r="F2942" s="40">
        <v>0.0</v>
      </c>
      <c r="G2942" s="33" t="s">
        <v>450</v>
      </c>
    </row>
    <row r="2943" ht="15.75" customHeight="1">
      <c r="A2943" s="33" t="s">
        <v>6929</v>
      </c>
      <c r="B2943" s="33" t="s">
        <v>322</v>
      </c>
      <c r="C2943" s="39">
        <v>46148.0</v>
      </c>
      <c r="D2943" s="33" t="s">
        <v>435</v>
      </c>
      <c r="E2943" s="40">
        <v>36.53</v>
      </c>
      <c r="F2943" s="40">
        <v>0.0</v>
      </c>
      <c r="G2943" s="33" t="s">
        <v>450</v>
      </c>
    </row>
    <row r="2944" ht="15.75" customHeight="1">
      <c r="A2944" s="33" t="s">
        <v>6930</v>
      </c>
      <c r="B2944" s="33" t="s">
        <v>1758</v>
      </c>
      <c r="C2944" s="39">
        <v>46122.0</v>
      </c>
      <c r="D2944" s="33" t="s">
        <v>428</v>
      </c>
      <c r="E2944" s="40">
        <v>103.05</v>
      </c>
      <c r="F2944" s="40">
        <v>0.0</v>
      </c>
      <c r="G2944" s="33" t="s">
        <v>431</v>
      </c>
    </row>
    <row r="2945" ht="15.75" customHeight="1">
      <c r="A2945" s="33" t="s">
        <v>6931</v>
      </c>
      <c r="B2945" s="33" t="s">
        <v>300</v>
      </c>
      <c r="C2945" s="39">
        <v>45977.0</v>
      </c>
      <c r="D2945" s="33" t="s">
        <v>435</v>
      </c>
      <c r="E2945" s="40">
        <v>40.71</v>
      </c>
      <c r="F2945" s="40">
        <v>0.0</v>
      </c>
      <c r="G2945" s="33" t="s">
        <v>450</v>
      </c>
    </row>
    <row r="2946" ht="15.75" customHeight="1">
      <c r="A2946" s="33" t="s">
        <v>6932</v>
      </c>
      <c r="B2946" s="33" t="s">
        <v>1262</v>
      </c>
      <c r="C2946" s="39">
        <v>46188.0</v>
      </c>
      <c r="D2946" s="33" t="s">
        <v>435</v>
      </c>
      <c r="E2946" s="40">
        <v>61.98</v>
      </c>
      <c r="F2946" s="40">
        <v>0.0</v>
      </c>
      <c r="G2946" s="33" t="s">
        <v>450</v>
      </c>
    </row>
    <row r="2947" ht="15.75" customHeight="1">
      <c r="A2947" s="33" t="s">
        <v>6933</v>
      </c>
      <c r="B2947" s="33" t="s">
        <v>1881</v>
      </c>
      <c r="C2947" s="39">
        <v>45793.0</v>
      </c>
      <c r="D2947" s="33" t="s">
        <v>461</v>
      </c>
      <c r="E2947" s="40">
        <v>57.42</v>
      </c>
      <c r="F2947" s="40">
        <v>0.87</v>
      </c>
      <c r="G2947" s="33" t="s">
        <v>450</v>
      </c>
    </row>
    <row r="2948" ht="15.75" customHeight="1">
      <c r="A2948" s="33" t="s">
        <v>6934</v>
      </c>
      <c r="B2948" s="33" t="s">
        <v>2276</v>
      </c>
      <c r="C2948" s="39">
        <v>46149.0</v>
      </c>
      <c r="D2948" s="33" t="s">
        <v>461</v>
      </c>
      <c r="E2948" s="40">
        <v>71.67</v>
      </c>
      <c r="F2948" s="40">
        <v>0.85</v>
      </c>
      <c r="G2948" s="33" t="s">
        <v>442</v>
      </c>
    </row>
    <row r="2949" ht="15.75" customHeight="1">
      <c r="A2949" s="33" t="s">
        <v>6935</v>
      </c>
      <c r="B2949" s="33" t="s">
        <v>367</v>
      </c>
      <c r="C2949" s="39">
        <v>46010.0</v>
      </c>
      <c r="D2949" s="33" t="s">
        <v>428</v>
      </c>
      <c r="E2949" s="40">
        <v>77.36</v>
      </c>
      <c r="F2949" s="40">
        <v>0.0</v>
      </c>
      <c r="G2949" s="33" t="s">
        <v>450</v>
      </c>
    </row>
    <row r="2950" ht="15.75" customHeight="1">
      <c r="A2950" s="33" t="s">
        <v>6936</v>
      </c>
      <c r="B2950" s="33" t="s">
        <v>1054</v>
      </c>
      <c r="C2950" s="39">
        <v>45870.0</v>
      </c>
      <c r="D2950" s="33" t="s">
        <v>440</v>
      </c>
      <c r="E2950" s="40">
        <v>57.63</v>
      </c>
      <c r="F2950" s="40">
        <v>0.0</v>
      </c>
      <c r="G2950" s="33" t="s">
        <v>442</v>
      </c>
    </row>
    <row r="2951" ht="15.75" customHeight="1">
      <c r="A2951" s="33" t="s">
        <v>6937</v>
      </c>
      <c r="B2951" s="33" t="s">
        <v>1737</v>
      </c>
      <c r="C2951" s="39">
        <v>45790.0</v>
      </c>
      <c r="D2951" s="33" t="s">
        <v>461</v>
      </c>
      <c r="E2951" s="40">
        <v>33.15</v>
      </c>
      <c r="F2951" s="40">
        <v>0.64</v>
      </c>
      <c r="G2951" s="33" t="s">
        <v>450</v>
      </c>
    </row>
    <row r="2952" ht="15.75" customHeight="1">
      <c r="A2952" s="33" t="s">
        <v>6938</v>
      </c>
      <c r="B2952" s="33" t="s">
        <v>3014</v>
      </c>
      <c r="C2952" s="39">
        <v>45974.0</v>
      </c>
      <c r="D2952" s="33" t="s">
        <v>435</v>
      </c>
      <c r="E2952" s="40">
        <v>166.68</v>
      </c>
      <c r="F2952" s="40">
        <v>0.0</v>
      </c>
      <c r="G2952" s="33" t="s">
        <v>442</v>
      </c>
    </row>
    <row r="2953" ht="15.75" customHeight="1">
      <c r="A2953" s="33" t="s">
        <v>6939</v>
      </c>
      <c r="B2953" s="33" t="s">
        <v>2187</v>
      </c>
      <c r="C2953" s="39">
        <v>45659.0</v>
      </c>
      <c r="D2953" s="33" t="s">
        <v>479</v>
      </c>
      <c r="E2953" s="40">
        <v>79.89</v>
      </c>
      <c r="F2953" s="40">
        <v>1.47</v>
      </c>
      <c r="G2953" s="33" t="s">
        <v>450</v>
      </c>
    </row>
    <row r="2954" ht="15.75" customHeight="1">
      <c r="A2954" s="33" t="s">
        <v>6940</v>
      </c>
      <c r="B2954" s="33" t="s">
        <v>1095</v>
      </c>
      <c r="C2954" s="39">
        <v>46091.0</v>
      </c>
      <c r="D2954" s="33" t="s">
        <v>435</v>
      </c>
      <c r="E2954" s="40">
        <v>96.5</v>
      </c>
      <c r="F2954" s="40">
        <v>0.0</v>
      </c>
      <c r="G2954" s="33" t="s">
        <v>450</v>
      </c>
    </row>
    <row r="2955" ht="15.75" customHeight="1">
      <c r="A2955" s="33" t="s">
        <v>6941</v>
      </c>
      <c r="B2955" s="33" t="s">
        <v>2276</v>
      </c>
      <c r="C2955" s="39">
        <v>45801.0</v>
      </c>
      <c r="D2955" s="33" t="s">
        <v>428</v>
      </c>
      <c r="E2955" s="40">
        <v>57.65</v>
      </c>
      <c r="F2955" s="40">
        <v>0.0</v>
      </c>
      <c r="G2955" s="33" t="s">
        <v>450</v>
      </c>
    </row>
    <row r="2956" ht="15.75" customHeight="1">
      <c r="A2956" s="33" t="s">
        <v>6942</v>
      </c>
      <c r="B2956" s="33" t="s">
        <v>2314</v>
      </c>
      <c r="C2956" s="39">
        <v>45894.0</v>
      </c>
      <c r="D2956" s="33" t="s">
        <v>479</v>
      </c>
      <c r="E2956" s="40">
        <v>335.96</v>
      </c>
      <c r="F2956" s="40">
        <v>4.36</v>
      </c>
      <c r="G2956" s="33" t="s">
        <v>450</v>
      </c>
    </row>
    <row r="2957" ht="15.75" customHeight="1">
      <c r="A2957" s="33" t="s">
        <v>6943</v>
      </c>
      <c r="B2957" s="33" t="s">
        <v>2212</v>
      </c>
      <c r="C2957" s="39">
        <v>45775.0</v>
      </c>
      <c r="D2957" s="33" t="s">
        <v>440</v>
      </c>
      <c r="E2957" s="40">
        <v>85.18</v>
      </c>
      <c r="F2957" s="40">
        <v>0.0</v>
      </c>
      <c r="G2957" s="33" t="s">
        <v>442</v>
      </c>
    </row>
    <row r="2958" ht="15.75" customHeight="1">
      <c r="A2958" s="33" t="s">
        <v>6944</v>
      </c>
      <c r="B2958" s="33" t="s">
        <v>828</v>
      </c>
      <c r="C2958" s="39">
        <v>45940.0</v>
      </c>
      <c r="D2958" s="33" t="s">
        <v>428</v>
      </c>
      <c r="E2958" s="40">
        <v>172.53</v>
      </c>
      <c r="F2958" s="40">
        <v>0.0</v>
      </c>
      <c r="G2958" s="33" t="s">
        <v>450</v>
      </c>
    </row>
    <row r="2959" ht="15.75" customHeight="1">
      <c r="A2959" s="33" t="s">
        <v>6945</v>
      </c>
      <c r="B2959" s="33" t="s">
        <v>245</v>
      </c>
      <c r="C2959" s="39">
        <v>45883.0</v>
      </c>
      <c r="D2959" s="33" t="s">
        <v>435</v>
      </c>
      <c r="E2959" s="40">
        <v>62.78</v>
      </c>
      <c r="F2959" s="40">
        <v>0.0</v>
      </c>
      <c r="G2959" s="33" t="s">
        <v>450</v>
      </c>
    </row>
    <row r="2960" ht="15.75" customHeight="1">
      <c r="A2960" s="33" t="s">
        <v>6946</v>
      </c>
      <c r="B2960" s="33" t="s">
        <v>905</v>
      </c>
      <c r="C2960" s="39">
        <v>45771.0</v>
      </c>
      <c r="D2960" s="33" t="s">
        <v>461</v>
      </c>
      <c r="E2960" s="40">
        <v>116.43</v>
      </c>
      <c r="F2960" s="40">
        <v>0.64</v>
      </c>
      <c r="G2960" s="33" t="s">
        <v>431</v>
      </c>
    </row>
    <row r="2961" ht="15.75" customHeight="1">
      <c r="A2961" s="33" t="s">
        <v>6947</v>
      </c>
      <c r="B2961" s="33" t="s">
        <v>469</v>
      </c>
      <c r="C2961" s="39">
        <v>46197.0</v>
      </c>
      <c r="D2961" s="33" t="s">
        <v>479</v>
      </c>
      <c r="E2961" s="40">
        <v>69.42</v>
      </c>
      <c r="F2961" s="40">
        <v>1.12</v>
      </c>
      <c r="G2961" s="33" t="s">
        <v>442</v>
      </c>
    </row>
    <row r="2962" ht="15.75" customHeight="1">
      <c r="A2962" s="33" t="s">
        <v>6948</v>
      </c>
      <c r="B2962" s="33" t="s">
        <v>3179</v>
      </c>
      <c r="C2962" s="39">
        <v>46118.0</v>
      </c>
      <c r="D2962" s="33" t="s">
        <v>461</v>
      </c>
      <c r="E2962" s="40">
        <v>153.93</v>
      </c>
      <c r="F2962" s="40">
        <v>1.06</v>
      </c>
      <c r="G2962" s="33" t="s">
        <v>450</v>
      </c>
    </row>
    <row r="2963" ht="15.75" customHeight="1">
      <c r="A2963" s="33" t="s">
        <v>6949</v>
      </c>
      <c r="B2963" s="33" t="s">
        <v>1280</v>
      </c>
      <c r="C2963" s="39">
        <v>45893.0</v>
      </c>
      <c r="D2963" s="33" t="s">
        <v>440</v>
      </c>
      <c r="E2963" s="40">
        <v>52.81</v>
      </c>
      <c r="F2963" s="40">
        <v>0.0</v>
      </c>
      <c r="G2963" s="33" t="s">
        <v>450</v>
      </c>
    </row>
    <row r="2964" ht="15.75" customHeight="1">
      <c r="A2964" s="33" t="s">
        <v>6950</v>
      </c>
      <c r="B2964" s="33" t="s">
        <v>540</v>
      </c>
      <c r="C2964" s="39">
        <v>45692.0</v>
      </c>
      <c r="D2964" s="33" t="s">
        <v>428</v>
      </c>
      <c r="E2964" s="40">
        <v>29.68</v>
      </c>
      <c r="F2964" s="40">
        <v>0.0</v>
      </c>
      <c r="G2964" s="33" t="s">
        <v>450</v>
      </c>
    </row>
    <row r="2965" ht="15.75" customHeight="1">
      <c r="A2965" s="33" t="s">
        <v>6951</v>
      </c>
      <c r="B2965" s="33" t="s">
        <v>2729</v>
      </c>
      <c r="C2965" s="39">
        <v>46171.0</v>
      </c>
      <c r="D2965" s="33" t="s">
        <v>479</v>
      </c>
      <c r="E2965" s="40">
        <v>96.27</v>
      </c>
      <c r="F2965" s="40">
        <v>0.58</v>
      </c>
      <c r="G2965" s="33" t="s">
        <v>442</v>
      </c>
    </row>
    <row r="2966" ht="15.75" customHeight="1">
      <c r="A2966" s="33" t="s">
        <v>6952</v>
      </c>
      <c r="B2966" s="33" t="s">
        <v>1911</v>
      </c>
      <c r="C2966" s="39">
        <v>46081.0</v>
      </c>
      <c r="D2966" s="33" t="s">
        <v>479</v>
      </c>
      <c r="E2966" s="40">
        <v>161.08</v>
      </c>
      <c r="F2966" s="40">
        <v>2.09</v>
      </c>
      <c r="G2966" s="33" t="s">
        <v>450</v>
      </c>
    </row>
    <row r="2967" ht="15.75" customHeight="1">
      <c r="A2967" s="33" t="s">
        <v>6953</v>
      </c>
      <c r="B2967" s="33" t="s">
        <v>2123</v>
      </c>
      <c r="C2967" s="39">
        <v>45995.0</v>
      </c>
      <c r="D2967" s="33" t="s">
        <v>479</v>
      </c>
      <c r="E2967" s="40">
        <v>71.05</v>
      </c>
      <c r="F2967" s="40">
        <v>1.29</v>
      </c>
      <c r="G2967" s="33" t="s">
        <v>431</v>
      </c>
    </row>
    <row r="2968" ht="15.75" customHeight="1">
      <c r="A2968" s="33" t="s">
        <v>6954</v>
      </c>
      <c r="B2968" s="33" t="s">
        <v>812</v>
      </c>
      <c r="C2968" s="39">
        <v>46025.0</v>
      </c>
      <c r="D2968" s="33" t="s">
        <v>440</v>
      </c>
      <c r="E2968" s="40">
        <v>51.66</v>
      </c>
      <c r="F2968" s="40">
        <v>0.0</v>
      </c>
      <c r="G2968" s="33" t="s">
        <v>431</v>
      </c>
    </row>
    <row r="2969" ht="15.75" customHeight="1">
      <c r="A2969" s="33" t="s">
        <v>6955</v>
      </c>
      <c r="B2969" s="33" t="s">
        <v>3452</v>
      </c>
      <c r="C2969" s="39">
        <v>45662.0</v>
      </c>
      <c r="D2969" s="33" t="s">
        <v>440</v>
      </c>
      <c r="E2969" s="40">
        <v>24.82</v>
      </c>
      <c r="F2969" s="40">
        <v>0.0</v>
      </c>
      <c r="G2969" s="33" t="s">
        <v>450</v>
      </c>
    </row>
    <row r="2970" ht="15.75" customHeight="1">
      <c r="A2970" s="33" t="s">
        <v>6956</v>
      </c>
      <c r="B2970" s="33" t="s">
        <v>3088</v>
      </c>
      <c r="C2970" s="39">
        <v>45945.0</v>
      </c>
      <c r="D2970" s="33" t="s">
        <v>435</v>
      </c>
      <c r="E2970" s="40">
        <v>162.63</v>
      </c>
      <c r="F2970" s="40">
        <v>0.0</v>
      </c>
      <c r="G2970" s="33" t="s">
        <v>450</v>
      </c>
    </row>
    <row r="2971" ht="15.75" customHeight="1">
      <c r="A2971" s="33" t="s">
        <v>6957</v>
      </c>
      <c r="B2971" s="33" t="s">
        <v>749</v>
      </c>
      <c r="C2971" s="39">
        <v>45772.0</v>
      </c>
      <c r="D2971" s="33" t="s">
        <v>479</v>
      </c>
      <c r="E2971" s="40">
        <v>37.87</v>
      </c>
      <c r="F2971" s="40">
        <v>0.45</v>
      </c>
      <c r="G2971" s="33" t="s">
        <v>450</v>
      </c>
    </row>
    <row r="2972" ht="15.75" customHeight="1">
      <c r="A2972" s="33" t="s">
        <v>6958</v>
      </c>
      <c r="B2972" s="33" t="s">
        <v>2669</v>
      </c>
      <c r="C2972" s="39">
        <v>46053.0</v>
      </c>
      <c r="D2972" s="33" t="s">
        <v>479</v>
      </c>
      <c r="E2972" s="40">
        <v>57.02</v>
      </c>
      <c r="F2972" s="40">
        <v>0.41</v>
      </c>
      <c r="G2972" s="33" t="s">
        <v>450</v>
      </c>
    </row>
    <row r="2973" ht="15.75" customHeight="1">
      <c r="A2973" s="33" t="s">
        <v>6959</v>
      </c>
      <c r="B2973" s="33" t="s">
        <v>290</v>
      </c>
      <c r="C2973" s="39">
        <v>46223.0</v>
      </c>
      <c r="D2973" s="33" t="s">
        <v>440</v>
      </c>
      <c r="E2973" s="40">
        <v>56.0</v>
      </c>
      <c r="F2973" s="40">
        <v>0.0</v>
      </c>
      <c r="G2973" s="33" t="s">
        <v>442</v>
      </c>
    </row>
    <row r="2974" ht="15.75" customHeight="1">
      <c r="A2974" s="33" t="s">
        <v>6960</v>
      </c>
      <c r="B2974" s="33" t="s">
        <v>1482</v>
      </c>
      <c r="C2974" s="39">
        <v>45980.0</v>
      </c>
      <c r="D2974" s="33" t="s">
        <v>428</v>
      </c>
      <c r="E2974" s="40">
        <v>75.48</v>
      </c>
      <c r="F2974" s="40">
        <v>0.0</v>
      </c>
      <c r="G2974" s="33" t="s">
        <v>450</v>
      </c>
    </row>
    <row r="2975" ht="15.75" customHeight="1">
      <c r="A2975" s="33" t="s">
        <v>6961</v>
      </c>
      <c r="B2975" s="33" t="s">
        <v>3295</v>
      </c>
      <c r="C2975" s="39">
        <v>46024.0</v>
      </c>
      <c r="D2975" s="33" t="s">
        <v>435</v>
      </c>
      <c r="E2975" s="40">
        <v>115.74</v>
      </c>
      <c r="F2975" s="40">
        <v>0.0</v>
      </c>
      <c r="G2975" s="33" t="s">
        <v>450</v>
      </c>
    </row>
    <row r="2976" ht="15.75" customHeight="1">
      <c r="A2976" s="33" t="s">
        <v>6962</v>
      </c>
      <c r="B2976" s="33" t="s">
        <v>1340</v>
      </c>
      <c r="C2976" s="39">
        <v>46063.0</v>
      </c>
      <c r="D2976" s="33" t="s">
        <v>428</v>
      </c>
      <c r="E2976" s="40">
        <v>273.24</v>
      </c>
      <c r="F2976" s="40">
        <v>0.0</v>
      </c>
      <c r="G2976" s="33" t="s">
        <v>450</v>
      </c>
    </row>
    <row r="2977" ht="15.75" customHeight="1">
      <c r="A2977" s="33" t="s">
        <v>6963</v>
      </c>
      <c r="B2977" s="33" t="s">
        <v>2732</v>
      </c>
      <c r="C2977" s="39">
        <v>46222.0</v>
      </c>
      <c r="D2977" s="33" t="s">
        <v>428</v>
      </c>
      <c r="E2977" s="40">
        <v>99.32</v>
      </c>
      <c r="F2977" s="40">
        <v>0.0</v>
      </c>
      <c r="G2977" s="33" t="s">
        <v>450</v>
      </c>
    </row>
    <row r="2978" ht="15.75" customHeight="1">
      <c r="A2978" s="33" t="s">
        <v>6964</v>
      </c>
      <c r="B2978" s="33" t="s">
        <v>285</v>
      </c>
      <c r="C2978" s="39">
        <v>45681.0</v>
      </c>
      <c r="D2978" s="33" t="s">
        <v>435</v>
      </c>
      <c r="E2978" s="40">
        <v>24.96</v>
      </c>
      <c r="F2978" s="40">
        <v>0.0</v>
      </c>
      <c r="G2978" s="33" t="s">
        <v>450</v>
      </c>
    </row>
    <row r="2979" ht="15.75" customHeight="1">
      <c r="A2979" s="33" t="s">
        <v>6965</v>
      </c>
      <c r="B2979" s="33" t="s">
        <v>876</v>
      </c>
      <c r="C2979" s="39">
        <v>45846.0</v>
      </c>
      <c r="D2979" s="33" t="s">
        <v>461</v>
      </c>
      <c r="E2979" s="40">
        <v>72.6</v>
      </c>
      <c r="F2979" s="40">
        <v>1.34</v>
      </c>
      <c r="G2979" s="33" t="s">
        <v>450</v>
      </c>
    </row>
    <row r="2980" ht="15.75" customHeight="1">
      <c r="A2980" s="33" t="s">
        <v>6966</v>
      </c>
      <c r="B2980" s="33" t="s">
        <v>1216</v>
      </c>
      <c r="C2980" s="39">
        <v>45820.0</v>
      </c>
      <c r="D2980" s="33" t="s">
        <v>440</v>
      </c>
      <c r="E2980" s="40">
        <v>100.42</v>
      </c>
      <c r="F2980" s="40">
        <v>0.0</v>
      </c>
      <c r="G2980" s="33" t="s">
        <v>450</v>
      </c>
    </row>
    <row r="2981" ht="15.75" customHeight="1">
      <c r="A2981" s="33" t="s">
        <v>6967</v>
      </c>
      <c r="B2981" s="33" t="s">
        <v>3059</v>
      </c>
      <c r="C2981" s="39">
        <v>46092.0</v>
      </c>
      <c r="D2981" s="33" t="s">
        <v>435</v>
      </c>
      <c r="E2981" s="40">
        <v>180.92</v>
      </c>
      <c r="F2981" s="40">
        <v>0.0</v>
      </c>
      <c r="G2981" s="33" t="s">
        <v>450</v>
      </c>
    </row>
    <row r="2982" ht="15.75" customHeight="1">
      <c r="A2982" s="33" t="s">
        <v>6968</v>
      </c>
      <c r="B2982" s="33" t="s">
        <v>848</v>
      </c>
      <c r="C2982" s="39">
        <v>45929.0</v>
      </c>
      <c r="D2982" s="33" t="s">
        <v>428</v>
      </c>
      <c r="E2982" s="40">
        <v>166.93</v>
      </c>
      <c r="F2982" s="40">
        <v>0.0</v>
      </c>
      <c r="G2982" s="33" t="s">
        <v>450</v>
      </c>
    </row>
    <row r="2983" ht="15.75" customHeight="1">
      <c r="A2983" s="33" t="s">
        <v>6969</v>
      </c>
      <c r="B2983" s="33" t="s">
        <v>264</v>
      </c>
      <c r="C2983" s="39">
        <v>46126.0</v>
      </c>
      <c r="D2983" s="33" t="s">
        <v>435</v>
      </c>
      <c r="E2983" s="40">
        <v>70.44</v>
      </c>
      <c r="F2983" s="40">
        <v>0.0</v>
      </c>
      <c r="G2983" s="33" t="s">
        <v>431</v>
      </c>
    </row>
    <row r="2984" ht="15.75" customHeight="1">
      <c r="A2984" s="33" t="s">
        <v>6970</v>
      </c>
      <c r="B2984" s="33" t="s">
        <v>1331</v>
      </c>
      <c r="C2984" s="39">
        <v>45944.0</v>
      </c>
      <c r="D2984" s="33" t="s">
        <v>440</v>
      </c>
      <c r="E2984" s="40">
        <v>83.46</v>
      </c>
      <c r="F2984" s="40">
        <v>0.0</v>
      </c>
      <c r="G2984" s="33" t="s">
        <v>450</v>
      </c>
    </row>
    <row r="2985" ht="15.75" customHeight="1">
      <c r="A2985" s="33" t="s">
        <v>6971</v>
      </c>
      <c r="B2985" s="33" t="s">
        <v>1825</v>
      </c>
      <c r="C2985" s="39">
        <v>46250.0</v>
      </c>
      <c r="D2985" s="33" t="s">
        <v>435</v>
      </c>
      <c r="E2985" s="40">
        <v>92.5</v>
      </c>
      <c r="F2985" s="40">
        <v>0.0</v>
      </c>
      <c r="G2985" s="33" t="s">
        <v>450</v>
      </c>
    </row>
    <row r="2986" ht="15.75" customHeight="1">
      <c r="A2986" s="33" t="s">
        <v>6972</v>
      </c>
      <c r="B2986" s="33" t="s">
        <v>2610</v>
      </c>
      <c r="C2986" s="39">
        <v>46123.0</v>
      </c>
      <c r="D2986" s="33" t="s">
        <v>435</v>
      </c>
      <c r="E2986" s="40">
        <v>83.71</v>
      </c>
      <c r="F2986" s="40">
        <v>0.0</v>
      </c>
      <c r="G2986" s="33" t="s">
        <v>450</v>
      </c>
    </row>
    <row r="2987" ht="15.75" customHeight="1">
      <c r="A2987" s="33" t="s">
        <v>6973</v>
      </c>
      <c r="B2987" s="33" t="s">
        <v>1062</v>
      </c>
      <c r="C2987" s="39">
        <v>45669.0</v>
      </c>
      <c r="D2987" s="33" t="s">
        <v>435</v>
      </c>
      <c r="E2987" s="40">
        <v>72.5</v>
      </c>
      <c r="F2987" s="40">
        <v>0.0</v>
      </c>
      <c r="G2987" s="33" t="s">
        <v>450</v>
      </c>
    </row>
    <row r="2988" ht="15.75" customHeight="1">
      <c r="A2988" s="33" t="s">
        <v>6974</v>
      </c>
      <c r="B2988" s="33" t="s">
        <v>1251</v>
      </c>
      <c r="C2988" s="39">
        <v>46257.0</v>
      </c>
      <c r="D2988" s="33" t="s">
        <v>428</v>
      </c>
      <c r="E2988" s="40">
        <v>218.98</v>
      </c>
      <c r="F2988" s="40">
        <v>0.0</v>
      </c>
      <c r="G2988" s="33" t="s">
        <v>442</v>
      </c>
    </row>
    <row r="2989" ht="15.75" customHeight="1">
      <c r="A2989" s="33" t="s">
        <v>6975</v>
      </c>
      <c r="B2989" s="33" t="s">
        <v>356</v>
      </c>
      <c r="C2989" s="39">
        <v>46236.0</v>
      </c>
      <c r="D2989" s="33" t="s">
        <v>435</v>
      </c>
      <c r="E2989" s="40">
        <v>44.53</v>
      </c>
      <c r="F2989" s="40">
        <v>0.0</v>
      </c>
      <c r="G2989" s="33" t="s">
        <v>450</v>
      </c>
    </row>
    <row r="2990" ht="15.75" customHeight="1">
      <c r="A2990" s="33" t="s">
        <v>6976</v>
      </c>
      <c r="B2990" s="33" t="s">
        <v>2221</v>
      </c>
      <c r="C2990" s="39">
        <v>45684.0</v>
      </c>
      <c r="D2990" s="33" t="s">
        <v>461</v>
      </c>
      <c r="E2990" s="40">
        <v>147.44</v>
      </c>
      <c r="F2990" s="40">
        <v>2.05</v>
      </c>
      <c r="G2990" s="33" t="s">
        <v>442</v>
      </c>
    </row>
    <row r="2991" ht="15.75" customHeight="1">
      <c r="A2991" s="33" t="s">
        <v>6977</v>
      </c>
      <c r="B2991" s="33" t="s">
        <v>919</v>
      </c>
      <c r="C2991" s="39">
        <v>45895.0</v>
      </c>
      <c r="D2991" s="33" t="s">
        <v>435</v>
      </c>
      <c r="E2991" s="40">
        <v>129.16</v>
      </c>
      <c r="F2991" s="40">
        <v>0.0</v>
      </c>
      <c r="G2991" s="33" t="s">
        <v>450</v>
      </c>
    </row>
    <row r="2992" ht="15.75" customHeight="1">
      <c r="A2992" s="33" t="s">
        <v>6978</v>
      </c>
      <c r="B2992" s="33" t="s">
        <v>1758</v>
      </c>
      <c r="C2992" s="39">
        <v>46247.0</v>
      </c>
      <c r="D2992" s="33" t="s">
        <v>428</v>
      </c>
      <c r="E2992" s="40">
        <v>70.4</v>
      </c>
      <c r="F2992" s="40">
        <v>0.0</v>
      </c>
      <c r="G2992" s="33" t="s">
        <v>450</v>
      </c>
    </row>
    <row r="2993" ht="15.75" customHeight="1">
      <c r="A2993" s="33" t="s">
        <v>6979</v>
      </c>
      <c r="B2993" s="33" t="s">
        <v>2239</v>
      </c>
      <c r="C2993" s="39">
        <v>46166.0</v>
      </c>
      <c r="D2993" s="33" t="s">
        <v>428</v>
      </c>
      <c r="E2993" s="40">
        <v>42.14</v>
      </c>
      <c r="F2993" s="40">
        <v>0.0</v>
      </c>
      <c r="G2993" s="33" t="s">
        <v>442</v>
      </c>
    </row>
    <row r="2994" ht="15.75" customHeight="1">
      <c r="A2994" s="33" t="s">
        <v>6980</v>
      </c>
      <c r="B2994" s="33" t="s">
        <v>240</v>
      </c>
      <c r="C2994" s="39">
        <v>45942.0</v>
      </c>
      <c r="D2994" s="33" t="s">
        <v>461</v>
      </c>
      <c r="E2994" s="40">
        <v>79.66</v>
      </c>
      <c r="F2994" s="40">
        <v>0.43</v>
      </c>
      <c r="G2994" s="33" t="s">
        <v>442</v>
      </c>
    </row>
    <row r="2995" ht="15.75" customHeight="1">
      <c r="A2995" s="33" t="s">
        <v>6981</v>
      </c>
      <c r="B2995" s="33" t="s">
        <v>1402</v>
      </c>
      <c r="C2995" s="39">
        <v>45988.0</v>
      </c>
      <c r="D2995" s="33" t="s">
        <v>428</v>
      </c>
      <c r="E2995" s="40">
        <v>119.26</v>
      </c>
      <c r="F2995" s="40">
        <v>0.0</v>
      </c>
      <c r="G2995" s="33" t="s">
        <v>442</v>
      </c>
    </row>
    <row r="2996" ht="15.75" customHeight="1">
      <c r="A2996" s="33" t="s">
        <v>6982</v>
      </c>
      <c r="B2996" s="33" t="s">
        <v>558</v>
      </c>
      <c r="C2996" s="39">
        <v>45675.0</v>
      </c>
      <c r="D2996" s="33" t="s">
        <v>440</v>
      </c>
      <c r="E2996" s="40">
        <v>2.99</v>
      </c>
      <c r="F2996" s="40">
        <v>0.0</v>
      </c>
      <c r="G2996" s="33" t="s">
        <v>450</v>
      </c>
    </row>
    <row r="2997" ht="15.75" customHeight="1">
      <c r="A2997" s="33" t="s">
        <v>6983</v>
      </c>
      <c r="B2997" s="33" t="s">
        <v>1399</v>
      </c>
      <c r="C2997" s="39">
        <v>46000.0</v>
      </c>
      <c r="D2997" s="33" t="s">
        <v>461</v>
      </c>
      <c r="E2997" s="40">
        <v>28.04</v>
      </c>
      <c r="F2997" s="40">
        <v>0.55</v>
      </c>
      <c r="G2997" s="33" t="s">
        <v>431</v>
      </c>
    </row>
    <row r="2998" ht="15.75" customHeight="1">
      <c r="A2998" s="33" t="s">
        <v>6984</v>
      </c>
      <c r="B2998" s="33" t="s">
        <v>3088</v>
      </c>
      <c r="C2998" s="39">
        <v>46062.0</v>
      </c>
      <c r="D2998" s="33" t="s">
        <v>440</v>
      </c>
      <c r="E2998" s="40">
        <v>6.23</v>
      </c>
      <c r="F2998" s="40">
        <v>0.0</v>
      </c>
      <c r="G2998" s="33" t="s">
        <v>431</v>
      </c>
    </row>
    <row r="2999" ht="15.75" customHeight="1">
      <c r="A2999" s="33" t="s">
        <v>6985</v>
      </c>
      <c r="B2999" s="33" t="s">
        <v>959</v>
      </c>
      <c r="C2999" s="39">
        <v>45876.0</v>
      </c>
      <c r="D2999" s="33" t="s">
        <v>461</v>
      </c>
      <c r="E2999" s="40">
        <v>97.25</v>
      </c>
      <c r="F2999" s="40">
        <v>0.66</v>
      </c>
      <c r="G2999" s="33" t="s">
        <v>450</v>
      </c>
    </row>
    <row r="3000" ht="15.75" customHeight="1">
      <c r="A3000" s="33" t="s">
        <v>6986</v>
      </c>
      <c r="B3000" s="33" t="s">
        <v>1108</v>
      </c>
      <c r="C3000" s="39">
        <v>45844.0</v>
      </c>
      <c r="D3000" s="33" t="s">
        <v>428</v>
      </c>
      <c r="E3000" s="40">
        <v>94.05</v>
      </c>
      <c r="F3000" s="40">
        <v>0.0</v>
      </c>
      <c r="G3000" s="33" t="s">
        <v>442</v>
      </c>
    </row>
    <row r="3001" ht="15.75" customHeight="1">
      <c r="A3001" s="33" t="s">
        <v>6987</v>
      </c>
      <c r="B3001" s="33" t="s">
        <v>864</v>
      </c>
      <c r="C3001" s="39">
        <v>46160.0</v>
      </c>
      <c r="D3001" s="33" t="s">
        <v>461</v>
      </c>
      <c r="E3001" s="40">
        <v>31.09</v>
      </c>
      <c r="F3001" s="40">
        <v>0.55</v>
      </c>
      <c r="G3001" s="33" t="s">
        <v>450</v>
      </c>
    </row>
    <row r="3002" ht="15.75" customHeight="1">
      <c r="A3002" s="33" t="s">
        <v>6988</v>
      </c>
      <c r="B3002" s="33" t="s">
        <v>540</v>
      </c>
      <c r="C3002" s="39">
        <v>45930.0</v>
      </c>
      <c r="D3002" s="33" t="s">
        <v>440</v>
      </c>
      <c r="E3002" s="40">
        <v>39.37</v>
      </c>
      <c r="F3002" s="40">
        <v>0.0</v>
      </c>
      <c r="G3002" s="33" t="s">
        <v>450</v>
      </c>
    </row>
    <row r="3003" ht="15.75" customHeight="1">
      <c r="A3003" s="33" t="s">
        <v>6989</v>
      </c>
      <c r="B3003" s="33" t="s">
        <v>300</v>
      </c>
      <c r="C3003" s="39">
        <v>45818.0</v>
      </c>
      <c r="D3003" s="33" t="s">
        <v>461</v>
      </c>
      <c r="E3003" s="40">
        <v>90.23</v>
      </c>
      <c r="F3003" s="40">
        <v>1.72</v>
      </c>
      <c r="G3003" s="33" t="s">
        <v>450</v>
      </c>
    </row>
    <row r="3004" ht="15.75" customHeight="1">
      <c r="A3004" s="33" t="s">
        <v>6990</v>
      </c>
      <c r="B3004" s="33" t="s">
        <v>478</v>
      </c>
      <c r="C3004" s="39">
        <v>45885.0</v>
      </c>
      <c r="D3004" s="33" t="s">
        <v>428</v>
      </c>
      <c r="E3004" s="40">
        <v>17.69</v>
      </c>
      <c r="F3004" s="40">
        <v>0.0</v>
      </c>
      <c r="G3004" s="33" t="s">
        <v>442</v>
      </c>
    </row>
    <row r="3005" ht="15.75" customHeight="1">
      <c r="A3005" s="33" t="s">
        <v>6991</v>
      </c>
      <c r="B3005" s="33" t="s">
        <v>763</v>
      </c>
      <c r="C3005" s="39">
        <v>45956.0</v>
      </c>
      <c r="D3005" s="33" t="s">
        <v>428</v>
      </c>
      <c r="E3005" s="40">
        <v>124.4</v>
      </c>
      <c r="F3005" s="40">
        <v>0.0</v>
      </c>
      <c r="G3005" s="33" t="s">
        <v>450</v>
      </c>
    </row>
    <row r="3006" ht="15.75" customHeight="1">
      <c r="A3006" s="33" t="s">
        <v>6992</v>
      </c>
      <c r="B3006" s="33" t="s">
        <v>3140</v>
      </c>
      <c r="C3006" s="39">
        <v>45815.0</v>
      </c>
      <c r="D3006" s="33" t="s">
        <v>461</v>
      </c>
      <c r="E3006" s="40">
        <v>64.35</v>
      </c>
      <c r="F3006" s="40">
        <v>0.76</v>
      </c>
      <c r="G3006" s="33" t="s">
        <v>450</v>
      </c>
    </row>
    <row r="3007" ht="15.75" customHeight="1">
      <c r="A3007" s="33" t="s">
        <v>6993</v>
      </c>
      <c r="B3007" s="33" t="s">
        <v>1360</v>
      </c>
      <c r="C3007" s="39">
        <v>45998.0</v>
      </c>
      <c r="D3007" s="33" t="s">
        <v>461</v>
      </c>
      <c r="E3007" s="40">
        <v>75.65</v>
      </c>
      <c r="F3007" s="40">
        <v>0.61</v>
      </c>
      <c r="G3007" s="33" t="s">
        <v>442</v>
      </c>
    </row>
    <row r="3008" ht="15.75" customHeight="1">
      <c r="A3008" s="33" t="s">
        <v>6994</v>
      </c>
      <c r="B3008" s="33" t="s">
        <v>1245</v>
      </c>
      <c r="C3008" s="39">
        <v>46180.0</v>
      </c>
      <c r="D3008" s="33" t="s">
        <v>461</v>
      </c>
      <c r="E3008" s="40">
        <v>80.64</v>
      </c>
      <c r="F3008" s="40">
        <v>1.37</v>
      </c>
      <c r="G3008" s="33" t="s">
        <v>442</v>
      </c>
    </row>
    <row r="3009" ht="15.75" customHeight="1">
      <c r="A3009" s="33" t="s">
        <v>6995</v>
      </c>
      <c r="B3009" s="33" t="s">
        <v>630</v>
      </c>
      <c r="C3009" s="39">
        <v>46108.0</v>
      </c>
      <c r="D3009" s="33" t="s">
        <v>461</v>
      </c>
      <c r="E3009" s="40">
        <v>25.42</v>
      </c>
      <c r="F3009" s="40">
        <v>0.31</v>
      </c>
      <c r="G3009" s="33" t="s">
        <v>442</v>
      </c>
    </row>
    <row r="3010" ht="15.75" customHeight="1">
      <c r="A3010" s="33" t="s">
        <v>6996</v>
      </c>
      <c r="B3010" s="33" t="s">
        <v>733</v>
      </c>
      <c r="C3010" s="39">
        <v>45798.0</v>
      </c>
      <c r="D3010" s="33" t="s">
        <v>435</v>
      </c>
      <c r="E3010" s="40">
        <v>80.96</v>
      </c>
      <c r="F3010" s="40">
        <v>0.0</v>
      </c>
      <c r="G3010" s="33" t="s">
        <v>442</v>
      </c>
    </row>
    <row r="3011" ht="15.75" customHeight="1">
      <c r="A3011" s="33" t="s">
        <v>6997</v>
      </c>
      <c r="B3011" s="33" t="s">
        <v>2732</v>
      </c>
      <c r="C3011" s="39">
        <v>45944.0</v>
      </c>
      <c r="D3011" s="33" t="s">
        <v>428</v>
      </c>
      <c r="E3011" s="40">
        <v>114.15</v>
      </c>
      <c r="F3011" s="40">
        <v>0.0</v>
      </c>
      <c r="G3011" s="33" t="s">
        <v>431</v>
      </c>
    </row>
    <row r="3012" ht="15.75" customHeight="1">
      <c r="A3012" s="33" t="s">
        <v>6998</v>
      </c>
      <c r="B3012" s="33" t="s">
        <v>1192</v>
      </c>
      <c r="C3012" s="39">
        <v>45988.0</v>
      </c>
      <c r="D3012" s="33" t="s">
        <v>435</v>
      </c>
      <c r="E3012" s="40">
        <v>42.82</v>
      </c>
      <c r="F3012" s="40">
        <v>0.0</v>
      </c>
      <c r="G3012" s="33" t="s">
        <v>450</v>
      </c>
    </row>
    <row r="3013" ht="15.75" customHeight="1">
      <c r="A3013" s="33" t="s">
        <v>6999</v>
      </c>
      <c r="B3013" s="33" t="s">
        <v>2314</v>
      </c>
      <c r="C3013" s="39">
        <v>46070.0</v>
      </c>
      <c r="D3013" s="33" t="s">
        <v>479</v>
      </c>
      <c r="E3013" s="40">
        <v>38.79</v>
      </c>
      <c r="F3013" s="40">
        <v>0.62</v>
      </c>
      <c r="G3013" s="33" t="s">
        <v>450</v>
      </c>
    </row>
    <row r="3014" ht="15.75" customHeight="1">
      <c r="A3014" s="33" t="s">
        <v>7000</v>
      </c>
      <c r="B3014" s="33" t="s">
        <v>579</v>
      </c>
      <c r="C3014" s="39">
        <v>46117.0</v>
      </c>
      <c r="D3014" s="33" t="s">
        <v>440</v>
      </c>
      <c r="E3014" s="40">
        <v>262.12</v>
      </c>
      <c r="F3014" s="40">
        <v>0.0</v>
      </c>
      <c r="G3014" s="33" t="s">
        <v>450</v>
      </c>
    </row>
    <row r="3015" ht="15.75" customHeight="1">
      <c r="A3015" s="33" t="s">
        <v>7001</v>
      </c>
      <c r="B3015" s="33" t="s">
        <v>3190</v>
      </c>
      <c r="C3015" s="39">
        <v>45952.0</v>
      </c>
      <c r="D3015" s="33" t="s">
        <v>440</v>
      </c>
      <c r="E3015" s="40">
        <v>35.37</v>
      </c>
      <c r="F3015" s="40">
        <v>0.0</v>
      </c>
      <c r="G3015" s="33" t="s">
        <v>431</v>
      </c>
    </row>
    <row r="3016" ht="15.75" customHeight="1">
      <c r="A3016" s="33" t="s">
        <v>7002</v>
      </c>
      <c r="B3016" s="33" t="s">
        <v>887</v>
      </c>
      <c r="C3016" s="39">
        <v>45849.0</v>
      </c>
      <c r="D3016" s="33" t="s">
        <v>440</v>
      </c>
      <c r="E3016" s="40">
        <v>54.64</v>
      </c>
      <c r="F3016" s="40">
        <v>0.0</v>
      </c>
      <c r="G3016" s="33" t="s">
        <v>450</v>
      </c>
    </row>
    <row r="3017" ht="15.75" customHeight="1">
      <c r="A3017" s="33" t="s">
        <v>7003</v>
      </c>
      <c r="B3017" s="33" t="s">
        <v>828</v>
      </c>
      <c r="C3017" s="39">
        <v>46058.0</v>
      </c>
      <c r="D3017" s="33" t="s">
        <v>435</v>
      </c>
      <c r="E3017" s="40">
        <v>193.4</v>
      </c>
      <c r="F3017" s="40">
        <v>0.0</v>
      </c>
      <c r="G3017" s="33" t="s">
        <v>431</v>
      </c>
    </row>
    <row r="3018" ht="15.75" customHeight="1">
      <c r="A3018" s="33" t="s">
        <v>7004</v>
      </c>
      <c r="B3018" s="33" t="s">
        <v>236</v>
      </c>
      <c r="C3018" s="39">
        <v>45734.0</v>
      </c>
      <c r="D3018" s="33" t="s">
        <v>479</v>
      </c>
      <c r="E3018" s="40">
        <v>16.42</v>
      </c>
      <c r="F3018" s="40">
        <v>0.22</v>
      </c>
      <c r="G3018" s="33" t="s">
        <v>442</v>
      </c>
    </row>
    <row r="3019" ht="15.75" customHeight="1">
      <c r="A3019" s="33" t="s">
        <v>7005</v>
      </c>
      <c r="B3019" s="33" t="s">
        <v>245</v>
      </c>
      <c r="C3019" s="39">
        <v>46067.0</v>
      </c>
      <c r="D3019" s="33" t="s">
        <v>479</v>
      </c>
      <c r="E3019" s="40">
        <v>68.94</v>
      </c>
      <c r="F3019" s="40">
        <v>0.67</v>
      </c>
      <c r="G3019" s="33" t="s">
        <v>450</v>
      </c>
    </row>
    <row r="3020" ht="15.75" customHeight="1">
      <c r="A3020" s="33" t="s">
        <v>7006</v>
      </c>
      <c r="B3020" s="33" t="s">
        <v>1705</v>
      </c>
      <c r="C3020" s="39">
        <v>46202.0</v>
      </c>
      <c r="D3020" s="33" t="s">
        <v>479</v>
      </c>
      <c r="E3020" s="40">
        <v>112.44</v>
      </c>
      <c r="F3020" s="40">
        <v>1.61</v>
      </c>
      <c r="G3020" s="33" t="s">
        <v>450</v>
      </c>
    </row>
    <row r="3021" ht="15.75" customHeight="1">
      <c r="A3021" s="33" t="s">
        <v>7007</v>
      </c>
      <c r="B3021" s="33" t="s">
        <v>1145</v>
      </c>
      <c r="C3021" s="39">
        <v>46088.0</v>
      </c>
      <c r="D3021" s="33" t="s">
        <v>435</v>
      </c>
      <c r="E3021" s="40">
        <v>72.31</v>
      </c>
      <c r="F3021" s="40">
        <v>0.0</v>
      </c>
      <c r="G3021" s="33" t="s">
        <v>450</v>
      </c>
    </row>
    <row r="3022" ht="15.75" customHeight="1">
      <c r="A3022" s="33" t="s">
        <v>7008</v>
      </c>
      <c r="B3022" s="33" t="s">
        <v>1887</v>
      </c>
      <c r="C3022" s="39">
        <v>45921.0</v>
      </c>
      <c r="D3022" s="33" t="s">
        <v>461</v>
      </c>
      <c r="E3022" s="40">
        <v>13.84</v>
      </c>
      <c r="F3022" s="40">
        <v>0.23</v>
      </c>
      <c r="G3022" s="33" t="s">
        <v>442</v>
      </c>
    </row>
    <row r="3023" ht="15.75" customHeight="1">
      <c r="A3023" s="33" t="s">
        <v>7009</v>
      </c>
      <c r="B3023" s="33" t="s">
        <v>759</v>
      </c>
      <c r="C3023" s="39">
        <v>46157.0</v>
      </c>
      <c r="D3023" s="33" t="s">
        <v>435</v>
      </c>
      <c r="E3023" s="40">
        <v>28.0</v>
      </c>
      <c r="F3023" s="40">
        <v>0.0</v>
      </c>
      <c r="G3023" s="33" t="s">
        <v>442</v>
      </c>
    </row>
    <row r="3024" ht="15.75" customHeight="1">
      <c r="A3024" s="33" t="s">
        <v>7010</v>
      </c>
      <c r="B3024" s="33" t="s">
        <v>2268</v>
      </c>
      <c r="C3024" s="39">
        <v>45981.0</v>
      </c>
      <c r="D3024" s="33" t="s">
        <v>428</v>
      </c>
      <c r="E3024" s="40">
        <v>11.52</v>
      </c>
      <c r="F3024" s="40">
        <v>0.0</v>
      </c>
      <c r="G3024" s="33" t="s">
        <v>450</v>
      </c>
    </row>
    <row r="3025" ht="15.75" customHeight="1">
      <c r="A3025" s="33" t="s">
        <v>7011</v>
      </c>
      <c r="B3025" s="33" t="s">
        <v>2911</v>
      </c>
      <c r="C3025" s="39">
        <v>45986.0</v>
      </c>
      <c r="D3025" s="33" t="s">
        <v>435</v>
      </c>
      <c r="E3025" s="40">
        <v>65.39</v>
      </c>
      <c r="F3025" s="40">
        <v>0.0</v>
      </c>
      <c r="G3025" s="33" t="s">
        <v>450</v>
      </c>
    </row>
    <row r="3026" ht="15.75" customHeight="1">
      <c r="A3026" s="33" t="s">
        <v>7012</v>
      </c>
      <c r="B3026" s="33" t="s">
        <v>2087</v>
      </c>
      <c r="C3026" s="39">
        <v>46175.0</v>
      </c>
      <c r="D3026" s="33" t="s">
        <v>435</v>
      </c>
      <c r="E3026" s="40">
        <v>100.65</v>
      </c>
      <c r="F3026" s="40">
        <v>0.0</v>
      </c>
      <c r="G3026" s="33" t="s">
        <v>450</v>
      </c>
    </row>
    <row r="3027" ht="15.75" customHeight="1">
      <c r="A3027" s="33" t="s">
        <v>7013</v>
      </c>
      <c r="B3027" s="33" t="s">
        <v>4154</v>
      </c>
      <c r="C3027" s="39">
        <v>45775.0</v>
      </c>
      <c r="D3027" s="33" t="s">
        <v>440</v>
      </c>
      <c r="E3027" s="40">
        <v>42.52</v>
      </c>
      <c r="F3027" s="40">
        <v>0.0</v>
      </c>
      <c r="G3027" s="33" t="s">
        <v>450</v>
      </c>
    </row>
    <row r="3028" ht="15.75" customHeight="1">
      <c r="A3028" s="33" t="s">
        <v>7014</v>
      </c>
      <c r="B3028" s="33" t="s">
        <v>2221</v>
      </c>
      <c r="C3028" s="39">
        <v>46131.0</v>
      </c>
      <c r="D3028" s="33" t="s">
        <v>479</v>
      </c>
      <c r="E3028" s="40">
        <v>57.9</v>
      </c>
      <c r="F3028" s="40">
        <v>0.81</v>
      </c>
      <c r="G3028" s="33" t="s">
        <v>442</v>
      </c>
    </row>
    <row r="3029" ht="15.75" customHeight="1">
      <c r="A3029" s="33" t="s">
        <v>7015</v>
      </c>
      <c r="B3029" s="33" t="s">
        <v>1693</v>
      </c>
      <c r="C3029" s="39">
        <v>46070.0</v>
      </c>
      <c r="D3029" s="33" t="s">
        <v>428</v>
      </c>
      <c r="E3029" s="40">
        <v>57.65</v>
      </c>
      <c r="F3029" s="40">
        <v>0.0</v>
      </c>
      <c r="G3029" s="33" t="s">
        <v>450</v>
      </c>
    </row>
    <row r="3030" ht="15.75" customHeight="1">
      <c r="A3030" s="33" t="s">
        <v>7016</v>
      </c>
      <c r="B3030" s="33" t="s">
        <v>2433</v>
      </c>
      <c r="C3030" s="39">
        <v>45979.0</v>
      </c>
      <c r="D3030" s="33" t="s">
        <v>479</v>
      </c>
      <c r="E3030" s="40">
        <v>172.42</v>
      </c>
      <c r="F3030" s="40">
        <v>3.34</v>
      </c>
      <c r="G3030" s="33" t="s">
        <v>431</v>
      </c>
    </row>
    <row r="3031" ht="15.75" customHeight="1">
      <c r="A3031" s="33" t="s">
        <v>7017</v>
      </c>
      <c r="B3031" s="33" t="s">
        <v>1408</v>
      </c>
      <c r="C3031" s="39">
        <v>45704.0</v>
      </c>
      <c r="D3031" s="33" t="s">
        <v>440</v>
      </c>
      <c r="E3031" s="40">
        <v>89.25</v>
      </c>
      <c r="F3031" s="40">
        <v>0.0</v>
      </c>
      <c r="G3031" s="33" t="s">
        <v>450</v>
      </c>
    </row>
    <row r="3032" ht="15.75" customHeight="1">
      <c r="A3032" s="33" t="s">
        <v>7018</v>
      </c>
      <c r="B3032" s="33" t="s">
        <v>1025</v>
      </c>
      <c r="C3032" s="39">
        <v>46122.0</v>
      </c>
      <c r="D3032" s="33" t="s">
        <v>428</v>
      </c>
      <c r="E3032" s="40">
        <v>80.72</v>
      </c>
      <c r="F3032" s="40">
        <v>0.0</v>
      </c>
      <c r="G3032" s="33" t="s">
        <v>450</v>
      </c>
    </row>
    <row r="3033" ht="15.75" customHeight="1">
      <c r="A3033" s="33" t="s">
        <v>7019</v>
      </c>
      <c r="B3033" s="33" t="s">
        <v>576</v>
      </c>
      <c r="C3033" s="39">
        <v>45790.0</v>
      </c>
      <c r="D3033" s="33" t="s">
        <v>440</v>
      </c>
      <c r="E3033" s="40">
        <v>153.92</v>
      </c>
      <c r="F3033" s="40">
        <v>0.0</v>
      </c>
      <c r="G3033" s="33" t="s">
        <v>431</v>
      </c>
    </row>
    <row r="3034" ht="15.75" customHeight="1">
      <c r="A3034" s="33" t="s">
        <v>7020</v>
      </c>
      <c r="B3034" s="33" t="s">
        <v>474</v>
      </c>
      <c r="C3034" s="39">
        <v>46201.0</v>
      </c>
      <c r="D3034" s="33" t="s">
        <v>428</v>
      </c>
      <c r="E3034" s="40">
        <v>20.93</v>
      </c>
      <c r="F3034" s="40">
        <v>0.0</v>
      </c>
      <c r="G3034" s="33" t="s">
        <v>450</v>
      </c>
    </row>
    <row r="3035" ht="15.75" customHeight="1">
      <c r="A3035" s="33" t="s">
        <v>7021</v>
      </c>
      <c r="B3035" s="33" t="s">
        <v>1037</v>
      </c>
      <c r="C3035" s="39">
        <v>46138.0</v>
      </c>
      <c r="D3035" s="33" t="s">
        <v>479</v>
      </c>
      <c r="E3035" s="40">
        <v>88.37</v>
      </c>
      <c r="F3035" s="40">
        <v>1.25</v>
      </c>
      <c r="G3035" s="33" t="s">
        <v>431</v>
      </c>
    </row>
    <row r="3036" ht="15.75" customHeight="1">
      <c r="A3036" s="33" t="s">
        <v>7022</v>
      </c>
      <c r="B3036" s="33" t="s">
        <v>902</v>
      </c>
      <c r="C3036" s="39">
        <v>45878.0</v>
      </c>
      <c r="D3036" s="33" t="s">
        <v>440</v>
      </c>
      <c r="E3036" s="40">
        <v>48.7</v>
      </c>
      <c r="F3036" s="40">
        <v>0.0</v>
      </c>
      <c r="G3036" s="33" t="s">
        <v>450</v>
      </c>
    </row>
    <row r="3037" ht="15.75" customHeight="1">
      <c r="A3037" s="33" t="s">
        <v>7023</v>
      </c>
      <c r="B3037" s="33" t="s">
        <v>2622</v>
      </c>
      <c r="C3037" s="39">
        <v>45922.0</v>
      </c>
      <c r="D3037" s="33" t="s">
        <v>440</v>
      </c>
      <c r="E3037" s="40">
        <v>188.61</v>
      </c>
      <c r="F3037" s="40">
        <v>0.0</v>
      </c>
      <c r="G3037" s="33" t="s">
        <v>431</v>
      </c>
    </row>
    <row r="3038" ht="15.75" customHeight="1">
      <c r="A3038" s="33" t="s">
        <v>7024</v>
      </c>
      <c r="B3038" s="33" t="s">
        <v>672</v>
      </c>
      <c r="C3038" s="39">
        <v>45673.0</v>
      </c>
      <c r="D3038" s="33" t="s">
        <v>435</v>
      </c>
      <c r="E3038" s="40">
        <v>154.78</v>
      </c>
      <c r="F3038" s="40">
        <v>0.0</v>
      </c>
      <c r="G3038" s="33" t="s">
        <v>450</v>
      </c>
    </row>
    <row r="3039" ht="15.75" customHeight="1">
      <c r="A3039" s="33" t="s">
        <v>7025</v>
      </c>
      <c r="B3039" s="33" t="s">
        <v>3128</v>
      </c>
      <c r="C3039" s="39">
        <v>45960.0</v>
      </c>
      <c r="D3039" s="33" t="s">
        <v>461</v>
      </c>
      <c r="E3039" s="40">
        <v>48.66</v>
      </c>
      <c r="F3039" s="40">
        <v>0.65</v>
      </c>
      <c r="G3039" s="33" t="s">
        <v>450</v>
      </c>
    </row>
    <row r="3040" ht="15.75" customHeight="1">
      <c r="A3040" s="33" t="s">
        <v>7026</v>
      </c>
      <c r="B3040" s="33" t="s">
        <v>1239</v>
      </c>
      <c r="C3040" s="39">
        <v>45693.0</v>
      </c>
      <c r="D3040" s="33" t="s">
        <v>479</v>
      </c>
      <c r="E3040" s="40">
        <v>60.75</v>
      </c>
      <c r="F3040" s="40">
        <v>0.4</v>
      </c>
      <c r="G3040" s="33" t="s">
        <v>442</v>
      </c>
    </row>
    <row r="3041" ht="15.75" customHeight="1">
      <c r="A3041" s="33" t="s">
        <v>7027</v>
      </c>
      <c r="B3041" s="33" t="s">
        <v>1994</v>
      </c>
      <c r="C3041" s="39">
        <v>46257.0</v>
      </c>
      <c r="D3041" s="33" t="s">
        <v>461</v>
      </c>
      <c r="E3041" s="40">
        <v>33.47</v>
      </c>
      <c r="F3041" s="40">
        <v>0.43</v>
      </c>
      <c r="G3041" s="33" t="s">
        <v>442</v>
      </c>
    </row>
    <row r="3042" ht="15.75" customHeight="1">
      <c r="A3042" s="33" t="s">
        <v>7028</v>
      </c>
      <c r="B3042" s="33" t="s">
        <v>1331</v>
      </c>
      <c r="C3042" s="39">
        <v>46046.0</v>
      </c>
      <c r="D3042" s="33" t="s">
        <v>461</v>
      </c>
      <c r="E3042" s="40">
        <v>138.19</v>
      </c>
      <c r="F3042" s="40">
        <v>2.67</v>
      </c>
      <c r="G3042" s="33" t="s">
        <v>450</v>
      </c>
    </row>
    <row r="3043" ht="15.75" customHeight="1">
      <c r="A3043" s="33" t="s">
        <v>7029</v>
      </c>
      <c r="B3043" s="33" t="s">
        <v>822</v>
      </c>
      <c r="C3043" s="39">
        <v>45800.0</v>
      </c>
      <c r="D3043" s="33" t="s">
        <v>435</v>
      </c>
      <c r="E3043" s="40">
        <v>117.8</v>
      </c>
      <c r="F3043" s="40">
        <v>0.0</v>
      </c>
      <c r="G3043" s="33" t="s">
        <v>450</v>
      </c>
    </row>
    <row r="3044" ht="15.75" customHeight="1">
      <c r="A3044" s="33" t="s">
        <v>7030</v>
      </c>
      <c r="B3044" s="33" t="s">
        <v>312</v>
      </c>
      <c r="C3044" s="39">
        <v>46145.0</v>
      </c>
      <c r="D3044" s="33" t="s">
        <v>428</v>
      </c>
      <c r="E3044" s="40">
        <v>63.43</v>
      </c>
      <c r="F3044" s="40">
        <v>0.0</v>
      </c>
      <c r="G3044" s="33" t="s">
        <v>431</v>
      </c>
    </row>
    <row r="3045" ht="15.75" customHeight="1">
      <c r="A3045" s="33" t="s">
        <v>7031</v>
      </c>
      <c r="B3045" s="33" t="s">
        <v>496</v>
      </c>
      <c r="C3045" s="39">
        <v>45669.0</v>
      </c>
      <c r="D3045" s="33" t="s">
        <v>479</v>
      </c>
      <c r="E3045" s="40">
        <v>62.89</v>
      </c>
      <c r="F3045" s="40">
        <v>1.25</v>
      </c>
      <c r="G3045" s="33" t="s">
        <v>450</v>
      </c>
    </row>
    <row r="3046" ht="15.75" customHeight="1">
      <c r="A3046" s="33" t="s">
        <v>7032</v>
      </c>
      <c r="B3046" s="33" t="s">
        <v>2559</v>
      </c>
      <c r="C3046" s="39">
        <v>45991.0</v>
      </c>
      <c r="D3046" s="33" t="s">
        <v>461</v>
      </c>
      <c r="E3046" s="40">
        <v>52.03</v>
      </c>
      <c r="F3046" s="40">
        <v>0.7</v>
      </c>
      <c r="G3046" s="33" t="s">
        <v>450</v>
      </c>
    </row>
    <row r="3047" ht="15.75" customHeight="1">
      <c r="A3047" s="33" t="s">
        <v>7033</v>
      </c>
      <c r="B3047" s="33" t="s">
        <v>2239</v>
      </c>
      <c r="C3047" s="39">
        <v>45725.0</v>
      </c>
      <c r="D3047" s="33" t="s">
        <v>435</v>
      </c>
      <c r="E3047" s="40">
        <v>180.77</v>
      </c>
      <c r="F3047" s="40">
        <v>0.0</v>
      </c>
      <c r="G3047" s="33" t="s">
        <v>431</v>
      </c>
    </row>
    <row r="3048" ht="15.75" customHeight="1">
      <c r="A3048" s="33" t="s">
        <v>7034</v>
      </c>
      <c r="B3048" s="33" t="s">
        <v>448</v>
      </c>
      <c r="C3048" s="39">
        <v>45691.0</v>
      </c>
      <c r="D3048" s="33" t="s">
        <v>461</v>
      </c>
      <c r="E3048" s="40">
        <v>67.92</v>
      </c>
      <c r="F3048" s="40">
        <v>0.35</v>
      </c>
      <c r="G3048" s="33" t="s">
        <v>450</v>
      </c>
    </row>
    <row r="3049" ht="15.75" customHeight="1">
      <c r="A3049" s="33" t="s">
        <v>7035</v>
      </c>
      <c r="B3049" s="33" t="s">
        <v>1693</v>
      </c>
      <c r="C3049" s="39">
        <v>45806.0</v>
      </c>
      <c r="D3049" s="33" t="s">
        <v>461</v>
      </c>
      <c r="E3049" s="40">
        <v>53.71</v>
      </c>
      <c r="F3049" s="40">
        <v>0.28</v>
      </c>
      <c r="G3049" s="33" t="s">
        <v>431</v>
      </c>
    </row>
    <row r="3050" ht="15.75" customHeight="1">
      <c r="A3050" s="33" t="s">
        <v>7036</v>
      </c>
      <c r="B3050" s="33" t="s">
        <v>822</v>
      </c>
      <c r="C3050" s="39">
        <v>45836.0</v>
      </c>
      <c r="D3050" s="33" t="s">
        <v>440</v>
      </c>
      <c r="E3050" s="40">
        <v>128.83</v>
      </c>
      <c r="F3050" s="40">
        <v>0.0</v>
      </c>
      <c r="G3050" s="33" t="s">
        <v>450</v>
      </c>
    </row>
    <row r="3051" ht="15.75" customHeight="1">
      <c r="A3051" s="33" t="s">
        <v>7037</v>
      </c>
      <c r="B3051" s="33" t="s">
        <v>2826</v>
      </c>
      <c r="C3051" s="39">
        <v>46098.0</v>
      </c>
      <c r="D3051" s="33" t="s">
        <v>428</v>
      </c>
      <c r="E3051" s="40">
        <v>5.56</v>
      </c>
      <c r="F3051" s="40">
        <v>0.0</v>
      </c>
      <c r="G3051" s="33" t="s">
        <v>442</v>
      </c>
    </row>
    <row r="3052" ht="15.75" customHeight="1">
      <c r="A3052" s="33" t="s">
        <v>7038</v>
      </c>
      <c r="B3052" s="33" t="s">
        <v>1957</v>
      </c>
      <c r="C3052" s="39">
        <v>46198.0</v>
      </c>
      <c r="D3052" s="33" t="s">
        <v>461</v>
      </c>
      <c r="E3052" s="40">
        <v>59.91</v>
      </c>
      <c r="F3052" s="40">
        <v>1.15</v>
      </c>
      <c r="G3052" s="33" t="s">
        <v>450</v>
      </c>
    </row>
    <row r="3053" ht="15.75" customHeight="1">
      <c r="A3053" s="33" t="s">
        <v>7039</v>
      </c>
      <c r="B3053" s="33" t="s">
        <v>1052</v>
      </c>
      <c r="C3053" s="39">
        <v>46128.0</v>
      </c>
      <c r="D3053" s="33" t="s">
        <v>428</v>
      </c>
      <c r="E3053" s="40">
        <v>141.4</v>
      </c>
      <c r="F3053" s="40">
        <v>0.0</v>
      </c>
      <c r="G3053" s="33" t="s">
        <v>450</v>
      </c>
    </row>
    <row r="3054" ht="15.75" customHeight="1">
      <c r="A3054" s="33" t="s">
        <v>7040</v>
      </c>
      <c r="B3054" s="33" t="s">
        <v>408</v>
      </c>
      <c r="C3054" s="39">
        <v>46107.0</v>
      </c>
      <c r="D3054" s="33" t="s">
        <v>428</v>
      </c>
      <c r="E3054" s="40">
        <v>208.9</v>
      </c>
      <c r="F3054" s="40">
        <v>0.0</v>
      </c>
      <c r="G3054" s="33" t="s">
        <v>450</v>
      </c>
    </row>
    <row r="3055" ht="15.75" customHeight="1">
      <c r="A3055" s="33" t="s">
        <v>7041</v>
      </c>
      <c r="B3055" s="33" t="s">
        <v>527</v>
      </c>
      <c r="C3055" s="39">
        <v>46001.0</v>
      </c>
      <c r="D3055" s="33" t="s">
        <v>440</v>
      </c>
      <c r="E3055" s="40">
        <v>44.11</v>
      </c>
      <c r="F3055" s="40">
        <v>0.0</v>
      </c>
      <c r="G3055" s="33" t="s">
        <v>450</v>
      </c>
    </row>
    <row r="3056" ht="15.75" customHeight="1">
      <c r="A3056" s="33" t="s">
        <v>7042</v>
      </c>
      <c r="B3056" s="33" t="s">
        <v>728</v>
      </c>
      <c r="C3056" s="39">
        <v>45883.0</v>
      </c>
      <c r="D3056" s="33" t="s">
        <v>428</v>
      </c>
      <c r="E3056" s="40">
        <v>108.28</v>
      </c>
      <c r="F3056" s="40">
        <v>0.0</v>
      </c>
      <c r="G3056" s="33" t="s">
        <v>450</v>
      </c>
    </row>
    <row r="3057" ht="15.75" customHeight="1">
      <c r="A3057" s="33" t="s">
        <v>7043</v>
      </c>
      <c r="B3057" s="33" t="s">
        <v>3934</v>
      </c>
      <c r="C3057" s="39">
        <v>45812.0</v>
      </c>
      <c r="D3057" s="33" t="s">
        <v>461</v>
      </c>
      <c r="E3057" s="40">
        <v>43.87</v>
      </c>
      <c r="F3057" s="40">
        <v>0.57</v>
      </c>
      <c r="G3057" s="33" t="s">
        <v>442</v>
      </c>
    </row>
    <row r="3058" ht="15.75" customHeight="1">
      <c r="A3058" s="33" t="s">
        <v>7044</v>
      </c>
      <c r="B3058" s="33" t="s">
        <v>469</v>
      </c>
      <c r="C3058" s="39">
        <v>46232.0</v>
      </c>
      <c r="D3058" s="33" t="s">
        <v>435</v>
      </c>
      <c r="E3058" s="40">
        <v>277.0</v>
      </c>
      <c r="F3058" s="40">
        <v>0.0</v>
      </c>
      <c r="G3058" s="33" t="s">
        <v>442</v>
      </c>
    </row>
    <row r="3059" ht="15.75" customHeight="1">
      <c r="A3059" s="33" t="s">
        <v>7045</v>
      </c>
      <c r="B3059" s="33" t="s">
        <v>1842</v>
      </c>
      <c r="C3059" s="39">
        <v>45974.0</v>
      </c>
      <c r="D3059" s="33" t="s">
        <v>461</v>
      </c>
      <c r="E3059" s="40">
        <v>84.49</v>
      </c>
      <c r="F3059" s="40">
        <v>0.98</v>
      </c>
      <c r="G3059" s="33" t="s">
        <v>450</v>
      </c>
    </row>
    <row r="3060" ht="15.75" customHeight="1">
      <c r="A3060" s="33" t="s">
        <v>7046</v>
      </c>
      <c r="B3060" s="33" t="s">
        <v>2397</v>
      </c>
      <c r="C3060" s="39">
        <v>46000.0</v>
      </c>
      <c r="D3060" s="33" t="s">
        <v>479</v>
      </c>
      <c r="E3060" s="40">
        <v>117.2</v>
      </c>
      <c r="F3060" s="40">
        <v>0.83</v>
      </c>
      <c r="G3060" s="33" t="s">
        <v>442</v>
      </c>
    </row>
    <row r="3061" ht="15.75" customHeight="1">
      <c r="A3061" s="33" t="s">
        <v>7047</v>
      </c>
      <c r="B3061" s="33" t="s">
        <v>1176</v>
      </c>
      <c r="C3061" s="39">
        <v>45667.0</v>
      </c>
      <c r="D3061" s="33" t="s">
        <v>428</v>
      </c>
      <c r="E3061" s="40">
        <v>7.36</v>
      </c>
      <c r="F3061" s="40">
        <v>0.0</v>
      </c>
      <c r="G3061" s="33" t="s">
        <v>450</v>
      </c>
    </row>
    <row r="3062" ht="15.75" customHeight="1">
      <c r="A3062" s="33" t="s">
        <v>7048</v>
      </c>
      <c r="B3062" s="33" t="s">
        <v>1920</v>
      </c>
      <c r="C3062" s="39">
        <v>45935.0</v>
      </c>
      <c r="D3062" s="33" t="s">
        <v>435</v>
      </c>
      <c r="E3062" s="40">
        <v>51.56</v>
      </c>
      <c r="F3062" s="40">
        <v>0.0</v>
      </c>
      <c r="G3062" s="33" t="s">
        <v>450</v>
      </c>
    </row>
    <row r="3063" ht="15.75" customHeight="1">
      <c r="A3063" s="33" t="s">
        <v>7049</v>
      </c>
      <c r="B3063" s="33" t="s">
        <v>1266</v>
      </c>
      <c r="C3063" s="39">
        <v>46071.0</v>
      </c>
      <c r="D3063" s="33" t="s">
        <v>440</v>
      </c>
      <c r="E3063" s="40">
        <v>129.28</v>
      </c>
      <c r="F3063" s="40">
        <v>0.0</v>
      </c>
      <c r="G3063" s="33" t="s">
        <v>431</v>
      </c>
    </row>
    <row r="3064" ht="15.75" customHeight="1">
      <c r="A3064" s="33" t="s">
        <v>7050</v>
      </c>
      <c r="B3064" s="33" t="s">
        <v>2188</v>
      </c>
      <c r="C3064" s="39">
        <v>45958.0</v>
      </c>
      <c r="D3064" s="33" t="s">
        <v>440</v>
      </c>
      <c r="E3064" s="40">
        <v>20.75</v>
      </c>
      <c r="F3064" s="40">
        <v>0.0</v>
      </c>
      <c r="G3064" s="33" t="s">
        <v>450</v>
      </c>
    </row>
    <row r="3065" ht="15.75" customHeight="1">
      <c r="A3065" s="33" t="s">
        <v>7051</v>
      </c>
      <c r="B3065" s="33" t="s">
        <v>740</v>
      </c>
      <c r="C3065" s="39">
        <v>46030.0</v>
      </c>
      <c r="D3065" s="33" t="s">
        <v>479</v>
      </c>
      <c r="E3065" s="40">
        <v>84.33</v>
      </c>
      <c r="F3065" s="40">
        <v>0.54</v>
      </c>
      <c r="G3065" s="33" t="s">
        <v>450</v>
      </c>
    </row>
    <row r="3066" ht="15.75" customHeight="1">
      <c r="A3066" s="33" t="s">
        <v>7052</v>
      </c>
      <c r="B3066" s="33" t="s">
        <v>3352</v>
      </c>
      <c r="C3066" s="39">
        <v>46149.0</v>
      </c>
      <c r="D3066" s="33" t="s">
        <v>461</v>
      </c>
      <c r="E3066" s="40">
        <v>215.29</v>
      </c>
      <c r="F3066" s="40">
        <v>2.86</v>
      </c>
      <c r="G3066" s="33" t="s">
        <v>442</v>
      </c>
    </row>
    <row r="3067" ht="15.75" customHeight="1">
      <c r="A3067" s="33" t="s">
        <v>7053</v>
      </c>
      <c r="B3067" s="33" t="s">
        <v>4153</v>
      </c>
      <c r="C3067" s="39">
        <v>45671.0</v>
      </c>
      <c r="D3067" s="33" t="s">
        <v>440</v>
      </c>
      <c r="E3067" s="40">
        <v>134.33</v>
      </c>
      <c r="F3067" s="40">
        <v>0.0</v>
      </c>
      <c r="G3067" s="33" t="s">
        <v>450</v>
      </c>
    </row>
    <row r="3068" ht="15.75" customHeight="1">
      <c r="A3068" s="33" t="s">
        <v>7054</v>
      </c>
      <c r="B3068" s="33" t="s">
        <v>700</v>
      </c>
      <c r="C3068" s="39">
        <v>46206.0</v>
      </c>
      <c r="D3068" s="33" t="s">
        <v>461</v>
      </c>
      <c r="E3068" s="40">
        <v>111.07</v>
      </c>
      <c r="F3068" s="40">
        <v>1.33</v>
      </c>
      <c r="G3068" s="33" t="s">
        <v>450</v>
      </c>
    </row>
    <row r="3069" ht="15.75" customHeight="1">
      <c r="A3069" s="33" t="s">
        <v>7055</v>
      </c>
      <c r="B3069" s="33" t="s">
        <v>408</v>
      </c>
      <c r="C3069" s="39">
        <v>46153.0</v>
      </c>
      <c r="D3069" s="33" t="s">
        <v>435</v>
      </c>
      <c r="E3069" s="40">
        <v>54.1</v>
      </c>
      <c r="F3069" s="40">
        <v>0.0</v>
      </c>
      <c r="G3069" s="33" t="s">
        <v>450</v>
      </c>
    </row>
    <row r="3070" ht="15.75" customHeight="1">
      <c r="A3070" s="33" t="s">
        <v>7056</v>
      </c>
      <c r="B3070" s="33" t="s">
        <v>521</v>
      </c>
      <c r="C3070" s="39">
        <v>45912.0</v>
      </c>
      <c r="D3070" s="33" t="s">
        <v>440</v>
      </c>
      <c r="E3070" s="40">
        <v>26.6</v>
      </c>
      <c r="F3070" s="40">
        <v>0.0</v>
      </c>
      <c r="G3070" s="33" t="s">
        <v>450</v>
      </c>
    </row>
    <row r="3071" ht="15.75" customHeight="1">
      <c r="A3071" s="33" t="s">
        <v>7057</v>
      </c>
      <c r="B3071" s="33" t="s">
        <v>634</v>
      </c>
      <c r="C3071" s="39">
        <v>46121.0</v>
      </c>
      <c r="D3071" s="33" t="s">
        <v>461</v>
      </c>
      <c r="E3071" s="40">
        <v>71.88</v>
      </c>
      <c r="F3071" s="40">
        <v>0.61</v>
      </c>
      <c r="G3071" s="33" t="s">
        <v>450</v>
      </c>
    </row>
    <row r="3072" ht="15.75" customHeight="1">
      <c r="A3072" s="33" t="s">
        <v>7058</v>
      </c>
      <c r="B3072" s="33" t="s">
        <v>1649</v>
      </c>
      <c r="C3072" s="39">
        <v>45698.0</v>
      </c>
      <c r="D3072" s="33" t="s">
        <v>440</v>
      </c>
      <c r="E3072" s="40">
        <v>120.63</v>
      </c>
      <c r="F3072" s="40">
        <v>0.0</v>
      </c>
      <c r="G3072" s="33" t="s">
        <v>442</v>
      </c>
    </row>
    <row r="3073" ht="15.75" customHeight="1">
      <c r="A3073" s="33" t="s">
        <v>7059</v>
      </c>
      <c r="B3073" s="33" t="s">
        <v>275</v>
      </c>
      <c r="C3073" s="39">
        <v>45845.0</v>
      </c>
      <c r="D3073" s="33" t="s">
        <v>479</v>
      </c>
      <c r="E3073" s="40">
        <v>33.47</v>
      </c>
      <c r="F3073" s="40">
        <v>0.23</v>
      </c>
      <c r="G3073" s="33" t="s">
        <v>450</v>
      </c>
    </row>
    <row r="3074" ht="15.75" customHeight="1">
      <c r="A3074" s="33" t="s">
        <v>7060</v>
      </c>
      <c r="B3074" s="33" t="s">
        <v>2424</v>
      </c>
      <c r="C3074" s="39">
        <v>45723.0</v>
      </c>
      <c r="D3074" s="33" t="s">
        <v>461</v>
      </c>
      <c r="E3074" s="40">
        <v>133.49</v>
      </c>
      <c r="F3074" s="40">
        <v>1.27</v>
      </c>
      <c r="G3074" s="33" t="s">
        <v>450</v>
      </c>
    </row>
    <row r="3075" ht="15.75" customHeight="1">
      <c r="A3075" s="33" t="s">
        <v>7061</v>
      </c>
      <c r="B3075" s="33" t="s">
        <v>2826</v>
      </c>
      <c r="C3075" s="39">
        <v>46043.0</v>
      </c>
      <c r="D3075" s="33" t="s">
        <v>440</v>
      </c>
      <c r="E3075" s="40">
        <v>87.83</v>
      </c>
      <c r="F3075" s="40">
        <v>0.0</v>
      </c>
      <c r="G3075" s="33" t="s">
        <v>450</v>
      </c>
    </row>
    <row r="3076" ht="15.75" customHeight="1">
      <c r="A3076" s="33" t="s">
        <v>7062</v>
      </c>
      <c r="B3076" s="33" t="s">
        <v>1132</v>
      </c>
      <c r="C3076" s="39">
        <v>46177.0</v>
      </c>
      <c r="D3076" s="33" t="s">
        <v>428</v>
      </c>
      <c r="E3076" s="40">
        <v>38.91</v>
      </c>
      <c r="F3076" s="40">
        <v>0.0</v>
      </c>
      <c r="G3076" s="33" t="s">
        <v>442</v>
      </c>
    </row>
    <row r="3077" ht="15.75" customHeight="1">
      <c r="A3077" s="33" t="s">
        <v>7063</v>
      </c>
      <c r="B3077" s="33" t="s">
        <v>848</v>
      </c>
      <c r="C3077" s="39">
        <v>46023.0</v>
      </c>
      <c r="D3077" s="33" t="s">
        <v>428</v>
      </c>
      <c r="E3077" s="40">
        <v>15.73</v>
      </c>
      <c r="F3077" s="40">
        <v>0.0</v>
      </c>
      <c r="G3077" s="33" t="s">
        <v>450</v>
      </c>
    </row>
    <row r="3078" ht="15.75" customHeight="1">
      <c r="A3078" s="33" t="s">
        <v>7064</v>
      </c>
      <c r="B3078" s="33" t="s">
        <v>759</v>
      </c>
      <c r="C3078" s="39">
        <v>46089.0</v>
      </c>
      <c r="D3078" s="33" t="s">
        <v>428</v>
      </c>
      <c r="E3078" s="40">
        <v>20.37</v>
      </c>
      <c r="F3078" s="40">
        <v>0.0</v>
      </c>
      <c r="G3078" s="33" t="s">
        <v>431</v>
      </c>
    </row>
    <row r="3079" ht="15.75" customHeight="1">
      <c r="A3079" s="33" t="s">
        <v>7065</v>
      </c>
      <c r="B3079" s="33" t="s">
        <v>294</v>
      </c>
      <c r="C3079" s="39">
        <v>45744.0</v>
      </c>
      <c r="D3079" s="33" t="s">
        <v>479</v>
      </c>
      <c r="E3079" s="40">
        <v>69.78</v>
      </c>
      <c r="F3079" s="40">
        <v>1.24</v>
      </c>
      <c r="G3079" s="33" t="s">
        <v>450</v>
      </c>
    </row>
    <row r="3080" ht="15.75" customHeight="1">
      <c r="A3080" s="33" t="s">
        <v>7066</v>
      </c>
      <c r="B3080" s="33" t="s">
        <v>1615</v>
      </c>
      <c r="C3080" s="39">
        <v>46224.0</v>
      </c>
      <c r="D3080" s="33" t="s">
        <v>440</v>
      </c>
      <c r="E3080" s="40">
        <v>164.64</v>
      </c>
      <c r="F3080" s="40">
        <v>0.0</v>
      </c>
      <c r="G3080" s="33" t="s">
        <v>442</v>
      </c>
    </row>
    <row r="3081" ht="15.75" customHeight="1">
      <c r="A3081" s="33" t="s">
        <v>7067</v>
      </c>
      <c r="B3081" s="33" t="s">
        <v>711</v>
      </c>
      <c r="C3081" s="39">
        <v>45775.0</v>
      </c>
      <c r="D3081" s="33" t="s">
        <v>428</v>
      </c>
      <c r="E3081" s="40">
        <v>39.41</v>
      </c>
      <c r="F3081" s="40">
        <v>0.0</v>
      </c>
      <c r="G3081" s="33" t="s">
        <v>450</v>
      </c>
    </row>
    <row r="3082" ht="15.75" customHeight="1">
      <c r="A3082" s="33" t="s">
        <v>7068</v>
      </c>
      <c r="B3082" s="33" t="s">
        <v>2958</v>
      </c>
      <c r="C3082" s="39">
        <v>45977.0</v>
      </c>
      <c r="D3082" s="33" t="s">
        <v>461</v>
      </c>
      <c r="E3082" s="40">
        <v>179.7</v>
      </c>
      <c r="F3082" s="40">
        <v>1.53</v>
      </c>
      <c r="G3082" s="33" t="s">
        <v>450</v>
      </c>
    </row>
    <row r="3083" ht="15.75" customHeight="1">
      <c r="A3083" s="33" t="s">
        <v>7069</v>
      </c>
      <c r="B3083" s="33" t="s">
        <v>753</v>
      </c>
      <c r="C3083" s="39">
        <v>46072.0</v>
      </c>
      <c r="D3083" s="33" t="s">
        <v>461</v>
      </c>
      <c r="E3083" s="40">
        <v>13.74</v>
      </c>
      <c r="F3083" s="40">
        <v>0.18</v>
      </c>
      <c r="G3083" s="33" t="s">
        <v>431</v>
      </c>
    </row>
    <row r="3084" ht="15.75" customHeight="1">
      <c r="A3084" s="33" t="s">
        <v>7070</v>
      </c>
      <c r="B3084" s="33" t="s">
        <v>1490</v>
      </c>
      <c r="C3084" s="39">
        <v>46177.0</v>
      </c>
      <c r="D3084" s="33" t="s">
        <v>435</v>
      </c>
      <c r="E3084" s="40">
        <v>79.13</v>
      </c>
      <c r="F3084" s="40">
        <v>0.0</v>
      </c>
      <c r="G3084" s="33" t="s">
        <v>442</v>
      </c>
    </row>
    <row r="3085" ht="15.75" customHeight="1">
      <c r="A3085" s="33" t="s">
        <v>7071</v>
      </c>
      <c r="B3085" s="33" t="s">
        <v>220</v>
      </c>
      <c r="C3085" s="39">
        <v>46224.0</v>
      </c>
      <c r="D3085" s="33" t="s">
        <v>428</v>
      </c>
      <c r="E3085" s="40">
        <v>73.2</v>
      </c>
      <c r="F3085" s="40">
        <v>0.0</v>
      </c>
      <c r="G3085" s="33" t="s">
        <v>450</v>
      </c>
    </row>
    <row r="3086" ht="15.75" customHeight="1">
      <c r="A3086" s="33" t="s">
        <v>7072</v>
      </c>
      <c r="B3086" s="33" t="s">
        <v>901</v>
      </c>
      <c r="C3086" s="39">
        <v>46021.0</v>
      </c>
      <c r="D3086" s="33" t="s">
        <v>479</v>
      </c>
      <c r="E3086" s="40">
        <v>101.26</v>
      </c>
      <c r="F3086" s="40">
        <v>1.27</v>
      </c>
      <c r="G3086" s="33" t="s">
        <v>431</v>
      </c>
    </row>
    <row r="3087" ht="15.75" customHeight="1">
      <c r="A3087" s="33" t="s">
        <v>7073</v>
      </c>
      <c r="B3087" s="33" t="s">
        <v>1562</v>
      </c>
      <c r="C3087" s="39">
        <v>46007.0</v>
      </c>
      <c r="D3087" s="33" t="s">
        <v>461</v>
      </c>
      <c r="E3087" s="40">
        <v>86.76</v>
      </c>
      <c r="F3087" s="40">
        <v>0.96</v>
      </c>
      <c r="G3087" s="33" t="s">
        <v>442</v>
      </c>
    </row>
    <row r="3088" ht="15.75" customHeight="1">
      <c r="A3088" s="33" t="s">
        <v>7074</v>
      </c>
      <c r="B3088" s="33" t="s">
        <v>362</v>
      </c>
      <c r="C3088" s="39">
        <v>45911.0</v>
      </c>
      <c r="D3088" s="33" t="s">
        <v>428</v>
      </c>
      <c r="E3088" s="40">
        <v>53.53</v>
      </c>
      <c r="F3088" s="40">
        <v>0.0</v>
      </c>
      <c r="G3088" s="33" t="s">
        <v>431</v>
      </c>
    </row>
    <row r="3089" ht="15.75" customHeight="1">
      <c r="A3089" s="33" t="s">
        <v>7075</v>
      </c>
      <c r="B3089" s="33" t="s">
        <v>1393</v>
      </c>
      <c r="C3089" s="39">
        <v>46002.0</v>
      </c>
      <c r="D3089" s="33" t="s">
        <v>435</v>
      </c>
      <c r="E3089" s="40">
        <v>53.87</v>
      </c>
      <c r="F3089" s="40">
        <v>0.0</v>
      </c>
      <c r="G3089" s="33" t="s">
        <v>442</v>
      </c>
    </row>
    <row r="3090" ht="15.75" customHeight="1">
      <c r="A3090" s="33" t="s">
        <v>7076</v>
      </c>
      <c r="B3090" s="33" t="s">
        <v>2086</v>
      </c>
      <c r="C3090" s="39">
        <v>46067.0</v>
      </c>
      <c r="D3090" s="33" t="s">
        <v>435</v>
      </c>
      <c r="E3090" s="40">
        <v>144.26</v>
      </c>
      <c r="F3090" s="40">
        <v>0.0</v>
      </c>
      <c r="G3090" s="33" t="s">
        <v>442</v>
      </c>
    </row>
    <row r="3091" ht="15.75" customHeight="1">
      <c r="A3091" s="33" t="s">
        <v>7077</v>
      </c>
      <c r="B3091" s="33" t="s">
        <v>3985</v>
      </c>
      <c r="C3091" s="39">
        <v>46050.0</v>
      </c>
      <c r="D3091" s="33" t="s">
        <v>435</v>
      </c>
      <c r="E3091" s="40">
        <v>82.34</v>
      </c>
      <c r="F3091" s="40">
        <v>0.0</v>
      </c>
      <c r="G3091" s="33" t="s">
        <v>450</v>
      </c>
    </row>
    <row r="3092" ht="15.75" customHeight="1">
      <c r="A3092" s="33" t="s">
        <v>7078</v>
      </c>
      <c r="B3092" s="33" t="s">
        <v>888</v>
      </c>
      <c r="C3092" s="39">
        <v>46017.0</v>
      </c>
      <c r="D3092" s="33" t="s">
        <v>461</v>
      </c>
      <c r="E3092" s="40">
        <v>6.85</v>
      </c>
      <c r="F3092" s="40">
        <v>0.04</v>
      </c>
      <c r="G3092" s="33" t="s">
        <v>431</v>
      </c>
    </row>
    <row r="3093" ht="15.75" customHeight="1">
      <c r="A3093" s="33" t="s">
        <v>7079</v>
      </c>
      <c r="B3093" s="33" t="s">
        <v>4154</v>
      </c>
      <c r="C3093" s="39">
        <v>45925.0</v>
      </c>
      <c r="D3093" s="33" t="s">
        <v>428</v>
      </c>
      <c r="E3093" s="40">
        <v>57.97</v>
      </c>
      <c r="F3093" s="40">
        <v>0.0</v>
      </c>
      <c r="G3093" s="33" t="s">
        <v>450</v>
      </c>
    </row>
    <row r="3094" ht="15.75" customHeight="1">
      <c r="A3094" s="33" t="s">
        <v>7080</v>
      </c>
      <c r="B3094" s="33" t="s">
        <v>1256</v>
      </c>
      <c r="C3094" s="39">
        <v>45776.0</v>
      </c>
      <c r="D3094" s="33" t="s">
        <v>435</v>
      </c>
      <c r="E3094" s="40">
        <v>62.17</v>
      </c>
      <c r="F3094" s="40">
        <v>0.0</v>
      </c>
      <c r="G3094" s="33" t="s">
        <v>450</v>
      </c>
    </row>
    <row r="3095" ht="15.75" customHeight="1">
      <c r="A3095" s="33" t="s">
        <v>7081</v>
      </c>
      <c r="B3095" s="33" t="s">
        <v>684</v>
      </c>
      <c r="C3095" s="39">
        <v>45690.0</v>
      </c>
      <c r="D3095" s="33" t="s">
        <v>435</v>
      </c>
      <c r="E3095" s="40">
        <v>61.89</v>
      </c>
      <c r="F3095" s="40">
        <v>0.0</v>
      </c>
      <c r="G3095" s="33" t="s">
        <v>431</v>
      </c>
    </row>
    <row r="3096" ht="15.75" customHeight="1">
      <c r="A3096" s="33" t="s">
        <v>7082</v>
      </c>
      <c r="B3096" s="33" t="s">
        <v>2469</v>
      </c>
      <c r="C3096" s="39">
        <v>45913.0</v>
      </c>
      <c r="D3096" s="33" t="s">
        <v>479</v>
      </c>
      <c r="E3096" s="40">
        <v>129.97</v>
      </c>
      <c r="F3096" s="40">
        <v>1.04</v>
      </c>
      <c r="G3096" s="33" t="s">
        <v>450</v>
      </c>
    </row>
    <row r="3097" ht="15.75" customHeight="1">
      <c r="A3097" s="33" t="s">
        <v>7083</v>
      </c>
      <c r="B3097" s="33" t="s">
        <v>1108</v>
      </c>
      <c r="C3097" s="39">
        <v>45898.0</v>
      </c>
      <c r="D3097" s="33" t="s">
        <v>440</v>
      </c>
      <c r="E3097" s="40">
        <v>47.22</v>
      </c>
      <c r="F3097" s="40">
        <v>0.0</v>
      </c>
      <c r="G3097" s="33" t="s">
        <v>450</v>
      </c>
    </row>
    <row r="3098" ht="15.75" customHeight="1">
      <c r="A3098" s="33" t="s">
        <v>7084</v>
      </c>
      <c r="B3098" s="33" t="s">
        <v>2715</v>
      </c>
      <c r="C3098" s="39">
        <v>46027.0</v>
      </c>
      <c r="D3098" s="33" t="s">
        <v>435</v>
      </c>
      <c r="E3098" s="40">
        <v>92.22</v>
      </c>
      <c r="F3098" s="40">
        <v>0.0</v>
      </c>
      <c r="G3098" s="33" t="s">
        <v>450</v>
      </c>
    </row>
    <row r="3099" ht="15.75" customHeight="1">
      <c r="A3099" s="33" t="s">
        <v>7085</v>
      </c>
      <c r="B3099" s="33" t="s">
        <v>4533</v>
      </c>
      <c r="C3099" s="39">
        <v>46204.0</v>
      </c>
      <c r="D3099" s="33" t="s">
        <v>461</v>
      </c>
      <c r="E3099" s="40">
        <v>217.8</v>
      </c>
      <c r="F3099" s="40">
        <v>2.75</v>
      </c>
      <c r="G3099" s="33" t="s">
        <v>450</v>
      </c>
    </row>
    <row r="3100" ht="15.75" customHeight="1">
      <c r="A3100" s="33" t="s">
        <v>7086</v>
      </c>
      <c r="B3100" s="33" t="s">
        <v>1482</v>
      </c>
      <c r="C3100" s="39">
        <v>46083.0</v>
      </c>
      <c r="D3100" s="33" t="s">
        <v>428</v>
      </c>
      <c r="E3100" s="40">
        <v>165.45</v>
      </c>
      <c r="F3100" s="40">
        <v>0.0</v>
      </c>
      <c r="G3100" s="33" t="s">
        <v>450</v>
      </c>
    </row>
    <row r="3101" ht="15.75" customHeight="1">
      <c r="A3101" s="33" t="s">
        <v>7087</v>
      </c>
      <c r="B3101" s="33" t="s">
        <v>2911</v>
      </c>
      <c r="C3101" s="39">
        <v>46146.0</v>
      </c>
      <c r="D3101" s="33" t="s">
        <v>440</v>
      </c>
      <c r="E3101" s="40">
        <v>43.72</v>
      </c>
      <c r="F3101" s="40">
        <v>0.0</v>
      </c>
      <c r="G3101" s="33" t="s">
        <v>450</v>
      </c>
    </row>
    <row r="3102" ht="15.75" customHeight="1">
      <c r="A3102" s="33" t="s">
        <v>7088</v>
      </c>
      <c r="B3102" s="33" t="s">
        <v>514</v>
      </c>
      <c r="C3102" s="39">
        <v>46008.0</v>
      </c>
      <c r="D3102" s="33" t="s">
        <v>435</v>
      </c>
      <c r="E3102" s="40">
        <v>84.14</v>
      </c>
      <c r="F3102" s="40">
        <v>0.0</v>
      </c>
      <c r="G3102" s="33" t="s">
        <v>450</v>
      </c>
    </row>
    <row r="3103" ht="15.75" customHeight="1">
      <c r="A3103" s="33" t="s">
        <v>7089</v>
      </c>
      <c r="B3103" s="33" t="s">
        <v>819</v>
      </c>
      <c r="C3103" s="39">
        <v>46220.0</v>
      </c>
      <c r="D3103" s="33" t="s">
        <v>440</v>
      </c>
      <c r="E3103" s="40">
        <v>2.95</v>
      </c>
      <c r="F3103" s="40">
        <v>0.0</v>
      </c>
      <c r="G3103" s="33" t="s">
        <v>431</v>
      </c>
    </row>
    <row r="3104" ht="15.75" customHeight="1">
      <c r="A3104" s="33" t="s">
        <v>7090</v>
      </c>
      <c r="B3104" s="33" t="s">
        <v>1266</v>
      </c>
      <c r="C3104" s="39">
        <v>46228.0</v>
      </c>
      <c r="D3104" s="33" t="s">
        <v>435</v>
      </c>
      <c r="E3104" s="40">
        <v>115.86</v>
      </c>
      <c r="F3104" s="40">
        <v>0.0</v>
      </c>
      <c r="G3104" s="33" t="s">
        <v>431</v>
      </c>
    </row>
    <row r="3105" ht="15.75" customHeight="1">
      <c r="A3105" s="33" t="s">
        <v>7091</v>
      </c>
      <c r="B3105" s="33" t="s">
        <v>1799</v>
      </c>
      <c r="C3105" s="39">
        <v>45750.0</v>
      </c>
      <c r="D3105" s="33" t="s">
        <v>479</v>
      </c>
      <c r="E3105" s="40">
        <v>24.77</v>
      </c>
      <c r="F3105" s="40">
        <v>0.22</v>
      </c>
      <c r="G3105" s="33" t="s">
        <v>450</v>
      </c>
    </row>
    <row r="3106" ht="15.75" customHeight="1">
      <c r="A3106" s="33" t="s">
        <v>7092</v>
      </c>
      <c r="B3106" s="33" t="s">
        <v>1037</v>
      </c>
      <c r="C3106" s="39">
        <v>46046.0</v>
      </c>
      <c r="D3106" s="33" t="s">
        <v>435</v>
      </c>
      <c r="E3106" s="40">
        <v>75.54</v>
      </c>
      <c r="F3106" s="40">
        <v>0.0</v>
      </c>
      <c r="G3106" s="33" t="s">
        <v>442</v>
      </c>
    </row>
    <row r="3107" ht="15.75" customHeight="1">
      <c r="A3107" s="33" t="s">
        <v>7093</v>
      </c>
      <c r="B3107" s="33" t="s">
        <v>793</v>
      </c>
      <c r="C3107" s="39">
        <v>45965.0</v>
      </c>
      <c r="D3107" s="33" t="s">
        <v>440</v>
      </c>
      <c r="E3107" s="40">
        <v>67.92</v>
      </c>
      <c r="F3107" s="40">
        <v>0.0</v>
      </c>
      <c r="G3107" s="33" t="s">
        <v>450</v>
      </c>
    </row>
    <row r="3108" ht="15.75" customHeight="1">
      <c r="A3108" s="33" t="s">
        <v>7094</v>
      </c>
      <c r="B3108" s="33" t="s">
        <v>1016</v>
      </c>
      <c r="C3108" s="39">
        <v>46248.0</v>
      </c>
      <c r="D3108" s="33" t="s">
        <v>435</v>
      </c>
      <c r="E3108" s="40">
        <v>159.66</v>
      </c>
      <c r="F3108" s="40">
        <v>0.0</v>
      </c>
      <c r="G3108" s="33" t="s">
        <v>450</v>
      </c>
    </row>
    <row r="3109" ht="15.75" customHeight="1">
      <c r="A3109" s="33" t="s">
        <v>7095</v>
      </c>
      <c r="B3109" s="33" t="s">
        <v>302</v>
      </c>
      <c r="C3109" s="39">
        <v>46012.0</v>
      </c>
      <c r="D3109" s="33" t="s">
        <v>461</v>
      </c>
      <c r="E3109" s="40">
        <v>92.75</v>
      </c>
      <c r="F3109" s="40">
        <v>1.46</v>
      </c>
      <c r="G3109" s="33" t="s">
        <v>450</v>
      </c>
    </row>
    <row r="3110" ht="15.75" customHeight="1">
      <c r="A3110" s="33" t="s">
        <v>7096</v>
      </c>
      <c r="B3110" s="33" t="s">
        <v>1416</v>
      </c>
      <c r="C3110" s="39">
        <v>45667.0</v>
      </c>
      <c r="D3110" s="33" t="s">
        <v>479</v>
      </c>
      <c r="E3110" s="40">
        <v>67.52</v>
      </c>
      <c r="F3110" s="40">
        <v>0.9</v>
      </c>
      <c r="G3110" s="33" t="s">
        <v>450</v>
      </c>
    </row>
    <row r="3111" ht="15.75" customHeight="1">
      <c r="A3111" s="33" t="s">
        <v>7097</v>
      </c>
      <c r="B3111" s="33" t="s">
        <v>3014</v>
      </c>
      <c r="C3111" s="39">
        <v>45785.0</v>
      </c>
      <c r="D3111" s="33" t="s">
        <v>435</v>
      </c>
      <c r="E3111" s="40">
        <v>121.53</v>
      </c>
      <c r="F3111" s="40">
        <v>0.0</v>
      </c>
      <c r="G3111" s="33" t="s">
        <v>442</v>
      </c>
    </row>
    <row r="3112" ht="15.75" customHeight="1">
      <c r="A3112" s="33" t="s">
        <v>7098</v>
      </c>
      <c r="B3112" s="33" t="s">
        <v>3864</v>
      </c>
      <c r="C3112" s="39">
        <v>45736.0</v>
      </c>
      <c r="D3112" s="33" t="s">
        <v>435</v>
      </c>
      <c r="E3112" s="40">
        <v>177.55</v>
      </c>
      <c r="F3112" s="40">
        <v>0.0</v>
      </c>
      <c r="G3112" s="33" t="s">
        <v>442</v>
      </c>
    </row>
    <row r="3113" ht="15.75" customHeight="1">
      <c r="A3113" s="33" t="s">
        <v>7099</v>
      </c>
      <c r="B3113" s="33" t="s">
        <v>220</v>
      </c>
      <c r="C3113" s="39">
        <v>45779.0</v>
      </c>
      <c r="D3113" s="33" t="s">
        <v>479</v>
      </c>
      <c r="E3113" s="40">
        <v>4.61</v>
      </c>
      <c r="F3113" s="40">
        <v>0.02</v>
      </c>
      <c r="G3113" s="33" t="s">
        <v>450</v>
      </c>
    </row>
    <row r="3114" ht="15.75" customHeight="1">
      <c r="A3114" s="33" t="s">
        <v>7100</v>
      </c>
      <c r="B3114" s="33" t="s">
        <v>251</v>
      </c>
      <c r="C3114" s="39">
        <v>45716.0</v>
      </c>
      <c r="D3114" s="33" t="s">
        <v>479</v>
      </c>
      <c r="E3114" s="40">
        <v>45.91</v>
      </c>
      <c r="F3114" s="40">
        <v>0.86</v>
      </c>
      <c r="G3114" s="33" t="s">
        <v>442</v>
      </c>
    </row>
    <row r="3115" ht="15.75" customHeight="1">
      <c r="A3115" s="33" t="s">
        <v>7101</v>
      </c>
      <c r="B3115" s="33" t="s">
        <v>728</v>
      </c>
      <c r="C3115" s="39">
        <v>46132.0</v>
      </c>
      <c r="D3115" s="33" t="s">
        <v>435</v>
      </c>
      <c r="E3115" s="40">
        <v>222.05</v>
      </c>
      <c r="F3115" s="40">
        <v>0.0</v>
      </c>
      <c r="G3115" s="33" t="s">
        <v>431</v>
      </c>
    </row>
    <row r="3116" ht="15.75" customHeight="1">
      <c r="A3116" s="33" t="s">
        <v>7102</v>
      </c>
      <c r="B3116" s="33" t="s">
        <v>3687</v>
      </c>
      <c r="C3116" s="39">
        <v>45957.0</v>
      </c>
      <c r="D3116" s="33" t="s">
        <v>440</v>
      </c>
      <c r="E3116" s="40">
        <v>295.23</v>
      </c>
      <c r="F3116" s="40">
        <v>0.0</v>
      </c>
      <c r="G3116" s="33" t="s">
        <v>450</v>
      </c>
    </row>
    <row r="3117" ht="15.75" customHeight="1">
      <c r="A3117" s="33" t="s">
        <v>7103</v>
      </c>
      <c r="B3117" s="33" t="s">
        <v>630</v>
      </c>
      <c r="C3117" s="39">
        <v>46065.0</v>
      </c>
      <c r="D3117" s="33" t="s">
        <v>461</v>
      </c>
      <c r="E3117" s="40">
        <v>38.69</v>
      </c>
      <c r="F3117" s="40">
        <v>0.26</v>
      </c>
      <c r="G3117" s="33" t="s">
        <v>431</v>
      </c>
    </row>
    <row r="3118" ht="15.75" customHeight="1">
      <c r="A3118" s="33" t="s">
        <v>7104</v>
      </c>
      <c r="B3118" s="33" t="s">
        <v>4000</v>
      </c>
      <c r="C3118" s="39">
        <v>46264.0</v>
      </c>
      <c r="D3118" s="33" t="s">
        <v>479</v>
      </c>
      <c r="E3118" s="40">
        <v>142.53</v>
      </c>
      <c r="F3118" s="40">
        <v>1.37</v>
      </c>
      <c r="G3118" s="33" t="s">
        <v>450</v>
      </c>
    </row>
    <row r="3119" ht="15.75" customHeight="1">
      <c r="A3119" s="33" t="s">
        <v>7105</v>
      </c>
      <c r="B3119" s="33" t="s">
        <v>788</v>
      </c>
      <c r="C3119" s="39">
        <v>46050.0</v>
      </c>
      <c r="D3119" s="33" t="s">
        <v>435</v>
      </c>
      <c r="E3119" s="40">
        <v>38.59</v>
      </c>
      <c r="F3119" s="40">
        <v>0.0</v>
      </c>
      <c r="G3119" s="33" t="s">
        <v>450</v>
      </c>
    </row>
    <row r="3120" ht="15.75" customHeight="1">
      <c r="A3120" s="33" t="s">
        <v>7106</v>
      </c>
      <c r="B3120" s="33" t="s">
        <v>2139</v>
      </c>
      <c r="C3120" s="39">
        <v>45948.0</v>
      </c>
      <c r="D3120" s="33" t="s">
        <v>440</v>
      </c>
      <c r="E3120" s="40">
        <v>29.55</v>
      </c>
      <c r="F3120" s="40">
        <v>0.0</v>
      </c>
      <c r="G3120" s="33" t="s">
        <v>450</v>
      </c>
    </row>
    <row r="3121" ht="15.75" customHeight="1">
      <c r="A3121" s="33" t="s">
        <v>7107</v>
      </c>
      <c r="B3121" s="33" t="s">
        <v>1280</v>
      </c>
      <c r="C3121" s="39">
        <v>45820.0</v>
      </c>
      <c r="D3121" s="33" t="s">
        <v>435</v>
      </c>
      <c r="E3121" s="40">
        <v>69.62</v>
      </c>
      <c r="F3121" s="40">
        <v>0.0</v>
      </c>
      <c r="G3121" s="33" t="s">
        <v>450</v>
      </c>
    </row>
    <row r="3122" ht="15.75" customHeight="1">
      <c r="A3122" s="33" t="s">
        <v>7108</v>
      </c>
      <c r="B3122" s="33" t="s">
        <v>2063</v>
      </c>
      <c r="C3122" s="39">
        <v>46115.0</v>
      </c>
      <c r="D3122" s="33" t="s">
        <v>428</v>
      </c>
      <c r="E3122" s="40">
        <v>154.29</v>
      </c>
      <c r="F3122" s="40">
        <v>0.0</v>
      </c>
      <c r="G3122" s="33" t="s">
        <v>450</v>
      </c>
    </row>
    <row r="3123" ht="15.75" customHeight="1">
      <c r="A3123" s="33" t="s">
        <v>7109</v>
      </c>
      <c r="B3123" s="33" t="s">
        <v>1554</v>
      </c>
      <c r="C3123" s="39">
        <v>45965.0</v>
      </c>
      <c r="D3123" s="33" t="s">
        <v>428</v>
      </c>
      <c r="E3123" s="40">
        <v>62.91</v>
      </c>
      <c r="F3123" s="40">
        <v>0.0</v>
      </c>
      <c r="G3123" s="33" t="s">
        <v>431</v>
      </c>
    </row>
    <row r="3124" ht="15.75" customHeight="1">
      <c r="A3124" s="33" t="s">
        <v>7110</v>
      </c>
      <c r="B3124" s="33" t="s">
        <v>1977</v>
      </c>
      <c r="C3124" s="39">
        <v>46117.0</v>
      </c>
      <c r="D3124" s="33" t="s">
        <v>440</v>
      </c>
      <c r="E3124" s="40">
        <v>152.87</v>
      </c>
      <c r="F3124" s="40">
        <v>0.0</v>
      </c>
      <c r="G3124" s="33" t="s">
        <v>450</v>
      </c>
    </row>
    <row r="3125" ht="15.75" customHeight="1">
      <c r="A3125" s="33" t="s">
        <v>7111</v>
      </c>
      <c r="B3125" s="33" t="s">
        <v>1393</v>
      </c>
      <c r="C3125" s="39">
        <v>45672.0</v>
      </c>
      <c r="D3125" s="33" t="s">
        <v>440</v>
      </c>
      <c r="E3125" s="40">
        <v>162.83</v>
      </c>
      <c r="F3125" s="40">
        <v>0.0</v>
      </c>
      <c r="G3125" s="33" t="s">
        <v>450</v>
      </c>
    </row>
    <row r="3126" ht="15.75" customHeight="1">
      <c r="A3126" s="33" t="s">
        <v>7112</v>
      </c>
      <c r="B3126" s="33" t="s">
        <v>1758</v>
      </c>
      <c r="C3126" s="39">
        <v>45757.0</v>
      </c>
      <c r="D3126" s="33" t="s">
        <v>435</v>
      </c>
      <c r="E3126" s="40">
        <v>51.96</v>
      </c>
      <c r="F3126" s="40">
        <v>0.0</v>
      </c>
      <c r="G3126" s="33" t="s">
        <v>442</v>
      </c>
    </row>
    <row r="3127" ht="15.75" customHeight="1">
      <c r="A3127" s="33" t="s">
        <v>7113</v>
      </c>
      <c r="B3127" s="33" t="s">
        <v>597</v>
      </c>
      <c r="C3127" s="39">
        <v>45736.0</v>
      </c>
      <c r="D3127" s="33" t="s">
        <v>461</v>
      </c>
      <c r="E3127" s="40">
        <v>50.71</v>
      </c>
      <c r="F3127" s="40">
        <v>0.81</v>
      </c>
      <c r="G3127" s="33" t="s">
        <v>450</v>
      </c>
    </row>
    <row r="3128" ht="15.75" customHeight="1">
      <c r="A3128" s="33" t="s">
        <v>7114</v>
      </c>
      <c r="B3128" s="33" t="s">
        <v>1217</v>
      </c>
      <c r="C3128" s="39">
        <v>46071.0</v>
      </c>
      <c r="D3128" s="33" t="s">
        <v>428</v>
      </c>
      <c r="E3128" s="40">
        <v>64.26</v>
      </c>
      <c r="F3128" s="40">
        <v>0.0</v>
      </c>
      <c r="G3128" s="33" t="s">
        <v>450</v>
      </c>
    </row>
    <row r="3129" ht="15.75" customHeight="1">
      <c r="A3129" s="33" t="s">
        <v>7115</v>
      </c>
      <c r="B3129" s="33" t="s">
        <v>407</v>
      </c>
      <c r="C3129" s="39">
        <v>45972.0</v>
      </c>
      <c r="D3129" s="33" t="s">
        <v>440</v>
      </c>
      <c r="E3129" s="40">
        <v>77.71</v>
      </c>
      <c r="F3129" s="40">
        <v>0.0</v>
      </c>
      <c r="G3129" s="33" t="s">
        <v>450</v>
      </c>
    </row>
    <row r="3130" ht="15.75" customHeight="1">
      <c r="A3130" s="33" t="s">
        <v>7116</v>
      </c>
      <c r="B3130" s="33" t="s">
        <v>478</v>
      </c>
      <c r="C3130" s="39">
        <v>45850.0</v>
      </c>
      <c r="D3130" s="33" t="s">
        <v>461</v>
      </c>
      <c r="E3130" s="40">
        <v>70.68</v>
      </c>
      <c r="F3130" s="40">
        <v>0.42</v>
      </c>
      <c r="G3130" s="33" t="s">
        <v>450</v>
      </c>
    </row>
    <row r="3131" ht="15.75" customHeight="1">
      <c r="A3131" s="33" t="s">
        <v>7117</v>
      </c>
      <c r="B3131" s="33" t="s">
        <v>3452</v>
      </c>
      <c r="C3131" s="39">
        <v>45845.0</v>
      </c>
      <c r="D3131" s="33" t="s">
        <v>440</v>
      </c>
      <c r="E3131" s="40">
        <v>83.31</v>
      </c>
      <c r="F3131" s="40">
        <v>0.0</v>
      </c>
      <c r="G3131" s="33" t="s">
        <v>450</v>
      </c>
    </row>
    <row r="3132" ht="15.75" customHeight="1">
      <c r="A3132" s="33" t="s">
        <v>7118</v>
      </c>
      <c r="B3132" s="33" t="s">
        <v>1991</v>
      </c>
      <c r="C3132" s="39">
        <v>46026.0</v>
      </c>
      <c r="D3132" s="33" t="s">
        <v>428</v>
      </c>
      <c r="E3132" s="40">
        <v>55.15</v>
      </c>
      <c r="F3132" s="40">
        <v>0.0</v>
      </c>
      <c r="G3132" s="33" t="s">
        <v>450</v>
      </c>
    </row>
    <row r="3133" ht="15.75" customHeight="1">
      <c r="A3133" s="33" t="s">
        <v>7119</v>
      </c>
      <c r="B3133" s="33" t="s">
        <v>902</v>
      </c>
      <c r="C3133" s="39">
        <v>46244.0</v>
      </c>
      <c r="D3133" s="33" t="s">
        <v>440</v>
      </c>
      <c r="E3133" s="40">
        <v>27.01</v>
      </c>
      <c r="F3133" s="40">
        <v>0.0</v>
      </c>
      <c r="G3133" s="33" t="s">
        <v>450</v>
      </c>
    </row>
    <row r="3134" ht="15.75" customHeight="1">
      <c r="A3134" s="33" t="s">
        <v>7120</v>
      </c>
      <c r="B3134" s="33" t="s">
        <v>404</v>
      </c>
      <c r="C3134" s="39">
        <v>46262.0</v>
      </c>
      <c r="D3134" s="33" t="s">
        <v>435</v>
      </c>
      <c r="E3134" s="40">
        <v>256.99</v>
      </c>
      <c r="F3134" s="40">
        <v>0.0</v>
      </c>
      <c r="G3134" s="33" t="s">
        <v>450</v>
      </c>
    </row>
    <row r="3135" ht="15.75" customHeight="1">
      <c r="A3135" s="33" t="s">
        <v>7121</v>
      </c>
      <c r="B3135" s="33" t="s">
        <v>1517</v>
      </c>
      <c r="C3135" s="39">
        <v>45944.0</v>
      </c>
      <c r="D3135" s="33" t="s">
        <v>428</v>
      </c>
      <c r="E3135" s="40">
        <v>45.87</v>
      </c>
      <c r="F3135" s="40">
        <v>0.0</v>
      </c>
      <c r="G3135" s="33" t="s">
        <v>442</v>
      </c>
    </row>
    <row r="3136" ht="15.75" customHeight="1">
      <c r="A3136" s="33" t="s">
        <v>7122</v>
      </c>
      <c r="B3136" s="33" t="s">
        <v>726</v>
      </c>
      <c r="C3136" s="39">
        <v>46064.0</v>
      </c>
      <c r="D3136" s="33" t="s">
        <v>428</v>
      </c>
      <c r="E3136" s="40">
        <v>15.19</v>
      </c>
      <c r="F3136" s="40">
        <v>0.0</v>
      </c>
      <c r="G3136" s="33" t="s">
        <v>450</v>
      </c>
    </row>
    <row r="3137" ht="15.75" customHeight="1">
      <c r="A3137" s="33" t="s">
        <v>7123</v>
      </c>
      <c r="B3137" s="33" t="s">
        <v>1062</v>
      </c>
      <c r="C3137" s="39">
        <v>45708.0</v>
      </c>
      <c r="D3137" s="33" t="s">
        <v>440</v>
      </c>
      <c r="E3137" s="40">
        <v>128.32</v>
      </c>
      <c r="F3137" s="40">
        <v>0.0</v>
      </c>
      <c r="G3137" s="33" t="s">
        <v>442</v>
      </c>
    </row>
    <row r="3138" ht="15.75" customHeight="1">
      <c r="A3138" s="33" t="s">
        <v>7124</v>
      </c>
      <c r="B3138" s="33" t="s">
        <v>2303</v>
      </c>
      <c r="C3138" s="39">
        <v>46231.0</v>
      </c>
      <c r="D3138" s="33" t="s">
        <v>428</v>
      </c>
      <c r="E3138" s="40">
        <v>31.97</v>
      </c>
      <c r="F3138" s="40">
        <v>0.0</v>
      </c>
      <c r="G3138" s="33" t="s">
        <v>450</v>
      </c>
    </row>
    <row r="3139" ht="15.75" customHeight="1">
      <c r="A3139" s="33" t="s">
        <v>7125</v>
      </c>
      <c r="B3139" s="33" t="s">
        <v>1816</v>
      </c>
      <c r="C3139" s="39">
        <v>45668.0</v>
      </c>
      <c r="D3139" s="33" t="s">
        <v>440</v>
      </c>
      <c r="E3139" s="40">
        <v>119.41</v>
      </c>
      <c r="F3139" s="40">
        <v>0.0</v>
      </c>
      <c r="G3139" s="33" t="s">
        <v>450</v>
      </c>
    </row>
    <row r="3140" ht="15.75" customHeight="1">
      <c r="A3140" s="33" t="s">
        <v>7126</v>
      </c>
      <c r="B3140" s="33" t="s">
        <v>1528</v>
      </c>
      <c r="C3140" s="39">
        <v>45865.0</v>
      </c>
      <c r="D3140" s="33" t="s">
        <v>440</v>
      </c>
      <c r="E3140" s="40">
        <v>44.14</v>
      </c>
      <c r="F3140" s="40">
        <v>0.0</v>
      </c>
      <c r="G3140" s="33" t="s">
        <v>450</v>
      </c>
    </row>
    <row r="3141" ht="15.75" customHeight="1">
      <c r="A3141" s="33" t="s">
        <v>7127</v>
      </c>
      <c r="B3141" s="33" t="s">
        <v>597</v>
      </c>
      <c r="C3141" s="39">
        <v>46098.0</v>
      </c>
      <c r="D3141" s="33" t="s">
        <v>479</v>
      </c>
      <c r="E3141" s="40">
        <v>290.0</v>
      </c>
      <c r="F3141" s="40">
        <v>4.78</v>
      </c>
      <c r="G3141" s="33" t="s">
        <v>450</v>
      </c>
    </row>
    <row r="3142" ht="15.75" customHeight="1">
      <c r="A3142" s="33" t="s">
        <v>7128</v>
      </c>
      <c r="B3142" s="33" t="s">
        <v>1140</v>
      </c>
      <c r="C3142" s="39">
        <v>46246.0</v>
      </c>
      <c r="D3142" s="33" t="s">
        <v>461</v>
      </c>
      <c r="E3142" s="40">
        <v>196.76</v>
      </c>
      <c r="F3142" s="40">
        <v>2.38</v>
      </c>
      <c r="G3142" s="33" t="s">
        <v>450</v>
      </c>
    </row>
    <row r="3143" ht="15.75" customHeight="1">
      <c r="A3143" s="33" t="s">
        <v>7129</v>
      </c>
      <c r="B3143" s="33" t="s">
        <v>668</v>
      </c>
      <c r="C3143" s="39">
        <v>45762.0</v>
      </c>
      <c r="D3143" s="33" t="s">
        <v>440</v>
      </c>
      <c r="E3143" s="40">
        <v>66.56</v>
      </c>
      <c r="F3143" s="40">
        <v>0.0</v>
      </c>
      <c r="G3143" s="33" t="s">
        <v>450</v>
      </c>
    </row>
    <row r="3144" ht="15.75" customHeight="1">
      <c r="A3144" s="33" t="s">
        <v>7130</v>
      </c>
      <c r="B3144" s="33" t="s">
        <v>806</v>
      </c>
      <c r="C3144" s="39">
        <v>46059.0</v>
      </c>
      <c r="D3144" s="33" t="s">
        <v>461</v>
      </c>
      <c r="E3144" s="40">
        <v>111.24</v>
      </c>
      <c r="F3144" s="40">
        <v>1.98</v>
      </c>
      <c r="G3144" s="33" t="s">
        <v>450</v>
      </c>
    </row>
    <row r="3145" ht="15.75" customHeight="1">
      <c r="A3145" s="33" t="s">
        <v>7131</v>
      </c>
      <c r="B3145" s="33" t="s">
        <v>1475</v>
      </c>
      <c r="C3145" s="39">
        <v>45772.0</v>
      </c>
      <c r="D3145" s="33" t="s">
        <v>461</v>
      </c>
      <c r="E3145" s="40">
        <v>95.61</v>
      </c>
      <c r="F3145" s="40">
        <v>1.61</v>
      </c>
      <c r="G3145" s="33" t="s">
        <v>442</v>
      </c>
    </row>
    <row r="3146" ht="15.75" customHeight="1">
      <c r="A3146" s="33" t="s">
        <v>7132</v>
      </c>
      <c r="B3146" s="33" t="s">
        <v>594</v>
      </c>
      <c r="C3146" s="39">
        <v>45688.0</v>
      </c>
      <c r="D3146" s="33" t="s">
        <v>435</v>
      </c>
      <c r="E3146" s="40">
        <v>42.78</v>
      </c>
      <c r="F3146" s="40">
        <v>0.0</v>
      </c>
      <c r="G3146" s="33" t="s">
        <v>442</v>
      </c>
    </row>
    <row r="3147" ht="15.75" customHeight="1">
      <c r="A3147" s="33" t="s">
        <v>7133</v>
      </c>
      <c r="B3147" s="33" t="s">
        <v>1711</v>
      </c>
      <c r="C3147" s="39">
        <v>45915.0</v>
      </c>
      <c r="D3147" s="33" t="s">
        <v>428</v>
      </c>
      <c r="E3147" s="40">
        <v>125.09</v>
      </c>
      <c r="F3147" s="40">
        <v>0.0</v>
      </c>
      <c r="G3147" s="33" t="s">
        <v>450</v>
      </c>
    </row>
    <row r="3148" ht="15.75" customHeight="1">
      <c r="A3148" s="33" t="s">
        <v>7134</v>
      </c>
      <c r="B3148" s="33" t="s">
        <v>815</v>
      </c>
      <c r="C3148" s="39">
        <v>46008.0</v>
      </c>
      <c r="D3148" s="33" t="s">
        <v>435</v>
      </c>
      <c r="E3148" s="40">
        <v>82.8</v>
      </c>
      <c r="F3148" s="40">
        <v>0.0</v>
      </c>
      <c r="G3148" s="33" t="s">
        <v>450</v>
      </c>
    </row>
    <row r="3149" ht="15.75" customHeight="1">
      <c r="A3149" s="33" t="s">
        <v>7135</v>
      </c>
      <c r="B3149" s="33" t="s">
        <v>1331</v>
      </c>
      <c r="C3149" s="39">
        <v>45818.0</v>
      </c>
      <c r="D3149" s="33" t="s">
        <v>479</v>
      </c>
      <c r="E3149" s="40">
        <v>91.74</v>
      </c>
      <c r="F3149" s="40">
        <v>1.27</v>
      </c>
      <c r="G3149" s="33" t="s">
        <v>431</v>
      </c>
    </row>
    <row r="3150" ht="15.75" customHeight="1">
      <c r="A3150" s="33" t="s">
        <v>7136</v>
      </c>
      <c r="B3150" s="33" t="s">
        <v>1140</v>
      </c>
      <c r="C3150" s="39">
        <v>46248.0</v>
      </c>
      <c r="D3150" s="33" t="s">
        <v>479</v>
      </c>
      <c r="E3150" s="40">
        <v>117.89</v>
      </c>
      <c r="F3150" s="40">
        <v>1.25</v>
      </c>
      <c r="G3150" s="33" t="s">
        <v>442</v>
      </c>
    </row>
    <row r="3151" ht="15.75" customHeight="1">
      <c r="A3151" s="33" t="s">
        <v>7137</v>
      </c>
      <c r="B3151" s="33" t="s">
        <v>3687</v>
      </c>
      <c r="C3151" s="39">
        <v>46032.0</v>
      </c>
      <c r="D3151" s="33" t="s">
        <v>479</v>
      </c>
      <c r="E3151" s="40">
        <v>72.19</v>
      </c>
      <c r="F3151" s="40">
        <v>0.57</v>
      </c>
      <c r="G3151" s="33" t="s">
        <v>431</v>
      </c>
    </row>
    <row r="3152" ht="15.75" customHeight="1">
      <c r="A3152" s="33" t="s">
        <v>7138</v>
      </c>
      <c r="B3152" s="33" t="s">
        <v>2732</v>
      </c>
      <c r="C3152" s="39">
        <v>45924.0</v>
      </c>
      <c r="D3152" s="33" t="s">
        <v>435</v>
      </c>
      <c r="E3152" s="40">
        <v>38.19</v>
      </c>
      <c r="F3152" s="40">
        <v>0.0</v>
      </c>
      <c r="G3152" s="33" t="s">
        <v>431</v>
      </c>
    </row>
    <row r="3153" ht="15.75" customHeight="1">
      <c r="A3153" s="33" t="s">
        <v>7139</v>
      </c>
      <c r="B3153" s="33" t="s">
        <v>460</v>
      </c>
      <c r="C3153" s="39">
        <v>45952.0</v>
      </c>
      <c r="D3153" s="33" t="s">
        <v>440</v>
      </c>
      <c r="E3153" s="40">
        <v>111.25</v>
      </c>
      <c r="F3153" s="40">
        <v>0.0</v>
      </c>
      <c r="G3153" s="33" t="s">
        <v>442</v>
      </c>
    </row>
    <row r="3154" ht="15.75" customHeight="1">
      <c r="A3154" s="33" t="s">
        <v>7140</v>
      </c>
      <c r="B3154" s="33" t="s">
        <v>1147</v>
      </c>
      <c r="C3154" s="39">
        <v>45939.0</v>
      </c>
      <c r="D3154" s="33" t="s">
        <v>435</v>
      </c>
      <c r="E3154" s="40">
        <v>132.92</v>
      </c>
      <c r="F3154" s="40">
        <v>0.0</v>
      </c>
      <c r="G3154" s="33" t="s">
        <v>431</v>
      </c>
    </row>
    <row r="3155" ht="15.75" customHeight="1">
      <c r="A3155" s="33" t="s">
        <v>7141</v>
      </c>
      <c r="B3155" s="33" t="s">
        <v>1077</v>
      </c>
      <c r="C3155" s="39">
        <v>45725.0</v>
      </c>
      <c r="D3155" s="33" t="s">
        <v>428</v>
      </c>
      <c r="E3155" s="40">
        <v>133.4</v>
      </c>
      <c r="F3155" s="40">
        <v>0.0</v>
      </c>
      <c r="G3155" s="33" t="s">
        <v>450</v>
      </c>
    </row>
    <row r="3156" ht="15.75" customHeight="1">
      <c r="A3156" s="33" t="s">
        <v>7142</v>
      </c>
      <c r="B3156" s="33" t="s">
        <v>855</v>
      </c>
      <c r="C3156" s="39">
        <v>46026.0</v>
      </c>
      <c r="D3156" s="33" t="s">
        <v>435</v>
      </c>
      <c r="E3156" s="40">
        <v>135.4</v>
      </c>
      <c r="F3156" s="40">
        <v>0.0</v>
      </c>
      <c r="G3156" s="33" t="s">
        <v>450</v>
      </c>
    </row>
    <row r="3157" ht="15.75" customHeight="1">
      <c r="A3157" s="33" t="s">
        <v>7143</v>
      </c>
      <c r="B3157" s="33" t="s">
        <v>1217</v>
      </c>
      <c r="C3157" s="39">
        <v>46134.0</v>
      </c>
      <c r="D3157" s="33" t="s">
        <v>479</v>
      </c>
      <c r="E3157" s="40">
        <v>101.35</v>
      </c>
      <c r="F3157" s="40">
        <v>1.02</v>
      </c>
      <c r="G3157" s="33" t="s">
        <v>450</v>
      </c>
    </row>
    <row r="3158" ht="15.75" customHeight="1">
      <c r="A3158" s="33" t="s">
        <v>7144</v>
      </c>
      <c r="B3158" s="33" t="s">
        <v>1099</v>
      </c>
      <c r="C3158" s="39">
        <v>45913.0</v>
      </c>
      <c r="D3158" s="33" t="s">
        <v>440</v>
      </c>
      <c r="E3158" s="40">
        <v>16.16</v>
      </c>
      <c r="F3158" s="40">
        <v>0.0</v>
      </c>
      <c r="G3158" s="33" t="s">
        <v>450</v>
      </c>
    </row>
    <row r="3159" ht="15.75" customHeight="1">
      <c r="A3159" s="33" t="s">
        <v>7145</v>
      </c>
      <c r="B3159" s="33" t="s">
        <v>308</v>
      </c>
      <c r="C3159" s="39">
        <v>45916.0</v>
      </c>
      <c r="D3159" s="33" t="s">
        <v>435</v>
      </c>
      <c r="E3159" s="40">
        <v>298.68</v>
      </c>
      <c r="F3159" s="40">
        <v>0.0</v>
      </c>
      <c r="G3159" s="33" t="s">
        <v>450</v>
      </c>
    </row>
    <row r="3160" ht="15.75" customHeight="1">
      <c r="A3160" s="33" t="s">
        <v>7146</v>
      </c>
      <c r="B3160" s="33" t="s">
        <v>4533</v>
      </c>
      <c r="C3160" s="39">
        <v>46210.0</v>
      </c>
      <c r="D3160" s="33" t="s">
        <v>440</v>
      </c>
      <c r="E3160" s="40">
        <v>132.23</v>
      </c>
      <c r="F3160" s="40">
        <v>0.0</v>
      </c>
      <c r="G3160" s="33" t="s">
        <v>450</v>
      </c>
    </row>
    <row r="3161" ht="15.75" customHeight="1">
      <c r="A3161" s="33" t="s">
        <v>7147</v>
      </c>
      <c r="B3161" s="33" t="s">
        <v>367</v>
      </c>
      <c r="C3161" s="39">
        <v>46028.0</v>
      </c>
      <c r="D3161" s="33" t="s">
        <v>428</v>
      </c>
      <c r="E3161" s="40">
        <v>57.74</v>
      </c>
      <c r="F3161" s="40">
        <v>0.0</v>
      </c>
      <c r="G3161" s="33" t="s">
        <v>442</v>
      </c>
    </row>
    <row r="3162" ht="15.75" customHeight="1">
      <c r="A3162" s="33" t="s">
        <v>7148</v>
      </c>
      <c r="B3162" s="33" t="s">
        <v>1305</v>
      </c>
      <c r="C3162" s="39">
        <v>45838.0</v>
      </c>
      <c r="D3162" s="33" t="s">
        <v>479</v>
      </c>
      <c r="E3162" s="40">
        <v>146.14</v>
      </c>
      <c r="F3162" s="40">
        <v>1.8</v>
      </c>
      <c r="G3162" s="33" t="s">
        <v>450</v>
      </c>
    </row>
    <row r="3163" ht="15.75" customHeight="1">
      <c r="A3163" s="33" t="s">
        <v>7149</v>
      </c>
      <c r="B3163" s="33" t="s">
        <v>850</v>
      </c>
      <c r="C3163" s="39">
        <v>45660.0</v>
      </c>
      <c r="D3163" s="33" t="s">
        <v>428</v>
      </c>
      <c r="E3163" s="40">
        <v>28.71</v>
      </c>
      <c r="F3163" s="40">
        <v>0.0</v>
      </c>
      <c r="G3163" s="33" t="s">
        <v>431</v>
      </c>
    </row>
    <row r="3164" ht="15.75" customHeight="1">
      <c r="A3164" s="33" t="s">
        <v>7150</v>
      </c>
      <c r="B3164" s="33" t="s">
        <v>3140</v>
      </c>
      <c r="C3164" s="39">
        <v>46157.0</v>
      </c>
      <c r="D3164" s="33" t="s">
        <v>428</v>
      </c>
      <c r="E3164" s="40">
        <v>119.95</v>
      </c>
      <c r="F3164" s="40">
        <v>0.0</v>
      </c>
      <c r="G3164" s="33" t="s">
        <v>442</v>
      </c>
    </row>
    <row r="3165" ht="15.75" customHeight="1">
      <c r="A3165" s="33" t="s">
        <v>7151</v>
      </c>
      <c r="B3165" s="33" t="s">
        <v>3407</v>
      </c>
      <c r="C3165" s="39">
        <v>46038.0</v>
      </c>
      <c r="D3165" s="33" t="s">
        <v>479</v>
      </c>
      <c r="E3165" s="40">
        <v>62.65</v>
      </c>
      <c r="F3165" s="40">
        <v>0.34</v>
      </c>
      <c r="G3165" s="33" t="s">
        <v>431</v>
      </c>
    </row>
    <row r="3166" ht="15.75" customHeight="1">
      <c r="A3166" s="33" t="s">
        <v>7152</v>
      </c>
      <c r="B3166" s="33" t="s">
        <v>558</v>
      </c>
      <c r="C3166" s="39">
        <v>46038.0</v>
      </c>
      <c r="D3166" s="33" t="s">
        <v>428</v>
      </c>
      <c r="E3166" s="40">
        <v>30.24</v>
      </c>
      <c r="F3166" s="40">
        <v>0.0</v>
      </c>
      <c r="G3166" s="33" t="s">
        <v>442</v>
      </c>
    </row>
    <row r="3167" ht="15.75" customHeight="1">
      <c r="A3167" s="33" t="s">
        <v>7153</v>
      </c>
      <c r="B3167" s="33" t="s">
        <v>587</v>
      </c>
      <c r="C3167" s="39">
        <v>45829.0</v>
      </c>
      <c r="D3167" s="33" t="s">
        <v>440</v>
      </c>
      <c r="E3167" s="40">
        <v>29.77</v>
      </c>
      <c r="F3167" s="40">
        <v>0.0</v>
      </c>
      <c r="G3167" s="33" t="s">
        <v>450</v>
      </c>
    </row>
    <row r="3168" ht="15.75" customHeight="1">
      <c r="A3168" s="33" t="s">
        <v>7154</v>
      </c>
      <c r="B3168" s="33" t="s">
        <v>1806</v>
      </c>
      <c r="C3168" s="39">
        <v>45770.0</v>
      </c>
      <c r="D3168" s="33" t="s">
        <v>479</v>
      </c>
      <c r="E3168" s="40">
        <v>106.94</v>
      </c>
      <c r="F3168" s="40">
        <v>0.98</v>
      </c>
      <c r="G3168" s="33" t="s">
        <v>450</v>
      </c>
    </row>
    <row r="3169" ht="15.75" customHeight="1">
      <c r="A3169" s="33" t="s">
        <v>7155</v>
      </c>
      <c r="B3169" s="33" t="s">
        <v>901</v>
      </c>
      <c r="C3169" s="39">
        <v>45958.0</v>
      </c>
      <c r="D3169" s="33" t="s">
        <v>461</v>
      </c>
      <c r="E3169" s="40">
        <v>116.28</v>
      </c>
      <c r="F3169" s="40">
        <v>0.61</v>
      </c>
      <c r="G3169" s="33" t="s">
        <v>442</v>
      </c>
    </row>
    <row r="3170" ht="15.75" customHeight="1">
      <c r="A3170" s="33" t="s">
        <v>7156</v>
      </c>
      <c r="B3170" s="33" t="s">
        <v>1979</v>
      </c>
      <c r="C3170" s="39">
        <v>46117.0</v>
      </c>
      <c r="D3170" s="33" t="s">
        <v>479</v>
      </c>
      <c r="E3170" s="40">
        <v>36.0</v>
      </c>
      <c r="F3170" s="40">
        <v>0.41</v>
      </c>
      <c r="G3170" s="33" t="s">
        <v>450</v>
      </c>
    </row>
    <row r="3171" ht="15.75" customHeight="1">
      <c r="A3171" s="33" t="s">
        <v>7157</v>
      </c>
      <c r="B3171" s="33" t="s">
        <v>206</v>
      </c>
      <c r="C3171" s="39">
        <v>45838.0</v>
      </c>
      <c r="D3171" s="33" t="s">
        <v>428</v>
      </c>
      <c r="E3171" s="40">
        <v>63.36</v>
      </c>
      <c r="F3171" s="40">
        <v>0.0</v>
      </c>
      <c r="G3171" s="33" t="s">
        <v>450</v>
      </c>
    </row>
    <row r="3172" ht="15.75" customHeight="1">
      <c r="A3172" s="33" t="s">
        <v>7158</v>
      </c>
      <c r="B3172" s="33" t="s">
        <v>1842</v>
      </c>
      <c r="C3172" s="39">
        <v>45977.0</v>
      </c>
      <c r="D3172" s="33" t="s">
        <v>435</v>
      </c>
      <c r="E3172" s="40">
        <v>99.41</v>
      </c>
      <c r="F3172" s="40">
        <v>0.0</v>
      </c>
      <c r="G3172" s="33" t="s">
        <v>450</v>
      </c>
    </row>
    <row r="3173" ht="15.75" customHeight="1">
      <c r="A3173" s="33" t="s">
        <v>7159</v>
      </c>
      <c r="B3173" s="33" t="s">
        <v>884</v>
      </c>
      <c r="C3173" s="39">
        <v>46262.0</v>
      </c>
      <c r="D3173" s="33" t="s">
        <v>479</v>
      </c>
      <c r="E3173" s="40">
        <v>51.08</v>
      </c>
      <c r="F3173" s="40">
        <v>0.57</v>
      </c>
      <c r="G3173" s="33" t="s">
        <v>450</v>
      </c>
    </row>
    <row r="3174" ht="15.75" customHeight="1">
      <c r="A3174" s="33" t="s">
        <v>7160</v>
      </c>
      <c r="B3174" s="33" t="s">
        <v>1405</v>
      </c>
      <c r="C3174" s="39">
        <v>45791.0</v>
      </c>
      <c r="D3174" s="33" t="s">
        <v>461</v>
      </c>
      <c r="E3174" s="40">
        <v>266.18</v>
      </c>
      <c r="F3174" s="40">
        <v>3.61</v>
      </c>
      <c r="G3174" s="33" t="s">
        <v>450</v>
      </c>
    </row>
    <row r="3175" ht="15.75" customHeight="1">
      <c r="A3175" s="33" t="s">
        <v>7161</v>
      </c>
      <c r="B3175" s="33" t="s">
        <v>572</v>
      </c>
      <c r="C3175" s="39">
        <v>45798.0</v>
      </c>
      <c r="D3175" s="33" t="s">
        <v>440</v>
      </c>
      <c r="E3175" s="40">
        <v>107.91</v>
      </c>
      <c r="F3175" s="40">
        <v>0.0</v>
      </c>
      <c r="G3175" s="33" t="s">
        <v>442</v>
      </c>
    </row>
    <row r="3176" ht="15.75" customHeight="1">
      <c r="A3176" s="33" t="s">
        <v>7162</v>
      </c>
      <c r="B3176" s="33" t="s">
        <v>1399</v>
      </c>
      <c r="C3176" s="39">
        <v>45801.0</v>
      </c>
      <c r="D3176" s="33" t="s">
        <v>428</v>
      </c>
      <c r="E3176" s="40">
        <v>72.33</v>
      </c>
      <c r="F3176" s="40">
        <v>0.0</v>
      </c>
      <c r="G3176" s="33" t="s">
        <v>431</v>
      </c>
    </row>
    <row r="3177" ht="15.75" customHeight="1">
      <c r="A3177" s="33" t="s">
        <v>7163</v>
      </c>
      <c r="B3177" s="33" t="s">
        <v>731</v>
      </c>
      <c r="C3177" s="39">
        <v>46212.0</v>
      </c>
      <c r="D3177" s="33" t="s">
        <v>440</v>
      </c>
      <c r="E3177" s="40">
        <v>161.57</v>
      </c>
      <c r="F3177" s="40">
        <v>0.0</v>
      </c>
      <c r="G3177" s="33" t="s">
        <v>431</v>
      </c>
    </row>
    <row r="3178" ht="15.75" customHeight="1">
      <c r="A3178" s="33" t="s">
        <v>7164</v>
      </c>
      <c r="B3178" s="33" t="s">
        <v>605</v>
      </c>
      <c r="C3178" s="39">
        <v>45978.0</v>
      </c>
      <c r="D3178" s="33" t="s">
        <v>440</v>
      </c>
      <c r="E3178" s="40">
        <v>114.47</v>
      </c>
      <c r="F3178" s="40">
        <v>0.0</v>
      </c>
      <c r="G3178" s="33" t="s">
        <v>450</v>
      </c>
    </row>
    <row r="3179" ht="15.75" customHeight="1">
      <c r="A3179" s="33" t="s">
        <v>7165</v>
      </c>
      <c r="B3179" s="33" t="s">
        <v>711</v>
      </c>
      <c r="C3179" s="39">
        <v>46215.0</v>
      </c>
      <c r="D3179" s="33" t="s">
        <v>440</v>
      </c>
      <c r="E3179" s="40">
        <v>100.07</v>
      </c>
      <c r="F3179" s="40">
        <v>0.0</v>
      </c>
      <c r="G3179" s="33" t="s">
        <v>431</v>
      </c>
    </row>
    <row r="3180" ht="15.75" customHeight="1">
      <c r="A3180" s="33" t="s">
        <v>7166</v>
      </c>
      <c r="B3180" s="33" t="s">
        <v>1297</v>
      </c>
      <c r="C3180" s="39">
        <v>46233.0</v>
      </c>
      <c r="D3180" s="33" t="s">
        <v>461</v>
      </c>
      <c r="E3180" s="40">
        <v>109.36</v>
      </c>
      <c r="F3180" s="40">
        <v>1.24</v>
      </c>
      <c r="G3180" s="33" t="s">
        <v>450</v>
      </c>
    </row>
    <row r="3181" ht="15.75" customHeight="1">
      <c r="A3181" s="33" t="s">
        <v>7167</v>
      </c>
      <c r="B3181" s="33" t="s">
        <v>1224</v>
      </c>
      <c r="C3181" s="39">
        <v>45913.0</v>
      </c>
      <c r="D3181" s="33" t="s">
        <v>435</v>
      </c>
      <c r="E3181" s="40">
        <v>134.57</v>
      </c>
      <c r="F3181" s="40">
        <v>0.0</v>
      </c>
      <c r="G3181" s="33" t="s">
        <v>431</v>
      </c>
    </row>
    <row r="3182" ht="15.75" customHeight="1">
      <c r="A3182" s="33" t="s">
        <v>7168</v>
      </c>
      <c r="B3182" s="33" t="s">
        <v>1045</v>
      </c>
      <c r="C3182" s="39">
        <v>45691.0</v>
      </c>
      <c r="D3182" s="33" t="s">
        <v>435</v>
      </c>
      <c r="E3182" s="40">
        <v>47.19</v>
      </c>
      <c r="F3182" s="40">
        <v>0.0</v>
      </c>
      <c r="G3182" s="33" t="s">
        <v>431</v>
      </c>
    </row>
    <row r="3183" ht="15.75" customHeight="1">
      <c r="A3183" s="33" t="s">
        <v>7169</v>
      </c>
      <c r="B3183" s="33" t="s">
        <v>1979</v>
      </c>
      <c r="C3183" s="39">
        <v>45842.0</v>
      </c>
      <c r="D3183" s="33" t="s">
        <v>461</v>
      </c>
      <c r="E3183" s="40">
        <v>12.03</v>
      </c>
      <c r="F3183" s="40">
        <v>0.12</v>
      </c>
      <c r="G3183" s="33" t="s">
        <v>450</v>
      </c>
    </row>
    <row r="3184" ht="15.75" customHeight="1">
      <c r="A3184" s="33" t="s">
        <v>7170</v>
      </c>
      <c r="B3184" s="33" t="s">
        <v>558</v>
      </c>
      <c r="C3184" s="39">
        <v>45988.0</v>
      </c>
      <c r="D3184" s="33" t="s">
        <v>440</v>
      </c>
      <c r="E3184" s="40">
        <v>170.86</v>
      </c>
      <c r="F3184" s="40">
        <v>0.0</v>
      </c>
      <c r="G3184" s="33" t="s">
        <v>450</v>
      </c>
    </row>
    <row r="3185" ht="15.75" customHeight="1">
      <c r="A3185" s="33" t="s">
        <v>7171</v>
      </c>
      <c r="B3185" s="33" t="s">
        <v>777</v>
      </c>
      <c r="C3185" s="39">
        <v>45889.0</v>
      </c>
      <c r="D3185" s="33" t="s">
        <v>435</v>
      </c>
      <c r="E3185" s="40">
        <v>83.02</v>
      </c>
      <c r="F3185" s="40">
        <v>0.0</v>
      </c>
      <c r="G3185" s="33" t="s">
        <v>442</v>
      </c>
    </row>
    <row r="3186" ht="15.75" customHeight="1">
      <c r="A3186" s="33" t="s">
        <v>7172</v>
      </c>
      <c r="B3186" s="33" t="s">
        <v>1092</v>
      </c>
      <c r="C3186" s="39">
        <v>45659.0</v>
      </c>
      <c r="D3186" s="33" t="s">
        <v>440</v>
      </c>
      <c r="E3186" s="40">
        <v>54.84</v>
      </c>
      <c r="F3186" s="40">
        <v>0.0</v>
      </c>
      <c r="G3186" s="33" t="s">
        <v>450</v>
      </c>
    </row>
    <row r="3187" ht="15.75" customHeight="1">
      <c r="A3187" s="33" t="s">
        <v>7173</v>
      </c>
      <c r="B3187" s="33" t="s">
        <v>2087</v>
      </c>
      <c r="C3187" s="39">
        <v>46258.0</v>
      </c>
      <c r="D3187" s="33" t="s">
        <v>440</v>
      </c>
      <c r="E3187" s="40">
        <v>38.04</v>
      </c>
      <c r="F3187" s="40">
        <v>0.0</v>
      </c>
      <c r="G3187" s="33" t="s">
        <v>442</v>
      </c>
    </row>
    <row r="3188" ht="15.75" customHeight="1">
      <c r="A3188" s="33" t="s">
        <v>7174</v>
      </c>
      <c r="B3188" s="33" t="s">
        <v>1725</v>
      </c>
      <c r="C3188" s="39">
        <v>45842.0</v>
      </c>
      <c r="D3188" s="33" t="s">
        <v>435</v>
      </c>
      <c r="E3188" s="40">
        <v>33.77</v>
      </c>
      <c r="F3188" s="40">
        <v>0.0</v>
      </c>
      <c r="G3188" s="33" t="s">
        <v>450</v>
      </c>
    </row>
    <row r="3189" ht="15.75" customHeight="1">
      <c r="A3189" s="33" t="s">
        <v>7175</v>
      </c>
      <c r="B3189" s="33" t="s">
        <v>642</v>
      </c>
      <c r="C3189" s="39">
        <v>46033.0</v>
      </c>
      <c r="D3189" s="33" t="s">
        <v>428</v>
      </c>
      <c r="E3189" s="40">
        <v>89.77</v>
      </c>
      <c r="F3189" s="40">
        <v>0.0</v>
      </c>
      <c r="G3189" s="33" t="s">
        <v>450</v>
      </c>
    </row>
    <row r="3190" ht="15.75" customHeight="1">
      <c r="A3190" s="33" t="s">
        <v>7176</v>
      </c>
      <c r="B3190" s="33" t="s">
        <v>1908</v>
      </c>
      <c r="C3190" s="39">
        <v>46232.0</v>
      </c>
      <c r="D3190" s="33" t="s">
        <v>435</v>
      </c>
      <c r="E3190" s="40">
        <v>77.17</v>
      </c>
      <c r="F3190" s="40">
        <v>0.0</v>
      </c>
      <c r="G3190" s="33" t="s">
        <v>431</v>
      </c>
    </row>
    <row r="3191" ht="15.75" customHeight="1">
      <c r="A3191" s="33" t="s">
        <v>7177</v>
      </c>
      <c r="B3191" s="33" t="s">
        <v>327</v>
      </c>
      <c r="C3191" s="39">
        <v>45988.0</v>
      </c>
      <c r="D3191" s="33" t="s">
        <v>479</v>
      </c>
      <c r="E3191" s="40">
        <v>163.01</v>
      </c>
      <c r="F3191" s="40">
        <v>2.71</v>
      </c>
      <c r="G3191" s="33" t="s">
        <v>450</v>
      </c>
    </row>
    <row r="3192" ht="15.75" customHeight="1">
      <c r="A3192" s="33" t="s">
        <v>7178</v>
      </c>
      <c r="B3192" s="33" t="s">
        <v>1393</v>
      </c>
      <c r="C3192" s="39">
        <v>46079.0</v>
      </c>
      <c r="D3192" s="33" t="s">
        <v>440</v>
      </c>
      <c r="E3192" s="40">
        <v>118.27</v>
      </c>
      <c r="F3192" s="40">
        <v>0.0</v>
      </c>
      <c r="G3192" s="33" t="s">
        <v>450</v>
      </c>
    </row>
    <row r="3193" ht="15.75" customHeight="1">
      <c r="A3193" s="33" t="s">
        <v>7179</v>
      </c>
      <c r="B3193" s="33" t="s">
        <v>2080</v>
      </c>
      <c r="C3193" s="39">
        <v>45679.0</v>
      </c>
      <c r="D3193" s="33" t="s">
        <v>440</v>
      </c>
      <c r="E3193" s="40">
        <v>132.94</v>
      </c>
      <c r="F3193" s="40">
        <v>0.0</v>
      </c>
      <c r="G3193" s="33" t="s">
        <v>450</v>
      </c>
    </row>
    <row r="3194" ht="15.75" customHeight="1">
      <c r="A3194" s="33" t="s">
        <v>7180</v>
      </c>
      <c r="B3194" s="33" t="s">
        <v>3598</v>
      </c>
      <c r="C3194" s="39">
        <v>46080.0</v>
      </c>
      <c r="D3194" s="33" t="s">
        <v>435</v>
      </c>
      <c r="E3194" s="40">
        <v>157.29</v>
      </c>
      <c r="F3194" s="40">
        <v>0.0</v>
      </c>
      <c r="G3194" s="33" t="s">
        <v>442</v>
      </c>
    </row>
    <row r="3195" ht="15.75" customHeight="1">
      <c r="A3195" s="33" t="s">
        <v>7181</v>
      </c>
      <c r="B3195" s="33" t="s">
        <v>3295</v>
      </c>
      <c r="C3195" s="39">
        <v>46172.0</v>
      </c>
      <c r="D3195" s="33" t="s">
        <v>428</v>
      </c>
      <c r="E3195" s="40">
        <v>93.3</v>
      </c>
      <c r="F3195" s="40">
        <v>0.0</v>
      </c>
      <c r="G3195" s="33" t="s">
        <v>450</v>
      </c>
    </row>
    <row r="3196" ht="15.75" customHeight="1">
      <c r="A3196" s="33" t="s">
        <v>7182</v>
      </c>
      <c r="B3196" s="33" t="s">
        <v>1227</v>
      </c>
      <c r="C3196" s="39">
        <v>46215.0</v>
      </c>
      <c r="D3196" s="33" t="s">
        <v>428</v>
      </c>
      <c r="E3196" s="40">
        <v>214.46</v>
      </c>
      <c r="F3196" s="40">
        <v>0.0</v>
      </c>
      <c r="G3196" s="33" t="s">
        <v>450</v>
      </c>
    </row>
    <row r="3197" ht="15.75" customHeight="1">
      <c r="A3197" s="33" t="s">
        <v>7183</v>
      </c>
      <c r="B3197" s="33" t="s">
        <v>575</v>
      </c>
      <c r="C3197" s="39">
        <v>45708.0</v>
      </c>
      <c r="D3197" s="33" t="s">
        <v>435</v>
      </c>
      <c r="E3197" s="40">
        <v>45.13</v>
      </c>
      <c r="F3197" s="40">
        <v>0.0</v>
      </c>
      <c r="G3197" s="33" t="s">
        <v>442</v>
      </c>
    </row>
    <row r="3198" ht="15.75" customHeight="1">
      <c r="A3198" s="33" t="s">
        <v>7184</v>
      </c>
      <c r="B3198" s="33" t="s">
        <v>1102</v>
      </c>
      <c r="C3198" s="39">
        <v>45796.0</v>
      </c>
      <c r="D3198" s="33" t="s">
        <v>435</v>
      </c>
      <c r="E3198" s="40">
        <v>155.08</v>
      </c>
      <c r="F3198" s="40">
        <v>0.0</v>
      </c>
      <c r="G3198" s="33" t="s">
        <v>442</v>
      </c>
    </row>
    <row r="3199" ht="15.75" customHeight="1">
      <c r="A3199" s="33" t="s">
        <v>7185</v>
      </c>
      <c r="B3199" s="33" t="s">
        <v>637</v>
      </c>
      <c r="C3199" s="39">
        <v>45686.0</v>
      </c>
      <c r="D3199" s="33" t="s">
        <v>428</v>
      </c>
      <c r="E3199" s="40">
        <v>11.84</v>
      </c>
      <c r="F3199" s="40">
        <v>0.0</v>
      </c>
      <c r="G3199" s="33" t="s">
        <v>431</v>
      </c>
    </row>
    <row r="3200" ht="15.75" customHeight="1">
      <c r="A3200" s="33" t="s">
        <v>7186</v>
      </c>
      <c r="B3200" s="33" t="s">
        <v>1402</v>
      </c>
      <c r="C3200" s="39">
        <v>46215.0</v>
      </c>
      <c r="D3200" s="33" t="s">
        <v>479</v>
      </c>
      <c r="E3200" s="40">
        <v>12.56</v>
      </c>
      <c r="F3200" s="40">
        <v>0.09</v>
      </c>
      <c r="G3200" s="33" t="s">
        <v>431</v>
      </c>
    </row>
    <row r="3201" ht="15.75" customHeight="1">
      <c r="A3201" s="33" t="s">
        <v>7187</v>
      </c>
      <c r="B3201" s="33" t="s">
        <v>2732</v>
      </c>
      <c r="C3201" s="39">
        <v>45824.0</v>
      </c>
      <c r="D3201" s="33" t="s">
        <v>435</v>
      </c>
      <c r="E3201" s="40">
        <v>27.99</v>
      </c>
      <c r="F3201" s="40">
        <v>0.0</v>
      </c>
      <c r="G3201" s="33" t="s">
        <v>442</v>
      </c>
    </row>
    <row r="3202" ht="15.75" customHeight="1">
      <c r="A3202" s="33" t="s">
        <v>7188</v>
      </c>
      <c r="B3202" s="33" t="s">
        <v>2239</v>
      </c>
      <c r="C3202" s="39">
        <v>45980.0</v>
      </c>
      <c r="D3202" s="33" t="s">
        <v>435</v>
      </c>
      <c r="E3202" s="40">
        <v>72.59</v>
      </c>
      <c r="F3202" s="40">
        <v>0.0</v>
      </c>
      <c r="G3202" s="33" t="s">
        <v>450</v>
      </c>
    </row>
    <row r="3203" ht="15.75" customHeight="1">
      <c r="A3203" s="33" t="s">
        <v>7189</v>
      </c>
      <c r="B3203" s="33" t="s">
        <v>1127</v>
      </c>
      <c r="C3203" s="39">
        <v>45946.0</v>
      </c>
      <c r="D3203" s="33" t="s">
        <v>479</v>
      </c>
      <c r="E3203" s="40">
        <v>10.38</v>
      </c>
      <c r="F3203" s="40">
        <v>0.07</v>
      </c>
      <c r="G3203" s="33" t="s">
        <v>450</v>
      </c>
    </row>
    <row r="3204" ht="15.75" customHeight="1">
      <c r="A3204" s="33" t="s">
        <v>7190</v>
      </c>
      <c r="B3204" s="33" t="s">
        <v>615</v>
      </c>
      <c r="C3204" s="39">
        <v>46076.0</v>
      </c>
      <c r="D3204" s="33" t="s">
        <v>479</v>
      </c>
      <c r="E3204" s="40">
        <v>70.75</v>
      </c>
      <c r="F3204" s="40">
        <v>0.6</v>
      </c>
      <c r="G3204" s="33" t="s">
        <v>442</v>
      </c>
    </row>
    <row r="3205" ht="15.75" customHeight="1">
      <c r="A3205" s="33" t="s">
        <v>7191</v>
      </c>
      <c r="B3205" s="33" t="s">
        <v>919</v>
      </c>
      <c r="C3205" s="39">
        <v>46201.0</v>
      </c>
      <c r="D3205" s="33" t="s">
        <v>461</v>
      </c>
      <c r="E3205" s="40">
        <v>57.44</v>
      </c>
      <c r="F3205" s="40">
        <v>0.33</v>
      </c>
      <c r="G3205" s="33" t="s">
        <v>450</v>
      </c>
    </row>
    <row r="3206" ht="15.75" customHeight="1">
      <c r="A3206" s="33" t="s">
        <v>7192</v>
      </c>
      <c r="B3206" s="33" t="s">
        <v>887</v>
      </c>
      <c r="C3206" s="39">
        <v>45854.0</v>
      </c>
      <c r="D3206" s="33" t="s">
        <v>435</v>
      </c>
      <c r="E3206" s="40">
        <v>281.59</v>
      </c>
      <c r="F3206" s="40">
        <v>0.0</v>
      </c>
      <c r="G3206" s="33" t="s">
        <v>450</v>
      </c>
    </row>
    <row r="3207" ht="15.75" customHeight="1">
      <c r="A3207" s="33" t="s">
        <v>7193</v>
      </c>
      <c r="B3207" s="33" t="s">
        <v>2429</v>
      </c>
      <c r="C3207" s="39">
        <v>46137.0</v>
      </c>
      <c r="D3207" s="33" t="s">
        <v>440</v>
      </c>
      <c r="E3207" s="40">
        <v>21.43</v>
      </c>
      <c r="F3207" s="40">
        <v>0.0</v>
      </c>
      <c r="G3207" s="33" t="s">
        <v>450</v>
      </c>
    </row>
    <row r="3208" ht="15.75" customHeight="1">
      <c r="A3208" s="33" t="s">
        <v>7194</v>
      </c>
      <c r="B3208" s="33" t="s">
        <v>664</v>
      </c>
      <c r="C3208" s="39">
        <v>45834.0</v>
      </c>
      <c r="D3208" s="33" t="s">
        <v>440</v>
      </c>
      <c r="E3208" s="40">
        <v>86.86</v>
      </c>
      <c r="F3208" s="40">
        <v>0.0</v>
      </c>
      <c r="G3208" s="33" t="s">
        <v>442</v>
      </c>
    </row>
    <row r="3209" ht="15.75" customHeight="1">
      <c r="A3209" s="33" t="s">
        <v>7195</v>
      </c>
      <c r="B3209" s="33" t="s">
        <v>2715</v>
      </c>
      <c r="C3209" s="39">
        <v>45777.0</v>
      </c>
      <c r="D3209" s="33" t="s">
        <v>479</v>
      </c>
      <c r="E3209" s="40">
        <v>116.37</v>
      </c>
      <c r="F3209" s="40">
        <v>1.98</v>
      </c>
      <c r="G3209" s="33" t="s">
        <v>442</v>
      </c>
    </row>
    <row r="3210" ht="15.75" customHeight="1">
      <c r="A3210" s="33" t="s">
        <v>7196</v>
      </c>
      <c r="B3210" s="33" t="s">
        <v>1725</v>
      </c>
      <c r="C3210" s="39">
        <v>45722.0</v>
      </c>
      <c r="D3210" s="33" t="s">
        <v>440</v>
      </c>
      <c r="E3210" s="40">
        <v>204.88</v>
      </c>
      <c r="F3210" s="40">
        <v>0.0</v>
      </c>
      <c r="G3210" s="33" t="s">
        <v>431</v>
      </c>
    </row>
    <row r="3211" ht="15.75" customHeight="1">
      <c r="A3211" s="33" t="s">
        <v>7197</v>
      </c>
      <c r="B3211" s="33" t="s">
        <v>888</v>
      </c>
      <c r="C3211" s="39">
        <v>45883.0</v>
      </c>
      <c r="D3211" s="33" t="s">
        <v>440</v>
      </c>
      <c r="E3211" s="40">
        <v>130.85</v>
      </c>
      <c r="F3211" s="40">
        <v>0.0</v>
      </c>
      <c r="G3211" s="33" t="s">
        <v>450</v>
      </c>
    </row>
    <row r="3212" ht="15.75" customHeight="1">
      <c r="A3212" s="33" t="s">
        <v>7198</v>
      </c>
      <c r="B3212" s="33" t="s">
        <v>1711</v>
      </c>
      <c r="C3212" s="39">
        <v>45998.0</v>
      </c>
      <c r="D3212" s="33" t="s">
        <v>428</v>
      </c>
      <c r="E3212" s="40">
        <v>172.25</v>
      </c>
      <c r="F3212" s="40">
        <v>0.0</v>
      </c>
      <c r="G3212" s="33" t="s">
        <v>431</v>
      </c>
    </row>
    <row r="3213" ht="15.75" customHeight="1">
      <c r="A3213" s="33" t="s">
        <v>7199</v>
      </c>
      <c r="B3213" s="33" t="s">
        <v>819</v>
      </c>
      <c r="C3213" s="39">
        <v>46131.0</v>
      </c>
      <c r="D3213" s="33" t="s">
        <v>479</v>
      </c>
      <c r="E3213" s="40">
        <v>96.06</v>
      </c>
      <c r="F3213" s="40">
        <v>0.68</v>
      </c>
      <c r="G3213" s="33" t="s">
        <v>450</v>
      </c>
    </row>
    <row r="3214" ht="15.75" customHeight="1">
      <c r="A3214" s="33" t="s">
        <v>7200</v>
      </c>
      <c r="B3214" s="33" t="s">
        <v>2809</v>
      </c>
      <c r="C3214" s="39">
        <v>46172.0</v>
      </c>
      <c r="D3214" s="33" t="s">
        <v>479</v>
      </c>
      <c r="E3214" s="40">
        <v>41.22</v>
      </c>
      <c r="F3214" s="40">
        <v>0.24</v>
      </c>
      <c r="G3214" s="33" t="s">
        <v>450</v>
      </c>
    </row>
    <row r="3215" ht="15.75" customHeight="1">
      <c r="A3215" s="33" t="s">
        <v>7201</v>
      </c>
      <c r="B3215" s="33" t="s">
        <v>1737</v>
      </c>
      <c r="C3215" s="39">
        <v>45977.0</v>
      </c>
      <c r="D3215" s="33" t="s">
        <v>435</v>
      </c>
      <c r="E3215" s="40">
        <v>19.19</v>
      </c>
      <c r="F3215" s="40">
        <v>0.0</v>
      </c>
      <c r="G3215" s="33" t="s">
        <v>431</v>
      </c>
    </row>
    <row r="3216" ht="15.75" customHeight="1">
      <c r="A3216" s="33" t="s">
        <v>7202</v>
      </c>
      <c r="B3216" s="33" t="s">
        <v>1473</v>
      </c>
      <c r="C3216" s="39">
        <v>45906.0</v>
      </c>
      <c r="D3216" s="33" t="s">
        <v>435</v>
      </c>
      <c r="E3216" s="40">
        <v>139.23</v>
      </c>
      <c r="F3216" s="40">
        <v>0.0</v>
      </c>
      <c r="G3216" s="33" t="s">
        <v>450</v>
      </c>
    </row>
    <row r="3217" ht="15.75" customHeight="1">
      <c r="A3217" s="33" t="s">
        <v>7203</v>
      </c>
      <c r="B3217" s="33" t="s">
        <v>1966</v>
      </c>
      <c r="C3217" s="39">
        <v>45763.0</v>
      </c>
      <c r="D3217" s="33" t="s">
        <v>461</v>
      </c>
      <c r="E3217" s="40">
        <v>55.19</v>
      </c>
      <c r="F3217" s="40">
        <v>0.42</v>
      </c>
      <c r="G3217" s="33" t="s">
        <v>450</v>
      </c>
    </row>
    <row r="3218" ht="15.75" customHeight="1">
      <c r="A3218" s="33" t="s">
        <v>7204</v>
      </c>
      <c r="B3218" s="33" t="s">
        <v>2153</v>
      </c>
      <c r="C3218" s="39">
        <v>46212.0</v>
      </c>
      <c r="D3218" s="33" t="s">
        <v>428</v>
      </c>
      <c r="E3218" s="40">
        <v>8.53</v>
      </c>
      <c r="F3218" s="40">
        <v>0.0</v>
      </c>
      <c r="G3218" s="33" t="s">
        <v>442</v>
      </c>
    </row>
    <row r="3219" ht="15.75" customHeight="1">
      <c r="A3219" s="33" t="s">
        <v>7205</v>
      </c>
      <c r="B3219" s="33" t="s">
        <v>671</v>
      </c>
      <c r="C3219" s="39">
        <v>45898.0</v>
      </c>
      <c r="D3219" s="33" t="s">
        <v>479</v>
      </c>
      <c r="E3219" s="40">
        <v>59.72</v>
      </c>
      <c r="F3219" s="40">
        <v>0.59</v>
      </c>
      <c r="G3219" s="33" t="s">
        <v>442</v>
      </c>
    </row>
    <row r="3220" ht="15.75" customHeight="1">
      <c r="A3220" s="33" t="s">
        <v>7206</v>
      </c>
      <c r="B3220" s="33" t="s">
        <v>1266</v>
      </c>
      <c r="C3220" s="39">
        <v>46122.0</v>
      </c>
      <c r="D3220" s="33" t="s">
        <v>435</v>
      </c>
      <c r="E3220" s="40">
        <v>76.77</v>
      </c>
      <c r="F3220" s="40">
        <v>0.0</v>
      </c>
      <c r="G3220" s="33" t="s">
        <v>450</v>
      </c>
    </row>
    <row r="3221" ht="15.75" customHeight="1">
      <c r="A3221" s="33" t="s">
        <v>7207</v>
      </c>
      <c r="B3221" s="33" t="s">
        <v>2080</v>
      </c>
      <c r="C3221" s="39">
        <v>46037.0</v>
      </c>
      <c r="D3221" s="33" t="s">
        <v>479</v>
      </c>
      <c r="E3221" s="40">
        <v>189.77</v>
      </c>
      <c r="F3221" s="40">
        <v>1.6</v>
      </c>
      <c r="G3221" s="33" t="s">
        <v>431</v>
      </c>
    </row>
    <row r="3222" ht="15.75" customHeight="1">
      <c r="A3222" s="33" t="s">
        <v>7208</v>
      </c>
      <c r="B3222" s="33" t="s">
        <v>1920</v>
      </c>
      <c r="C3222" s="39">
        <v>46223.0</v>
      </c>
      <c r="D3222" s="33" t="s">
        <v>440</v>
      </c>
      <c r="E3222" s="40">
        <v>63.94</v>
      </c>
      <c r="F3222" s="40">
        <v>0.0</v>
      </c>
      <c r="G3222" s="33" t="s">
        <v>431</v>
      </c>
    </row>
    <row r="3223" ht="15.75" customHeight="1">
      <c r="A3223" s="33" t="s">
        <v>7209</v>
      </c>
      <c r="B3223" s="33" t="s">
        <v>1510</v>
      </c>
      <c r="C3223" s="39">
        <v>46248.0</v>
      </c>
      <c r="D3223" s="33" t="s">
        <v>435</v>
      </c>
      <c r="E3223" s="40">
        <v>77.24</v>
      </c>
      <c r="F3223" s="40">
        <v>0.0</v>
      </c>
      <c r="G3223" s="33" t="s">
        <v>442</v>
      </c>
    </row>
    <row r="3224" ht="15.75" customHeight="1">
      <c r="A3224" s="33" t="s">
        <v>7210</v>
      </c>
      <c r="B3224" s="33" t="s">
        <v>1344</v>
      </c>
      <c r="C3224" s="39">
        <v>46087.0</v>
      </c>
      <c r="D3224" s="33" t="s">
        <v>435</v>
      </c>
      <c r="E3224" s="40">
        <v>78.2</v>
      </c>
      <c r="F3224" s="40">
        <v>0.0</v>
      </c>
      <c r="G3224" s="33" t="s">
        <v>450</v>
      </c>
    </row>
    <row r="3225" ht="15.75" customHeight="1">
      <c r="A3225" s="33" t="s">
        <v>7211</v>
      </c>
      <c r="B3225" s="33" t="s">
        <v>1887</v>
      </c>
      <c r="C3225" s="39">
        <v>46059.0</v>
      </c>
      <c r="D3225" s="33" t="s">
        <v>479</v>
      </c>
      <c r="E3225" s="40">
        <v>152.59</v>
      </c>
      <c r="F3225" s="40">
        <v>1.08</v>
      </c>
      <c r="G3225" s="33" t="s">
        <v>431</v>
      </c>
    </row>
    <row r="3226" ht="15.75" customHeight="1">
      <c r="A3226" s="33" t="s">
        <v>7212</v>
      </c>
      <c r="B3226" s="33" t="s">
        <v>767</v>
      </c>
      <c r="C3226" s="39">
        <v>45741.0</v>
      </c>
      <c r="D3226" s="33" t="s">
        <v>479</v>
      </c>
      <c r="E3226" s="40">
        <v>42.22</v>
      </c>
      <c r="F3226" s="40">
        <v>0.27</v>
      </c>
      <c r="G3226" s="33" t="s">
        <v>450</v>
      </c>
    </row>
    <row r="3227" ht="15.75" customHeight="1">
      <c r="A3227" s="33" t="s">
        <v>7213</v>
      </c>
      <c r="B3227" s="33" t="s">
        <v>303</v>
      </c>
      <c r="C3227" s="39">
        <v>45667.0</v>
      </c>
      <c r="D3227" s="33" t="s">
        <v>479</v>
      </c>
      <c r="E3227" s="40">
        <v>105.42</v>
      </c>
      <c r="F3227" s="40">
        <v>0.91</v>
      </c>
      <c r="G3227" s="33" t="s">
        <v>442</v>
      </c>
    </row>
    <row r="3228" ht="15.75" customHeight="1">
      <c r="A3228" s="33" t="s">
        <v>7214</v>
      </c>
      <c r="B3228" s="33" t="s">
        <v>1137</v>
      </c>
      <c r="C3228" s="39">
        <v>45989.0</v>
      </c>
      <c r="D3228" s="33" t="s">
        <v>461</v>
      </c>
      <c r="E3228" s="40">
        <v>51.13</v>
      </c>
      <c r="F3228" s="40">
        <v>0.62</v>
      </c>
      <c r="G3228" s="33" t="s">
        <v>431</v>
      </c>
    </row>
    <row r="3229" ht="15.75" customHeight="1">
      <c r="A3229" s="33" t="s">
        <v>7215</v>
      </c>
      <c r="B3229" s="33" t="s">
        <v>4000</v>
      </c>
      <c r="C3229" s="39">
        <v>46085.0</v>
      </c>
      <c r="D3229" s="33" t="s">
        <v>440</v>
      </c>
      <c r="E3229" s="40">
        <v>186.8</v>
      </c>
      <c r="F3229" s="40">
        <v>0.0</v>
      </c>
      <c r="G3229" s="33" t="s">
        <v>450</v>
      </c>
    </row>
    <row r="3230" ht="15.75" customHeight="1">
      <c r="A3230" s="33" t="s">
        <v>7216</v>
      </c>
      <c r="B3230" s="33" t="s">
        <v>3140</v>
      </c>
      <c r="C3230" s="39">
        <v>46110.0</v>
      </c>
      <c r="D3230" s="33" t="s">
        <v>440</v>
      </c>
      <c r="E3230" s="40">
        <v>216.32</v>
      </c>
      <c r="F3230" s="40">
        <v>0.0</v>
      </c>
      <c r="G3230" s="33" t="s">
        <v>450</v>
      </c>
    </row>
    <row r="3231" ht="15.75" customHeight="1">
      <c r="A3231" s="33" t="s">
        <v>7217</v>
      </c>
      <c r="B3231" s="33" t="s">
        <v>1360</v>
      </c>
      <c r="C3231" s="39">
        <v>45810.0</v>
      </c>
      <c r="D3231" s="33" t="s">
        <v>461</v>
      </c>
      <c r="E3231" s="40">
        <v>87.17</v>
      </c>
      <c r="F3231" s="40">
        <v>0.65</v>
      </c>
      <c r="G3231" s="33" t="s">
        <v>450</v>
      </c>
    </row>
    <row r="3232" ht="15.75" customHeight="1">
      <c r="A3232" s="33" t="s">
        <v>7218</v>
      </c>
      <c r="B3232" s="33" t="s">
        <v>2197</v>
      </c>
      <c r="C3232" s="39">
        <v>45963.0</v>
      </c>
      <c r="D3232" s="33" t="s">
        <v>435</v>
      </c>
      <c r="E3232" s="40">
        <v>100.05</v>
      </c>
      <c r="F3232" s="40">
        <v>0.0</v>
      </c>
      <c r="G3232" s="33" t="s">
        <v>450</v>
      </c>
    </row>
    <row r="3233" ht="15.75" customHeight="1">
      <c r="A3233" s="33" t="s">
        <v>7219</v>
      </c>
      <c r="B3233" s="33" t="s">
        <v>186</v>
      </c>
      <c r="C3233" s="39">
        <v>46181.0</v>
      </c>
      <c r="D3233" s="33" t="s">
        <v>435</v>
      </c>
      <c r="E3233" s="40">
        <v>65.14</v>
      </c>
      <c r="F3233" s="40">
        <v>0.0</v>
      </c>
      <c r="G3233" s="33" t="s">
        <v>450</v>
      </c>
    </row>
    <row r="3234" ht="15.75" customHeight="1">
      <c r="A3234" s="33" t="s">
        <v>7220</v>
      </c>
      <c r="B3234" s="33" t="s">
        <v>1524</v>
      </c>
      <c r="C3234" s="39">
        <v>45716.0</v>
      </c>
      <c r="D3234" s="33" t="s">
        <v>428</v>
      </c>
      <c r="E3234" s="40">
        <v>12.5</v>
      </c>
      <c r="F3234" s="40">
        <v>0.0</v>
      </c>
      <c r="G3234" s="33" t="s">
        <v>450</v>
      </c>
    </row>
    <row r="3235" ht="15.75" customHeight="1">
      <c r="A3235" s="33" t="s">
        <v>7221</v>
      </c>
      <c r="B3235" s="33" t="s">
        <v>1547</v>
      </c>
      <c r="C3235" s="39">
        <v>45891.0</v>
      </c>
      <c r="D3235" s="33" t="s">
        <v>440</v>
      </c>
      <c r="E3235" s="40">
        <v>78.72</v>
      </c>
      <c r="F3235" s="40">
        <v>0.0</v>
      </c>
      <c r="G3235" s="33" t="s">
        <v>450</v>
      </c>
    </row>
    <row r="3236" ht="15.75" customHeight="1">
      <c r="A3236" s="33" t="s">
        <v>7222</v>
      </c>
      <c r="B3236" s="33" t="s">
        <v>206</v>
      </c>
      <c r="C3236" s="39">
        <v>46231.0</v>
      </c>
      <c r="D3236" s="33" t="s">
        <v>435</v>
      </c>
      <c r="E3236" s="40">
        <v>73.23</v>
      </c>
      <c r="F3236" s="40">
        <v>0.0</v>
      </c>
      <c r="G3236" s="33" t="s">
        <v>442</v>
      </c>
    </row>
    <row r="3237" ht="15.75" customHeight="1">
      <c r="A3237" s="33" t="s">
        <v>7223</v>
      </c>
      <c r="B3237" s="33" t="s">
        <v>1383</v>
      </c>
      <c r="C3237" s="39">
        <v>45779.0</v>
      </c>
      <c r="D3237" s="33" t="s">
        <v>461</v>
      </c>
      <c r="E3237" s="40">
        <v>58.54</v>
      </c>
      <c r="F3237" s="40">
        <v>0.62</v>
      </c>
      <c r="G3237" s="33" t="s">
        <v>442</v>
      </c>
    </row>
    <row r="3238" ht="15.75" customHeight="1">
      <c r="A3238" s="33" t="s">
        <v>7224</v>
      </c>
      <c r="B3238" s="33" t="s">
        <v>1987</v>
      </c>
      <c r="C3238" s="39">
        <v>45850.0</v>
      </c>
      <c r="D3238" s="33" t="s">
        <v>479</v>
      </c>
      <c r="E3238" s="40">
        <v>64.15</v>
      </c>
      <c r="F3238" s="40">
        <v>0.89</v>
      </c>
      <c r="G3238" s="33" t="s">
        <v>431</v>
      </c>
    </row>
    <row r="3239" ht="15.75" customHeight="1">
      <c r="A3239" s="33" t="s">
        <v>7225</v>
      </c>
      <c r="B3239" s="33" t="s">
        <v>314</v>
      </c>
      <c r="C3239" s="39">
        <v>45942.0</v>
      </c>
      <c r="D3239" s="33" t="s">
        <v>435</v>
      </c>
      <c r="E3239" s="40">
        <v>106.45</v>
      </c>
      <c r="F3239" s="40">
        <v>0.0</v>
      </c>
      <c r="G3239" s="33" t="s">
        <v>450</v>
      </c>
    </row>
    <row r="3240" ht="15.75" customHeight="1">
      <c r="A3240" s="33" t="s">
        <v>7226</v>
      </c>
      <c r="B3240" s="33" t="s">
        <v>1868</v>
      </c>
      <c r="C3240" s="39">
        <v>46075.0</v>
      </c>
      <c r="D3240" s="33" t="s">
        <v>428</v>
      </c>
      <c r="E3240" s="40">
        <v>100.22</v>
      </c>
      <c r="F3240" s="40">
        <v>0.0</v>
      </c>
      <c r="G3240" s="33" t="s">
        <v>431</v>
      </c>
    </row>
    <row r="3241" ht="15.75" customHeight="1">
      <c r="A3241" s="33" t="s">
        <v>7227</v>
      </c>
      <c r="B3241" s="33" t="s">
        <v>3055</v>
      </c>
      <c r="C3241" s="39">
        <v>45812.0</v>
      </c>
      <c r="D3241" s="33" t="s">
        <v>440</v>
      </c>
      <c r="E3241" s="40">
        <v>65.52</v>
      </c>
      <c r="F3241" s="40">
        <v>0.0</v>
      </c>
      <c r="G3241" s="33" t="s">
        <v>450</v>
      </c>
    </row>
    <row r="3242" ht="15.75" customHeight="1">
      <c r="A3242" s="33" t="s">
        <v>7228</v>
      </c>
      <c r="B3242" s="33" t="s">
        <v>1402</v>
      </c>
      <c r="C3242" s="39">
        <v>46138.0</v>
      </c>
      <c r="D3242" s="33" t="s">
        <v>461</v>
      </c>
      <c r="E3242" s="40">
        <v>198.29</v>
      </c>
      <c r="F3242" s="40">
        <v>1.7</v>
      </c>
      <c r="G3242" s="33" t="s">
        <v>450</v>
      </c>
    </row>
    <row r="3243" ht="15.75" customHeight="1">
      <c r="A3243" s="33" t="s">
        <v>7229</v>
      </c>
      <c r="B3243" s="33" t="s">
        <v>675</v>
      </c>
      <c r="C3243" s="39">
        <v>45801.0</v>
      </c>
      <c r="D3243" s="33" t="s">
        <v>461</v>
      </c>
      <c r="E3243" s="40">
        <v>10.32</v>
      </c>
      <c r="F3243" s="40">
        <v>0.12</v>
      </c>
      <c r="G3243" s="33" t="s">
        <v>431</v>
      </c>
    </row>
    <row r="3244" ht="15.75" customHeight="1">
      <c r="A3244" s="33" t="s">
        <v>7230</v>
      </c>
      <c r="B3244" s="33" t="s">
        <v>1557</v>
      </c>
      <c r="C3244" s="39">
        <v>45881.0</v>
      </c>
      <c r="D3244" s="33" t="s">
        <v>428</v>
      </c>
      <c r="E3244" s="40">
        <v>44.06</v>
      </c>
      <c r="F3244" s="40">
        <v>0.0</v>
      </c>
      <c r="G3244" s="33" t="s">
        <v>450</v>
      </c>
    </row>
    <row r="3245" ht="15.75" customHeight="1">
      <c r="A3245" s="33" t="s">
        <v>7231</v>
      </c>
      <c r="B3245" s="33" t="s">
        <v>3552</v>
      </c>
      <c r="C3245" s="39">
        <v>46005.0</v>
      </c>
      <c r="D3245" s="33" t="s">
        <v>461</v>
      </c>
      <c r="E3245" s="40">
        <v>139.08</v>
      </c>
      <c r="F3245" s="40">
        <v>1.26</v>
      </c>
      <c r="G3245" s="33" t="s">
        <v>450</v>
      </c>
    </row>
    <row r="3246" ht="15.75" customHeight="1">
      <c r="A3246" s="33" t="s">
        <v>7232</v>
      </c>
      <c r="B3246" s="33" t="s">
        <v>1941</v>
      </c>
      <c r="C3246" s="39">
        <v>45665.0</v>
      </c>
      <c r="D3246" s="33" t="s">
        <v>461</v>
      </c>
      <c r="E3246" s="40">
        <v>14.95</v>
      </c>
      <c r="F3246" s="40">
        <v>0.24</v>
      </c>
      <c r="G3246" s="33" t="s">
        <v>431</v>
      </c>
    </row>
    <row r="3247" ht="15.75" customHeight="1">
      <c r="A3247" s="33" t="s">
        <v>7233</v>
      </c>
      <c r="B3247" s="33" t="s">
        <v>1253</v>
      </c>
      <c r="C3247" s="39">
        <v>46123.0</v>
      </c>
      <c r="D3247" s="33" t="s">
        <v>435</v>
      </c>
      <c r="E3247" s="40">
        <v>10.08</v>
      </c>
      <c r="F3247" s="40">
        <v>0.0</v>
      </c>
      <c r="G3247" s="33" t="s">
        <v>450</v>
      </c>
    </row>
    <row r="3248" ht="15.75" customHeight="1">
      <c r="A3248" s="33" t="s">
        <v>7234</v>
      </c>
      <c r="B3248" s="33" t="s">
        <v>1188</v>
      </c>
      <c r="C3248" s="39">
        <v>46063.0</v>
      </c>
      <c r="D3248" s="33" t="s">
        <v>428</v>
      </c>
      <c r="E3248" s="40">
        <v>43.58</v>
      </c>
      <c r="F3248" s="40">
        <v>0.0</v>
      </c>
      <c r="G3248" s="33" t="s">
        <v>450</v>
      </c>
    </row>
    <row r="3249" ht="15.75" customHeight="1">
      <c r="A3249" s="33" t="s">
        <v>7235</v>
      </c>
      <c r="B3249" s="33" t="s">
        <v>2615</v>
      </c>
      <c r="C3249" s="39">
        <v>46164.0</v>
      </c>
      <c r="D3249" s="33" t="s">
        <v>435</v>
      </c>
      <c r="E3249" s="40">
        <v>73.99</v>
      </c>
      <c r="F3249" s="40">
        <v>0.0</v>
      </c>
      <c r="G3249" s="33" t="s">
        <v>442</v>
      </c>
    </row>
    <row r="3250" ht="15.75" customHeight="1">
      <c r="A3250" s="33" t="s">
        <v>7236</v>
      </c>
      <c r="B3250" s="33" t="s">
        <v>701</v>
      </c>
      <c r="C3250" s="39">
        <v>45824.0</v>
      </c>
      <c r="D3250" s="33" t="s">
        <v>440</v>
      </c>
      <c r="E3250" s="40">
        <v>52.7</v>
      </c>
      <c r="F3250" s="40">
        <v>0.0</v>
      </c>
      <c r="G3250" s="33" t="s">
        <v>450</v>
      </c>
    </row>
    <row r="3251" ht="15.75" customHeight="1">
      <c r="A3251" s="33" t="s">
        <v>7237</v>
      </c>
      <c r="B3251" s="33" t="s">
        <v>1045</v>
      </c>
      <c r="C3251" s="39">
        <v>45899.0</v>
      </c>
      <c r="D3251" s="33" t="s">
        <v>479</v>
      </c>
      <c r="E3251" s="40">
        <v>89.66</v>
      </c>
      <c r="F3251" s="40">
        <v>1.46</v>
      </c>
      <c r="G3251" s="33" t="s">
        <v>450</v>
      </c>
    </row>
    <row r="3252" ht="15.75" customHeight="1">
      <c r="A3252" s="33" t="s">
        <v>7238</v>
      </c>
      <c r="B3252" s="33" t="s">
        <v>404</v>
      </c>
      <c r="C3252" s="39">
        <v>46203.0</v>
      </c>
      <c r="D3252" s="33" t="s">
        <v>440</v>
      </c>
      <c r="E3252" s="40">
        <v>11.18</v>
      </c>
      <c r="F3252" s="40">
        <v>0.0</v>
      </c>
      <c r="G3252" s="33" t="s">
        <v>431</v>
      </c>
    </row>
    <row r="3253" ht="15.75" customHeight="1">
      <c r="A3253" s="33" t="s">
        <v>7239</v>
      </c>
      <c r="B3253" s="33" t="s">
        <v>2139</v>
      </c>
      <c r="C3253" s="39">
        <v>45698.0</v>
      </c>
      <c r="D3253" s="33" t="s">
        <v>479</v>
      </c>
      <c r="E3253" s="40">
        <v>39.81</v>
      </c>
      <c r="F3253" s="40">
        <v>0.78</v>
      </c>
      <c r="G3253" s="33" t="s">
        <v>450</v>
      </c>
    </row>
    <row r="3254" ht="15.75" customHeight="1">
      <c r="A3254" s="33" t="s">
        <v>7240</v>
      </c>
      <c r="B3254" s="33" t="s">
        <v>306</v>
      </c>
      <c r="C3254" s="39">
        <v>45956.0</v>
      </c>
      <c r="D3254" s="33" t="s">
        <v>435</v>
      </c>
      <c r="E3254" s="40">
        <v>124.06</v>
      </c>
      <c r="F3254" s="40">
        <v>0.0</v>
      </c>
      <c r="G3254" s="33" t="s">
        <v>450</v>
      </c>
    </row>
    <row r="3255" ht="15.75" customHeight="1">
      <c r="A3255" s="33" t="s">
        <v>7241</v>
      </c>
      <c r="B3255" s="33" t="s">
        <v>759</v>
      </c>
      <c r="C3255" s="39">
        <v>45951.0</v>
      </c>
      <c r="D3255" s="33" t="s">
        <v>479</v>
      </c>
      <c r="E3255" s="40">
        <v>105.82</v>
      </c>
      <c r="F3255" s="40">
        <v>1.99</v>
      </c>
      <c r="G3255" s="33" t="s">
        <v>450</v>
      </c>
    </row>
    <row r="3256" ht="15.75" customHeight="1">
      <c r="A3256" s="33" t="s">
        <v>7242</v>
      </c>
      <c r="B3256" s="33" t="s">
        <v>672</v>
      </c>
      <c r="C3256" s="39">
        <v>45929.0</v>
      </c>
      <c r="D3256" s="33" t="s">
        <v>440</v>
      </c>
      <c r="E3256" s="40">
        <v>46.74</v>
      </c>
      <c r="F3256" s="40">
        <v>0.0</v>
      </c>
      <c r="G3256" s="33" t="s">
        <v>442</v>
      </c>
    </row>
    <row r="3257" ht="15.75" customHeight="1">
      <c r="A3257" s="33" t="s">
        <v>7243</v>
      </c>
      <c r="B3257" s="33" t="s">
        <v>1868</v>
      </c>
      <c r="C3257" s="39">
        <v>45921.0</v>
      </c>
      <c r="D3257" s="33" t="s">
        <v>461</v>
      </c>
      <c r="E3257" s="40">
        <v>85.02</v>
      </c>
      <c r="F3257" s="40">
        <v>1.21</v>
      </c>
      <c r="G3257" s="33" t="s">
        <v>442</v>
      </c>
    </row>
    <row r="3258" ht="15.75" customHeight="1">
      <c r="A3258" s="33" t="s">
        <v>7244</v>
      </c>
      <c r="B3258" s="33" t="s">
        <v>1266</v>
      </c>
      <c r="C3258" s="39">
        <v>46111.0</v>
      </c>
      <c r="D3258" s="33" t="s">
        <v>479</v>
      </c>
      <c r="E3258" s="40">
        <v>72.8</v>
      </c>
      <c r="F3258" s="40">
        <v>0.61</v>
      </c>
      <c r="G3258" s="33" t="s">
        <v>442</v>
      </c>
    </row>
    <row r="3259" ht="15.75" customHeight="1">
      <c r="A3259" s="33" t="s">
        <v>7245</v>
      </c>
      <c r="B3259" s="33" t="s">
        <v>2048</v>
      </c>
      <c r="C3259" s="39">
        <v>45777.0</v>
      </c>
      <c r="D3259" s="33" t="s">
        <v>461</v>
      </c>
      <c r="E3259" s="40">
        <v>74.46</v>
      </c>
      <c r="F3259" s="40">
        <v>0.65</v>
      </c>
      <c r="G3259" s="33" t="s">
        <v>442</v>
      </c>
    </row>
    <row r="3260" ht="15.75" customHeight="1">
      <c r="A3260" s="33" t="s">
        <v>7246</v>
      </c>
      <c r="B3260" s="33" t="s">
        <v>2255</v>
      </c>
      <c r="C3260" s="39">
        <v>46198.0</v>
      </c>
      <c r="D3260" s="33" t="s">
        <v>435</v>
      </c>
      <c r="E3260" s="40">
        <v>95.08</v>
      </c>
      <c r="F3260" s="40">
        <v>0.0</v>
      </c>
      <c r="G3260" s="33" t="s">
        <v>431</v>
      </c>
    </row>
    <row r="3261" ht="15.75" customHeight="1">
      <c r="A3261" s="33" t="s">
        <v>7247</v>
      </c>
      <c r="B3261" s="33" t="s">
        <v>1239</v>
      </c>
      <c r="C3261" s="39">
        <v>46201.0</v>
      </c>
      <c r="D3261" s="33" t="s">
        <v>428</v>
      </c>
      <c r="E3261" s="40">
        <v>225.09</v>
      </c>
      <c r="F3261" s="40">
        <v>0.0</v>
      </c>
      <c r="G3261" s="33" t="s">
        <v>442</v>
      </c>
    </row>
    <row r="3262" ht="15.75" customHeight="1">
      <c r="A3262" s="33" t="s">
        <v>7248</v>
      </c>
      <c r="B3262" s="33" t="s">
        <v>838</v>
      </c>
      <c r="C3262" s="39">
        <v>45766.0</v>
      </c>
      <c r="D3262" s="33" t="s">
        <v>440</v>
      </c>
      <c r="E3262" s="40">
        <v>228.42</v>
      </c>
      <c r="F3262" s="40">
        <v>0.0</v>
      </c>
      <c r="G3262" s="33" t="s">
        <v>450</v>
      </c>
    </row>
    <row r="3263" ht="15.75" customHeight="1">
      <c r="A3263" s="33" t="s">
        <v>7249</v>
      </c>
      <c r="B3263" s="33" t="s">
        <v>2809</v>
      </c>
      <c r="C3263" s="39">
        <v>46249.0</v>
      </c>
      <c r="D3263" s="33" t="s">
        <v>440</v>
      </c>
      <c r="E3263" s="40">
        <v>15.31</v>
      </c>
      <c r="F3263" s="40">
        <v>0.0</v>
      </c>
      <c r="G3263" s="33" t="s">
        <v>450</v>
      </c>
    </row>
    <row r="3264" ht="15.75" customHeight="1">
      <c r="A3264" s="33" t="s">
        <v>7250</v>
      </c>
      <c r="B3264" s="33" t="s">
        <v>1834</v>
      </c>
      <c r="C3264" s="39">
        <v>45817.0</v>
      </c>
      <c r="D3264" s="33" t="s">
        <v>479</v>
      </c>
      <c r="E3264" s="40">
        <v>62.64</v>
      </c>
      <c r="F3264" s="40">
        <v>1.14</v>
      </c>
      <c r="G3264" s="33" t="s">
        <v>450</v>
      </c>
    </row>
    <row r="3265" ht="15.75" customHeight="1">
      <c r="A3265" s="33" t="s">
        <v>7251</v>
      </c>
      <c r="B3265" s="33" t="s">
        <v>1224</v>
      </c>
      <c r="C3265" s="39">
        <v>45689.0</v>
      </c>
      <c r="D3265" s="33" t="s">
        <v>435</v>
      </c>
      <c r="E3265" s="40">
        <v>26.64</v>
      </c>
      <c r="F3265" s="40">
        <v>0.0</v>
      </c>
      <c r="G3265" s="33" t="s">
        <v>442</v>
      </c>
    </row>
    <row r="3266" ht="15.75" customHeight="1">
      <c r="A3266" s="33" t="s">
        <v>7252</v>
      </c>
      <c r="B3266" s="33" t="s">
        <v>258</v>
      </c>
      <c r="C3266" s="39">
        <v>45899.0</v>
      </c>
      <c r="D3266" s="33" t="s">
        <v>428</v>
      </c>
      <c r="E3266" s="40">
        <v>101.09</v>
      </c>
      <c r="F3266" s="40">
        <v>0.0</v>
      </c>
      <c r="G3266" s="33" t="s">
        <v>450</v>
      </c>
    </row>
    <row r="3267" ht="15.75" customHeight="1">
      <c r="A3267" s="33" t="s">
        <v>7253</v>
      </c>
      <c r="B3267" s="33" t="s">
        <v>3048</v>
      </c>
      <c r="C3267" s="39">
        <v>46141.0</v>
      </c>
      <c r="D3267" s="33" t="s">
        <v>440</v>
      </c>
      <c r="E3267" s="40">
        <v>65.47</v>
      </c>
      <c r="F3267" s="40">
        <v>0.0</v>
      </c>
      <c r="G3267" s="33" t="s">
        <v>450</v>
      </c>
    </row>
    <row r="3268" ht="15.75" customHeight="1">
      <c r="A3268" s="33" t="s">
        <v>7254</v>
      </c>
      <c r="B3268" s="33" t="s">
        <v>1037</v>
      </c>
      <c r="C3268" s="39">
        <v>46170.0</v>
      </c>
      <c r="D3268" s="33" t="s">
        <v>428</v>
      </c>
      <c r="E3268" s="40">
        <v>156.78</v>
      </c>
      <c r="F3268" s="40">
        <v>0.0</v>
      </c>
      <c r="G3268" s="33" t="s">
        <v>450</v>
      </c>
    </row>
    <row r="3269" ht="15.75" customHeight="1">
      <c r="A3269" s="33" t="s">
        <v>7255</v>
      </c>
      <c r="B3269" s="33" t="s">
        <v>2911</v>
      </c>
      <c r="C3269" s="39">
        <v>46049.0</v>
      </c>
      <c r="D3269" s="33" t="s">
        <v>435</v>
      </c>
      <c r="E3269" s="40">
        <v>76.92</v>
      </c>
      <c r="F3269" s="40">
        <v>0.0</v>
      </c>
      <c r="G3269" s="33" t="s">
        <v>450</v>
      </c>
    </row>
    <row r="3270" ht="15.75" customHeight="1">
      <c r="A3270" s="33" t="s">
        <v>7256</v>
      </c>
      <c r="B3270" s="33" t="s">
        <v>1289</v>
      </c>
      <c r="C3270" s="39">
        <v>46150.0</v>
      </c>
      <c r="D3270" s="33" t="s">
        <v>428</v>
      </c>
      <c r="E3270" s="40">
        <v>204.14</v>
      </c>
      <c r="F3270" s="40">
        <v>0.0</v>
      </c>
      <c r="G3270" s="33" t="s">
        <v>450</v>
      </c>
    </row>
    <row r="3271" ht="15.75" customHeight="1">
      <c r="A3271" s="33" t="s">
        <v>7257</v>
      </c>
      <c r="B3271" s="33" t="s">
        <v>504</v>
      </c>
      <c r="C3271" s="39">
        <v>45816.0</v>
      </c>
      <c r="D3271" s="33" t="s">
        <v>440</v>
      </c>
      <c r="E3271" s="40">
        <v>234.53</v>
      </c>
      <c r="F3271" s="40">
        <v>0.0</v>
      </c>
      <c r="G3271" s="33" t="s">
        <v>450</v>
      </c>
    </row>
    <row r="3272" ht="15.75" customHeight="1">
      <c r="A3272" s="33" t="s">
        <v>7258</v>
      </c>
      <c r="B3272" s="33" t="s">
        <v>364</v>
      </c>
      <c r="C3272" s="39">
        <v>46191.0</v>
      </c>
      <c r="D3272" s="33" t="s">
        <v>461</v>
      </c>
      <c r="E3272" s="40">
        <v>199.07</v>
      </c>
      <c r="F3272" s="40">
        <v>2.47</v>
      </c>
      <c r="G3272" s="33" t="s">
        <v>431</v>
      </c>
    </row>
    <row r="3273" ht="15.75" customHeight="1">
      <c r="A3273" s="33" t="s">
        <v>7259</v>
      </c>
      <c r="B3273" s="33" t="s">
        <v>275</v>
      </c>
      <c r="C3273" s="39">
        <v>46043.0</v>
      </c>
      <c r="D3273" s="33" t="s">
        <v>428</v>
      </c>
      <c r="E3273" s="40">
        <v>7.04</v>
      </c>
      <c r="F3273" s="40">
        <v>0.0</v>
      </c>
      <c r="G3273" s="33" t="s">
        <v>450</v>
      </c>
    </row>
    <row r="3274" ht="15.75" customHeight="1">
      <c r="A3274" s="33" t="s">
        <v>7260</v>
      </c>
      <c r="B3274" s="33" t="s">
        <v>2366</v>
      </c>
      <c r="C3274" s="39">
        <v>45739.0</v>
      </c>
      <c r="D3274" s="33" t="s">
        <v>435</v>
      </c>
      <c r="E3274" s="40">
        <v>94.28</v>
      </c>
      <c r="F3274" s="40">
        <v>0.0</v>
      </c>
      <c r="G3274" s="33" t="s">
        <v>450</v>
      </c>
    </row>
    <row r="3275" ht="15.75" customHeight="1">
      <c r="A3275" s="33" t="s">
        <v>7261</v>
      </c>
      <c r="B3275" s="33" t="s">
        <v>959</v>
      </c>
      <c r="C3275" s="39">
        <v>45736.0</v>
      </c>
      <c r="D3275" s="33" t="s">
        <v>440</v>
      </c>
      <c r="E3275" s="40">
        <v>58.13</v>
      </c>
      <c r="F3275" s="40">
        <v>0.0</v>
      </c>
      <c r="G3275" s="33" t="s">
        <v>450</v>
      </c>
    </row>
    <row r="3276" ht="15.75" customHeight="1">
      <c r="A3276" s="33" t="s">
        <v>7262</v>
      </c>
      <c r="B3276" s="33" t="s">
        <v>2625</v>
      </c>
      <c r="C3276" s="39">
        <v>45820.0</v>
      </c>
      <c r="D3276" s="33" t="s">
        <v>428</v>
      </c>
      <c r="E3276" s="40">
        <v>65.55</v>
      </c>
      <c r="F3276" s="40">
        <v>0.0</v>
      </c>
      <c r="G3276" s="33" t="s">
        <v>450</v>
      </c>
    </row>
    <row r="3277" ht="15.75" customHeight="1">
      <c r="A3277" s="33" t="s">
        <v>7263</v>
      </c>
      <c r="B3277" s="33" t="s">
        <v>251</v>
      </c>
      <c r="C3277" s="39">
        <v>45700.0</v>
      </c>
      <c r="D3277" s="33" t="s">
        <v>435</v>
      </c>
      <c r="E3277" s="40">
        <v>139.11</v>
      </c>
      <c r="F3277" s="40">
        <v>0.0</v>
      </c>
      <c r="G3277" s="33" t="s">
        <v>450</v>
      </c>
    </row>
    <row r="3278" ht="15.75" customHeight="1">
      <c r="A3278" s="33" t="s">
        <v>7264</v>
      </c>
      <c r="B3278" s="33" t="s">
        <v>581</v>
      </c>
      <c r="C3278" s="39">
        <v>45829.0</v>
      </c>
      <c r="D3278" s="33" t="s">
        <v>435</v>
      </c>
      <c r="E3278" s="40">
        <v>61.44</v>
      </c>
      <c r="F3278" s="40">
        <v>0.0</v>
      </c>
      <c r="G3278" s="33" t="s">
        <v>431</v>
      </c>
    </row>
    <row r="3279" ht="15.75" customHeight="1">
      <c r="A3279" s="33" t="s">
        <v>7265</v>
      </c>
      <c r="B3279" s="33" t="s">
        <v>1217</v>
      </c>
      <c r="C3279" s="39">
        <v>46261.0</v>
      </c>
      <c r="D3279" s="33" t="s">
        <v>479</v>
      </c>
      <c r="E3279" s="40">
        <v>80.66</v>
      </c>
      <c r="F3279" s="40">
        <v>1.54</v>
      </c>
      <c r="G3279" s="33" t="s">
        <v>450</v>
      </c>
    </row>
    <row r="3280" ht="15.75" customHeight="1">
      <c r="A3280" s="33" t="s">
        <v>7266</v>
      </c>
      <c r="B3280" s="33" t="s">
        <v>594</v>
      </c>
      <c r="C3280" s="39">
        <v>45803.0</v>
      </c>
      <c r="D3280" s="33" t="s">
        <v>435</v>
      </c>
      <c r="E3280" s="40">
        <v>84.13</v>
      </c>
      <c r="F3280" s="40">
        <v>0.0</v>
      </c>
      <c r="G3280" s="33" t="s">
        <v>450</v>
      </c>
    </row>
    <row r="3281" ht="15.75" customHeight="1">
      <c r="A3281" s="33" t="s">
        <v>7267</v>
      </c>
      <c r="B3281" s="33" t="s">
        <v>255</v>
      </c>
      <c r="C3281" s="39">
        <v>46044.0</v>
      </c>
      <c r="D3281" s="33" t="s">
        <v>428</v>
      </c>
      <c r="E3281" s="40">
        <v>10.32</v>
      </c>
      <c r="F3281" s="40">
        <v>0.0</v>
      </c>
      <c r="G3281" s="33" t="s">
        <v>450</v>
      </c>
    </row>
    <row r="3282" ht="15.75" customHeight="1">
      <c r="A3282" s="33" t="s">
        <v>7268</v>
      </c>
      <c r="B3282" s="33" t="s">
        <v>1422</v>
      </c>
      <c r="C3282" s="39">
        <v>46251.0</v>
      </c>
      <c r="D3282" s="33" t="s">
        <v>428</v>
      </c>
      <c r="E3282" s="40">
        <v>54.18</v>
      </c>
      <c r="F3282" s="40">
        <v>0.0</v>
      </c>
      <c r="G3282" s="33" t="s">
        <v>442</v>
      </c>
    </row>
    <row r="3283" ht="15.75" customHeight="1">
      <c r="A3283" s="33" t="s">
        <v>7269</v>
      </c>
      <c r="B3283" s="33" t="s">
        <v>1576</v>
      </c>
      <c r="C3283" s="39">
        <v>45811.0</v>
      </c>
      <c r="D3283" s="33" t="s">
        <v>435</v>
      </c>
      <c r="E3283" s="40">
        <v>164.44</v>
      </c>
      <c r="F3283" s="40">
        <v>0.0</v>
      </c>
      <c r="G3283" s="33" t="s">
        <v>431</v>
      </c>
    </row>
    <row r="3284" ht="15.75" customHeight="1">
      <c r="A3284" s="33" t="s">
        <v>7270</v>
      </c>
      <c r="B3284" s="33" t="s">
        <v>404</v>
      </c>
      <c r="C3284" s="39">
        <v>46080.0</v>
      </c>
      <c r="D3284" s="33" t="s">
        <v>435</v>
      </c>
      <c r="E3284" s="40">
        <v>8.39</v>
      </c>
      <c r="F3284" s="40">
        <v>0.0</v>
      </c>
      <c r="G3284" s="33" t="s">
        <v>450</v>
      </c>
    </row>
    <row r="3285" ht="15.75" customHeight="1">
      <c r="A3285" s="33" t="s">
        <v>7271</v>
      </c>
      <c r="B3285" s="33" t="s">
        <v>4533</v>
      </c>
      <c r="C3285" s="39">
        <v>45931.0</v>
      </c>
      <c r="D3285" s="33" t="s">
        <v>461</v>
      </c>
      <c r="E3285" s="40">
        <v>115.08</v>
      </c>
      <c r="F3285" s="40">
        <v>0.61</v>
      </c>
      <c r="G3285" s="33" t="s">
        <v>450</v>
      </c>
    </row>
    <row r="3286" ht="15.75" customHeight="1">
      <c r="A3286" s="33" t="s">
        <v>7272</v>
      </c>
      <c r="B3286" s="33" t="s">
        <v>887</v>
      </c>
      <c r="C3286" s="39">
        <v>45831.0</v>
      </c>
      <c r="D3286" s="33" t="s">
        <v>479</v>
      </c>
      <c r="E3286" s="40">
        <v>36.19</v>
      </c>
      <c r="F3286" s="40">
        <v>0.61</v>
      </c>
      <c r="G3286" s="33" t="s">
        <v>450</v>
      </c>
    </row>
    <row r="3287" ht="15.75" customHeight="1">
      <c r="A3287" s="33" t="s">
        <v>7273</v>
      </c>
      <c r="B3287" s="33" t="s">
        <v>1034</v>
      </c>
      <c r="C3287" s="39">
        <v>46234.0</v>
      </c>
      <c r="D3287" s="33" t="s">
        <v>428</v>
      </c>
      <c r="E3287" s="40">
        <v>57.05</v>
      </c>
      <c r="F3287" s="40">
        <v>0.0</v>
      </c>
      <c r="G3287" s="33" t="s">
        <v>442</v>
      </c>
    </row>
    <row r="3288" ht="15.75" customHeight="1">
      <c r="A3288" s="33" t="s">
        <v>7274</v>
      </c>
      <c r="B3288" s="33" t="s">
        <v>572</v>
      </c>
      <c r="C3288" s="39">
        <v>46056.0</v>
      </c>
      <c r="D3288" s="33" t="s">
        <v>428</v>
      </c>
      <c r="E3288" s="40">
        <v>131.48</v>
      </c>
      <c r="F3288" s="40">
        <v>0.0</v>
      </c>
      <c r="G3288" s="33" t="s">
        <v>442</v>
      </c>
    </row>
    <row r="3289" ht="15.75" customHeight="1">
      <c r="A3289" s="33" t="s">
        <v>7275</v>
      </c>
      <c r="B3289" s="33" t="s">
        <v>697</v>
      </c>
      <c r="C3289" s="39">
        <v>45924.0</v>
      </c>
      <c r="D3289" s="33" t="s">
        <v>479</v>
      </c>
      <c r="E3289" s="40">
        <v>28.74</v>
      </c>
      <c r="F3289" s="40">
        <v>0.26</v>
      </c>
      <c r="G3289" s="33" t="s">
        <v>450</v>
      </c>
    </row>
    <row r="3290" ht="15.75" customHeight="1">
      <c r="A3290" s="33" t="s">
        <v>7276</v>
      </c>
      <c r="B3290" s="33" t="s">
        <v>236</v>
      </c>
      <c r="C3290" s="39">
        <v>46150.0</v>
      </c>
      <c r="D3290" s="33" t="s">
        <v>440</v>
      </c>
      <c r="E3290" s="40">
        <v>61.19</v>
      </c>
      <c r="F3290" s="40">
        <v>0.0</v>
      </c>
      <c r="G3290" s="33" t="s">
        <v>442</v>
      </c>
    </row>
    <row r="3291" ht="15.75" customHeight="1">
      <c r="A3291" s="33" t="s">
        <v>7277</v>
      </c>
      <c r="B3291" s="33" t="s">
        <v>1883</v>
      </c>
      <c r="C3291" s="39">
        <v>46204.0</v>
      </c>
      <c r="D3291" s="33" t="s">
        <v>461</v>
      </c>
      <c r="E3291" s="40">
        <v>15.37</v>
      </c>
      <c r="F3291" s="40">
        <v>0.23</v>
      </c>
      <c r="G3291" s="33" t="s">
        <v>450</v>
      </c>
    </row>
    <row r="3292" ht="15.75" customHeight="1">
      <c r="A3292" s="33" t="s">
        <v>7278</v>
      </c>
      <c r="B3292" s="33" t="s">
        <v>1056</v>
      </c>
      <c r="C3292" s="39">
        <v>46132.0</v>
      </c>
      <c r="D3292" s="33" t="s">
        <v>461</v>
      </c>
      <c r="E3292" s="40">
        <v>104.04</v>
      </c>
      <c r="F3292" s="40">
        <v>0.98</v>
      </c>
      <c r="G3292" s="33" t="s">
        <v>450</v>
      </c>
    </row>
    <row r="3293" ht="15.75" customHeight="1">
      <c r="A3293" s="33" t="s">
        <v>7279</v>
      </c>
      <c r="B3293" s="33" t="s">
        <v>1700</v>
      </c>
      <c r="C3293" s="39">
        <v>46185.0</v>
      </c>
      <c r="D3293" s="33" t="s">
        <v>479</v>
      </c>
      <c r="E3293" s="40">
        <v>40.15</v>
      </c>
      <c r="F3293" s="40">
        <v>0.39</v>
      </c>
      <c r="G3293" s="33" t="s">
        <v>431</v>
      </c>
    </row>
    <row r="3294" ht="15.75" customHeight="1">
      <c r="A3294" s="33" t="s">
        <v>7280</v>
      </c>
      <c r="B3294" s="33" t="s">
        <v>2508</v>
      </c>
      <c r="C3294" s="39">
        <v>45853.0</v>
      </c>
      <c r="D3294" s="33" t="s">
        <v>440</v>
      </c>
      <c r="E3294" s="40">
        <v>20.11</v>
      </c>
      <c r="F3294" s="40">
        <v>0.0</v>
      </c>
      <c r="G3294" s="33" t="s">
        <v>431</v>
      </c>
    </row>
    <row r="3295" ht="15.75" customHeight="1">
      <c r="A3295" s="33" t="s">
        <v>7281</v>
      </c>
      <c r="B3295" s="33" t="s">
        <v>571</v>
      </c>
      <c r="C3295" s="39">
        <v>45866.0</v>
      </c>
      <c r="D3295" s="33" t="s">
        <v>440</v>
      </c>
      <c r="E3295" s="40">
        <v>76.98</v>
      </c>
      <c r="F3295" s="40">
        <v>0.0</v>
      </c>
      <c r="G3295" s="33" t="s">
        <v>450</v>
      </c>
    </row>
    <row r="3296" ht="15.75" customHeight="1">
      <c r="A3296" s="33" t="s">
        <v>7282</v>
      </c>
      <c r="B3296" s="33" t="s">
        <v>3613</v>
      </c>
      <c r="C3296" s="39">
        <v>45799.0</v>
      </c>
      <c r="D3296" s="33" t="s">
        <v>479</v>
      </c>
      <c r="E3296" s="40">
        <v>14.59</v>
      </c>
      <c r="F3296" s="40">
        <v>0.17</v>
      </c>
      <c r="G3296" s="33" t="s">
        <v>450</v>
      </c>
    </row>
    <row r="3297" ht="15.75" customHeight="1">
      <c r="A3297" s="33" t="s">
        <v>7283</v>
      </c>
      <c r="B3297" s="33" t="s">
        <v>1451</v>
      </c>
      <c r="C3297" s="39">
        <v>46080.0</v>
      </c>
      <c r="D3297" s="33" t="s">
        <v>479</v>
      </c>
      <c r="E3297" s="40">
        <v>55.71</v>
      </c>
      <c r="F3297" s="40">
        <v>0.59</v>
      </c>
      <c r="G3297" s="33" t="s">
        <v>431</v>
      </c>
    </row>
    <row r="3298" ht="15.75" customHeight="1">
      <c r="A3298" s="33" t="s">
        <v>7284</v>
      </c>
      <c r="B3298" s="33" t="s">
        <v>3014</v>
      </c>
      <c r="C3298" s="39">
        <v>46145.0</v>
      </c>
      <c r="D3298" s="33" t="s">
        <v>479</v>
      </c>
      <c r="E3298" s="40">
        <v>36.99</v>
      </c>
      <c r="F3298" s="40">
        <v>0.45</v>
      </c>
      <c r="G3298" s="33" t="s">
        <v>450</v>
      </c>
    </row>
    <row r="3299" ht="15.75" customHeight="1">
      <c r="A3299" s="33" t="s">
        <v>7285</v>
      </c>
      <c r="B3299" s="33" t="s">
        <v>497</v>
      </c>
      <c r="C3299" s="39">
        <v>46058.0</v>
      </c>
      <c r="D3299" s="33" t="s">
        <v>435</v>
      </c>
      <c r="E3299" s="40">
        <v>90.18</v>
      </c>
      <c r="F3299" s="40">
        <v>0.0</v>
      </c>
      <c r="G3299" s="33" t="s">
        <v>442</v>
      </c>
    </row>
    <row r="3300" ht="15.75" customHeight="1">
      <c r="A3300" s="33" t="s">
        <v>7286</v>
      </c>
      <c r="B3300" s="33" t="s">
        <v>524</v>
      </c>
      <c r="C3300" s="39">
        <v>46021.0</v>
      </c>
      <c r="D3300" s="33" t="s">
        <v>428</v>
      </c>
      <c r="E3300" s="40">
        <v>91.67</v>
      </c>
      <c r="F3300" s="40">
        <v>0.0</v>
      </c>
      <c r="G3300" s="33" t="s">
        <v>450</v>
      </c>
    </row>
    <row r="3301" ht="15.75" customHeight="1">
      <c r="A3301" s="33" t="s">
        <v>7287</v>
      </c>
      <c r="B3301" s="33" t="s">
        <v>265</v>
      </c>
      <c r="C3301" s="39">
        <v>46126.0</v>
      </c>
      <c r="D3301" s="33" t="s">
        <v>461</v>
      </c>
      <c r="E3301" s="40">
        <v>42.99</v>
      </c>
      <c r="F3301" s="40">
        <v>0.85</v>
      </c>
      <c r="G3301" s="33" t="s">
        <v>450</v>
      </c>
    </row>
    <row r="3302" ht="15.75" customHeight="1">
      <c r="A3302" s="33" t="s">
        <v>7288</v>
      </c>
      <c r="B3302" s="33" t="s">
        <v>492</v>
      </c>
      <c r="C3302" s="39">
        <v>45768.0</v>
      </c>
      <c r="D3302" s="33" t="s">
        <v>428</v>
      </c>
      <c r="E3302" s="40">
        <v>200.78</v>
      </c>
      <c r="F3302" s="40">
        <v>0.0</v>
      </c>
      <c r="G3302" s="33" t="s">
        <v>450</v>
      </c>
    </row>
    <row r="3303" ht="15.75" customHeight="1">
      <c r="A3303" s="33" t="s">
        <v>7289</v>
      </c>
      <c r="B3303" s="33" t="s">
        <v>1451</v>
      </c>
      <c r="C3303" s="39">
        <v>45880.0</v>
      </c>
      <c r="D3303" s="33" t="s">
        <v>428</v>
      </c>
      <c r="E3303" s="40">
        <v>158.81</v>
      </c>
      <c r="F3303" s="40">
        <v>0.0</v>
      </c>
      <c r="G3303" s="33" t="s">
        <v>442</v>
      </c>
    </row>
    <row r="3304" ht="15.75" customHeight="1">
      <c r="A3304" s="33" t="s">
        <v>7290</v>
      </c>
      <c r="B3304" s="33" t="s">
        <v>533</v>
      </c>
      <c r="C3304" s="39">
        <v>46087.0</v>
      </c>
      <c r="D3304" s="33" t="s">
        <v>461</v>
      </c>
      <c r="E3304" s="40">
        <v>32.28</v>
      </c>
      <c r="F3304" s="40">
        <v>0.32</v>
      </c>
      <c r="G3304" s="33" t="s">
        <v>450</v>
      </c>
    </row>
    <row r="3305" ht="15.75" customHeight="1">
      <c r="A3305" s="33" t="s">
        <v>7291</v>
      </c>
      <c r="B3305" s="33" t="s">
        <v>1725</v>
      </c>
      <c r="C3305" s="39">
        <v>45689.0</v>
      </c>
      <c r="D3305" s="33" t="s">
        <v>440</v>
      </c>
      <c r="E3305" s="40">
        <v>321.06</v>
      </c>
      <c r="F3305" s="40">
        <v>0.0</v>
      </c>
      <c r="G3305" s="33" t="s">
        <v>442</v>
      </c>
    </row>
    <row r="3306" ht="15.75" customHeight="1">
      <c r="A3306" s="33" t="s">
        <v>7292</v>
      </c>
      <c r="B3306" s="33" t="s">
        <v>1887</v>
      </c>
      <c r="C3306" s="39">
        <v>46210.0</v>
      </c>
      <c r="D3306" s="33" t="s">
        <v>461</v>
      </c>
      <c r="E3306" s="40">
        <v>127.13</v>
      </c>
      <c r="F3306" s="40">
        <v>1.89</v>
      </c>
      <c r="G3306" s="33" t="s">
        <v>450</v>
      </c>
    </row>
    <row r="3307" ht="15.75" customHeight="1">
      <c r="A3307" s="33" t="s">
        <v>7293</v>
      </c>
      <c r="B3307" s="33" t="s">
        <v>1422</v>
      </c>
      <c r="C3307" s="39">
        <v>45761.0</v>
      </c>
      <c r="D3307" s="33" t="s">
        <v>479</v>
      </c>
      <c r="E3307" s="40">
        <v>97.65</v>
      </c>
      <c r="F3307" s="40">
        <v>1.02</v>
      </c>
      <c r="G3307" s="33" t="s">
        <v>431</v>
      </c>
    </row>
    <row r="3308" ht="15.75" customHeight="1">
      <c r="A3308" s="33" t="s">
        <v>7294</v>
      </c>
      <c r="B3308" s="33" t="s">
        <v>1485</v>
      </c>
      <c r="C3308" s="39">
        <v>46135.0</v>
      </c>
      <c r="D3308" s="33" t="s">
        <v>428</v>
      </c>
      <c r="E3308" s="40">
        <v>102.48</v>
      </c>
      <c r="F3308" s="40">
        <v>0.0</v>
      </c>
      <c r="G3308" s="33" t="s">
        <v>442</v>
      </c>
    </row>
    <row r="3309" ht="15.75" customHeight="1">
      <c r="A3309" s="33" t="s">
        <v>7295</v>
      </c>
      <c r="B3309" s="33" t="s">
        <v>2511</v>
      </c>
      <c r="C3309" s="39">
        <v>46032.0</v>
      </c>
      <c r="D3309" s="33" t="s">
        <v>440</v>
      </c>
      <c r="E3309" s="40">
        <v>24.65</v>
      </c>
      <c r="F3309" s="40">
        <v>0.0</v>
      </c>
      <c r="G3309" s="33" t="s">
        <v>450</v>
      </c>
    </row>
    <row r="3310" ht="15.75" customHeight="1">
      <c r="A3310" s="33" t="s">
        <v>7296</v>
      </c>
      <c r="B3310" s="33" t="s">
        <v>689</v>
      </c>
      <c r="C3310" s="39">
        <v>46172.0</v>
      </c>
      <c r="D3310" s="33" t="s">
        <v>435</v>
      </c>
      <c r="E3310" s="40">
        <v>176.83</v>
      </c>
      <c r="F3310" s="40">
        <v>0.0</v>
      </c>
      <c r="G3310" s="33" t="s">
        <v>450</v>
      </c>
    </row>
    <row r="3311" ht="15.75" customHeight="1">
      <c r="A3311" s="33" t="s">
        <v>7297</v>
      </c>
      <c r="B3311" s="33" t="s">
        <v>999</v>
      </c>
      <c r="C3311" s="39">
        <v>46128.0</v>
      </c>
      <c r="D3311" s="33" t="s">
        <v>435</v>
      </c>
      <c r="E3311" s="40">
        <v>10.42</v>
      </c>
      <c r="F3311" s="40">
        <v>0.0</v>
      </c>
      <c r="G3311" s="33" t="s">
        <v>450</v>
      </c>
    </row>
    <row r="3312" ht="15.75" customHeight="1">
      <c r="A3312" s="33" t="s">
        <v>7298</v>
      </c>
      <c r="B3312" s="33" t="s">
        <v>905</v>
      </c>
      <c r="C3312" s="39">
        <v>45971.0</v>
      </c>
      <c r="D3312" s="33" t="s">
        <v>435</v>
      </c>
      <c r="E3312" s="40">
        <v>102.06</v>
      </c>
      <c r="F3312" s="40">
        <v>0.0</v>
      </c>
      <c r="G3312" s="33" t="s">
        <v>442</v>
      </c>
    </row>
    <row r="3313" ht="15.75" customHeight="1">
      <c r="A3313" s="33" t="s">
        <v>7299</v>
      </c>
      <c r="B3313" s="33" t="s">
        <v>3305</v>
      </c>
      <c r="C3313" s="39">
        <v>46116.0</v>
      </c>
      <c r="D3313" s="33" t="s">
        <v>461</v>
      </c>
      <c r="E3313" s="40">
        <v>160.28</v>
      </c>
      <c r="F3313" s="40">
        <v>0.97</v>
      </c>
      <c r="G3313" s="33" t="s">
        <v>450</v>
      </c>
    </row>
    <row r="3314" ht="15.75" customHeight="1">
      <c r="A3314" s="33" t="s">
        <v>7300</v>
      </c>
      <c r="B3314" s="33" t="s">
        <v>783</v>
      </c>
      <c r="C3314" s="39">
        <v>45868.0</v>
      </c>
      <c r="D3314" s="33" t="s">
        <v>435</v>
      </c>
      <c r="E3314" s="40">
        <v>34.79</v>
      </c>
      <c r="F3314" s="40">
        <v>0.0</v>
      </c>
      <c r="G3314" s="33" t="s">
        <v>450</v>
      </c>
    </row>
    <row r="3315" ht="15.75" customHeight="1">
      <c r="A3315" s="33" t="s">
        <v>7301</v>
      </c>
      <c r="B3315" s="33" t="s">
        <v>2953</v>
      </c>
      <c r="C3315" s="39">
        <v>46012.0</v>
      </c>
      <c r="D3315" s="33" t="s">
        <v>435</v>
      </c>
      <c r="E3315" s="40">
        <v>133.58</v>
      </c>
      <c r="F3315" s="40">
        <v>0.0</v>
      </c>
      <c r="G3315" s="33" t="s">
        <v>450</v>
      </c>
    </row>
    <row r="3316" ht="15.75" customHeight="1">
      <c r="A3316" s="33" t="s">
        <v>7302</v>
      </c>
      <c r="B3316" s="33" t="s">
        <v>1001</v>
      </c>
      <c r="C3316" s="39">
        <v>46213.0</v>
      </c>
      <c r="D3316" s="33" t="s">
        <v>440</v>
      </c>
      <c r="E3316" s="40">
        <v>82.7</v>
      </c>
      <c r="F3316" s="40">
        <v>0.0</v>
      </c>
      <c r="G3316" s="33" t="s">
        <v>442</v>
      </c>
    </row>
    <row r="3317" ht="15.75" customHeight="1">
      <c r="A3317" s="33" t="s">
        <v>7303</v>
      </c>
      <c r="B3317" s="33" t="s">
        <v>786</v>
      </c>
      <c r="C3317" s="39">
        <v>45709.0</v>
      </c>
      <c r="D3317" s="33" t="s">
        <v>461</v>
      </c>
      <c r="E3317" s="40">
        <v>139.57</v>
      </c>
      <c r="F3317" s="40">
        <v>2.15</v>
      </c>
      <c r="G3317" s="33" t="s">
        <v>450</v>
      </c>
    </row>
    <row r="3318" ht="15.75" customHeight="1">
      <c r="A3318" s="33" t="s">
        <v>7304</v>
      </c>
      <c r="B3318" s="33" t="s">
        <v>3687</v>
      </c>
      <c r="C3318" s="39">
        <v>45873.0</v>
      </c>
      <c r="D3318" s="33" t="s">
        <v>479</v>
      </c>
      <c r="E3318" s="40">
        <v>155.25</v>
      </c>
      <c r="F3318" s="40">
        <v>2.03</v>
      </c>
      <c r="G3318" s="33" t="s">
        <v>450</v>
      </c>
    </row>
    <row r="3319" ht="15.75" customHeight="1">
      <c r="A3319" s="33" t="s">
        <v>7305</v>
      </c>
      <c r="B3319" s="33" t="s">
        <v>2926</v>
      </c>
      <c r="C3319" s="39">
        <v>45668.0</v>
      </c>
      <c r="D3319" s="33" t="s">
        <v>440</v>
      </c>
      <c r="E3319" s="40">
        <v>213.21</v>
      </c>
      <c r="F3319" s="40">
        <v>0.0</v>
      </c>
      <c r="G3319" s="33" t="s">
        <v>442</v>
      </c>
    </row>
    <row r="3320" ht="15.75" customHeight="1">
      <c r="A3320" s="33" t="s">
        <v>7306</v>
      </c>
      <c r="B3320" s="33" t="s">
        <v>285</v>
      </c>
      <c r="C3320" s="39">
        <v>45982.0</v>
      </c>
      <c r="D3320" s="33" t="s">
        <v>440</v>
      </c>
      <c r="E3320" s="40">
        <v>182.32</v>
      </c>
      <c r="F3320" s="40">
        <v>0.0</v>
      </c>
      <c r="G3320" s="33" t="s">
        <v>431</v>
      </c>
    </row>
    <row r="3321" ht="15.75" customHeight="1">
      <c r="A3321" s="33" t="s">
        <v>7307</v>
      </c>
      <c r="B3321" s="33" t="s">
        <v>2723</v>
      </c>
      <c r="C3321" s="39">
        <v>46132.0</v>
      </c>
      <c r="D3321" s="33" t="s">
        <v>428</v>
      </c>
      <c r="E3321" s="40">
        <v>12.29</v>
      </c>
      <c r="F3321" s="40">
        <v>0.0</v>
      </c>
      <c r="G3321" s="33" t="s">
        <v>450</v>
      </c>
    </row>
    <row r="3322" ht="15.75" customHeight="1">
      <c r="A3322" s="33" t="s">
        <v>7308</v>
      </c>
      <c r="B3322" s="33" t="s">
        <v>848</v>
      </c>
      <c r="C3322" s="39">
        <v>45681.0</v>
      </c>
      <c r="D3322" s="33" t="s">
        <v>479</v>
      </c>
      <c r="E3322" s="40">
        <v>33.02</v>
      </c>
      <c r="F3322" s="40">
        <v>0.46</v>
      </c>
      <c r="G3322" s="33" t="s">
        <v>442</v>
      </c>
    </row>
    <row r="3323" ht="15.75" customHeight="1">
      <c r="A3323" s="33" t="s">
        <v>7309</v>
      </c>
      <c r="B3323" s="33" t="s">
        <v>2715</v>
      </c>
      <c r="C3323" s="39">
        <v>45991.0</v>
      </c>
      <c r="D3323" s="33" t="s">
        <v>440</v>
      </c>
      <c r="E3323" s="40">
        <v>110.0</v>
      </c>
      <c r="F3323" s="40">
        <v>0.0</v>
      </c>
      <c r="G3323" s="33" t="s">
        <v>431</v>
      </c>
    </row>
    <row r="3324" ht="15.75" customHeight="1">
      <c r="A3324" s="33" t="s">
        <v>7310</v>
      </c>
      <c r="B3324" s="33" t="s">
        <v>3572</v>
      </c>
      <c r="C3324" s="39">
        <v>45910.0</v>
      </c>
      <c r="D3324" s="33" t="s">
        <v>461</v>
      </c>
      <c r="E3324" s="40">
        <v>156.71</v>
      </c>
      <c r="F3324" s="40">
        <v>2.66</v>
      </c>
      <c r="G3324" s="33" t="s">
        <v>431</v>
      </c>
    </row>
    <row r="3325" ht="15.75" customHeight="1">
      <c r="A3325" s="33" t="s">
        <v>7311</v>
      </c>
      <c r="B3325" s="33" t="s">
        <v>662</v>
      </c>
      <c r="C3325" s="39">
        <v>46133.0</v>
      </c>
      <c r="D3325" s="33" t="s">
        <v>440</v>
      </c>
      <c r="E3325" s="40">
        <v>28.91</v>
      </c>
      <c r="F3325" s="40">
        <v>0.0</v>
      </c>
      <c r="G3325" s="33" t="s">
        <v>431</v>
      </c>
    </row>
    <row r="3326" ht="15.75" customHeight="1">
      <c r="A3326" s="33" t="s">
        <v>7312</v>
      </c>
      <c r="B3326" s="33" t="s">
        <v>511</v>
      </c>
      <c r="C3326" s="39">
        <v>45791.0</v>
      </c>
      <c r="D3326" s="33" t="s">
        <v>440</v>
      </c>
      <c r="E3326" s="40">
        <v>125.3</v>
      </c>
      <c r="F3326" s="40">
        <v>0.0</v>
      </c>
      <c r="G3326" s="33" t="s">
        <v>450</v>
      </c>
    </row>
    <row r="3327" ht="15.75" customHeight="1">
      <c r="A3327" s="33" t="s">
        <v>7313</v>
      </c>
      <c r="B3327" s="33" t="s">
        <v>382</v>
      </c>
      <c r="C3327" s="39">
        <v>45756.0</v>
      </c>
      <c r="D3327" s="33" t="s">
        <v>461</v>
      </c>
      <c r="E3327" s="40">
        <v>191.29</v>
      </c>
      <c r="F3327" s="40">
        <v>2.4</v>
      </c>
      <c r="G3327" s="33" t="s">
        <v>450</v>
      </c>
    </row>
    <row r="3328" ht="15.75" customHeight="1">
      <c r="A3328" s="33" t="s">
        <v>7314</v>
      </c>
      <c r="B3328" s="33" t="s">
        <v>1056</v>
      </c>
      <c r="C3328" s="39">
        <v>45715.0</v>
      </c>
      <c r="D3328" s="33" t="s">
        <v>440</v>
      </c>
      <c r="E3328" s="40">
        <v>152.57</v>
      </c>
      <c r="F3328" s="40">
        <v>0.0</v>
      </c>
      <c r="G3328" s="33" t="s">
        <v>431</v>
      </c>
    </row>
    <row r="3329" ht="15.75" customHeight="1">
      <c r="A3329" s="33" t="s">
        <v>7315</v>
      </c>
      <c r="B3329" s="33" t="s">
        <v>1309</v>
      </c>
      <c r="C3329" s="39">
        <v>45905.0</v>
      </c>
      <c r="D3329" s="33" t="s">
        <v>479</v>
      </c>
      <c r="E3329" s="40">
        <v>123.91</v>
      </c>
      <c r="F3329" s="40">
        <v>2.12</v>
      </c>
      <c r="G3329" s="33" t="s">
        <v>450</v>
      </c>
    </row>
    <row r="3330" ht="15.75" customHeight="1">
      <c r="A3330" s="33" t="s">
        <v>7316</v>
      </c>
      <c r="B3330" s="33" t="s">
        <v>659</v>
      </c>
      <c r="C3330" s="39">
        <v>45953.0</v>
      </c>
      <c r="D3330" s="33" t="s">
        <v>461</v>
      </c>
      <c r="E3330" s="40">
        <v>72.86</v>
      </c>
      <c r="F3330" s="40">
        <v>1.08</v>
      </c>
      <c r="G3330" s="33" t="s">
        <v>450</v>
      </c>
    </row>
    <row r="3331" ht="15.75" customHeight="1">
      <c r="A3331" s="33" t="s">
        <v>7317</v>
      </c>
      <c r="B3331" s="33" t="s">
        <v>1908</v>
      </c>
      <c r="C3331" s="39">
        <v>46215.0</v>
      </c>
      <c r="D3331" s="33" t="s">
        <v>440</v>
      </c>
      <c r="E3331" s="40">
        <v>70.09</v>
      </c>
      <c r="F3331" s="40">
        <v>0.0</v>
      </c>
      <c r="G3331" s="33" t="s">
        <v>450</v>
      </c>
    </row>
    <row r="3332" ht="15.75" customHeight="1">
      <c r="A3332" s="33" t="s">
        <v>7318</v>
      </c>
      <c r="B3332" s="33" t="s">
        <v>530</v>
      </c>
      <c r="C3332" s="39">
        <v>45940.0</v>
      </c>
      <c r="D3332" s="33" t="s">
        <v>435</v>
      </c>
      <c r="E3332" s="40">
        <v>287.06</v>
      </c>
      <c r="F3332" s="40">
        <v>0.0</v>
      </c>
      <c r="G3332" s="33" t="s">
        <v>442</v>
      </c>
    </row>
    <row r="3333" ht="15.75" customHeight="1">
      <c r="A3333" s="33" t="s">
        <v>7319</v>
      </c>
      <c r="B3333" s="33" t="s">
        <v>2860</v>
      </c>
      <c r="C3333" s="39">
        <v>45762.0</v>
      </c>
      <c r="D3333" s="33" t="s">
        <v>428</v>
      </c>
      <c r="E3333" s="40">
        <v>50.25</v>
      </c>
      <c r="F3333" s="40">
        <v>0.0</v>
      </c>
      <c r="G3333" s="33" t="s">
        <v>450</v>
      </c>
    </row>
    <row r="3334" ht="15.75" customHeight="1">
      <c r="A3334" s="33" t="s">
        <v>7320</v>
      </c>
      <c r="B3334" s="33" t="s">
        <v>327</v>
      </c>
      <c r="C3334" s="39">
        <v>46082.0</v>
      </c>
      <c r="D3334" s="33" t="s">
        <v>440</v>
      </c>
      <c r="E3334" s="40">
        <v>33.03</v>
      </c>
      <c r="F3334" s="40">
        <v>0.0</v>
      </c>
      <c r="G3334" s="33" t="s">
        <v>442</v>
      </c>
    </row>
    <row r="3335" ht="15.75" customHeight="1">
      <c r="A3335" s="33" t="s">
        <v>7321</v>
      </c>
      <c r="B3335" s="33" t="s">
        <v>1749</v>
      </c>
      <c r="C3335" s="39">
        <v>45695.0</v>
      </c>
      <c r="D3335" s="33" t="s">
        <v>440</v>
      </c>
      <c r="E3335" s="40">
        <v>19.97</v>
      </c>
      <c r="F3335" s="40">
        <v>0.0</v>
      </c>
      <c r="G3335" s="33" t="s">
        <v>450</v>
      </c>
    </row>
    <row r="3336" ht="15.75" customHeight="1">
      <c r="A3336" s="33" t="s">
        <v>7322</v>
      </c>
      <c r="B3336" s="33" t="s">
        <v>1533</v>
      </c>
      <c r="C3336" s="39">
        <v>45867.0</v>
      </c>
      <c r="D3336" s="33" t="s">
        <v>479</v>
      </c>
      <c r="E3336" s="40">
        <v>118.54</v>
      </c>
      <c r="F3336" s="40">
        <v>2.11</v>
      </c>
      <c r="G3336" s="33" t="s">
        <v>450</v>
      </c>
    </row>
    <row r="3337" ht="15.75" customHeight="1">
      <c r="A3337" s="33" t="s">
        <v>7323</v>
      </c>
      <c r="B3337" s="33" t="s">
        <v>565</v>
      </c>
      <c r="C3337" s="39">
        <v>46054.0</v>
      </c>
      <c r="D3337" s="33" t="s">
        <v>435</v>
      </c>
      <c r="E3337" s="40">
        <v>107.01</v>
      </c>
      <c r="F3337" s="40">
        <v>0.0</v>
      </c>
      <c r="G3337" s="33" t="s">
        <v>431</v>
      </c>
    </row>
    <row r="3338" ht="15.75" customHeight="1">
      <c r="A3338" s="33" t="s">
        <v>7324</v>
      </c>
      <c r="B3338" s="33" t="s">
        <v>2958</v>
      </c>
      <c r="C3338" s="39">
        <v>45812.0</v>
      </c>
      <c r="D3338" s="33" t="s">
        <v>435</v>
      </c>
      <c r="E3338" s="40">
        <v>78.16</v>
      </c>
      <c r="F3338" s="40">
        <v>0.0</v>
      </c>
      <c r="G3338" s="33" t="s">
        <v>450</v>
      </c>
    </row>
    <row r="3339" ht="15.75" customHeight="1">
      <c r="A3339" s="33" t="s">
        <v>7325</v>
      </c>
      <c r="B3339" s="33" t="s">
        <v>783</v>
      </c>
      <c r="C3339" s="39">
        <v>46018.0</v>
      </c>
      <c r="D3339" s="33" t="s">
        <v>479</v>
      </c>
      <c r="E3339" s="40">
        <v>106.95</v>
      </c>
      <c r="F3339" s="40">
        <v>2.11</v>
      </c>
      <c r="G3339" s="33" t="s">
        <v>450</v>
      </c>
    </row>
    <row r="3340" ht="15.75" customHeight="1">
      <c r="A3340" s="33" t="s">
        <v>7326</v>
      </c>
      <c r="B3340" s="33" t="s">
        <v>2926</v>
      </c>
      <c r="C3340" s="39">
        <v>45933.0</v>
      </c>
      <c r="D3340" s="33" t="s">
        <v>428</v>
      </c>
      <c r="E3340" s="40">
        <v>139.47</v>
      </c>
      <c r="F3340" s="40">
        <v>0.0</v>
      </c>
      <c r="G3340" s="33" t="s">
        <v>450</v>
      </c>
    </row>
    <row r="3341" ht="15.75" customHeight="1">
      <c r="A3341" s="33" t="s">
        <v>7327</v>
      </c>
      <c r="B3341" s="33" t="s">
        <v>251</v>
      </c>
      <c r="C3341" s="39">
        <v>46235.0</v>
      </c>
      <c r="D3341" s="33" t="s">
        <v>479</v>
      </c>
      <c r="E3341" s="40">
        <v>64.84</v>
      </c>
      <c r="F3341" s="40">
        <v>0.92</v>
      </c>
      <c r="G3341" s="33" t="s">
        <v>450</v>
      </c>
    </row>
    <row r="3342" ht="15.75" customHeight="1">
      <c r="A3342" s="33" t="s">
        <v>7328</v>
      </c>
      <c r="B3342" s="33" t="s">
        <v>2729</v>
      </c>
      <c r="C3342" s="39">
        <v>45832.0</v>
      </c>
      <c r="D3342" s="33" t="s">
        <v>479</v>
      </c>
      <c r="E3342" s="40">
        <v>112.54</v>
      </c>
      <c r="F3342" s="40">
        <v>1.97</v>
      </c>
      <c r="G3342" s="33" t="s">
        <v>450</v>
      </c>
    </row>
    <row r="3343" ht="15.75" customHeight="1">
      <c r="A3343" s="33" t="s">
        <v>7329</v>
      </c>
      <c r="B3343" s="33" t="s">
        <v>382</v>
      </c>
      <c r="C3343" s="39">
        <v>46208.0</v>
      </c>
      <c r="D3343" s="33" t="s">
        <v>461</v>
      </c>
      <c r="E3343" s="40">
        <v>60.16</v>
      </c>
      <c r="F3343" s="40">
        <v>0.37</v>
      </c>
      <c r="G3343" s="33" t="s">
        <v>450</v>
      </c>
    </row>
    <row r="3344" ht="15.75" customHeight="1">
      <c r="A3344" s="33" t="s">
        <v>7330</v>
      </c>
      <c r="B3344" s="33" t="s">
        <v>1444</v>
      </c>
      <c r="C3344" s="39">
        <v>46037.0</v>
      </c>
      <c r="D3344" s="33" t="s">
        <v>428</v>
      </c>
      <c r="E3344" s="40">
        <v>115.3</v>
      </c>
      <c r="F3344" s="40">
        <v>0.0</v>
      </c>
      <c r="G3344" s="33" t="s">
        <v>450</v>
      </c>
    </row>
    <row r="3345" ht="15.75" customHeight="1">
      <c r="A3345" s="33" t="s">
        <v>7331</v>
      </c>
      <c r="B3345" s="33" t="s">
        <v>1176</v>
      </c>
      <c r="C3345" s="39">
        <v>46112.0</v>
      </c>
      <c r="D3345" s="33" t="s">
        <v>428</v>
      </c>
      <c r="E3345" s="40">
        <v>192.14</v>
      </c>
      <c r="F3345" s="40">
        <v>0.0</v>
      </c>
      <c r="G3345" s="33" t="s">
        <v>450</v>
      </c>
    </row>
    <row r="3346" ht="15.75" customHeight="1">
      <c r="A3346" s="33" t="s">
        <v>7332</v>
      </c>
      <c r="B3346" s="33" t="s">
        <v>297</v>
      </c>
      <c r="C3346" s="39">
        <v>45760.0</v>
      </c>
      <c r="D3346" s="33" t="s">
        <v>435</v>
      </c>
      <c r="E3346" s="40">
        <v>149.45</v>
      </c>
      <c r="F3346" s="40">
        <v>0.0</v>
      </c>
      <c r="G3346" s="33" t="s">
        <v>431</v>
      </c>
    </row>
    <row r="3347" ht="15.75" customHeight="1">
      <c r="A3347" s="33" t="s">
        <v>7333</v>
      </c>
      <c r="B3347" s="33" t="s">
        <v>1816</v>
      </c>
      <c r="C3347" s="39">
        <v>45669.0</v>
      </c>
      <c r="D3347" s="33" t="s">
        <v>479</v>
      </c>
      <c r="E3347" s="40">
        <v>238.9</v>
      </c>
      <c r="F3347" s="40">
        <v>4.65</v>
      </c>
      <c r="G3347" s="33" t="s">
        <v>431</v>
      </c>
    </row>
    <row r="3348" ht="15.75" customHeight="1">
      <c r="A3348" s="33" t="s">
        <v>7334</v>
      </c>
      <c r="B3348" s="33" t="s">
        <v>514</v>
      </c>
      <c r="C3348" s="39">
        <v>46101.0</v>
      </c>
      <c r="D3348" s="33" t="s">
        <v>479</v>
      </c>
      <c r="E3348" s="40">
        <v>50.46</v>
      </c>
      <c r="F3348" s="40">
        <v>0.74</v>
      </c>
      <c r="G3348" s="33" t="s">
        <v>450</v>
      </c>
    </row>
    <row r="3349" ht="15.75" customHeight="1">
      <c r="A3349" s="33" t="s">
        <v>7335</v>
      </c>
      <c r="B3349" s="33" t="s">
        <v>1095</v>
      </c>
      <c r="C3349" s="39">
        <v>45949.0</v>
      </c>
      <c r="D3349" s="33" t="s">
        <v>440</v>
      </c>
      <c r="E3349" s="40">
        <v>41.1</v>
      </c>
      <c r="F3349" s="40">
        <v>0.0</v>
      </c>
      <c r="G3349" s="33" t="s">
        <v>431</v>
      </c>
    </row>
    <row r="3350" ht="15.75" customHeight="1">
      <c r="A3350" s="33" t="s">
        <v>7336</v>
      </c>
      <c r="B3350" s="33" t="s">
        <v>916</v>
      </c>
      <c r="C3350" s="39">
        <v>45845.0</v>
      </c>
      <c r="D3350" s="33" t="s">
        <v>428</v>
      </c>
      <c r="E3350" s="40">
        <v>105.25</v>
      </c>
      <c r="F3350" s="40">
        <v>0.0</v>
      </c>
      <c r="G3350" s="33" t="s">
        <v>431</v>
      </c>
    </row>
    <row r="3351" ht="15.75" customHeight="1">
      <c r="A3351" s="33" t="s">
        <v>7337</v>
      </c>
      <c r="B3351" s="33" t="s">
        <v>852</v>
      </c>
      <c r="C3351" s="39">
        <v>46201.0</v>
      </c>
      <c r="D3351" s="33" t="s">
        <v>440</v>
      </c>
      <c r="E3351" s="40">
        <v>51.83</v>
      </c>
      <c r="F3351" s="40">
        <v>0.0</v>
      </c>
      <c r="G3351" s="33" t="s">
        <v>450</v>
      </c>
    </row>
    <row r="3352" ht="15.75" customHeight="1">
      <c r="A3352" s="33" t="s">
        <v>7338</v>
      </c>
      <c r="B3352" s="33" t="s">
        <v>590</v>
      </c>
      <c r="C3352" s="39">
        <v>45856.0</v>
      </c>
      <c r="D3352" s="33" t="s">
        <v>428</v>
      </c>
      <c r="E3352" s="40">
        <v>118.95</v>
      </c>
      <c r="F3352" s="40">
        <v>0.0</v>
      </c>
      <c r="G3352" s="33" t="s">
        <v>450</v>
      </c>
    </row>
    <row r="3353" ht="15.75" customHeight="1">
      <c r="A3353" s="33" t="s">
        <v>7339</v>
      </c>
      <c r="B3353" s="33" t="s">
        <v>1640</v>
      </c>
      <c r="C3353" s="39">
        <v>45921.0</v>
      </c>
      <c r="D3353" s="33" t="s">
        <v>435</v>
      </c>
      <c r="E3353" s="40">
        <v>90.12</v>
      </c>
      <c r="F3353" s="40">
        <v>0.0</v>
      </c>
      <c r="G3353" s="33" t="s">
        <v>450</v>
      </c>
    </row>
    <row r="3354" ht="15.75" customHeight="1">
      <c r="A3354" s="33" t="s">
        <v>7340</v>
      </c>
      <c r="B3354" s="33" t="s">
        <v>1488</v>
      </c>
      <c r="C3354" s="39">
        <v>46097.0</v>
      </c>
      <c r="D3354" s="33" t="s">
        <v>461</v>
      </c>
      <c r="E3354" s="40">
        <v>33.52</v>
      </c>
      <c r="F3354" s="40">
        <v>0.42</v>
      </c>
      <c r="G3354" s="33" t="s">
        <v>431</v>
      </c>
    </row>
    <row r="3355" ht="15.75" customHeight="1">
      <c r="A3355" s="33" t="s">
        <v>7341</v>
      </c>
      <c r="B3355" s="33" t="s">
        <v>3612</v>
      </c>
      <c r="C3355" s="39">
        <v>46242.0</v>
      </c>
      <c r="D3355" s="33" t="s">
        <v>461</v>
      </c>
      <c r="E3355" s="40">
        <v>108.74</v>
      </c>
      <c r="F3355" s="40">
        <v>1.59</v>
      </c>
      <c r="G3355" s="33" t="s">
        <v>431</v>
      </c>
    </row>
    <row r="3356" ht="15.75" customHeight="1">
      <c r="A3356" s="33" t="s">
        <v>7342</v>
      </c>
      <c r="B3356" s="33" t="s">
        <v>3177</v>
      </c>
      <c r="C3356" s="39">
        <v>46203.0</v>
      </c>
      <c r="D3356" s="33" t="s">
        <v>479</v>
      </c>
      <c r="E3356" s="40">
        <v>35.71</v>
      </c>
      <c r="F3356" s="40">
        <v>0.61</v>
      </c>
      <c r="G3356" s="33" t="s">
        <v>442</v>
      </c>
    </row>
    <row r="3357" ht="15.75" customHeight="1">
      <c r="A3357" s="33" t="s">
        <v>7343</v>
      </c>
      <c r="B3357" s="33" t="s">
        <v>1232</v>
      </c>
      <c r="C3357" s="39">
        <v>46054.0</v>
      </c>
      <c r="D3357" s="33" t="s">
        <v>435</v>
      </c>
      <c r="E3357" s="40">
        <v>201.58</v>
      </c>
      <c r="F3357" s="40">
        <v>0.0</v>
      </c>
      <c r="G3357" s="33" t="s">
        <v>442</v>
      </c>
    </row>
    <row r="3358" ht="15.75" customHeight="1">
      <c r="A3358" s="33" t="s">
        <v>7344</v>
      </c>
      <c r="B3358" s="33" t="s">
        <v>587</v>
      </c>
      <c r="C3358" s="39">
        <v>45725.0</v>
      </c>
      <c r="D3358" s="33" t="s">
        <v>435</v>
      </c>
      <c r="E3358" s="40">
        <v>65.95</v>
      </c>
      <c r="F3358" s="40">
        <v>0.0</v>
      </c>
      <c r="G3358" s="33" t="s">
        <v>450</v>
      </c>
    </row>
    <row r="3359" ht="15.75" customHeight="1">
      <c r="A3359" s="33" t="s">
        <v>7345</v>
      </c>
      <c r="B3359" s="33" t="s">
        <v>2234</v>
      </c>
      <c r="C3359" s="39">
        <v>45724.0</v>
      </c>
      <c r="D3359" s="33" t="s">
        <v>461</v>
      </c>
      <c r="E3359" s="40">
        <v>40.72</v>
      </c>
      <c r="F3359" s="40">
        <v>0.54</v>
      </c>
      <c r="G3359" s="33" t="s">
        <v>450</v>
      </c>
    </row>
    <row r="3360" ht="15.75" customHeight="1">
      <c r="A3360" s="33" t="s">
        <v>7346</v>
      </c>
      <c r="B3360" s="33" t="s">
        <v>290</v>
      </c>
      <c r="C3360" s="39">
        <v>46078.0</v>
      </c>
      <c r="D3360" s="33" t="s">
        <v>428</v>
      </c>
      <c r="E3360" s="40">
        <v>92.2</v>
      </c>
      <c r="F3360" s="40">
        <v>0.0</v>
      </c>
      <c r="G3360" s="33" t="s">
        <v>450</v>
      </c>
    </row>
    <row r="3361" ht="15.75" customHeight="1">
      <c r="A3361" s="33" t="s">
        <v>7347</v>
      </c>
      <c r="B3361" s="33" t="s">
        <v>1318</v>
      </c>
      <c r="C3361" s="39">
        <v>45967.0</v>
      </c>
      <c r="D3361" s="33" t="s">
        <v>479</v>
      </c>
      <c r="E3361" s="40">
        <v>99.87</v>
      </c>
      <c r="F3361" s="40">
        <v>1.13</v>
      </c>
      <c r="G3361" s="33" t="s">
        <v>450</v>
      </c>
    </row>
    <row r="3362" ht="15.75" customHeight="1">
      <c r="A3362" s="33" t="s">
        <v>7348</v>
      </c>
      <c r="B3362" s="33" t="s">
        <v>815</v>
      </c>
      <c r="C3362" s="39">
        <v>45738.0</v>
      </c>
      <c r="D3362" s="33" t="s">
        <v>435</v>
      </c>
      <c r="E3362" s="40">
        <v>49.05</v>
      </c>
      <c r="F3362" s="40">
        <v>0.0</v>
      </c>
      <c r="G3362" s="33" t="s">
        <v>442</v>
      </c>
    </row>
    <row r="3363" ht="15.75" customHeight="1">
      <c r="A3363" s="33" t="s">
        <v>7349</v>
      </c>
      <c r="B3363" s="33" t="s">
        <v>705</v>
      </c>
      <c r="C3363" s="39">
        <v>46080.0</v>
      </c>
      <c r="D3363" s="33" t="s">
        <v>461</v>
      </c>
      <c r="E3363" s="40">
        <v>47.09</v>
      </c>
      <c r="F3363" s="40">
        <v>0.67</v>
      </c>
      <c r="G3363" s="33" t="s">
        <v>450</v>
      </c>
    </row>
    <row r="3364" ht="15.75" customHeight="1">
      <c r="A3364" s="33" t="s">
        <v>7350</v>
      </c>
      <c r="B3364" s="33" t="s">
        <v>923</v>
      </c>
      <c r="C3364" s="39">
        <v>46229.0</v>
      </c>
      <c r="D3364" s="33" t="s">
        <v>479</v>
      </c>
      <c r="E3364" s="40">
        <v>14.4</v>
      </c>
      <c r="F3364" s="40">
        <v>0.07</v>
      </c>
      <c r="G3364" s="33" t="s">
        <v>450</v>
      </c>
    </row>
    <row r="3365" ht="15.75" customHeight="1">
      <c r="A3365" s="33" t="s">
        <v>7351</v>
      </c>
      <c r="B3365" s="33" t="s">
        <v>563</v>
      </c>
      <c r="C3365" s="39">
        <v>45697.0</v>
      </c>
      <c r="D3365" s="33" t="s">
        <v>435</v>
      </c>
      <c r="E3365" s="40">
        <v>143.93</v>
      </c>
      <c r="F3365" s="40">
        <v>0.0</v>
      </c>
      <c r="G3365" s="33" t="s">
        <v>450</v>
      </c>
    </row>
    <row r="3366" ht="15.75" customHeight="1">
      <c r="A3366" s="33" t="s">
        <v>7352</v>
      </c>
      <c r="B3366" s="33" t="s">
        <v>1562</v>
      </c>
      <c r="C3366" s="39">
        <v>46159.0</v>
      </c>
      <c r="D3366" s="33" t="s">
        <v>440</v>
      </c>
      <c r="E3366" s="40">
        <v>197.75</v>
      </c>
      <c r="F3366" s="40">
        <v>0.0</v>
      </c>
      <c r="G3366" s="33" t="s">
        <v>442</v>
      </c>
    </row>
    <row r="3367" ht="15.75" customHeight="1">
      <c r="A3367" s="33" t="s">
        <v>7353</v>
      </c>
      <c r="B3367" s="33" t="s">
        <v>684</v>
      </c>
      <c r="C3367" s="39">
        <v>45867.0</v>
      </c>
      <c r="D3367" s="33" t="s">
        <v>440</v>
      </c>
      <c r="E3367" s="40">
        <v>159.69</v>
      </c>
      <c r="F3367" s="40">
        <v>0.0</v>
      </c>
      <c r="G3367" s="33" t="s">
        <v>450</v>
      </c>
    </row>
    <row r="3368" ht="15.75" customHeight="1">
      <c r="A3368" s="33" t="s">
        <v>7354</v>
      </c>
      <c r="B3368" s="33" t="s">
        <v>1346</v>
      </c>
      <c r="C3368" s="39">
        <v>45899.0</v>
      </c>
      <c r="D3368" s="33" t="s">
        <v>428</v>
      </c>
      <c r="E3368" s="40">
        <v>39.62</v>
      </c>
      <c r="F3368" s="40">
        <v>0.0</v>
      </c>
      <c r="G3368" s="33" t="s">
        <v>450</v>
      </c>
    </row>
    <row r="3369" ht="15.75" customHeight="1">
      <c r="A3369" s="33" t="s">
        <v>7355</v>
      </c>
      <c r="B3369" s="33" t="s">
        <v>318</v>
      </c>
      <c r="C3369" s="39">
        <v>46093.0</v>
      </c>
      <c r="D3369" s="33" t="s">
        <v>428</v>
      </c>
      <c r="E3369" s="40">
        <v>106.67</v>
      </c>
      <c r="F3369" s="40">
        <v>0.0</v>
      </c>
      <c r="G3369" s="33" t="s">
        <v>442</v>
      </c>
    </row>
    <row r="3370" ht="15.75" customHeight="1">
      <c r="A3370" s="33" t="s">
        <v>7356</v>
      </c>
      <c r="B3370" s="33" t="s">
        <v>1812</v>
      </c>
      <c r="C3370" s="39">
        <v>45807.0</v>
      </c>
      <c r="D3370" s="33" t="s">
        <v>435</v>
      </c>
      <c r="E3370" s="40">
        <v>93.31</v>
      </c>
      <c r="F3370" s="40">
        <v>0.0</v>
      </c>
      <c r="G3370" s="33" t="s">
        <v>450</v>
      </c>
    </row>
    <row r="3371" ht="15.75" customHeight="1">
      <c r="A3371" s="33" t="s">
        <v>7357</v>
      </c>
      <c r="B3371" s="33" t="s">
        <v>1705</v>
      </c>
      <c r="C3371" s="39">
        <v>45753.0</v>
      </c>
      <c r="D3371" s="33" t="s">
        <v>479</v>
      </c>
      <c r="E3371" s="40">
        <v>19.04</v>
      </c>
      <c r="F3371" s="40">
        <v>0.25</v>
      </c>
      <c r="G3371" s="33" t="s">
        <v>450</v>
      </c>
    </row>
    <row r="3372" ht="15.75" customHeight="1">
      <c r="A3372" s="33" t="s">
        <v>7358</v>
      </c>
      <c r="B3372" s="33" t="s">
        <v>1737</v>
      </c>
      <c r="C3372" s="39">
        <v>46243.0</v>
      </c>
      <c r="D3372" s="33" t="s">
        <v>435</v>
      </c>
      <c r="E3372" s="40">
        <v>48.72</v>
      </c>
      <c r="F3372" s="40">
        <v>0.0</v>
      </c>
      <c r="G3372" s="33" t="s">
        <v>431</v>
      </c>
    </row>
    <row r="3373" ht="15.75" customHeight="1">
      <c r="A3373" s="33" t="s">
        <v>7359</v>
      </c>
      <c r="B3373" s="33" t="s">
        <v>458</v>
      </c>
      <c r="C3373" s="39">
        <v>45869.0</v>
      </c>
      <c r="D3373" s="33" t="s">
        <v>479</v>
      </c>
      <c r="E3373" s="40">
        <v>101.21</v>
      </c>
      <c r="F3373" s="40">
        <v>1.1</v>
      </c>
      <c r="G3373" s="33" t="s">
        <v>442</v>
      </c>
    </row>
    <row r="3374" ht="15.75" customHeight="1">
      <c r="A3374" s="33" t="s">
        <v>7360</v>
      </c>
      <c r="B3374" s="33" t="s">
        <v>1409</v>
      </c>
      <c r="C3374" s="39">
        <v>45760.0</v>
      </c>
      <c r="D3374" s="33" t="s">
        <v>435</v>
      </c>
      <c r="E3374" s="40">
        <v>8.41</v>
      </c>
      <c r="F3374" s="40">
        <v>0.0</v>
      </c>
      <c r="G3374" s="33" t="s">
        <v>450</v>
      </c>
    </row>
    <row r="3375" ht="15.75" customHeight="1">
      <c r="A3375" s="33" t="s">
        <v>7361</v>
      </c>
      <c r="B3375" s="33" t="s">
        <v>371</v>
      </c>
      <c r="C3375" s="39">
        <v>46076.0</v>
      </c>
      <c r="D3375" s="33" t="s">
        <v>461</v>
      </c>
      <c r="E3375" s="40">
        <v>28.6</v>
      </c>
      <c r="F3375" s="40">
        <v>0.54</v>
      </c>
      <c r="G3375" s="33" t="s">
        <v>442</v>
      </c>
    </row>
    <row r="3376" ht="15.75" customHeight="1">
      <c r="A3376" s="33" t="s">
        <v>7362</v>
      </c>
      <c r="B3376" s="33" t="s">
        <v>1470</v>
      </c>
      <c r="C3376" s="39">
        <v>45789.0</v>
      </c>
      <c r="D3376" s="33" t="s">
        <v>435</v>
      </c>
      <c r="E3376" s="40">
        <v>132.22</v>
      </c>
      <c r="F3376" s="40">
        <v>0.0</v>
      </c>
      <c r="G3376" s="33" t="s">
        <v>450</v>
      </c>
    </row>
    <row r="3377" ht="15.75" customHeight="1">
      <c r="A3377" s="33" t="s">
        <v>7363</v>
      </c>
      <c r="B3377" s="33" t="s">
        <v>1693</v>
      </c>
      <c r="C3377" s="39">
        <v>46128.0</v>
      </c>
      <c r="D3377" s="33" t="s">
        <v>428</v>
      </c>
      <c r="E3377" s="40">
        <v>38.41</v>
      </c>
      <c r="F3377" s="40">
        <v>0.0</v>
      </c>
      <c r="G3377" s="33" t="s">
        <v>442</v>
      </c>
    </row>
    <row r="3378" ht="15.75" customHeight="1">
      <c r="A3378" s="33" t="s">
        <v>7364</v>
      </c>
      <c r="B3378" s="33" t="s">
        <v>676</v>
      </c>
      <c r="C3378" s="39">
        <v>45700.0</v>
      </c>
      <c r="D3378" s="33" t="s">
        <v>440</v>
      </c>
      <c r="E3378" s="40">
        <v>19.32</v>
      </c>
      <c r="F3378" s="40">
        <v>0.0</v>
      </c>
      <c r="G3378" s="33" t="s">
        <v>450</v>
      </c>
    </row>
    <row r="3379" ht="15.75" customHeight="1">
      <c r="A3379" s="33" t="s">
        <v>7365</v>
      </c>
      <c r="B3379" s="33" t="s">
        <v>848</v>
      </c>
      <c r="C3379" s="39">
        <v>45972.0</v>
      </c>
      <c r="D3379" s="33" t="s">
        <v>440</v>
      </c>
      <c r="E3379" s="40">
        <v>153.97</v>
      </c>
      <c r="F3379" s="40">
        <v>0.0</v>
      </c>
      <c r="G3379" s="33" t="s">
        <v>450</v>
      </c>
    </row>
    <row r="3380" ht="15.75" customHeight="1">
      <c r="A3380" s="33" t="s">
        <v>7366</v>
      </c>
      <c r="B3380" s="33" t="s">
        <v>1490</v>
      </c>
      <c r="C3380" s="39">
        <v>45902.0</v>
      </c>
      <c r="D3380" s="33" t="s">
        <v>428</v>
      </c>
      <c r="E3380" s="40">
        <v>38.43</v>
      </c>
      <c r="F3380" s="40">
        <v>0.0</v>
      </c>
      <c r="G3380" s="33" t="s">
        <v>442</v>
      </c>
    </row>
    <row r="3381" ht="15.75" customHeight="1">
      <c r="A3381" s="33" t="s">
        <v>7367</v>
      </c>
      <c r="B3381" s="33" t="s">
        <v>389</v>
      </c>
      <c r="C3381" s="39">
        <v>46238.0</v>
      </c>
      <c r="D3381" s="33" t="s">
        <v>428</v>
      </c>
      <c r="E3381" s="40">
        <v>132.93</v>
      </c>
      <c r="F3381" s="40">
        <v>0.0</v>
      </c>
      <c r="G3381" s="33" t="s">
        <v>450</v>
      </c>
    </row>
    <row r="3382" ht="15.75" customHeight="1">
      <c r="A3382" s="33" t="s">
        <v>7368</v>
      </c>
      <c r="B3382" s="33" t="s">
        <v>1816</v>
      </c>
      <c r="C3382" s="39">
        <v>45974.0</v>
      </c>
      <c r="D3382" s="33" t="s">
        <v>435</v>
      </c>
      <c r="E3382" s="40">
        <v>235.16</v>
      </c>
      <c r="F3382" s="40">
        <v>0.0</v>
      </c>
      <c r="G3382" s="33" t="s">
        <v>450</v>
      </c>
    </row>
    <row r="3383" ht="15.75" customHeight="1">
      <c r="A3383" s="33" t="s">
        <v>7369</v>
      </c>
      <c r="B3383" s="33" t="s">
        <v>1576</v>
      </c>
      <c r="C3383" s="39">
        <v>46219.0</v>
      </c>
      <c r="D3383" s="33" t="s">
        <v>435</v>
      </c>
      <c r="E3383" s="40">
        <v>27.75</v>
      </c>
      <c r="F3383" s="40">
        <v>0.0</v>
      </c>
      <c r="G3383" s="33" t="s">
        <v>442</v>
      </c>
    </row>
    <row r="3384" ht="15.75" customHeight="1">
      <c r="A3384" s="33" t="s">
        <v>7370</v>
      </c>
      <c r="B3384" s="33" t="s">
        <v>2562</v>
      </c>
      <c r="C3384" s="39">
        <v>45808.0</v>
      </c>
      <c r="D3384" s="33" t="s">
        <v>428</v>
      </c>
      <c r="E3384" s="40">
        <v>67.87</v>
      </c>
      <c r="F3384" s="40">
        <v>0.0</v>
      </c>
      <c r="G3384" s="33" t="s">
        <v>450</v>
      </c>
    </row>
    <row r="3385" ht="15.75" customHeight="1">
      <c r="A3385" s="33" t="s">
        <v>7371</v>
      </c>
      <c r="B3385" s="33" t="s">
        <v>2314</v>
      </c>
      <c r="C3385" s="39">
        <v>45945.0</v>
      </c>
      <c r="D3385" s="33" t="s">
        <v>428</v>
      </c>
      <c r="E3385" s="40">
        <v>94.0</v>
      </c>
      <c r="F3385" s="40">
        <v>0.0</v>
      </c>
      <c r="G3385" s="33" t="s">
        <v>431</v>
      </c>
    </row>
    <row r="3386" ht="15.75" customHeight="1">
      <c r="A3386" s="33" t="s">
        <v>7372</v>
      </c>
      <c r="B3386" s="33" t="s">
        <v>1280</v>
      </c>
      <c r="C3386" s="39">
        <v>46151.0</v>
      </c>
      <c r="D3386" s="33" t="s">
        <v>479</v>
      </c>
      <c r="E3386" s="40">
        <v>152.02</v>
      </c>
      <c r="F3386" s="40">
        <v>1.29</v>
      </c>
      <c r="G3386" s="33" t="s">
        <v>450</v>
      </c>
    </row>
    <row r="3387" ht="15.75" customHeight="1">
      <c r="A3387" s="33" t="s">
        <v>7373</v>
      </c>
      <c r="B3387" s="33" t="s">
        <v>2469</v>
      </c>
      <c r="C3387" s="39">
        <v>45755.0</v>
      </c>
      <c r="D3387" s="33" t="s">
        <v>435</v>
      </c>
      <c r="E3387" s="40">
        <v>48.55</v>
      </c>
      <c r="F3387" s="40">
        <v>0.0</v>
      </c>
      <c r="G3387" s="33" t="s">
        <v>450</v>
      </c>
    </row>
    <row r="3388" ht="15.75" customHeight="1">
      <c r="A3388" s="33" t="s">
        <v>7374</v>
      </c>
      <c r="B3388" s="33" t="s">
        <v>518</v>
      </c>
      <c r="C3388" s="39">
        <v>46221.0</v>
      </c>
      <c r="D3388" s="33" t="s">
        <v>435</v>
      </c>
      <c r="E3388" s="40">
        <v>3.35</v>
      </c>
      <c r="F3388" s="40">
        <v>0.0</v>
      </c>
      <c r="G3388" s="33" t="s">
        <v>442</v>
      </c>
    </row>
    <row r="3389" ht="15.75" customHeight="1">
      <c r="A3389" s="33" t="s">
        <v>7375</v>
      </c>
      <c r="B3389" s="33" t="s">
        <v>969</v>
      </c>
      <c r="C3389" s="39">
        <v>46127.0</v>
      </c>
      <c r="D3389" s="33" t="s">
        <v>440</v>
      </c>
      <c r="E3389" s="40">
        <v>27.73</v>
      </c>
      <c r="F3389" s="40">
        <v>0.0</v>
      </c>
      <c r="G3389" s="33" t="s">
        <v>431</v>
      </c>
    </row>
    <row r="3390" ht="15.75" customHeight="1">
      <c r="A3390" s="33" t="s">
        <v>7376</v>
      </c>
      <c r="B3390" s="33" t="s">
        <v>659</v>
      </c>
      <c r="C3390" s="39">
        <v>46068.0</v>
      </c>
      <c r="D3390" s="33" t="s">
        <v>461</v>
      </c>
      <c r="E3390" s="40">
        <v>57.13</v>
      </c>
      <c r="F3390" s="40">
        <v>0.51</v>
      </c>
      <c r="G3390" s="33" t="s">
        <v>450</v>
      </c>
    </row>
    <row r="3391" ht="15.75" customHeight="1">
      <c r="A3391" s="33" t="s">
        <v>7377</v>
      </c>
      <c r="B3391" s="33" t="s">
        <v>3048</v>
      </c>
      <c r="C3391" s="39">
        <v>45805.0</v>
      </c>
      <c r="D3391" s="33" t="s">
        <v>435</v>
      </c>
      <c r="E3391" s="40">
        <v>132.75</v>
      </c>
      <c r="F3391" s="40">
        <v>0.0</v>
      </c>
      <c r="G3391" s="33" t="s">
        <v>431</v>
      </c>
    </row>
    <row r="3392" ht="15.75" customHeight="1">
      <c r="A3392" s="33" t="s">
        <v>7378</v>
      </c>
      <c r="B3392" s="33" t="s">
        <v>4175</v>
      </c>
      <c r="C3392" s="39">
        <v>46154.0</v>
      </c>
      <c r="D3392" s="33" t="s">
        <v>461</v>
      </c>
      <c r="E3392" s="40">
        <v>68.42</v>
      </c>
      <c r="F3392" s="40">
        <v>1.37</v>
      </c>
      <c r="G3392" s="33" t="s">
        <v>450</v>
      </c>
    </row>
    <row r="3393" ht="15.75" customHeight="1">
      <c r="A3393" s="33" t="s">
        <v>7379</v>
      </c>
      <c r="B3393" s="33" t="s">
        <v>2023</v>
      </c>
      <c r="C3393" s="39">
        <v>46169.0</v>
      </c>
      <c r="D3393" s="33" t="s">
        <v>428</v>
      </c>
      <c r="E3393" s="40">
        <v>126.57</v>
      </c>
      <c r="F3393" s="40">
        <v>0.0</v>
      </c>
      <c r="G3393" s="33" t="s">
        <v>442</v>
      </c>
    </row>
    <row r="3394" ht="15.75" customHeight="1">
      <c r="A3394" s="33" t="s">
        <v>7380</v>
      </c>
      <c r="B3394" s="33" t="s">
        <v>1198</v>
      </c>
      <c r="C3394" s="39">
        <v>45835.0</v>
      </c>
      <c r="D3394" s="33" t="s">
        <v>435</v>
      </c>
      <c r="E3394" s="40">
        <v>55.43</v>
      </c>
      <c r="F3394" s="40">
        <v>0.0</v>
      </c>
      <c r="G3394" s="33" t="s">
        <v>450</v>
      </c>
    </row>
    <row r="3395" ht="15.75" customHeight="1">
      <c r="A3395" s="33" t="s">
        <v>7381</v>
      </c>
      <c r="B3395" s="33" t="s">
        <v>1222</v>
      </c>
      <c r="C3395" s="39">
        <v>46014.0</v>
      </c>
      <c r="D3395" s="33" t="s">
        <v>428</v>
      </c>
      <c r="E3395" s="40">
        <v>87.41</v>
      </c>
      <c r="F3395" s="40">
        <v>0.0</v>
      </c>
      <c r="G3395" s="33" t="s">
        <v>450</v>
      </c>
    </row>
    <row r="3396" ht="15.75" customHeight="1">
      <c r="A3396" s="33" t="s">
        <v>7382</v>
      </c>
      <c r="B3396" s="33" t="s">
        <v>952</v>
      </c>
      <c r="C3396" s="39">
        <v>45694.0</v>
      </c>
      <c r="D3396" s="33" t="s">
        <v>428</v>
      </c>
      <c r="E3396" s="40">
        <v>139.91</v>
      </c>
      <c r="F3396" s="40">
        <v>0.0</v>
      </c>
      <c r="G3396" s="33" t="s">
        <v>431</v>
      </c>
    </row>
    <row r="3397" ht="15.75" customHeight="1">
      <c r="A3397" s="33" t="s">
        <v>7383</v>
      </c>
      <c r="B3397" s="33" t="s">
        <v>356</v>
      </c>
      <c r="C3397" s="39">
        <v>45897.0</v>
      </c>
      <c r="D3397" s="33" t="s">
        <v>440</v>
      </c>
      <c r="E3397" s="40">
        <v>166.7</v>
      </c>
      <c r="F3397" s="40">
        <v>0.0</v>
      </c>
      <c r="G3397" s="33" t="s">
        <v>442</v>
      </c>
    </row>
    <row r="3398" ht="15.75" customHeight="1">
      <c r="A3398" s="33" t="s">
        <v>7384</v>
      </c>
      <c r="B3398" s="33" t="s">
        <v>1825</v>
      </c>
      <c r="C3398" s="39">
        <v>45749.0</v>
      </c>
      <c r="D3398" s="33" t="s">
        <v>435</v>
      </c>
      <c r="E3398" s="40">
        <v>270.87</v>
      </c>
      <c r="F3398" s="40">
        <v>0.0</v>
      </c>
      <c r="G3398" s="33" t="s">
        <v>450</v>
      </c>
    </row>
    <row r="3399" ht="15.75" customHeight="1">
      <c r="A3399" s="33" t="s">
        <v>7385</v>
      </c>
      <c r="B3399" s="33" t="s">
        <v>655</v>
      </c>
      <c r="C3399" s="39">
        <v>45995.0</v>
      </c>
      <c r="D3399" s="33" t="s">
        <v>440</v>
      </c>
      <c r="E3399" s="40">
        <v>96.58</v>
      </c>
      <c r="F3399" s="40">
        <v>0.0</v>
      </c>
      <c r="G3399" s="33" t="s">
        <v>450</v>
      </c>
    </row>
    <row r="3400" ht="15.75" customHeight="1">
      <c r="A3400" s="33" t="s">
        <v>7386</v>
      </c>
      <c r="B3400" s="33" t="s">
        <v>1906</v>
      </c>
      <c r="C3400" s="39">
        <v>45991.0</v>
      </c>
      <c r="D3400" s="33" t="s">
        <v>440</v>
      </c>
      <c r="E3400" s="40">
        <v>11.01</v>
      </c>
      <c r="F3400" s="40">
        <v>0.0</v>
      </c>
      <c r="G3400" s="33" t="s">
        <v>442</v>
      </c>
    </row>
    <row r="3401" ht="15.75" customHeight="1">
      <c r="A3401" s="33" t="s">
        <v>7387</v>
      </c>
      <c r="B3401" s="33" t="s">
        <v>201</v>
      </c>
      <c r="C3401" s="39">
        <v>45981.0</v>
      </c>
      <c r="D3401" s="33" t="s">
        <v>440</v>
      </c>
      <c r="E3401" s="40">
        <v>109.38</v>
      </c>
      <c r="F3401" s="40">
        <v>0.0</v>
      </c>
      <c r="G3401" s="33" t="s">
        <v>450</v>
      </c>
    </row>
    <row r="3402" ht="15.75" customHeight="1">
      <c r="A3402" s="33" t="s">
        <v>7388</v>
      </c>
      <c r="B3402" s="33" t="s">
        <v>2053</v>
      </c>
      <c r="C3402" s="39">
        <v>46069.0</v>
      </c>
      <c r="D3402" s="33" t="s">
        <v>428</v>
      </c>
      <c r="E3402" s="40">
        <v>10.09</v>
      </c>
      <c r="F3402" s="40">
        <v>0.0</v>
      </c>
      <c r="G3402" s="33" t="s">
        <v>442</v>
      </c>
    </row>
    <row r="3403" ht="15.75" customHeight="1">
      <c r="A3403" s="33" t="s">
        <v>7389</v>
      </c>
      <c r="B3403" s="33" t="s">
        <v>2144</v>
      </c>
      <c r="C3403" s="39">
        <v>46219.0</v>
      </c>
      <c r="D3403" s="33" t="s">
        <v>435</v>
      </c>
      <c r="E3403" s="40">
        <v>119.08</v>
      </c>
      <c r="F3403" s="40">
        <v>0.0</v>
      </c>
      <c r="G3403" s="33" t="s">
        <v>450</v>
      </c>
    </row>
    <row r="3404" ht="15.75" customHeight="1">
      <c r="A3404" s="33" t="s">
        <v>7390</v>
      </c>
      <c r="B3404" s="33" t="s">
        <v>1130</v>
      </c>
      <c r="C3404" s="39">
        <v>45777.0</v>
      </c>
      <c r="D3404" s="33" t="s">
        <v>440</v>
      </c>
      <c r="E3404" s="40">
        <v>85.04</v>
      </c>
      <c r="F3404" s="40">
        <v>0.0</v>
      </c>
      <c r="G3404" s="33" t="s">
        <v>431</v>
      </c>
    </row>
    <row r="3405" ht="15.75" customHeight="1">
      <c r="A3405" s="33" t="s">
        <v>7391</v>
      </c>
      <c r="B3405" s="33" t="s">
        <v>1056</v>
      </c>
      <c r="C3405" s="39">
        <v>45788.0</v>
      </c>
      <c r="D3405" s="33" t="s">
        <v>461</v>
      </c>
      <c r="E3405" s="40">
        <v>160.5</v>
      </c>
      <c r="F3405" s="40">
        <v>1.17</v>
      </c>
      <c r="G3405" s="33" t="s">
        <v>442</v>
      </c>
    </row>
    <row r="3406" ht="15.75" customHeight="1">
      <c r="A3406" s="33" t="s">
        <v>7392</v>
      </c>
      <c r="B3406" s="33" t="s">
        <v>1216</v>
      </c>
      <c r="C3406" s="39">
        <v>45788.0</v>
      </c>
      <c r="D3406" s="33" t="s">
        <v>435</v>
      </c>
      <c r="E3406" s="40">
        <v>55.12</v>
      </c>
      <c r="F3406" s="40">
        <v>0.0</v>
      </c>
      <c r="G3406" s="33" t="s">
        <v>450</v>
      </c>
    </row>
    <row r="3407" ht="15.75" customHeight="1">
      <c r="A3407" s="33" t="s">
        <v>7393</v>
      </c>
      <c r="B3407" s="33" t="s">
        <v>822</v>
      </c>
      <c r="C3407" s="39">
        <v>46221.0</v>
      </c>
      <c r="D3407" s="33" t="s">
        <v>435</v>
      </c>
      <c r="E3407" s="40">
        <v>88.2</v>
      </c>
      <c r="F3407" s="40">
        <v>0.0</v>
      </c>
      <c r="G3407" s="33" t="s">
        <v>450</v>
      </c>
    </row>
    <row r="3408" ht="15.75" customHeight="1">
      <c r="A3408" s="33" t="s">
        <v>7394</v>
      </c>
      <c r="B3408" s="33" t="s">
        <v>2610</v>
      </c>
      <c r="C3408" s="39">
        <v>45714.0</v>
      </c>
      <c r="D3408" s="33" t="s">
        <v>440</v>
      </c>
      <c r="E3408" s="40">
        <v>110.75</v>
      </c>
      <c r="F3408" s="40">
        <v>0.0</v>
      </c>
      <c r="G3408" s="33" t="s">
        <v>450</v>
      </c>
    </row>
    <row r="3409" ht="15.75" customHeight="1">
      <c r="A3409" s="33" t="s">
        <v>7395</v>
      </c>
      <c r="B3409" s="33" t="s">
        <v>1416</v>
      </c>
      <c r="C3409" s="39">
        <v>45677.0</v>
      </c>
      <c r="D3409" s="33" t="s">
        <v>428</v>
      </c>
      <c r="E3409" s="40">
        <v>4.73</v>
      </c>
      <c r="F3409" s="40">
        <v>0.0</v>
      </c>
      <c r="G3409" s="33" t="s">
        <v>450</v>
      </c>
    </row>
    <row r="3410" ht="15.75" customHeight="1">
      <c r="A3410" s="33" t="s">
        <v>7396</v>
      </c>
      <c r="B3410" s="33" t="s">
        <v>1141</v>
      </c>
      <c r="C3410" s="39">
        <v>45755.0</v>
      </c>
      <c r="D3410" s="33" t="s">
        <v>428</v>
      </c>
      <c r="E3410" s="40">
        <v>107.03</v>
      </c>
      <c r="F3410" s="40">
        <v>0.0</v>
      </c>
      <c r="G3410" s="33" t="s">
        <v>450</v>
      </c>
    </row>
    <row r="3411" ht="15.75" customHeight="1">
      <c r="A3411" s="33" t="s">
        <v>7397</v>
      </c>
      <c r="B3411" s="33" t="s">
        <v>2165</v>
      </c>
      <c r="C3411" s="39">
        <v>46124.0</v>
      </c>
      <c r="D3411" s="33" t="s">
        <v>428</v>
      </c>
      <c r="E3411" s="40">
        <v>40.83</v>
      </c>
      <c r="F3411" s="40">
        <v>0.0</v>
      </c>
      <c r="G3411" s="33" t="s">
        <v>450</v>
      </c>
    </row>
    <row r="3412" ht="15.75" customHeight="1">
      <c r="A3412" s="33" t="s">
        <v>7398</v>
      </c>
      <c r="B3412" s="33" t="s">
        <v>2676</v>
      </c>
      <c r="C3412" s="39">
        <v>46009.0</v>
      </c>
      <c r="D3412" s="33" t="s">
        <v>428</v>
      </c>
      <c r="E3412" s="40">
        <v>98.98</v>
      </c>
      <c r="F3412" s="40">
        <v>0.0</v>
      </c>
      <c r="G3412" s="33" t="s">
        <v>431</v>
      </c>
    </row>
    <row r="3413" ht="15.75" customHeight="1">
      <c r="A3413" s="33" t="s">
        <v>7399</v>
      </c>
      <c r="B3413" s="33" t="s">
        <v>1660</v>
      </c>
      <c r="C3413" s="39">
        <v>46216.0</v>
      </c>
      <c r="D3413" s="33" t="s">
        <v>435</v>
      </c>
      <c r="E3413" s="40">
        <v>7.79</v>
      </c>
      <c r="F3413" s="40">
        <v>0.0</v>
      </c>
      <c r="G3413" s="33" t="s">
        <v>450</v>
      </c>
    </row>
    <row r="3414" ht="15.75" customHeight="1">
      <c r="A3414" s="33" t="s">
        <v>7400</v>
      </c>
      <c r="B3414" s="33" t="s">
        <v>265</v>
      </c>
      <c r="C3414" s="39">
        <v>45782.0</v>
      </c>
      <c r="D3414" s="33" t="s">
        <v>479</v>
      </c>
      <c r="E3414" s="40">
        <v>123.15</v>
      </c>
      <c r="F3414" s="40">
        <v>1.6</v>
      </c>
      <c r="G3414" s="33" t="s">
        <v>450</v>
      </c>
    </row>
    <row r="3415" ht="15.75" customHeight="1">
      <c r="A3415" s="33" t="s">
        <v>7401</v>
      </c>
      <c r="B3415" s="33" t="s">
        <v>822</v>
      </c>
      <c r="C3415" s="39">
        <v>45897.0</v>
      </c>
      <c r="D3415" s="33" t="s">
        <v>479</v>
      </c>
      <c r="E3415" s="40">
        <v>115.82</v>
      </c>
      <c r="F3415" s="40">
        <v>1.75</v>
      </c>
      <c r="G3415" s="33" t="s">
        <v>450</v>
      </c>
    </row>
    <row r="3416" ht="15.75" customHeight="1">
      <c r="A3416" s="33" t="s">
        <v>7402</v>
      </c>
      <c r="B3416" s="33" t="s">
        <v>264</v>
      </c>
      <c r="C3416" s="39">
        <v>45995.0</v>
      </c>
      <c r="D3416" s="33" t="s">
        <v>435</v>
      </c>
      <c r="E3416" s="40">
        <v>155.65</v>
      </c>
      <c r="F3416" s="40">
        <v>0.0</v>
      </c>
      <c r="G3416" s="33" t="s">
        <v>450</v>
      </c>
    </row>
    <row r="3417" ht="15.75" customHeight="1">
      <c r="A3417" s="33" t="s">
        <v>7403</v>
      </c>
      <c r="B3417" s="33" t="s">
        <v>793</v>
      </c>
      <c r="C3417" s="39">
        <v>45702.0</v>
      </c>
      <c r="D3417" s="33" t="s">
        <v>428</v>
      </c>
      <c r="E3417" s="40">
        <v>14.39</v>
      </c>
      <c r="F3417" s="40">
        <v>0.0</v>
      </c>
      <c r="G3417" s="33" t="s">
        <v>450</v>
      </c>
    </row>
    <row r="3418" ht="15.75" customHeight="1">
      <c r="A3418" s="33" t="s">
        <v>7404</v>
      </c>
      <c r="B3418" s="33" t="s">
        <v>293</v>
      </c>
      <c r="C3418" s="39">
        <v>46215.0</v>
      </c>
      <c r="D3418" s="33" t="s">
        <v>461</v>
      </c>
      <c r="E3418" s="40">
        <v>265.72</v>
      </c>
      <c r="F3418" s="40">
        <v>3.09</v>
      </c>
      <c r="G3418" s="33" t="s">
        <v>442</v>
      </c>
    </row>
    <row r="3419" ht="15.75" customHeight="1">
      <c r="A3419" s="33" t="s">
        <v>7405</v>
      </c>
      <c r="B3419" s="33" t="s">
        <v>3985</v>
      </c>
      <c r="C3419" s="39">
        <v>46146.0</v>
      </c>
      <c r="D3419" s="33" t="s">
        <v>428</v>
      </c>
      <c r="E3419" s="40">
        <v>22.97</v>
      </c>
      <c r="F3419" s="40">
        <v>0.0</v>
      </c>
      <c r="G3419" s="33" t="s">
        <v>450</v>
      </c>
    </row>
    <row r="3420" ht="15.75" customHeight="1">
      <c r="A3420" s="33" t="s">
        <v>7406</v>
      </c>
      <c r="B3420" s="33" t="s">
        <v>1812</v>
      </c>
      <c r="C3420" s="39">
        <v>45745.0</v>
      </c>
      <c r="D3420" s="33" t="s">
        <v>440</v>
      </c>
      <c r="E3420" s="40">
        <v>87.73</v>
      </c>
      <c r="F3420" s="40">
        <v>0.0</v>
      </c>
      <c r="G3420" s="33" t="s">
        <v>450</v>
      </c>
    </row>
    <row r="3421" ht="15.75" customHeight="1">
      <c r="A3421" s="33" t="s">
        <v>7407</v>
      </c>
      <c r="B3421" s="33" t="s">
        <v>1722</v>
      </c>
      <c r="C3421" s="39">
        <v>46169.0</v>
      </c>
      <c r="D3421" s="33" t="s">
        <v>461</v>
      </c>
      <c r="E3421" s="40">
        <v>58.06</v>
      </c>
      <c r="F3421" s="40">
        <v>0.66</v>
      </c>
      <c r="G3421" s="33" t="s">
        <v>450</v>
      </c>
    </row>
    <row r="3422" ht="15.75" customHeight="1">
      <c r="A3422" s="33" t="s">
        <v>7408</v>
      </c>
      <c r="B3422" s="33" t="s">
        <v>895</v>
      </c>
      <c r="C3422" s="39">
        <v>45930.0</v>
      </c>
      <c r="D3422" s="33" t="s">
        <v>435</v>
      </c>
      <c r="E3422" s="40">
        <v>69.87</v>
      </c>
      <c r="F3422" s="40">
        <v>0.0</v>
      </c>
      <c r="G3422" s="33" t="s">
        <v>450</v>
      </c>
    </row>
    <row r="3423" ht="15.75" customHeight="1">
      <c r="A3423" s="33" t="s">
        <v>7409</v>
      </c>
      <c r="B3423" s="33" t="s">
        <v>3128</v>
      </c>
      <c r="C3423" s="39">
        <v>45862.0</v>
      </c>
      <c r="D3423" s="33" t="s">
        <v>435</v>
      </c>
      <c r="E3423" s="40">
        <v>240.06</v>
      </c>
      <c r="F3423" s="40">
        <v>0.0</v>
      </c>
      <c r="G3423" s="33" t="s">
        <v>450</v>
      </c>
    </row>
    <row r="3424" ht="15.75" customHeight="1">
      <c r="A3424" s="33" t="s">
        <v>7410</v>
      </c>
      <c r="B3424" s="33" t="s">
        <v>470</v>
      </c>
      <c r="C3424" s="39">
        <v>46232.0</v>
      </c>
      <c r="D3424" s="33" t="s">
        <v>461</v>
      </c>
      <c r="E3424" s="40">
        <v>26.62</v>
      </c>
      <c r="F3424" s="40">
        <v>0.51</v>
      </c>
      <c r="G3424" s="33" t="s">
        <v>450</v>
      </c>
    </row>
    <row r="3425" ht="15.75" customHeight="1">
      <c r="A3425" s="33" t="s">
        <v>7411</v>
      </c>
      <c r="B3425" s="33" t="s">
        <v>916</v>
      </c>
      <c r="C3425" s="39">
        <v>45972.0</v>
      </c>
      <c r="D3425" s="33" t="s">
        <v>435</v>
      </c>
      <c r="E3425" s="40">
        <v>215.31</v>
      </c>
      <c r="F3425" s="40">
        <v>0.0</v>
      </c>
      <c r="G3425" s="33" t="s">
        <v>442</v>
      </c>
    </row>
    <row r="3426" ht="15.75" customHeight="1">
      <c r="A3426" s="33" t="s">
        <v>7412</v>
      </c>
      <c r="B3426" s="33" t="s">
        <v>590</v>
      </c>
      <c r="C3426" s="39">
        <v>45795.0</v>
      </c>
      <c r="D3426" s="33" t="s">
        <v>440</v>
      </c>
      <c r="E3426" s="40">
        <v>136.04</v>
      </c>
      <c r="F3426" s="40">
        <v>0.0</v>
      </c>
      <c r="G3426" s="33" t="s">
        <v>450</v>
      </c>
    </row>
    <row r="3427" ht="15.75" customHeight="1">
      <c r="A3427" s="33" t="s">
        <v>7413</v>
      </c>
      <c r="B3427" s="33" t="s">
        <v>634</v>
      </c>
      <c r="C3427" s="39">
        <v>46149.0</v>
      </c>
      <c r="D3427" s="33" t="s">
        <v>461</v>
      </c>
      <c r="E3427" s="40">
        <v>76.24</v>
      </c>
      <c r="F3427" s="40">
        <v>0.59</v>
      </c>
      <c r="G3427" s="33" t="s">
        <v>450</v>
      </c>
    </row>
    <row r="3428" ht="15.75" customHeight="1">
      <c r="A3428" s="33" t="s">
        <v>7414</v>
      </c>
      <c r="B3428" s="33" t="s">
        <v>352</v>
      </c>
      <c r="C3428" s="39">
        <v>46092.0</v>
      </c>
      <c r="D3428" s="33" t="s">
        <v>479</v>
      </c>
      <c r="E3428" s="40">
        <v>75.63</v>
      </c>
      <c r="F3428" s="40">
        <v>0.4</v>
      </c>
      <c r="G3428" s="33" t="s">
        <v>450</v>
      </c>
    </row>
    <row r="3429" ht="15.75" customHeight="1">
      <c r="A3429" s="33" t="s">
        <v>7415</v>
      </c>
      <c r="B3429" s="33" t="s">
        <v>672</v>
      </c>
      <c r="C3429" s="39">
        <v>45774.0</v>
      </c>
      <c r="D3429" s="33" t="s">
        <v>440</v>
      </c>
      <c r="E3429" s="40">
        <v>116.17</v>
      </c>
      <c r="F3429" s="40">
        <v>0.0</v>
      </c>
      <c r="G3429" s="33" t="s">
        <v>442</v>
      </c>
    </row>
    <row r="3430" ht="15.75" customHeight="1">
      <c r="A3430" s="33" t="s">
        <v>7416</v>
      </c>
      <c r="B3430" s="33" t="s">
        <v>566</v>
      </c>
      <c r="C3430" s="39">
        <v>46069.0</v>
      </c>
      <c r="D3430" s="33" t="s">
        <v>440</v>
      </c>
      <c r="E3430" s="40">
        <v>54.6</v>
      </c>
      <c r="F3430" s="40">
        <v>0.0</v>
      </c>
      <c r="G3430" s="33" t="s">
        <v>450</v>
      </c>
    </row>
    <row r="3431" ht="15.75" customHeight="1">
      <c r="A3431" s="33" t="s">
        <v>7417</v>
      </c>
      <c r="B3431" s="33" t="s">
        <v>1977</v>
      </c>
      <c r="C3431" s="39">
        <v>46039.0</v>
      </c>
      <c r="D3431" s="33" t="s">
        <v>461</v>
      </c>
      <c r="E3431" s="40">
        <v>63.86</v>
      </c>
      <c r="F3431" s="40">
        <v>0.65</v>
      </c>
      <c r="G3431" s="33" t="s">
        <v>450</v>
      </c>
    </row>
    <row r="3432" ht="15.75" customHeight="1">
      <c r="A3432" s="33" t="s">
        <v>7418</v>
      </c>
      <c r="B3432" s="33" t="s">
        <v>1311</v>
      </c>
      <c r="C3432" s="39">
        <v>45825.0</v>
      </c>
      <c r="D3432" s="33" t="s">
        <v>428</v>
      </c>
      <c r="E3432" s="40">
        <v>87.35</v>
      </c>
      <c r="F3432" s="40">
        <v>0.0</v>
      </c>
      <c r="G3432" s="33" t="s">
        <v>442</v>
      </c>
    </row>
    <row r="3433" ht="15.75" customHeight="1">
      <c r="A3433" s="33" t="s">
        <v>7419</v>
      </c>
      <c r="B3433" s="33" t="s">
        <v>2144</v>
      </c>
      <c r="C3433" s="39">
        <v>45919.0</v>
      </c>
      <c r="D3433" s="33" t="s">
        <v>461</v>
      </c>
      <c r="E3433" s="40">
        <v>198.88</v>
      </c>
      <c r="F3433" s="40">
        <v>2.62</v>
      </c>
      <c r="G3433" s="33" t="s">
        <v>450</v>
      </c>
    </row>
    <row r="3434" ht="15.75" customHeight="1">
      <c r="A3434" s="33" t="s">
        <v>7420</v>
      </c>
      <c r="B3434" s="33" t="s">
        <v>2299</v>
      </c>
      <c r="C3434" s="39">
        <v>46167.0</v>
      </c>
      <c r="D3434" s="33" t="s">
        <v>440</v>
      </c>
      <c r="E3434" s="40">
        <v>69.08</v>
      </c>
      <c r="F3434" s="40">
        <v>0.0</v>
      </c>
      <c r="G3434" s="33" t="s">
        <v>442</v>
      </c>
    </row>
    <row r="3435" ht="15.75" customHeight="1">
      <c r="A3435" s="33" t="s">
        <v>7421</v>
      </c>
      <c r="B3435" s="33" t="s">
        <v>300</v>
      </c>
      <c r="C3435" s="39">
        <v>45763.0</v>
      </c>
      <c r="D3435" s="33" t="s">
        <v>479</v>
      </c>
      <c r="E3435" s="40">
        <v>12.41</v>
      </c>
      <c r="F3435" s="40">
        <v>0.18</v>
      </c>
      <c r="G3435" s="33" t="s">
        <v>450</v>
      </c>
    </row>
    <row r="3436" ht="15.75" customHeight="1">
      <c r="A3436" s="33" t="s">
        <v>7422</v>
      </c>
      <c r="B3436" s="33" t="s">
        <v>497</v>
      </c>
      <c r="C3436" s="39">
        <v>46096.0</v>
      </c>
      <c r="D3436" s="33" t="s">
        <v>435</v>
      </c>
      <c r="E3436" s="40">
        <v>90.18</v>
      </c>
      <c r="F3436" s="40">
        <v>0.0</v>
      </c>
      <c r="G3436" s="33" t="s">
        <v>450</v>
      </c>
    </row>
    <row r="3437" ht="15.75" customHeight="1">
      <c r="A3437" s="33" t="s">
        <v>7423</v>
      </c>
      <c r="B3437" s="33" t="s">
        <v>2568</v>
      </c>
      <c r="C3437" s="39">
        <v>46162.0</v>
      </c>
      <c r="D3437" s="33" t="s">
        <v>435</v>
      </c>
      <c r="E3437" s="40">
        <v>72.45</v>
      </c>
      <c r="F3437" s="40">
        <v>0.0</v>
      </c>
      <c r="G3437" s="33" t="s">
        <v>450</v>
      </c>
    </row>
    <row r="3438" ht="15.75" customHeight="1">
      <c r="A3438" s="33" t="s">
        <v>7424</v>
      </c>
      <c r="B3438" s="33" t="s">
        <v>876</v>
      </c>
      <c r="C3438" s="39">
        <v>46226.0</v>
      </c>
      <c r="D3438" s="33" t="s">
        <v>440</v>
      </c>
      <c r="E3438" s="40">
        <v>44.26</v>
      </c>
      <c r="F3438" s="40">
        <v>0.0</v>
      </c>
      <c r="G3438" s="33" t="s">
        <v>450</v>
      </c>
    </row>
    <row r="3439" ht="15.75" customHeight="1">
      <c r="A3439" s="33" t="s">
        <v>7425</v>
      </c>
      <c r="B3439" s="33" t="s">
        <v>4000</v>
      </c>
      <c r="C3439" s="39">
        <v>45855.0</v>
      </c>
      <c r="D3439" s="33" t="s">
        <v>440</v>
      </c>
      <c r="E3439" s="40">
        <v>101.08</v>
      </c>
      <c r="F3439" s="40">
        <v>0.0</v>
      </c>
      <c r="G3439" s="33" t="s">
        <v>450</v>
      </c>
    </row>
    <row r="3440" ht="15.75" customHeight="1">
      <c r="A3440" s="33" t="s">
        <v>7426</v>
      </c>
      <c r="B3440" s="33" t="s">
        <v>2394</v>
      </c>
      <c r="C3440" s="39">
        <v>45819.0</v>
      </c>
      <c r="D3440" s="33" t="s">
        <v>428</v>
      </c>
      <c r="E3440" s="40">
        <v>45.64</v>
      </c>
      <c r="F3440" s="40">
        <v>0.0</v>
      </c>
      <c r="G3440" s="33" t="s">
        <v>450</v>
      </c>
    </row>
    <row r="3441" ht="15.75" customHeight="1">
      <c r="A3441" s="33" t="s">
        <v>7427</v>
      </c>
      <c r="B3441" s="33" t="s">
        <v>1113</v>
      </c>
      <c r="C3441" s="39">
        <v>46225.0</v>
      </c>
      <c r="D3441" s="33" t="s">
        <v>428</v>
      </c>
      <c r="E3441" s="40">
        <v>67.7</v>
      </c>
      <c r="F3441" s="40">
        <v>0.0</v>
      </c>
      <c r="G3441" s="33" t="s">
        <v>442</v>
      </c>
    </row>
    <row r="3442" ht="15.75" customHeight="1">
      <c r="A3442" s="33" t="s">
        <v>7428</v>
      </c>
      <c r="B3442" s="33" t="s">
        <v>671</v>
      </c>
      <c r="C3442" s="39">
        <v>45938.0</v>
      </c>
      <c r="D3442" s="33" t="s">
        <v>435</v>
      </c>
      <c r="E3442" s="40">
        <v>87.66</v>
      </c>
      <c r="F3442" s="40">
        <v>0.0</v>
      </c>
      <c r="G3442" s="33" t="s">
        <v>450</v>
      </c>
    </row>
    <row r="3443" ht="15.75" customHeight="1">
      <c r="A3443" s="33" t="s">
        <v>7429</v>
      </c>
      <c r="B3443" s="33" t="s">
        <v>2562</v>
      </c>
      <c r="C3443" s="39">
        <v>46003.0</v>
      </c>
      <c r="D3443" s="33" t="s">
        <v>440</v>
      </c>
      <c r="E3443" s="40">
        <v>94.39</v>
      </c>
      <c r="F3443" s="40">
        <v>0.0</v>
      </c>
      <c r="G3443" s="33" t="s">
        <v>450</v>
      </c>
    </row>
    <row r="3444" ht="15.75" customHeight="1">
      <c r="A3444" s="33" t="s">
        <v>7430</v>
      </c>
      <c r="B3444" s="33" t="s">
        <v>864</v>
      </c>
      <c r="C3444" s="39">
        <v>45969.0</v>
      </c>
      <c r="D3444" s="33" t="s">
        <v>435</v>
      </c>
      <c r="E3444" s="40">
        <v>107.25</v>
      </c>
      <c r="F3444" s="40">
        <v>0.0</v>
      </c>
      <c r="G3444" s="33" t="s">
        <v>450</v>
      </c>
    </row>
    <row r="3445" ht="15.75" customHeight="1">
      <c r="A3445" s="33" t="s">
        <v>7431</v>
      </c>
      <c r="B3445" s="33" t="s">
        <v>1503</v>
      </c>
      <c r="C3445" s="39">
        <v>45970.0</v>
      </c>
      <c r="D3445" s="33" t="s">
        <v>435</v>
      </c>
      <c r="E3445" s="40">
        <v>118.55</v>
      </c>
      <c r="F3445" s="40">
        <v>0.0</v>
      </c>
      <c r="G3445" s="33" t="s">
        <v>450</v>
      </c>
    </row>
    <row r="3446" ht="15.75" customHeight="1">
      <c r="A3446" s="33" t="s">
        <v>7432</v>
      </c>
      <c r="B3446" s="33" t="s">
        <v>608</v>
      </c>
      <c r="C3446" s="39">
        <v>46037.0</v>
      </c>
      <c r="D3446" s="33" t="s">
        <v>440</v>
      </c>
      <c r="E3446" s="40">
        <v>86.21</v>
      </c>
      <c r="F3446" s="40">
        <v>0.0</v>
      </c>
      <c r="G3446" s="33" t="s">
        <v>450</v>
      </c>
    </row>
    <row r="3447" ht="15.75" customHeight="1">
      <c r="A3447" s="33" t="s">
        <v>7433</v>
      </c>
      <c r="B3447" s="33" t="s">
        <v>492</v>
      </c>
      <c r="C3447" s="39">
        <v>45914.0</v>
      </c>
      <c r="D3447" s="33" t="s">
        <v>428</v>
      </c>
      <c r="E3447" s="40">
        <v>16.17</v>
      </c>
      <c r="F3447" s="40">
        <v>0.0</v>
      </c>
      <c r="G3447" s="33" t="s">
        <v>450</v>
      </c>
    </row>
    <row r="3448" ht="15.75" customHeight="1">
      <c r="A3448" s="33" t="s">
        <v>7434</v>
      </c>
      <c r="B3448" s="33" t="s">
        <v>600</v>
      </c>
      <c r="C3448" s="39">
        <v>45895.0</v>
      </c>
      <c r="D3448" s="33" t="s">
        <v>435</v>
      </c>
      <c r="E3448" s="40">
        <v>97.0</v>
      </c>
      <c r="F3448" s="40">
        <v>0.0</v>
      </c>
      <c r="G3448" s="33" t="s">
        <v>450</v>
      </c>
    </row>
    <row r="3449" ht="15.75" customHeight="1">
      <c r="A3449" s="33" t="s">
        <v>7435</v>
      </c>
      <c r="B3449" s="33" t="s">
        <v>2221</v>
      </c>
      <c r="C3449" s="39">
        <v>45901.0</v>
      </c>
      <c r="D3449" s="33" t="s">
        <v>461</v>
      </c>
      <c r="E3449" s="40">
        <v>152.7</v>
      </c>
      <c r="F3449" s="40">
        <v>0.87</v>
      </c>
      <c r="G3449" s="33" t="s">
        <v>450</v>
      </c>
    </row>
    <row r="3450" ht="15.75" customHeight="1">
      <c r="A3450" s="33" t="s">
        <v>7436</v>
      </c>
      <c r="B3450" s="33" t="s">
        <v>220</v>
      </c>
      <c r="C3450" s="39">
        <v>46056.0</v>
      </c>
      <c r="D3450" s="33" t="s">
        <v>440</v>
      </c>
      <c r="E3450" s="40">
        <v>11.98</v>
      </c>
      <c r="F3450" s="40">
        <v>0.0</v>
      </c>
      <c r="G3450" s="33" t="s">
        <v>431</v>
      </c>
    </row>
    <row r="3451" ht="15.75" customHeight="1">
      <c r="A3451" s="33" t="s">
        <v>7437</v>
      </c>
      <c r="B3451" s="33" t="s">
        <v>204</v>
      </c>
      <c r="C3451" s="39">
        <v>46154.0</v>
      </c>
      <c r="D3451" s="33" t="s">
        <v>479</v>
      </c>
      <c r="E3451" s="40">
        <v>16.37</v>
      </c>
      <c r="F3451" s="40">
        <v>0.28</v>
      </c>
      <c r="G3451" s="33" t="s">
        <v>450</v>
      </c>
    </row>
    <row r="3452" ht="15.75" customHeight="1">
      <c r="A3452" s="33" t="s">
        <v>7438</v>
      </c>
      <c r="B3452" s="33" t="s">
        <v>1994</v>
      </c>
      <c r="C3452" s="39">
        <v>45994.0</v>
      </c>
      <c r="D3452" s="33" t="s">
        <v>428</v>
      </c>
      <c r="E3452" s="40">
        <v>39.24</v>
      </c>
      <c r="F3452" s="40">
        <v>0.0</v>
      </c>
      <c r="G3452" s="33" t="s">
        <v>450</v>
      </c>
    </row>
    <row r="3453" ht="15.75" customHeight="1">
      <c r="A3453" s="33" t="s">
        <v>7439</v>
      </c>
      <c r="B3453" s="33" t="s">
        <v>1311</v>
      </c>
      <c r="C3453" s="39">
        <v>46069.0</v>
      </c>
      <c r="D3453" s="33" t="s">
        <v>428</v>
      </c>
      <c r="E3453" s="40">
        <v>146.08</v>
      </c>
      <c r="F3453" s="40">
        <v>0.0</v>
      </c>
      <c r="G3453" s="33" t="s">
        <v>450</v>
      </c>
    </row>
    <row r="3454" ht="15.75" customHeight="1">
      <c r="A3454" s="33" t="s">
        <v>7440</v>
      </c>
      <c r="B3454" s="33" t="s">
        <v>2239</v>
      </c>
      <c r="C3454" s="39">
        <v>45908.0</v>
      </c>
      <c r="D3454" s="33" t="s">
        <v>428</v>
      </c>
      <c r="E3454" s="40">
        <v>37.17</v>
      </c>
      <c r="F3454" s="40">
        <v>0.0</v>
      </c>
      <c r="G3454" s="33" t="s">
        <v>450</v>
      </c>
    </row>
    <row r="3455" ht="15.75" customHeight="1">
      <c r="A3455" s="33" t="s">
        <v>7441</v>
      </c>
      <c r="B3455" s="33" t="s">
        <v>3059</v>
      </c>
      <c r="C3455" s="39">
        <v>46127.0</v>
      </c>
      <c r="D3455" s="33" t="s">
        <v>479</v>
      </c>
      <c r="E3455" s="40">
        <v>147.54</v>
      </c>
      <c r="F3455" s="40">
        <v>2.13</v>
      </c>
      <c r="G3455" s="33" t="s">
        <v>450</v>
      </c>
    </row>
    <row r="3456" ht="15.75" customHeight="1">
      <c r="A3456" s="33" t="s">
        <v>7442</v>
      </c>
      <c r="B3456" s="33" t="s">
        <v>1145</v>
      </c>
      <c r="C3456" s="39">
        <v>45897.0</v>
      </c>
      <c r="D3456" s="33" t="s">
        <v>435</v>
      </c>
      <c r="E3456" s="40">
        <v>92.58</v>
      </c>
      <c r="F3456" s="40">
        <v>0.0</v>
      </c>
      <c r="G3456" s="33" t="s">
        <v>450</v>
      </c>
    </row>
    <row r="3457" ht="15.75" customHeight="1">
      <c r="A3457" s="33" t="s">
        <v>7443</v>
      </c>
      <c r="B3457" s="33" t="s">
        <v>273</v>
      </c>
      <c r="C3457" s="39">
        <v>45913.0</v>
      </c>
      <c r="D3457" s="33" t="s">
        <v>428</v>
      </c>
      <c r="E3457" s="40">
        <v>47.43</v>
      </c>
      <c r="F3457" s="40">
        <v>0.0</v>
      </c>
      <c r="G3457" s="33" t="s">
        <v>442</v>
      </c>
    </row>
    <row r="3458" ht="15.75" customHeight="1">
      <c r="A3458" s="33" t="s">
        <v>7444</v>
      </c>
      <c r="B3458" s="33" t="s">
        <v>2087</v>
      </c>
      <c r="C3458" s="39">
        <v>45691.0</v>
      </c>
      <c r="D3458" s="33" t="s">
        <v>428</v>
      </c>
      <c r="E3458" s="40">
        <v>420.93</v>
      </c>
      <c r="F3458" s="40">
        <v>0.0</v>
      </c>
      <c r="G3458" s="33" t="s">
        <v>450</v>
      </c>
    </row>
    <row r="3459" ht="15.75" customHeight="1">
      <c r="A3459" s="33" t="s">
        <v>7445</v>
      </c>
      <c r="B3459" s="33" t="s">
        <v>240</v>
      </c>
      <c r="C3459" s="39">
        <v>45816.0</v>
      </c>
      <c r="D3459" s="33" t="s">
        <v>428</v>
      </c>
      <c r="E3459" s="40">
        <v>23.37</v>
      </c>
      <c r="F3459" s="40">
        <v>0.0</v>
      </c>
      <c r="G3459" s="33" t="s">
        <v>450</v>
      </c>
    </row>
    <row r="3460" ht="15.75" customHeight="1">
      <c r="A3460" s="33" t="s">
        <v>7446</v>
      </c>
      <c r="B3460" s="33" t="s">
        <v>1054</v>
      </c>
      <c r="C3460" s="39">
        <v>46106.0</v>
      </c>
      <c r="D3460" s="33" t="s">
        <v>479</v>
      </c>
      <c r="E3460" s="40">
        <v>78.9</v>
      </c>
      <c r="F3460" s="40">
        <v>1.06</v>
      </c>
      <c r="G3460" s="33" t="s">
        <v>450</v>
      </c>
    </row>
    <row r="3461" ht="15.75" customHeight="1">
      <c r="A3461" s="33" t="s">
        <v>7447</v>
      </c>
      <c r="B3461" s="33" t="s">
        <v>1485</v>
      </c>
      <c r="C3461" s="39">
        <v>45710.0</v>
      </c>
      <c r="D3461" s="33" t="s">
        <v>440</v>
      </c>
      <c r="E3461" s="40">
        <v>33.08</v>
      </c>
      <c r="F3461" s="40">
        <v>0.0</v>
      </c>
      <c r="G3461" s="33" t="s">
        <v>450</v>
      </c>
    </row>
    <row r="3462" ht="15.75" customHeight="1">
      <c r="A3462" s="33" t="s">
        <v>7448</v>
      </c>
      <c r="B3462" s="33" t="s">
        <v>828</v>
      </c>
      <c r="C3462" s="39">
        <v>45793.0</v>
      </c>
      <c r="D3462" s="33" t="s">
        <v>435</v>
      </c>
      <c r="E3462" s="40">
        <v>100.41</v>
      </c>
      <c r="F3462" s="40">
        <v>0.0</v>
      </c>
      <c r="G3462" s="33" t="s">
        <v>431</v>
      </c>
    </row>
    <row r="3463" ht="15.75" customHeight="1">
      <c r="A3463" s="33" t="s">
        <v>7449</v>
      </c>
      <c r="B3463" s="33" t="s">
        <v>1789</v>
      </c>
      <c r="C3463" s="39">
        <v>46129.0</v>
      </c>
      <c r="D3463" s="33" t="s">
        <v>440</v>
      </c>
      <c r="E3463" s="40">
        <v>34.56</v>
      </c>
      <c r="F3463" s="40">
        <v>0.0</v>
      </c>
      <c r="G3463" s="33" t="s">
        <v>442</v>
      </c>
    </row>
    <row r="3464" ht="15.75" customHeight="1">
      <c r="A3464" s="33" t="s">
        <v>7450</v>
      </c>
      <c r="B3464" s="33" t="s">
        <v>2165</v>
      </c>
      <c r="C3464" s="39">
        <v>46188.0</v>
      </c>
      <c r="D3464" s="33" t="s">
        <v>440</v>
      </c>
      <c r="E3464" s="40">
        <v>53.43</v>
      </c>
      <c r="F3464" s="40">
        <v>0.0</v>
      </c>
      <c r="G3464" s="33" t="s">
        <v>431</v>
      </c>
    </row>
    <row r="3465" ht="15.75" customHeight="1">
      <c r="A3465" s="33" t="s">
        <v>7451</v>
      </c>
      <c r="B3465" s="33" t="s">
        <v>284</v>
      </c>
      <c r="C3465" s="39">
        <v>45910.0</v>
      </c>
      <c r="D3465" s="33" t="s">
        <v>440</v>
      </c>
      <c r="E3465" s="40">
        <v>40.96</v>
      </c>
      <c r="F3465" s="40">
        <v>0.0</v>
      </c>
      <c r="G3465" s="33" t="s">
        <v>450</v>
      </c>
    </row>
    <row r="3466" ht="15.75" customHeight="1">
      <c r="A3466" s="33" t="s">
        <v>7452</v>
      </c>
      <c r="B3466" s="33" t="s">
        <v>1488</v>
      </c>
      <c r="C3466" s="39">
        <v>45904.0</v>
      </c>
      <c r="D3466" s="33" t="s">
        <v>428</v>
      </c>
      <c r="E3466" s="40">
        <v>62.4</v>
      </c>
      <c r="F3466" s="40">
        <v>0.0</v>
      </c>
      <c r="G3466" s="33" t="s">
        <v>450</v>
      </c>
    </row>
    <row r="3467" ht="15.75" customHeight="1">
      <c r="A3467" s="33" t="s">
        <v>7453</v>
      </c>
      <c r="B3467" s="33" t="s">
        <v>1217</v>
      </c>
      <c r="C3467" s="39">
        <v>45967.0</v>
      </c>
      <c r="D3467" s="33" t="s">
        <v>461</v>
      </c>
      <c r="E3467" s="40">
        <v>151.69</v>
      </c>
      <c r="F3467" s="40">
        <v>0.85</v>
      </c>
      <c r="G3467" s="33" t="s">
        <v>431</v>
      </c>
    </row>
    <row r="3468" ht="15.75" customHeight="1">
      <c r="A3468" s="33" t="s">
        <v>7454</v>
      </c>
      <c r="B3468" s="33" t="s">
        <v>1883</v>
      </c>
      <c r="C3468" s="39">
        <v>46125.0</v>
      </c>
      <c r="D3468" s="33" t="s">
        <v>440</v>
      </c>
      <c r="E3468" s="40">
        <v>19.93</v>
      </c>
      <c r="F3468" s="40">
        <v>0.0</v>
      </c>
      <c r="G3468" s="33" t="s">
        <v>442</v>
      </c>
    </row>
    <row r="3469" ht="15.75" customHeight="1">
      <c r="A3469" s="33" t="s">
        <v>7455</v>
      </c>
      <c r="B3469" s="33" t="s">
        <v>275</v>
      </c>
      <c r="C3469" s="39">
        <v>45942.0</v>
      </c>
      <c r="D3469" s="33" t="s">
        <v>461</v>
      </c>
      <c r="E3469" s="40">
        <v>37.75</v>
      </c>
      <c r="F3469" s="40">
        <v>0.33</v>
      </c>
      <c r="G3469" s="33" t="s">
        <v>442</v>
      </c>
    </row>
    <row r="3470" ht="15.75" customHeight="1">
      <c r="A3470" s="33" t="s">
        <v>7456</v>
      </c>
      <c r="B3470" s="33" t="s">
        <v>1679</v>
      </c>
      <c r="C3470" s="39">
        <v>45763.0</v>
      </c>
      <c r="D3470" s="33" t="s">
        <v>461</v>
      </c>
      <c r="E3470" s="40">
        <v>55.41</v>
      </c>
      <c r="F3470" s="40">
        <v>1.05</v>
      </c>
      <c r="G3470" s="33" t="s">
        <v>450</v>
      </c>
    </row>
    <row r="3471" ht="15.75" customHeight="1">
      <c r="A3471" s="33" t="s">
        <v>7457</v>
      </c>
      <c r="B3471" s="33" t="s">
        <v>510</v>
      </c>
      <c r="C3471" s="39">
        <v>45919.0</v>
      </c>
      <c r="D3471" s="33" t="s">
        <v>479</v>
      </c>
      <c r="E3471" s="40">
        <v>64.54</v>
      </c>
      <c r="F3471" s="40">
        <v>0.92</v>
      </c>
      <c r="G3471" s="33" t="s">
        <v>450</v>
      </c>
    </row>
    <row r="3472" ht="15.75" customHeight="1">
      <c r="A3472" s="33" t="s">
        <v>7458</v>
      </c>
      <c r="B3472" s="33" t="s">
        <v>2953</v>
      </c>
      <c r="C3472" s="39">
        <v>45812.0</v>
      </c>
      <c r="D3472" s="33" t="s">
        <v>428</v>
      </c>
      <c r="E3472" s="40">
        <v>189.86</v>
      </c>
      <c r="F3472" s="40">
        <v>0.0</v>
      </c>
      <c r="G3472" s="33" t="s">
        <v>442</v>
      </c>
    </row>
    <row r="3473" ht="15.75" customHeight="1">
      <c r="A3473" s="33" t="s">
        <v>7459</v>
      </c>
      <c r="B3473" s="33" t="s">
        <v>1289</v>
      </c>
      <c r="C3473" s="39">
        <v>46073.0</v>
      </c>
      <c r="D3473" s="33" t="s">
        <v>428</v>
      </c>
      <c r="E3473" s="40">
        <v>39.42</v>
      </c>
      <c r="F3473" s="40">
        <v>0.0</v>
      </c>
      <c r="G3473" s="33" t="s">
        <v>450</v>
      </c>
    </row>
    <row r="3474" ht="15.75" customHeight="1">
      <c r="A3474" s="33" t="s">
        <v>7460</v>
      </c>
      <c r="B3474" s="33" t="s">
        <v>268</v>
      </c>
      <c r="C3474" s="39">
        <v>45744.0</v>
      </c>
      <c r="D3474" s="33" t="s">
        <v>479</v>
      </c>
      <c r="E3474" s="40">
        <v>147.02</v>
      </c>
      <c r="F3474" s="40">
        <v>1.19</v>
      </c>
      <c r="G3474" s="33" t="s">
        <v>450</v>
      </c>
    </row>
    <row r="3475" ht="15.75" customHeight="1">
      <c r="A3475" s="33" t="s">
        <v>7461</v>
      </c>
      <c r="B3475" s="33" t="s">
        <v>1025</v>
      </c>
      <c r="C3475" s="39">
        <v>46027.0</v>
      </c>
      <c r="D3475" s="33" t="s">
        <v>479</v>
      </c>
      <c r="E3475" s="40">
        <v>206.66</v>
      </c>
      <c r="F3475" s="40">
        <v>1.32</v>
      </c>
      <c r="G3475" s="33" t="s">
        <v>450</v>
      </c>
    </row>
    <row r="3476" ht="15.75" customHeight="1">
      <c r="A3476" s="33" t="s">
        <v>7462</v>
      </c>
      <c r="B3476" s="33" t="s">
        <v>308</v>
      </c>
      <c r="C3476" s="39">
        <v>45736.0</v>
      </c>
      <c r="D3476" s="33" t="s">
        <v>440</v>
      </c>
      <c r="E3476" s="40">
        <v>67.91</v>
      </c>
      <c r="F3476" s="40">
        <v>0.0</v>
      </c>
      <c r="G3476" s="33" t="s">
        <v>450</v>
      </c>
    </row>
    <row r="3477" ht="15.75" customHeight="1">
      <c r="A3477" s="33" t="s">
        <v>7463</v>
      </c>
      <c r="B3477" s="33" t="s">
        <v>845</v>
      </c>
      <c r="C3477" s="39">
        <v>46248.0</v>
      </c>
      <c r="D3477" s="33" t="s">
        <v>461</v>
      </c>
      <c r="E3477" s="40">
        <v>30.95</v>
      </c>
      <c r="F3477" s="40">
        <v>0.43</v>
      </c>
      <c r="G3477" s="33" t="s">
        <v>442</v>
      </c>
    </row>
    <row r="3478" ht="15.75" customHeight="1">
      <c r="A3478" s="33" t="s">
        <v>7464</v>
      </c>
      <c r="B3478" s="33" t="s">
        <v>1828</v>
      </c>
      <c r="C3478" s="39">
        <v>46046.0</v>
      </c>
      <c r="D3478" s="33" t="s">
        <v>428</v>
      </c>
      <c r="E3478" s="40">
        <v>173.39</v>
      </c>
      <c r="F3478" s="40">
        <v>0.0</v>
      </c>
      <c r="G3478" s="33" t="s">
        <v>431</v>
      </c>
    </row>
    <row r="3479" ht="15.75" customHeight="1">
      <c r="A3479" s="33" t="s">
        <v>7465</v>
      </c>
      <c r="B3479" s="33" t="s">
        <v>1620</v>
      </c>
      <c r="C3479" s="39">
        <v>45742.0</v>
      </c>
      <c r="D3479" s="33" t="s">
        <v>461</v>
      </c>
      <c r="E3479" s="40">
        <v>138.21</v>
      </c>
      <c r="F3479" s="40">
        <v>1.15</v>
      </c>
      <c r="G3479" s="33" t="s">
        <v>450</v>
      </c>
    </row>
    <row r="3480" ht="15.75" customHeight="1">
      <c r="A3480" s="33" t="s">
        <v>7466</v>
      </c>
      <c r="B3480" s="33" t="s">
        <v>2098</v>
      </c>
      <c r="C3480" s="39">
        <v>46240.0</v>
      </c>
      <c r="D3480" s="33" t="s">
        <v>440</v>
      </c>
      <c r="E3480" s="40">
        <v>28.1</v>
      </c>
      <c r="F3480" s="40">
        <v>0.0</v>
      </c>
      <c r="G3480" s="33" t="s">
        <v>450</v>
      </c>
    </row>
    <row r="3481" ht="15.75" customHeight="1">
      <c r="A3481" s="33" t="s">
        <v>7467</v>
      </c>
      <c r="B3481" s="33" t="s">
        <v>672</v>
      </c>
      <c r="C3481" s="39">
        <v>46006.0</v>
      </c>
      <c r="D3481" s="33" t="s">
        <v>479</v>
      </c>
      <c r="E3481" s="40">
        <v>228.87</v>
      </c>
      <c r="F3481" s="40">
        <v>1.27</v>
      </c>
      <c r="G3481" s="33" t="s">
        <v>442</v>
      </c>
    </row>
    <row r="3482" ht="15.75" customHeight="1">
      <c r="A3482" s="33" t="s">
        <v>7468</v>
      </c>
      <c r="B3482" s="33" t="s">
        <v>303</v>
      </c>
      <c r="C3482" s="39">
        <v>46026.0</v>
      </c>
      <c r="D3482" s="33" t="s">
        <v>461</v>
      </c>
      <c r="E3482" s="40">
        <v>42.81</v>
      </c>
      <c r="F3482" s="40">
        <v>0.44</v>
      </c>
      <c r="G3482" s="33" t="s">
        <v>450</v>
      </c>
    </row>
    <row r="3483" ht="15.75" customHeight="1">
      <c r="A3483" s="33" t="s">
        <v>7469</v>
      </c>
      <c r="B3483" s="33" t="s">
        <v>2277</v>
      </c>
      <c r="C3483" s="39">
        <v>45696.0</v>
      </c>
      <c r="D3483" s="33" t="s">
        <v>435</v>
      </c>
      <c r="E3483" s="40">
        <v>67.08</v>
      </c>
      <c r="F3483" s="40">
        <v>0.0</v>
      </c>
      <c r="G3483" s="33" t="s">
        <v>450</v>
      </c>
    </row>
    <row r="3484" ht="15.75" customHeight="1">
      <c r="A3484" s="33" t="s">
        <v>7470</v>
      </c>
      <c r="B3484" s="33" t="s">
        <v>478</v>
      </c>
      <c r="C3484" s="39">
        <v>45771.0</v>
      </c>
      <c r="D3484" s="33" t="s">
        <v>479</v>
      </c>
      <c r="E3484" s="40">
        <v>122.28</v>
      </c>
      <c r="F3484" s="40">
        <v>2.13</v>
      </c>
      <c r="G3484" s="33" t="s">
        <v>431</v>
      </c>
    </row>
    <row r="3485" ht="15.75" customHeight="1">
      <c r="A3485" s="33" t="s">
        <v>7471</v>
      </c>
      <c r="B3485" s="33" t="s">
        <v>4000</v>
      </c>
      <c r="C3485" s="39">
        <v>46148.0</v>
      </c>
      <c r="D3485" s="33" t="s">
        <v>461</v>
      </c>
      <c r="E3485" s="40">
        <v>210.31</v>
      </c>
      <c r="F3485" s="40">
        <v>4.03</v>
      </c>
      <c r="G3485" s="33" t="s">
        <v>442</v>
      </c>
    </row>
    <row r="3486" ht="15.75" customHeight="1">
      <c r="A3486" s="33" t="s">
        <v>7472</v>
      </c>
      <c r="B3486" s="33" t="s">
        <v>1067</v>
      </c>
      <c r="C3486" s="39">
        <v>45941.0</v>
      </c>
      <c r="D3486" s="33" t="s">
        <v>479</v>
      </c>
      <c r="E3486" s="40">
        <v>96.13</v>
      </c>
      <c r="F3486" s="40">
        <v>1.39</v>
      </c>
      <c r="G3486" s="33" t="s">
        <v>431</v>
      </c>
    </row>
    <row r="3487" ht="15.75" customHeight="1">
      <c r="A3487" s="33" t="s">
        <v>7473</v>
      </c>
      <c r="B3487" s="33" t="s">
        <v>1019</v>
      </c>
      <c r="C3487" s="39">
        <v>46032.0</v>
      </c>
      <c r="D3487" s="33" t="s">
        <v>461</v>
      </c>
      <c r="E3487" s="40">
        <v>61.52</v>
      </c>
      <c r="F3487" s="40">
        <v>0.73</v>
      </c>
      <c r="G3487" s="33" t="s">
        <v>431</v>
      </c>
    </row>
    <row r="3488" ht="15.75" customHeight="1">
      <c r="A3488" s="33" t="s">
        <v>7474</v>
      </c>
      <c r="B3488" s="33" t="s">
        <v>255</v>
      </c>
      <c r="C3488" s="39">
        <v>46257.0</v>
      </c>
      <c r="D3488" s="33" t="s">
        <v>428</v>
      </c>
      <c r="E3488" s="40">
        <v>54.41</v>
      </c>
      <c r="F3488" s="40">
        <v>0.0</v>
      </c>
      <c r="G3488" s="33" t="s">
        <v>442</v>
      </c>
    </row>
    <row r="3489" ht="15.75" customHeight="1">
      <c r="A3489" s="33" t="s">
        <v>7475</v>
      </c>
      <c r="B3489" s="33" t="s">
        <v>2063</v>
      </c>
      <c r="C3489" s="39">
        <v>45918.0</v>
      </c>
      <c r="D3489" s="33" t="s">
        <v>435</v>
      </c>
      <c r="E3489" s="40">
        <v>61.48</v>
      </c>
      <c r="F3489" s="40">
        <v>0.0</v>
      </c>
      <c r="G3489" s="33" t="s">
        <v>450</v>
      </c>
    </row>
    <row r="3490" ht="15.75" customHeight="1">
      <c r="A3490" s="33" t="s">
        <v>7476</v>
      </c>
      <c r="B3490" s="33" t="s">
        <v>1158</v>
      </c>
      <c r="C3490" s="39">
        <v>45889.0</v>
      </c>
      <c r="D3490" s="33" t="s">
        <v>479</v>
      </c>
      <c r="E3490" s="40">
        <v>317.17</v>
      </c>
      <c r="F3490" s="40">
        <v>5.98</v>
      </c>
      <c r="G3490" s="33" t="s">
        <v>431</v>
      </c>
    </row>
    <row r="3491" ht="15.75" customHeight="1">
      <c r="A3491" s="33" t="s">
        <v>7477</v>
      </c>
      <c r="B3491" s="33" t="s">
        <v>2188</v>
      </c>
      <c r="C3491" s="39">
        <v>46144.0</v>
      </c>
      <c r="D3491" s="33" t="s">
        <v>461</v>
      </c>
      <c r="E3491" s="40">
        <v>106.25</v>
      </c>
      <c r="F3491" s="40">
        <v>1.46</v>
      </c>
      <c r="G3491" s="33" t="s">
        <v>450</v>
      </c>
    </row>
    <row r="3492" ht="15.75" customHeight="1">
      <c r="A3492" s="33" t="s">
        <v>7478</v>
      </c>
      <c r="B3492" s="33" t="s">
        <v>1576</v>
      </c>
      <c r="C3492" s="39">
        <v>45698.0</v>
      </c>
      <c r="D3492" s="33" t="s">
        <v>428</v>
      </c>
      <c r="E3492" s="40">
        <v>86.48</v>
      </c>
      <c r="F3492" s="40">
        <v>0.0</v>
      </c>
      <c r="G3492" s="33" t="s">
        <v>450</v>
      </c>
    </row>
    <row r="3493" ht="15.75" customHeight="1">
      <c r="A3493" s="33" t="s">
        <v>7479</v>
      </c>
      <c r="B3493" s="33" t="s">
        <v>2086</v>
      </c>
      <c r="C3493" s="39">
        <v>45934.0</v>
      </c>
      <c r="D3493" s="33" t="s">
        <v>479</v>
      </c>
      <c r="E3493" s="40">
        <v>139.23</v>
      </c>
      <c r="F3493" s="40">
        <v>1.22</v>
      </c>
      <c r="G3493" s="33" t="s">
        <v>450</v>
      </c>
    </row>
    <row r="3494" ht="15.75" customHeight="1">
      <c r="A3494" s="33" t="s">
        <v>7480</v>
      </c>
      <c r="B3494" s="33" t="s">
        <v>2161</v>
      </c>
      <c r="C3494" s="39">
        <v>46176.0</v>
      </c>
      <c r="D3494" s="33" t="s">
        <v>428</v>
      </c>
      <c r="E3494" s="40">
        <v>65.04</v>
      </c>
      <c r="F3494" s="40">
        <v>0.0</v>
      </c>
      <c r="G3494" s="33" t="s">
        <v>450</v>
      </c>
    </row>
    <row r="3495" ht="15.75" customHeight="1">
      <c r="A3495" s="33" t="s">
        <v>7481</v>
      </c>
      <c r="B3495" s="33" t="s">
        <v>822</v>
      </c>
      <c r="C3495" s="39">
        <v>45796.0</v>
      </c>
      <c r="D3495" s="33" t="s">
        <v>440</v>
      </c>
      <c r="E3495" s="40">
        <v>202.82</v>
      </c>
      <c r="F3495" s="40">
        <v>0.0</v>
      </c>
      <c r="G3495" s="33" t="s">
        <v>450</v>
      </c>
    </row>
    <row r="3496" ht="15.75" customHeight="1">
      <c r="A3496" s="33" t="s">
        <v>7482</v>
      </c>
      <c r="B3496" s="33" t="s">
        <v>2139</v>
      </c>
      <c r="C3496" s="39">
        <v>45842.0</v>
      </c>
      <c r="D3496" s="33" t="s">
        <v>479</v>
      </c>
      <c r="E3496" s="40">
        <v>112.88</v>
      </c>
      <c r="F3496" s="40">
        <v>1.26</v>
      </c>
      <c r="G3496" s="33" t="s">
        <v>442</v>
      </c>
    </row>
    <row r="3497" ht="15.75" customHeight="1">
      <c r="A3497" s="33" t="s">
        <v>7483</v>
      </c>
      <c r="B3497" s="33" t="s">
        <v>1703</v>
      </c>
      <c r="C3497" s="39">
        <v>45944.0</v>
      </c>
      <c r="D3497" s="33" t="s">
        <v>428</v>
      </c>
      <c r="E3497" s="40">
        <v>60.27</v>
      </c>
      <c r="F3497" s="40">
        <v>0.0</v>
      </c>
      <c r="G3497" s="33" t="s">
        <v>450</v>
      </c>
    </row>
    <row r="3498" ht="15.75" customHeight="1">
      <c r="A3498" s="33" t="s">
        <v>7484</v>
      </c>
      <c r="B3498" s="33" t="s">
        <v>501</v>
      </c>
      <c r="C3498" s="39">
        <v>45703.0</v>
      </c>
      <c r="D3498" s="33" t="s">
        <v>479</v>
      </c>
      <c r="E3498" s="40">
        <v>50.5</v>
      </c>
      <c r="F3498" s="40">
        <v>0.6</v>
      </c>
      <c r="G3498" s="33" t="s">
        <v>450</v>
      </c>
    </row>
    <row r="3499" ht="15.75" customHeight="1">
      <c r="A3499" s="33" t="s">
        <v>7485</v>
      </c>
      <c r="B3499" s="33" t="s">
        <v>2394</v>
      </c>
      <c r="C3499" s="39">
        <v>45700.0</v>
      </c>
      <c r="D3499" s="33" t="s">
        <v>440</v>
      </c>
      <c r="E3499" s="40">
        <v>13.98</v>
      </c>
      <c r="F3499" s="40">
        <v>0.0</v>
      </c>
      <c r="G3499" s="33" t="s">
        <v>450</v>
      </c>
    </row>
    <row r="3500" ht="15.75" customHeight="1">
      <c r="A3500" s="33" t="s">
        <v>7486</v>
      </c>
      <c r="B3500" s="33" t="s">
        <v>1495</v>
      </c>
      <c r="C3500" s="39">
        <v>45810.0</v>
      </c>
      <c r="D3500" s="33" t="s">
        <v>479</v>
      </c>
      <c r="E3500" s="40">
        <v>151.43</v>
      </c>
      <c r="F3500" s="40">
        <v>1.05</v>
      </c>
      <c r="G3500" s="33" t="s">
        <v>450</v>
      </c>
    </row>
    <row r="3501" ht="15.75" customHeight="1">
      <c r="A3501" s="33" t="s">
        <v>7487</v>
      </c>
      <c r="B3501" s="33" t="s">
        <v>308</v>
      </c>
      <c r="C3501" s="39">
        <v>46203.0</v>
      </c>
      <c r="D3501" s="33" t="s">
        <v>461</v>
      </c>
      <c r="E3501" s="40">
        <v>19.68</v>
      </c>
      <c r="F3501" s="40">
        <v>0.14</v>
      </c>
      <c r="G3501" s="33" t="s">
        <v>442</v>
      </c>
    </row>
    <row r="3502" ht="15.75" customHeight="1">
      <c r="A3502" s="33" t="s">
        <v>7488</v>
      </c>
      <c r="B3502" s="33" t="s">
        <v>297</v>
      </c>
      <c r="C3502" s="39">
        <v>45792.0</v>
      </c>
      <c r="D3502" s="33" t="s">
        <v>428</v>
      </c>
      <c r="E3502" s="40">
        <v>194.92</v>
      </c>
      <c r="F3502" s="40">
        <v>0.0</v>
      </c>
      <c r="G3502" s="33" t="s">
        <v>450</v>
      </c>
    </row>
    <row r="3503" ht="15.75" customHeight="1">
      <c r="A3503" s="33" t="s">
        <v>7489</v>
      </c>
      <c r="B3503" s="33" t="s">
        <v>845</v>
      </c>
      <c r="C3503" s="39">
        <v>46101.0</v>
      </c>
      <c r="D3503" s="33" t="s">
        <v>461</v>
      </c>
      <c r="E3503" s="40">
        <v>36.87</v>
      </c>
      <c r="F3503" s="40">
        <v>0.29</v>
      </c>
      <c r="G3503" s="33" t="s">
        <v>431</v>
      </c>
    </row>
    <row r="3504" ht="15.75" customHeight="1">
      <c r="A3504" s="33" t="s">
        <v>7490</v>
      </c>
      <c r="B3504" s="33" t="s">
        <v>658</v>
      </c>
      <c r="C3504" s="39">
        <v>45916.0</v>
      </c>
      <c r="D3504" s="33" t="s">
        <v>435</v>
      </c>
      <c r="E3504" s="40">
        <v>41.17</v>
      </c>
      <c r="F3504" s="40">
        <v>0.0</v>
      </c>
      <c r="G3504" s="33" t="s">
        <v>450</v>
      </c>
    </row>
    <row r="3505" ht="15.75" customHeight="1">
      <c r="A3505" s="33" t="s">
        <v>7491</v>
      </c>
      <c r="B3505" s="33" t="s">
        <v>2317</v>
      </c>
      <c r="C3505" s="39">
        <v>46119.0</v>
      </c>
      <c r="D3505" s="33" t="s">
        <v>435</v>
      </c>
      <c r="E3505" s="40">
        <v>265.87</v>
      </c>
      <c r="F3505" s="40">
        <v>0.0</v>
      </c>
      <c r="G3505" s="33" t="s">
        <v>442</v>
      </c>
    </row>
    <row r="3506" ht="15.75" customHeight="1">
      <c r="A3506" s="33" t="s">
        <v>7492</v>
      </c>
      <c r="B3506" s="33" t="s">
        <v>297</v>
      </c>
      <c r="C3506" s="39">
        <v>45858.0</v>
      </c>
      <c r="D3506" s="33" t="s">
        <v>428</v>
      </c>
      <c r="E3506" s="40">
        <v>143.42</v>
      </c>
      <c r="F3506" s="40">
        <v>0.0</v>
      </c>
      <c r="G3506" s="33" t="s">
        <v>450</v>
      </c>
    </row>
    <row r="3507" ht="15.75" customHeight="1">
      <c r="A3507" s="33" t="s">
        <v>7493</v>
      </c>
      <c r="B3507" s="33" t="s">
        <v>2860</v>
      </c>
      <c r="C3507" s="39">
        <v>46188.0</v>
      </c>
      <c r="D3507" s="33" t="s">
        <v>479</v>
      </c>
      <c r="E3507" s="40">
        <v>84.79</v>
      </c>
      <c r="F3507" s="40">
        <v>1.09</v>
      </c>
      <c r="G3507" s="33" t="s">
        <v>442</v>
      </c>
    </row>
    <row r="3508" ht="15.75" customHeight="1">
      <c r="A3508" s="33" t="s">
        <v>7494</v>
      </c>
      <c r="B3508" s="33" t="s">
        <v>2424</v>
      </c>
      <c r="C3508" s="39">
        <v>45883.0</v>
      </c>
      <c r="D3508" s="33" t="s">
        <v>440</v>
      </c>
      <c r="E3508" s="40">
        <v>249.08</v>
      </c>
      <c r="F3508" s="40">
        <v>0.0</v>
      </c>
      <c r="G3508" s="33" t="s">
        <v>450</v>
      </c>
    </row>
    <row r="3509" ht="15.75" customHeight="1">
      <c r="A3509" s="33" t="s">
        <v>7495</v>
      </c>
      <c r="B3509" s="33" t="s">
        <v>3140</v>
      </c>
      <c r="C3509" s="39">
        <v>46138.0</v>
      </c>
      <c r="D3509" s="33" t="s">
        <v>440</v>
      </c>
      <c r="E3509" s="40">
        <v>72.97</v>
      </c>
      <c r="F3509" s="40">
        <v>0.0</v>
      </c>
      <c r="G3509" s="33" t="s">
        <v>450</v>
      </c>
    </row>
    <row r="3510" ht="15.75" customHeight="1">
      <c r="A3510" s="33" t="s">
        <v>7496</v>
      </c>
      <c r="B3510" s="33" t="s">
        <v>884</v>
      </c>
      <c r="C3510" s="39">
        <v>46162.0</v>
      </c>
      <c r="D3510" s="33" t="s">
        <v>435</v>
      </c>
      <c r="E3510" s="40">
        <v>52.72</v>
      </c>
      <c r="F3510" s="40">
        <v>0.0</v>
      </c>
      <c r="G3510" s="33" t="s">
        <v>450</v>
      </c>
    </row>
    <row r="3511" ht="15.75" customHeight="1">
      <c r="A3511" s="33" t="s">
        <v>7497</v>
      </c>
      <c r="B3511" s="33" t="s">
        <v>4154</v>
      </c>
      <c r="C3511" s="39">
        <v>45920.0</v>
      </c>
      <c r="D3511" s="33" t="s">
        <v>435</v>
      </c>
      <c r="E3511" s="40">
        <v>90.94</v>
      </c>
      <c r="F3511" s="40">
        <v>0.0</v>
      </c>
      <c r="G3511" s="33" t="s">
        <v>450</v>
      </c>
    </row>
    <row r="3512" ht="15.75" customHeight="1">
      <c r="A3512" s="33" t="s">
        <v>7498</v>
      </c>
      <c r="B3512" s="33" t="s">
        <v>236</v>
      </c>
      <c r="C3512" s="39">
        <v>46062.0</v>
      </c>
      <c r="D3512" s="33" t="s">
        <v>461</v>
      </c>
      <c r="E3512" s="40">
        <v>158.8</v>
      </c>
      <c r="F3512" s="40">
        <v>1.0</v>
      </c>
      <c r="G3512" s="33" t="s">
        <v>450</v>
      </c>
    </row>
    <row r="3513" ht="15.75" customHeight="1">
      <c r="A3513" s="33" t="s">
        <v>7499</v>
      </c>
      <c r="B3513" s="33" t="s">
        <v>2317</v>
      </c>
      <c r="C3513" s="39">
        <v>45730.0</v>
      </c>
      <c r="D3513" s="33" t="s">
        <v>461</v>
      </c>
      <c r="E3513" s="40">
        <v>24.68</v>
      </c>
      <c r="F3513" s="40">
        <v>0.46</v>
      </c>
      <c r="G3513" s="33" t="s">
        <v>442</v>
      </c>
    </row>
    <row r="3514" ht="15.75" customHeight="1">
      <c r="A3514" s="33" t="s">
        <v>7500</v>
      </c>
      <c r="B3514" s="33" t="s">
        <v>3177</v>
      </c>
      <c r="C3514" s="39">
        <v>45959.0</v>
      </c>
      <c r="D3514" s="33" t="s">
        <v>479</v>
      </c>
      <c r="E3514" s="40">
        <v>40.32</v>
      </c>
      <c r="F3514" s="40">
        <v>0.45</v>
      </c>
      <c r="G3514" s="33" t="s">
        <v>450</v>
      </c>
    </row>
    <row r="3515" ht="15.75" customHeight="1">
      <c r="A3515" s="33" t="s">
        <v>7501</v>
      </c>
      <c r="B3515" s="33" t="s">
        <v>530</v>
      </c>
      <c r="C3515" s="39">
        <v>45884.0</v>
      </c>
      <c r="D3515" s="33" t="s">
        <v>435</v>
      </c>
      <c r="E3515" s="40">
        <v>31.68</v>
      </c>
      <c r="F3515" s="40">
        <v>0.0</v>
      </c>
      <c r="G3515" s="33" t="s">
        <v>442</v>
      </c>
    </row>
    <row r="3516" ht="15.75" customHeight="1">
      <c r="A3516" s="33" t="s">
        <v>7502</v>
      </c>
      <c r="B3516" s="33" t="s">
        <v>825</v>
      </c>
      <c r="C3516" s="39">
        <v>46237.0</v>
      </c>
      <c r="D3516" s="33" t="s">
        <v>461</v>
      </c>
      <c r="E3516" s="40">
        <v>26.9</v>
      </c>
      <c r="F3516" s="40">
        <v>0.51</v>
      </c>
      <c r="G3516" s="33" t="s">
        <v>450</v>
      </c>
    </row>
    <row r="3517" ht="15.75" customHeight="1">
      <c r="A3517" s="33" t="s">
        <v>7503</v>
      </c>
      <c r="B3517" s="33" t="s">
        <v>349</v>
      </c>
      <c r="C3517" s="39">
        <v>46224.0</v>
      </c>
      <c r="D3517" s="33" t="s">
        <v>428</v>
      </c>
      <c r="E3517" s="40">
        <v>67.04</v>
      </c>
      <c r="F3517" s="40">
        <v>0.0</v>
      </c>
      <c r="G3517" s="33" t="s">
        <v>431</v>
      </c>
    </row>
    <row r="3518" ht="15.75" customHeight="1">
      <c r="A3518" s="33" t="s">
        <v>7504</v>
      </c>
      <c r="B3518" s="33" t="s">
        <v>2366</v>
      </c>
      <c r="C3518" s="39">
        <v>46133.0</v>
      </c>
      <c r="D3518" s="33" t="s">
        <v>428</v>
      </c>
      <c r="E3518" s="40">
        <v>26.34</v>
      </c>
      <c r="F3518" s="40">
        <v>0.0</v>
      </c>
      <c r="G3518" s="33" t="s">
        <v>442</v>
      </c>
    </row>
    <row r="3519" ht="15.75" customHeight="1">
      <c r="A3519" s="33" t="s">
        <v>7505</v>
      </c>
      <c r="B3519" s="33" t="s">
        <v>2098</v>
      </c>
      <c r="C3519" s="39">
        <v>46234.0</v>
      </c>
      <c r="D3519" s="33" t="s">
        <v>440</v>
      </c>
      <c r="E3519" s="40">
        <v>11.94</v>
      </c>
      <c r="F3519" s="40">
        <v>0.0</v>
      </c>
      <c r="G3519" s="33" t="s">
        <v>450</v>
      </c>
    </row>
    <row r="3520" ht="15.75" customHeight="1">
      <c r="A3520" s="33" t="s">
        <v>7506</v>
      </c>
      <c r="B3520" s="33" t="s">
        <v>2622</v>
      </c>
      <c r="C3520" s="39">
        <v>46250.0</v>
      </c>
      <c r="D3520" s="33" t="s">
        <v>461</v>
      </c>
      <c r="E3520" s="40">
        <v>40.03</v>
      </c>
      <c r="F3520" s="40">
        <v>0.6</v>
      </c>
      <c r="G3520" s="33" t="s">
        <v>431</v>
      </c>
    </row>
    <row r="3521" ht="15.75" customHeight="1">
      <c r="A3521" s="33" t="s">
        <v>7507</v>
      </c>
      <c r="B3521" s="33" t="s">
        <v>3633</v>
      </c>
      <c r="C3521" s="39">
        <v>46124.0</v>
      </c>
      <c r="D3521" s="33" t="s">
        <v>440</v>
      </c>
      <c r="E3521" s="40">
        <v>37.72</v>
      </c>
      <c r="F3521" s="40">
        <v>0.0</v>
      </c>
      <c r="G3521" s="33" t="s">
        <v>450</v>
      </c>
    </row>
    <row r="3522" ht="15.75" customHeight="1">
      <c r="A3522" s="33" t="s">
        <v>7508</v>
      </c>
      <c r="B3522" s="33" t="s">
        <v>469</v>
      </c>
      <c r="C3522" s="39">
        <v>46018.0</v>
      </c>
      <c r="D3522" s="33" t="s">
        <v>428</v>
      </c>
      <c r="E3522" s="40">
        <v>108.2</v>
      </c>
      <c r="F3522" s="40">
        <v>0.0</v>
      </c>
      <c r="G3522" s="33" t="s">
        <v>450</v>
      </c>
    </row>
    <row r="3523" ht="15.75" customHeight="1">
      <c r="A3523" s="33" t="s">
        <v>7509</v>
      </c>
      <c r="B3523" s="33" t="s">
        <v>3195</v>
      </c>
      <c r="C3523" s="39">
        <v>45782.0</v>
      </c>
      <c r="D3523" s="33" t="s">
        <v>428</v>
      </c>
      <c r="E3523" s="40">
        <v>149.17</v>
      </c>
      <c r="F3523" s="40">
        <v>0.0</v>
      </c>
      <c r="G3523" s="33" t="s">
        <v>450</v>
      </c>
    </row>
    <row r="3524" ht="15.75" customHeight="1">
      <c r="A3524" s="33" t="s">
        <v>7510</v>
      </c>
      <c r="B3524" s="33" t="s">
        <v>382</v>
      </c>
      <c r="C3524" s="39">
        <v>46152.0</v>
      </c>
      <c r="D3524" s="33" t="s">
        <v>440</v>
      </c>
      <c r="E3524" s="40">
        <v>45.66</v>
      </c>
      <c r="F3524" s="40">
        <v>0.0</v>
      </c>
      <c r="G3524" s="33" t="s">
        <v>450</v>
      </c>
    </row>
    <row r="3525" ht="15.75" customHeight="1">
      <c r="A3525" s="33" t="s">
        <v>7511</v>
      </c>
      <c r="B3525" s="33" t="s">
        <v>1616</v>
      </c>
      <c r="C3525" s="39">
        <v>45776.0</v>
      </c>
      <c r="D3525" s="33" t="s">
        <v>479</v>
      </c>
      <c r="E3525" s="40">
        <v>40.73</v>
      </c>
      <c r="F3525" s="40">
        <v>0.65</v>
      </c>
      <c r="G3525" s="33" t="s">
        <v>450</v>
      </c>
    </row>
    <row r="3526" ht="15.75" customHeight="1">
      <c r="A3526" s="33" t="s">
        <v>7512</v>
      </c>
      <c r="B3526" s="33" t="s">
        <v>618</v>
      </c>
      <c r="C3526" s="39">
        <v>45770.0</v>
      </c>
      <c r="D3526" s="33" t="s">
        <v>440</v>
      </c>
      <c r="E3526" s="40">
        <v>255.96</v>
      </c>
      <c r="F3526" s="40">
        <v>0.0</v>
      </c>
      <c r="G3526" s="33" t="s">
        <v>450</v>
      </c>
    </row>
    <row r="3527" ht="15.75" customHeight="1">
      <c r="A3527" s="33" t="s">
        <v>7513</v>
      </c>
      <c r="B3527" s="33" t="s">
        <v>1216</v>
      </c>
      <c r="C3527" s="39">
        <v>46192.0</v>
      </c>
      <c r="D3527" s="33" t="s">
        <v>461</v>
      </c>
      <c r="E3527" s="40">
        <v>145.37</v>
      </c>
      <c r="F3527" s="40">
        <v>2.46</v>
      </c>
      <c r="G3527" s="33" t="s">
        <v>450</v>
      </c>
    </row>
    <row r="3528" ht="15.75" customHeight="1">
      <c r="A3528" s="33" t="s">
        <v>7514</v>
      </c>
      <c r="B3528" s="33" t="s">
        <v>2234</v>
      </c>
      <c r="C3528" s="39">
        <v>45727.0</v>
      </c>
      <c r="D3528" s="33" t="s">
        <v>440</v>
      </c>
      <c r="E3528" s="40">
        <v>99.52</v>
      </c>
      <c r="F3528" s="40">
        <v>0.0</v>
      </c>
      <c r="G3528" s="33" t="s">
        <v>442</v>
      </c>
    </row>
    <row r="3529" ht="15.75" customHeight="1">
      <c r="A3529" s="33" t="s">
        <v>7515</v>
      </c>
      <c r="B3529" s="33" t="s">
        <v>1010</v>
      </c>
      <c r="C3529" s="39">
        <v>45744.0</v>
      </c>
      <c r="D3529" s="33" t="s">
        <v>461</v>
      </c>
      <c r="E3529" s="40">
        <v>58.75</v>
      </c>
      <c r="F3529" s="40">
        <v>0.35</v>
      </c>
      <c r="G3529" s="33" t="s">
        <v>450</v>
      </c>
    </row>
    <row r="3530" ht="15.75" customHeight="1">
      <c r="A3530" s="33" t="s">
        <v>7516</v>
      </c>
      <c r="B3530" s="33" t="s">
        <v>245</v>
      </c>
      <c r="C3530" s="39">
        <v>45968.0</v>
      </c>
      <c r="D3530" s="33" t="s">
        <v>428</v>
      </c>
      <c r="E3530" s="40">
        <v>143.08</v>
      </c>
      <c r="F3530" s="40">
        <v>0.0</v>
      </c>
      <c r="G3530" s="33" t="s">
        <v>450</v>
      </c>
    </row>
    <row r="3531" ht="15.75" customHeight="1">
      <c r="A3531" s="33" t="s">
        <v>7517</v>
      </c>
      <c r="B3531" s="33" t="s">
        <v>1495</v>
      </c>
      <c r="C3531" s="39">
        <v>46012.0</v>
      </c>
      <c r="D3531" s="33" t="s">
        <v>428</v>
      </c>
      <c r="E3531" s="40">
        <v>29.17</v>
      </c>
      <c r="F3531" s="40">
        <v>0.0</v>
      </c>
      <c r="G3531" s="33" t="s">
        <v>450</v>
      </c>
    </row>
    <row r="3532" ht="15.75" customHeight="1">
      <c r="A3532" s="33" t="s">
        <v>7518</v>
      </c>
      <c r="B3532" s="33" t="s">
        <v>1530</v>
      </c>
      <c r="C3532" s="39">
        <v>45685.0</v>
      </c>
      <c r="D3532" s="33" t="s">
        <v>435</v>
      </c>
      <c r="E3532" s="40">
        <v>147.69</v>
      </c>
      <c r="F3532" s="40">
        <v>0.0</v>
      </c>
      <c r="G3532" s="33" t="s">
        <v>450</v>
      </c>
    </row>
    <row r="3533" ht="15.75" customHeight="1">
      <c r="A3533" s="33" t="s">
        <v>7519</v>
      </c>
      <c r="B3533" s="33" t="s">
        <v>3864</v>
      </c>
      <c r="C3533" s="39">
        <v>45887.0</v>
      </c>
      <c r="D3533" s="33" t="s">
        <v>435</v>
      </c>
      <c r="E3533" s="40">
        <v>112.08</v>
      </c>
      <c r="F3533" s="40">
        <v>0.0</v>
      </c>
      <c r="G3533" s="33" t="s">
        <v>450</v>
      </c>
    </row>
    <row r="3534" ht="15.75" customHeight="1">
      <c r="A3534" s="33" t="s">
        <v>7520</v>
      </c>
      <c r="B3534" s="33" t="s">
        <v>1402</v>
      </c>
      <c r="C3534" s="39">
        <v>45794.0</v>
      </c>
      <c r="D3534" s="33" t="s">
        <v>428</v>
      </c>
      <c r="E3534" s="40">
        <v>127.87</v>
      </c>
      <c r="F3534" s="40">
        <v>0.0</v>
      </c>
      <c r="G3534" s="33" t="s">
        <v>431</v>
      </c>
    </row>
    <row r="3535" ht="15.75" customHeight="1">
      <c r="A3535" s="33" t="s">
        <v>7521</v>
      </c>
      <c r="B3535" s="33" t="s">
        <v>504</v>
      </c>
      <c r="C3535" s="39">
        <v>45841.0</v>
      </c>
      <c r="D3535" s="33" t="s">
        <v>435</v>
      </c>
      <c r="E3535" s="40">
        <v>85.54</v>
      </c>
      <c r="F3535" s="40">
        <v>0.0</v>
      </c>
      <c r="G3535" s="33" t="s">
        <v>450</v>
      </c>
    </row>
    <row r="3536" ht="15.75" customHeight="1">
      <c r="A3536" s="33" t="s">
        <v>7522</v>
      </c>
      <c r="B3536" s="33" t="s">
        <v>866</v>
      </c>
      <c r="C3536" s="39">
        <v>45767.0</v>
      </c>
      <c r="D3536" s="33" t="s">
        <v>479</v>
      </c>
      <c r="E3536" s="40">
        <v>21.46</v>
      </c>
      <c r="F3536" s="40">
        <v>0.23</v>
      </c>
      <c r="G3536" s="33" t="s">
        <v>450</v>
      </c>
    </row>
    <row r="3537" ht="15.75" customHeight="1">
      <c r="A3537" s="33" t="s">
        <v>7523</v>
      </c>
      <c r="B3537" s="33" t="s">
        <v>2836</v>
      </c>
      <c r="C3537" s="39">
        <v>46069.0</v>
      </c>
      <c r="D3537" s="33" t="s">
        <v>428</v>
      </c>
      <c r="E3537" s="40">
        <v>29.97</v>
      </c>
      <c r="F3537" s="40">
        <v>0.0</v>
      </c>
      <c r="G3537" s="33" t="s">
        <v>431</v>
      </c>
    </row>
    <row r="3538" ht="15.75" customHeight="1">
      <c r="A3538" s="33" t="s">
        <v>7524</v>
      </c>
      <c r="B3538" s="33" t="s">
        <v>1400</v>
      </c>
      <c r="C3538" s="39">
        <v>45945.0</v>
      </c>
      <c r="D3538" s="33" t="s">
        <v>479</v>
      </c>
      <c r="E3538" s="40">
        <v>116.54</v>
      </c>
      <c r="F3538" s="40">
        <v>1.44</v>
      </c>
      <c r="G3538" s="33" t="s">
        <v>442</v>
      </c>
    </row>
    <row r="3539" ht="15.75" customHeight="1">
      <c r="A3539" s="33" t="s">
        <v>7525</v>
      </c>
      <c r="B3539" s="33" t="s">
        <v>1758</v>
      </c>
      <c r="C3539" s="39">
        <v>46240.0</v>
      </c>
      <c r="D3539" s="33" t="s">
        <v>435</v>
      </c>
      <c r="E3539" s="40">
        <v>107.94</v>
      </c>
      <c r="F3539" s="40">
        <v>0.0</v>
      </c>
      <c r="G3539" s="33" t="s">
        <v>431</v>
      </c>
    </row>
    <row r="3540" ht="15.75" customHeight="1">
      <c r="A3540" s="33" t="s">
        <v>7526</v>
      </c>
      <c r="B3540" s="33" t="s">
        <v>1581</v>
      </c>
      <c r="C3540" s="39">
        <v>45663.0</v>
      </c>
      <c r="D3540" s="33" t="s">
        <v>428</v>
      </c>
      <c r="E3540" s="40">
        <v>49.94</v>
      </c>
      <c r="F3540" s="40">
        <v>0.0</v>
      </c>
      <c r="G3540" s="33" t="s">
        <v>450</v>
      </c>
    </row>
    <row r="3541" ht="15.75" customHeight="1">
      <c r="A3541" s="33" t="s">
        <v>7527</v>
      </c>
      <c r="B3541" s="33" t="s">
        <v>2625</v>
      </c>
      <c r="C3541" s="39">
        <v>46130.0</v>
      </c>
      <c r="D3541" s="33" t="s">
        <v>461</v>
      </c>
      <c r="E3541" s="40">
        <v>49.07</v>
      </c>
      <c r="F3541" s="40">
        <v>0.46</v>
      </c>
      <c r="G3541" s="33" t="s">
        <v>450</v>
      </c>
    </row>
    <row r="3542" ht="15.75" customHeight="1">
      <c r="A3542" s="33" t="s">
        <v>7528</v>
      </c>
      <c r="B3542" s="33" t="s">
        <v>264</v>
      </c>
      <c r="C3542" s="39">
        <v>46210.0</v>
      </c>
      <c r="D3542" s="33" t="s">
        <v>440</v>
      </c>
      <c r="E3542" s="40">
        <v>176.2</v>
      </c>
      <c r="F3542" s="40">
        <v>0.0</v>
      </c>
      <c r="G3542" s="33" t="s">
        <v>450</v>
      </c>
    </row>
    <row r="3543" ht="15.75" customHeight="1">
      <c r="A3543" s="33" t="s">
        <v>7529</v>
      </c>
      <c r="B3543" s="33" t="s">
        <v>1108</v>
      </c>
      <c r="C3543" s="39">
        <v>45953.0</v>
      </c>
      <c r="D3543" s="33" t="s">
        <v>461</v>
      </c>
      <c r="E3543" s="40">
        <v>77.25</v>
      </c>
      <c r="F3543" s="40">
        <v>1.08</v>
      </c>
      <c r="G3543" s="33" t="s">
        <v>442</v>
      </c>
    </row>
    <row r="3544" ht="15.75" customHeight="1">
      <c r="A3544" s="33" t="s">
        <v>7530</v>
      </c>
      <c r="B3544" s="33" t="s">
        <v>375</v>
      </c>
      <c r="C3544" s="39">
        <v>46082.0</v>
      </c>
      <c r="D3544" s="33" t="s">
        <v>461</v>
      </c>
      <c r="E3544" s="40">
        <v>38.15</v>
      </c>
      <c r="F3544" s="40">
        <v>0.43</v>
      </c>
      <c r="G3544" s="33" t="s">
        <v>450</v>
      </c>
    </row>
    <row r="3545" ht="15.75" customHeight="1">
      <c r="A3545" s="33" t="s">
        <v>7531</v>
      </c>
      <c r="B3545" s="33" t="s">
        <v>1616</v>
      </c>
      <c r="C3545" s="39">
        <v>45925.0</v>
      </c>
      <c r="D3545" s="33" t="s">
        <v>479</v>
      </c>
      <c r="E3545" s="40">
        <v>195.9</v>
      </c>
      <c r="F3545" s="40">
        <v>2.95</v>
      </c>
      <c r="G3545" s="33" t="s">
        <v>450</v>
      </c>
    </row>
    <row r="3546" ht="15.75" customHeight="1">
      <c r="A3546" s="33" t="s">
        <v>7532</v>
      </c>
      <c r="B3546" s="33" t="s">
        <v>1256</v>
      </c>
      <c r="C3546" s="39">
        <v>46019.0</v>
      </c>
      <c r="D3546" s="33" t="s">
        <v>428</v>
      </c>
      <c r="E3546" s="40">
        <v>183.63</v>
      </c>
      <c r="F3546" s="40">
        <v>0.0</v>
      </c>
      <c r="G3546" s="33" t="s">
        <v>450</v>
      </c>
    </row>
    <row r="3547" ht="15.75" customHeight="1">
      <c r="A3547" s="33" t="s">
        <v>7533</v>
      </c>
      <c r="B3547" s="33" t="s">
        <v>676</v>
      </c>
      <c r="C3547" s="39">
        <v>46208.0</v>
      </c>
      <c r="D3547" s="33" t="s">
        <v>461</v>
      </c>
      <c r="E3547" s="40">
        <v>77.14</v>
      </c>
      <c r="F3547" s="40">
        <v>0.78</v>
      </c>
      <c r="G3547" s="33" t="s">
        <v>431</v>
      </c>
    </row>
    <row r="3548" ht="15.75" customHeight="1">
      <c r="A3548" s="33" t="s">
        <v>7534</v>
      </c>
      <c r="B3548" s="33" t="s">
        <v>2914</v>
      </c>
      <c r="C3548" s="39">
        <v>45979.0</v>
      </c>
      <c r="D3548" s="33" t="s">
        <v>440</v>
      </c>
      <c r="E3548" s="40">
        <v>89.79</v>
      </c>
      <c r="F3548" s="40">
        <v>0.0</v>
      </c>
      <c r="G3548" s="33" t="s">
        <v>431</v>
      </c>
    </row>
    <row r="3549" ht="15.75" customHeight="1">
      <c r="A3549" s="33" t="s">
        <v>7535</v>
      </c>
      <c r="B3549" s="33" t="s">
        <v>863</v>
      </c>
      <c r="C3549" s="39">
        <v>46008.0</v>
      </c>
      <c r="D3549" s="33" t="s">
        <v>428</v>
      </c>
      <c r="E3549" s="40">
        <v>145.72</v>
      </c>
      <c r="F3549" s="40">
        <v>0.0</v>
      </c>
      <c r="G3549" s="33" t="s">
        <v>442</v>
      </c>
    </row>
    <row r="3550" ht="15.75" customHeight="1">
      <c r="A3550" s="33" t="s">
        <v>7536</v>
      </c>
      <c r="B3550" s="33" t="s">
        <v>3440</v>
      </c>
      <c r="C3550" s="39">
        <v>46256.0</v>
      </c>
      <c r="D3550" s="33" t="s">
        <v>428</v>
      </c>
      <c r="E3550" s="40">
        <v>122.57</v>
      </c>
      <c r="F3550" s="40">
        <v>0.0</v>
      </c>
      <c r="G3550" s="33" t="s">
        <v>450</v>
      </c>
    </row>
    <row r="3551" ht="15.75" customHeight="1">
      <c r="A3551" s="33" t="s">
        <v>7537</v>
      </c>
      <c r="B3551" s="33" t="s">
        <v>2424</v>
      </c>
      <c r="C3551" s="39">
        <v>45959.0</v>
      </c>
      <c r="D3551" s="33" t="s">
        <v>435</v>
      </c>
      <c r="E3551" s="40">
        <v>20.68</v>
      </c>
      <c r="F3551" s="40">
        <v>0.0</v>
      </c>
      <c r="G3551" s="33" t="s">
        <v>450</v>
      </c>
    </row>
    <row r="3552" ht="15.75" customHeight="1">
      <c r="A3552" s="33" t="s">
        <v>7538</v>
      </c>
      <c r="B3552" s="33" t="s">
        <v>2154</v>
      </c>
      <c r="C3552" s="39">
        <v>45763.0</v>
      </c>
      <c r="D3552" s="33" t="s">
        <v>440</v>
      </c>
      <c r="E3552" s="40">
        <v>200.31</v>
      </c>
      <c r="F3552" s="40">
        <v>0.0</v>
      </c>
      <c r="G3552" s="33" t="s">
        <v>450</v>
      </c>
    </row>
    <row r="3553" ht="15.75" customHeight="1">
      <c r="A3553" s="33" t="s">
        <v>7539</v>
      </c>
      <c r="B3553" s="33" t="s">
        <v>356</v>
      </c>
      <c r="C3553" s="39">
        <v>46072.0</v>
      </c>
      <c r="D3553" s="33" t="s">
        <v>461</v>
      </c>
      <c r="E3553" s="40">
        <v>16.66</v>
      </c>
      <c r="F3553" s="40">
        <v>0.17</v>
      </c>
      <c r="G3553" s="33" t="s">
        <v>450</v>
      </c>
    </row>
    <row r="3554" ht="15.75" customHeight="1">
      <c r="A3554" s="33" t="s">
        <v>7540</v>
      </c>
      <c r="B3554" s="33" t="s">
        <v>1095</v>
      </c>
      <c r="C3554" s="39">
        <v>46078.0</v>
      </c>
      <c r="D3554" s="33" t="s">
        <v>428</v>
      </c>
      <c r="E3554" s="40">
        <v>107.18</v>
      </c>
      <c r="F3554" s="40">
        <v>0.0</v>
      </c>
      <c r="G3554" s="33" t="s">
        <v>442</v>
      </c>
    </row>
    <row r="3555" ht="15.75" customHeight="1">
      <c r="A3555" s="33" t="s">
        <v>7541</v>
      </c>
      <c r="B3555" s="33" t="s">
        <v>1576</v>
      </c>
      <c r="C3555" s="39">
        <v>45801.0</v>
      </c>
      <c r="D3555" s="33" t="s">
        <v>461</v>
      </c>
      <c r="E3555" s="40">
        <v>25.55</v>
      </c>
      <c r="F3555" s="40">
        <v>0.48</v>
      </c>
      <c r="G3555" s="33" t="s">
        <v>431</v>
      </c>
    </row>
    <row r="3556" ht="15.75" customHeight="1">
      <c r="A3556" s="33" t="s">
        <v>7542</v>
      </c>
      <c r="B3556" s="33" t="s">
        <v>2239</v>
      </c>
      <c r="C3556" s="39">
        <v>46100.0</v>
      </c>
      <c r="D3556" s="33" t="s">
        <v>479</v>
      </c>
      <c r="E3556" s="40">
        <v>122.4</v>
      </c>
      <c r="F3556" s="40">
        <v>2.43</v>
      </c>
      <c r="G3556" s="33" t="s">
        <v>450</v>
      </c>
    </row>
    <row r="3557" ht="15.75" customHeight="1">
      <c r="A3557" s="33" t="s">
        <v>7543</v>
      </c>
      <c r="B3557" s="33" t="s">
        <v>3059</v>
      </c>
      <c r="C3557" s="39">
        <v>45696.0</v>
      </c>
      <c r="D3557" s="33" t="s">
        <v>440</v>
      </c>
      <c r="E3557" s="40">
        <v>42.03</v>
      </c>
      <c r="F3557" s="40">
        <v>0.0</v>
      </c>
      <c r="G3557" s="33" t="s">
        <v>431</v>
      </c>
    </row>
    <row r="3558" ht="15.75" customHeight="1">
      <c r="A3558" s="33" t="s">
        <v>7544</v>
      </c>
      <c r="B3558" s="33" t="s">
        <v>888</v>
      </c>
      <c r="C3558" s="39">
        <v>45852.0</v>
      </c>
      <c r="D3558" s="33" t="s">
        <v>435</v>
      </c>
      <c r="E3558" s="40">
        <v>44.6</v>
      </c>
      <c r="F3558" s="40">
        <v>0.0</v>
      </c>
      <c r="G3558" s="33" t="s">
        <v>450</v>
      </c>
    </row>
    <row r="3559" ht="15.75" customHeight="1">
      <c r="A3559" s="33" t="s">
        <v>7545</v>
      </c>
      <c r="B3559" s="33" t="s">
        <v>327</v>
      </c>
      <c r="C3559" s="39">
        <v>46177.0</v>
      </c>
      <c r="D3559" s="33" t="s">
        <v>428</v>
      </c>
      <c r="E3559" s="40">
        <v>139.92</v>
      </c>
      <c r="F3559" s="40">
        <v>0.0</v>
      </c>
      <c r="G3559" s="33" t="s">
        <v>450</v>
      </c>
    </row>
    <row r="3560" ht="15.75" customHeight="1">
      <c r="A3560" s="33" t="s">
        <v>7546</v>
      </c>
      <c r="B3560" s="33" t="s">
        <v>2308</v>
      </c>
      <c r="C3560" s="39">
        <v>46032.0</v>
      </c>
      <c r="D3560" s="33" t="s">
        <v>479</v>
      </c>
      <c r="E3560" s="40">
        <v>25.54</v>
      </c>
      <c r="F3560" s="40">
        <v>0.32</v>
      </c>
      <c r="G3560" s="33" t="s">
        <v>450</v>
      </c>
    </row>
    <row r="3561" ht="15.75" customHeight="1">
      <c r="A3561" s="33" t="s">
        <v>7547</v>
      </c>
      <c r="B3561" s="33" t="s">
        <v>2478</v>
      </c>
      <c r="C3561" s="39">
        <v>46026.0</v>
      </c>
      <c r="D3561" s="33" t="s">
        <v>479</v>
      </c>
      <c r="E3561" s="40">
        <v>49.86</v>
      </c>
      <c r="F3561" s="40">
        <v>0.6</v>
      </c>
      <c r="G3561" s="33" t="s">
        <v>450</v>
      </c>
    </row>
    <row r="3562" ht="15.75" customHeight="1">
      <c r="A3562" s="33" t="s">
        <v>7548</v>
      </c>
      <c r="B3562" s="33" t="s">
        <v>716</v>
      </c>
      <c r="C3562" s="39">
        <v>46034.0</v>
      </c>
      <c r="D3562" s="33" t="s">
        <v>428</v>
      </c>
      <c r="E3562" s="40">
        <v>26.49</v>
      </c>
      <c r="F3562" s="40">
        <v>0.0</v>
      </c>
      <c r="G3562" s="33" t="s">
        <v>450</v>
      </c>
    </row>
    <row r="3563" ht="15.75" customHeight="1">
      <c r="A3563" s="33" t="s">
        <v>7549</v>
      </c>
      <c r="B3563" s="33" t="s">
        <v>866</v>
      </c>
      <c r="C3563" s="39">
        <v>45758.0</v>
      </c>
      <c r="D3563" s="33" t="s">
        <v>435</v>
      </c>
      <c r="E3563" s="40">
        <v>84.85</v>
      </c>
      <c r="F3563" s="40">
        <v>0.0</v>
      </c>
      <c r="G3563" s="33" t="s">
        <v>450</v>
      </c>
    </row>
    <row r="3564" ht="15.75" customHeight="1">
      <c r="A3564" s="33" t="s">
        <v>7550</v>
      </c>
      <c r="B3564" s="33" t="s">
        <v>533</v>
      </c>
      <c r="C3564" s="39">
        <v>46241.0</v>
      </c>
      <c r="D3564" s="33" t="s">
        <v>440</v>
      </c>
      <c r="E3564" s="40">
        <v>26.02</v>
      </c>
      <c r="F3564" s="40">
        <v>0.0</v>
      </c>
      <c r="G3564" s="33" t="s">
        <v>450</v>
      </c>
    </row>
    <row r="3565" ht="15.75" customHeight="1">
      <c r="A3565" s="33" t="s">
        <v>7551</v>
      </c>
      <c r="B3565" s="33" t="s">
        <v>3572</v>
      </c>
      <c r="C3565" s="39">
        <v>45838.0</v>
      </c>
      <c r="D3565" s="33" t="s">
        <v>428</v>
      </c>
      <c r="E3565" s="40">
        <v>100.59</v>
      </c>
      <c r="F3565" s="40">
        <v>0.0</v>
      </c>
      <c r="G3565" s="33" t="s">
        <v>442</v>
      </c>
    </row>
    <row r="3566" ht="15.75" customHeight="1">
      <c r="A3566" s="33" t="s">
        <v>7552</v>
      </c>
      <c r="B3566" s="33" t="s">
        <v>2658</v>
      </c>
      <c r="C3566" s="39">
        <v>46135.0</v>
      </c>
      <c r="D3566" s="33" t="s">
        <v>440</v>
      </c>
      <c r="E3566" s="40">
        <v>181.99</v>
      </c>
      <c r="F3566" s="40">
        <v>0.0</v>
      </c>
      <c r="G3566" s="33" t="s">
        <v>431</v>
      </c>
    </row>
    <row r="3567" ht="15.75" customHeight="1">
      <c r="A3567" s="33" t="s">
        <v>7553</v>
      </c>
      <c r="B3567" s="33" t="s">
        <v>1972</v>
      </c>
      <c r="C3567" s="39">
        <v>46258.0</v>
      </c>
      <c r="D3567" s="33" t="s">
        <v>428</v>
      </c>
      <c r="E3567" s="40">
        <v>8.72</v>
      </c>
      <c r="F3567" s="40">
        <v>0.0</v>
      </c>
      <c r="G3567" s="33" t="s">
        <v>450</v>
      </c>
    </row>
    <row r="3568" ht="15.75" customHeight="1">
      <c r="A3568" s="33" t="s">
        <v>7554</v>
      </c>
      <c r="B3568" s="33" t="s">
        <v>1473</v>
      </c>
      <c r="C3568" s="39">
        <v>45804.0</v>
      </c>
      <c r="D3568" s="33" t="s">
        <v>428</v>
      </c>
      <c r="E3568" s="40">
        <v>42.21</v>
      </c>
      <c r="F3568" s="40">
        <v>0.0</v>
      </c>
      <c r="G3568" s="33" t="s">
        <v>431</v>
      </c>
    </row>
    <row r="3569" ht="15.75" customHeight="1">
      <c r="A3569" s="33" t="s">
        <v>7555</v>
      </c>
      <c r="B3569" s="33" t="s">
        <v>2075</v>
      </c>
      <c r="C3569" s="39">
        <v>46043.0</v>
      </c>
      <c r="D3569" s="33" t="s">
        <v>435</v>
      </c>
      <c r="E3569" s="40">
        <v>28.96</v>
      </c>
      <c r="F3569" s="40">
        <v>0.0</v>
      </c>
      <c r="G3569" s="33" t="s">
        <v>450</v>
      </c>
    </row>
    <row r="3570" ht="15.75" customHeight="1">
      <c r="A3570" s="33" t="s">
        <v>7556</v>
      </c>
      <c r="B3570" s="33" t="s">
        <v>2123</v>
      </c>
      <c r="C3570" s="39">
        <v>45683.0</v>
      </c>
      <c r="D3570" s="33" t="s">
        <v>479</v>
      </c>
      <c r="E3570" s="40">
        <v>21.08</v>
      </c>
      <c r="F3570" s="40">
        <v>0.18</v>
      </c>
      <c r="G3570" s="33" t="s">
        <v>442</v>
      </c>
    </row>
    <row r="3571" ht="15.75" customHeight="1">
      <c r="A3571" s="33" t="s">
        <v>7557</v>
      </c>
      <c r="B3571" s="33" t="s">
        <v>733</v>
      </c>
      <c r="C3571" s="39">
        <v>46044.0</v>
      </c>
      <c r="D3571" s="33" t="s">
        <v>461</v>
      </c>
      <c r="E3571" s="40">
        <v>98.62</v>
      </c>
      <c r="F3571" s="40">
        <v>0.54</v>
      </c>
      <c r="G3571" s="33" t="s">
        <v>450</v>
      </c>
    </row>
    <row r="3572" ht="15.75" customHeight="1">
      <c r="A3572" s="33" t="s">
        <v>7558</v>
      </c>
      <c r="B3572" s="33" t="s">
        <v>3190</v>
      </c>
      <c r="C3572" s="39">
        <v>45925.0</v>
      </c>
      <c r="D3572" s="33" t="s">
        <v>479</v>
      </c>
      <c r="E3572" s="40">
        <v>90.19</v>
      </c>
      <c r="F3572" s="40">
        <v>1.33</v>
      </c>
      <c r="G3572" s="33" t="s">
        <v>442</v>
      </c>
    </row>
    <row r="3573" ht="15.75" customHeight="1">
      <c r="A3573" s="33" t="s">
        <v>7559</v>
      </c>
      <c r="B3573" s="33" t="s">
        <v>183</v>
      </c>
      <c r="C3573" s="39">
        <v>45701.0</v>
      </c>
      <c r="D3573" s="33" t="s">
        <v>440</v>
      </c>
      <c r="E3573" s="40">
        <v>199.47</v>
      </c>
      <c r="F3573" s="40">
        <v>0.0</v>
      </c>
      <c r="G3573" s="33" t="s">
        <v>450</v>
      </c>
    </row>
    <row r="3574" ht="15.75" customHeight="1">
      <c r="A3574" s="33" t="s">
        <v>7560</v>
      </c>
      <c r="B3574" s="33" t="s">
        <v>1309</v>
      </c>
      <c r="C3574" s="39">
        <v>46065.0</v>
      </c>
      <c r="D3574" s="33" t="s">
        <v>435</v>
      </c>
      <c r="E3574" s="40">
        <v>129.51</v>
      </c>
      <c r="F3574" s="40">
        <v>0.0</v>
      </c>
      <c r="G3574" s="33" t="s">
        <v>450</v>
      </c>
    </row>
    <row r="3575" ht="15.75" customHeight="1">
      <c r="A3575" s="33" t="s">
        <v>7561</v>
      </c>
      <c r="B3575" s="33" t="s">
        <v>1331</v>
      </c>
      <c r="C3575" s="39">
        <v>46246.0</v>
      </c>
      <c r="D3575" s="33" t="s">
        <v>435</v>
      </c>
      <c r="E3575" s="40">
        <v>80.4</v>
      </c>
      <c r="F3575" s="40">
        <v>0.0</v>
      </c>
      <c r="G3575" s="33" t="s">
        <v>450</v>
      </c>
    </row>
    <row r="3576" ht="15.75" customHeight="1">
      <c r="A3576" s="33" t="s">
        <v>7562</v>
      </c>
      <c r="B3576" s="33" t="s">
        <v>2177</v>
      </c>
      <c r="C3576" s="39">
        <v>45708.0</v>
      </c>
      <c r="D3576" s="33" t="s">
        <v>435</v>
      </c>
      <c r="E3576" s="40">
        <v>95.32</v>
      </c>
      <c r="F3576" s="40">
        <v>0.0</v>
      </c>
      <c r="G3576" s="33" t="s">
        <v>450</v>
      </c>
    </row>
    <row r="3577" ht="15.75" customHeight="1">
      <c r="A3577" s="33" t="s">
        <v>7563</v>
      </c>
      <c r="B3577" s="33" t="s">
        <v>1581</v>
      </c>
      <c r="C3577" s="39">
        <v>46199.0</v>
      </c>
      <c r="D3577" s="33" t="s">
        <v>440</v>
      </c>
      <c r="E3577" s="40">
        <v>49.77</v>
      </c>
      <c r="F3577" s="40">
        <v>0.0</v>
      </c>
      <c r="G3577" s="33" t="s">
        <v>431</v>
      </c>
    </row>
    <row r="3578" ht="15.75" customHeight="1">
      <c r="A3578" s="33" t="s">
        <v>7564</v>
      </c>
      <c r="B3578" s="33" t="s">
        <v>945</v>
      </c>
      <c r="C3578" s="39">
        <v>46170.0</v>
      </c>
      <c r="D3578" s="33" t="s">
        <v>440</v>
      </c>
      <c r="E3578" s="40">
        <v>97.7</v>
      </c>
      <c r="F3578" s="40">
        <v>0.0</v>
      </c>
      <c r="G3578" s="33" t="s">
        <v>450</v>
      </c>
    </row>
    <row r="3579" ht="15.75" customHeight="1">
      <c r="A3579" s="33" t="s">
        <v>7565</v>
      </c>
      <c r="B3579" s="33" t="s">
        <v>1887</v>
      </c>
      <c r="C3579" s="39">
        <v>45990.0</v>
      </c>
      <c r="D3579" s="33" t="s">
        <v>428</v>
      </c>
      <c r="E3579" s="40">
        <v>16.86</v>
      </c>
      <c r="F3579" s="40">
        <v>0.0</v>
      </c>
      <c r="G3579" s="33" t="s">
        <v>431</v>
      </c>
    </row>
    <row r="3580" ht="15.75" customHeight="1">
      <c r="A3580" s="33" t="s">
        <v>7566</v>
      </c>
      <c r="B3580" s="33" t="s">
        <v>2018</v>
      </c>
      <c r="C3580" s="39">
        <v>46205.0</v>
      </c>
      <c r="D3580" s="33" t="s">
        <v>479</v>
      </c>
      <c r="E3580" s="40">
        <v>68.92</v>
      </c>
      <c r="F3580" s="40">
        <v>0.43</v>
      </c>
      <c r="G3580" s="33" t="s">
        <v>450</v>
      </c>
    </row>
    <row r="3581" ht="15.75" customHeight="1">
      <c r="A3581" s="33" t="s">
        <v>7567</v>
      </c>
      <c r="B3581" s="33" t="s">
        <v>1991</v>
      </c>
      <c r="C3581" s="39">
        <v>45845.0</v>
      </c>
      <c r="D3581" s="33" t="s">
        <v>435</v>
      </c>
      <c r="E3581" s="40">
        <v>109.53</v>
      </c>
      <c r="F3581" s="40">
        <v>0.0</v>
      </c>
      <c r="G3581" s="33" t="s">
        <v>450</v>
      </c>
    </row>
    <row r="3582" ht="15.75" customHeight="1">
      <c r="A3582" s="33" t="s">
        <v>7568</v>
      </c>
      <c r="B3582" s="33" t="s">
        <v>572</v>
      </c>
      <c r="C3582" s="39">
        <v>46095.0</v>
      </c>
      <c r="D3582" s="33" t="s">
        <v>435</v>
      </c>
      <c r="E3582" s="40">
        <v>66.03</v>
      </c>
      <c r="F3582" s="40">
        <v>0.0</v>
      </c>
      <c r="G3582" s="33" t="s">
        <v>450</v>
      </c>
    </row>
    <row r="3583" ht="15.75" customHeight="1">
      <c r="A3583" s="33" t="s">
        <v>7569</v>
      </c>
      <c r="B3583" s="33" t="s">
        <v>285</v>
      </c>
      <c r="C3583" s="39">
        <v>46081.0</v>
      </c>
      <c r="D3583" s="33" t="s">
        <v>435</v>
      </c>
      <c r="E3583" s="40">
        <v>43.68</v>
      </c>
      <c r="F3583" s="40">
        <v>0.0</v>
      </c>
      <c r="G3583" s="33" t="s">
        <v>431</v>
      </c>
    </row>
    <row r="3584" ht="15.75" customHeight="1">
      <c r="A3584" s="33" t="s">
        <v>7570</v>
      </c>
      <c r="B3584" s="33" t="s">
        <v>2268</v>
      </c>
      <c r="C3584" s="39">
        <v>46010.0</v>
      </c>
      <c r="D3584" s="33" t="s">
        <v>440</v>
      </c>
      <c r="E3584" s="40">
        <v>83.21</v>
      </c>
      <c r="F3584" s="40">
        <v>0.0</v>
      </c>
      <c r="G3584" s="33" t="s">
        <v>450</v>
      </c>
    </row>
    <row r="3585" ht="15.75" customHeight="1">
      <c r="A3585" s="33" t="s">
        <v>7571</v>
      </c>
      <c r="B3585" s="33" t="s">
        <v>1802</v>
      </c>
      <c r="C3585" s="39">
        <v>46163.0</v>
      </c>
      <c r="D3585" s="33" t="s">
        <v>461</v>
      </c>
      <c r="E3585" s="40">
        <v>38.04</v>
      </c>
      <c r="F3585" s="40">
        <v>0.65</v>
      </c>
      <c r="G3585" s="33" t="s">
        <v>442</v>
      </c>
    </row>
    <row r="3586" ht="15.75" customHeight="1">
      <c r="A3586" s="33" t="s">
        <v>7572</v>
      </c>
      <c r="B3586" s="33" t="s">
        <v>352</v>
      </c>
      <c r="C3586" s="39">
        <v>46189.0</v>
      </c>
      <c r="D3586" s="33" t="s">
        <v>435</v>
      </c>
      <c r="E3586" s="40">
        <v>62.85</v>
      </c>
      <c r="F3586" s="40">
        <v>0.0</v>
      </c>
      <c r="G3586" s="33" t="s">
        <v>442</v>
      </c>
    </row>
    <row r="3587" ht="15.75" customHeight="1">
      <c r="A3587" s="33" t="s">
        <v>7573</v>
      </c>
      <c r="B3587" s="33" t="s">
        <v>2110</v>
      </c>
      <c r="C3587" s="39">
        <v>46135.0</v>
      </c>
      <c r="D3587" s="33" t="s">
        <v>479</v>
      </c>
      <c r="E3587" s="40">
        <v>138.56</v>
      </c>
      <c r="F3587" s="40">
        <v>0.74</v>
      </c>
      <c r="G3587" s="33" t="s">
        <v>450</v>
      </c>
    </row>
    <row r="3588" ht="15.75" customHeight="1">
      <c r="A3588" s="33" t="s">
        <v>7574</v>
      </c>
      <c r="B3588" s="33" t="s">
        <v>608</v>
      </c>
      <c r="C3588" s="39">
        <v>46015.0</v>
      </c>
      <c r="D3588" s="33" t="s">
        <v>479</v>
      </c>
      <c r="E3588" s="40">
        <v>144.8</v>
      </c>
      <c r="F3588" s="40">
        <v>1.24</v>
      </c>
      <c r="G3588" s="33" t="s">
        <v>450</v>
      </c>
    </row>
    <row r="3589" ht="15.75" customHeight="1">
      <c r="A3589" s="33" t="s">
        <v>7575</v>
      </c>
      <c r="B3589" s="33" t="s">
        <v>1703</v>
      </c>
      <c r="C3589" s="39">
        <v>46251.0</v>
      </c>
      <c r="D3589" s="33" t="s">
        <v>435</v>
      </c>
      <c r="E3589" s="40">
        <v>91.66</v>
      </c>
      <c r="F3589" s="40">
        <v>0.0</v>
      </c>
      <c r="G3589" s="33" t="s">
        <v>450</v>
      </c>
    </row>
    <row r="3590" ht="15.75" customHeight="1">
      <c r="A3590" s="33" t="s">
        <v>7576</v>
      </c>
      <c r="B3590" s="33" t="s">
        <v>558</v>
      </c>
      <c r="C3590" s="39">
        <v>45995.0</v>
      </c>
      <c r="D3590" s="33" t="s">
        <v>435</v>
      </c>
      <c r="E3590" s="40">
        <v>31.55</v>
      </c>
      <c r="F3590" s="40">
        <v>0.0</v>
      </c>
      <c r="G3590" s="33" t="s">
        <v>450</v>
      </c>
    </row>
    <row r="3591" ht="15.75" customHeight="1">
      <c r="A3591" s="33" t="s">
        <v>7577</v>
      </c>
      <c r="B3591" s="33" t="s">
        <v>1346</v>
      </c>
      <c r="C3591" s="39">
        <v>46044.0</v>
      </c>
      <c r="D3591" s="33" t="s">
        <v>440</v>
      </c>
      <c r="E3591" s="40">
        <v>57.97</v>
      </c>
      <c r="F3591" s="40">
        <v>0.0</v>
      </c>
      <c r="G3591" s="33" t="s">
        <v>450</v>
      </c>
    </row>
    <row r="3592" ht="15.75" customHeight="1">
      <c r="A3592" s="33" t="s">
        <v>7578</v>
      </c>
      <c r="B3592" s="33" t="s">
        <v>546</v>
      </c>
      <c r="C3592" s="39">
        <v>45772.0</v>
      </c>
      <c r="D3592" s="33" t="s">
        <v>435</v>
      </c>
      <c r="E3592" s="40">
        <v>84.39</v>
      </c>
      <c r="F3592" s="40">
        <v>0.0</v>
      </c>
      <c r="G3592" s="33" t="s">
        <v>450</v>
      </c>
    </row>
    <row r="3593" ht="15.75" customHeight="1">
      <c r="A3593" s="33" t="s">
        <v>7579</v>
      </c>
      <c r="B3593" s="33" t="s">
        <v>1799</v>
      </c>
      <c r="C3593" s="39">
        <v>45852.0</v>
      </c>
      <c r="D3593" s="33" t="s">
        <v>461</v>
      </c>
      <c r="E3593" s="40">
        <v>41.83</v>
      </c>
      <c r="F3593" s="40">
        <v>0.79</v>
      </c>
      <c r="G3593" s="33" t="s">
        <v>431</v>
      </c>
    </row>
    <row r="3594" ht="15.75" customHeight="1">
      <c r="A3594" s="33" t="s">
        <v>7580</v>
      </c>
      <c r="B3594" s="33" t="s">
        <v>524</v>
      </c>
      <c r="C3594" s="39">
        <v>46207.0</v>
      </c>
      <c r="D3594" s="33" t="s">
        <v>428</v>
      </c>
      <c r="E3594" s="40">
        <v>236.86</v>
      </c>
      <c r="F3594" s="40">
        <v>0.0</v>
      </c>
      <c r="G3594" s="33" t="s">
        <v>450</v>
      </c>
    </row>
    <row r="3595" ht="15.75" customHeight="1">
      <c r="A3595" s="33" t="s">
        <v>7581</v>
      </c>
      <c r="B3595" s="33" t="s">
        <v>411</v>
      </c>
      <c r="C3595" s="39">
        <v>45960.0</v>
      </c>
      <c r="D3595" s="33" t="s">
        <v>461</v>
      </c>
      <c r="E3595" s="40">
        <v>42.67</v>
      </c>
      <c r="F3595" s="40">
        <v>0.76</v>
      </c>
      <c r="G3595" s="33" t="s">
        <v>442</v>
      </c>
    </row>
    <row r="3596" ht="15.75" customHeight="1">
      <c r="A3596" s="33" t="s">
        <v>7582</v>
      </c>
      <c r="B3596" s="33" t="s">
        <v>2158</v>
      </c>
      <c r="C3596" s="39">
        <v>45968.0</v>
      </c>
      <c r="D3596" s="33" t="s">
        <v>461</v>
      </c>
      <c r="E3596" s="40">
        <v>80.08</v>
      </c>
      <c r="F3596" s="40">
        <v>1.49</v>
      </c>
      <c r="G3596" s="33" t="s">
        <v>450</v>
      </c>
    </row>
    <row r="3597" ht="15.75" customHeight="1">
      <c r="A3597" s="33" t="s">
        <v>7583</v>
      </c>
      <c r="B3597" s="33" t="s">
        <v>2314</v>
      </c>
      <c r="C3597" s="39">
        <v>46153.0</v>
      </c>
      <c r="D3597" s="33" t="s">
        <v>461</v>
      </c>
      <c r="E3597" s="40">
        <v>151.25</v>
      </c>
      <c r="F3597" s="40">
        <v>2.18</v>
      </c>
      <c r="G3597" s="33" t="s">
        <v>450</v>
      </c>
    </row>
    <row r="3598" ht="15.75" customHeight="1">
      <c r="A3598" s="33" t="s">
        <v>7584</v>
      </c>
      <c r="B3598" s="33" t="s">
        <v>1541</v>
      </c>
      <c r="C3598" s="39">
        <v>45855.0</v>
      </c>
      <c r="D3598" s="33" t="s">
        <v>428</v>
      </c>
      <c r="E3598" s="40">
        <v>211.63</v>
      </c>
      <c r="F3598" s="40">
        <v>0.0</v>
      </c>
      <c r="G3598" s="33" t="s">
        <v>442</v>
      </c>
    </row>
    <row r="3599" ht="15.75" customHeight="1">
      <c r="A3599" s="33" t="s">
        <v>7585</v>
      </c>
      <c r="B3599" s="33" t="s">
        <v>1893</v>
      </c>
      <c r="C3599" s="39">
        <v>45819.0</v>
      </c>
      <c r="D3599" s="33" t="s">
        <v>435</v>
      </c>
      <c r="E3599" s="40">
        <v>30.91</v>
      </c>
      <c r="F3599" s="40">
        <v>0.0</v>
      </c>
      <c r="G3599" s="33" t="s">
        <v>450</v>
      </c>
    </row>
    <row r="3600" ht="15.75" customHeight="1">
      <c r="A3600" s="33" t="s">
        <v>7586</v>
      </c>
      <c r="B3600" s="33" t="s">
        <v>1651</v>
      </c>
      <c r="C3600" s="39">
        <v>45663.0</v>
      </c>
      <c r="D3600" s="33" t="s">
        <v>428</v>
      </c>
      <c r="E3600" s="40">
        <v>17.44</v>
      </c>
      <c r="F3600" s="40">
        <v>0.0</v>
      </c>
      <c r="G3600" s="33" t="s">
        <v>450</v>
      </c>
    </row>
    <row r="3601" ht="15.75" customHeight="1">
      <c r="A3601" s="33" t="s">
        <v>7587</v>
      </c>
      <c r="B3601" s="33" t="s">
        <v>815</v>
      </c>
      <c r="C3601" s="39">
        <v>45798.0</v>
      </c>
      <c r="D3601" s="33" t="s">
        <v>479</v>
      </c>
      <c r="E3601" s="40">
        <v>90.83</v>
      </c>
      <c r="F3601" s="40">
        <v>0.47</v>
      </c>
      <c r="G3601" s="33" t="s">
        <v>450</v>
      </c>
    </row>
    <row r="3602" ht="15.75" customHeight="1">
      <c r="A3602" s="33" t="s">
        <v>7588</v>
      </c>
      <c r="B3602" s="33" t="s">
        <v>1147</v>
      </c>
      <c r="C3602" s="39">
        <v>45968.0</v>
      </c>
      <c r="D3602" s="33" t="s">
        <v>479</v>
      </c>
      <c r="E3602" s="40">
        <v>256.0</v>
      </c>
      <c r="F3602" s="40">
        <v>2.33</v>
      </c>
      <c r="G3602" s="33" t="s">
        <v>450</v>
      </c>
    </row>
    <row r="3603" ht="15.75" customHeight="1">
      <c r="A3603" s="33" t="s">
        <v>7589</v>
      </c>
      <c r="B3603" s="33" t="s">
        <v>483</v>
      </c>
      <c r="C3603" s="39">
        <v>46097.0</v>
      </c>
      <c r="D3603" s="33" t="s">
        <v>461</v>
      </c>
      <c r="E3603" s="40">
        <v>20.54</v>
      </c>
      <c r="F3603" s="40">
        <v>0.28</v>
      </c>
      <c r="G3603" s="33" t="s">
        <v>450</v>
      </c>
    </row>
    <row r="3604" ht="15.75" customHeight="1">
      <c r="A3604" s="33" t="s">
        <v>7590</v>
      </c>
      <c r="B3604" s="33" t="s">
        <v>487</v>
      </c>
      <c r="C3604" s="39">
        <v>45857.0</v>
      </c>
      <c r="D3604" s="33" t="s">
        <v>479</v>
      </c>
      <c r="E3604" s="40">
        <v>59.76</v>
      </c>
      <c r="F3604" s="40">
        <v>1.08</v>
      </c>
      <c r="G3604" s="33" t="s">
        <v>450</v>
      </c>
    </row>
    <row r="3605" ht="15.75" customHeight="1">
      <c r="A3605" s="33" t="s">
        <v>7591</v>
      </c>
      <c r="B3605" s="33" t="s">
        <v>880</v>
      </c>
      <c r="C3605" s="39">
        <v>45927.0</v>
      </c>
      <c r="D3605" s="33" t="s">
        <v>440</v>
      </c>
      <c r="E3605" s="40">
        <v>96.79</v>
      </c>
      <c r="F3605" s="40">
        <v>0.0</v>
      </c>
      <c r="G3605" s="33" t="s">
        <v>442</v>
      </c>
    </row>
    <row r="3606" ht="15.75" customHeight="1">
      <c r="A3606" s="33" t="s">
        <v>7592</v>
      </c>
      <c r="B3606" s="33" t="s">
        <v>2433</v>
      </c>
      <c r="C3606" s="39">
        <v>45792.0</v>
      </c>
      <c r="D3606" s="33" t="s">
        <v>435</v>
      </c>
      <c r="E3606" s="40">
        <v>82.85</v>
      </c>
      <c r="F3606" s="40">
        <v>0.0</v>
      </c>
      <c r="G3606" s="33" t="s">
        <v>450</v>
      </c>
    </row>
    <row r="3607" ht="15.75" customHeight="1">
      <c r="A3607" s="33" t="s">
        <v>7593</v>
      </c>
      <c r="B3607" s="33" t="s">
        <v>838</v>
      </c>
      <c r="C3607" s="39">
        <v>46153.0</v>
      </c>
      <c r="D3607" s="33" t="s">
        <v>435</v>
      </c>
      <c r="E3607" s="40">
        <v>108.22</v>
      </c>
      <c r="F3607" s="40">
        <v>0.0</v>
      </c>
      <c r="G3607" s="33" t="s">
        <v>431</v>
      </c>
    </row>
    <row r="3608" ht="15.75" customHeight="1">
      <c r="A3608" s="33" t="s">
        <v>7594</v>
      </c>
      <c r="B3608" s="33" t="s">
        <v>1113</v>
      </c>
      <c r="C3608" s="39">
        <v>45976.0</v>
      </c>
      <c r="D3608" s="33" t="s">
        <v>435</v>
      </c>
      <c r="E3608" s="40">
        <v>191.41</v>
      </c>
      <c r="F3608" s="40">
        <v>0.0</v>
      </c>
      <c r="G3608" s="33" t="s">
        <v>431</v>
      </c>
    </row>
    <row r="3609" ht="15.75" customHeight="1">
      <c r="A3609" s="33" t="s">
        <v>7595</v>
      </c>
      <c r="B3609" s="33" t="s">
        <v>306</v>
      </c>
      <c r="C3609" s="39">
        <v>45745.0</v>
      </c>
      <c r="D3609" s="33" t="s">
        <v>440</v>
      </c>
      <c r="E3609" s="40">
        <v>153.39</v>
      </c>
      <c r="F3609" s="40">
        <v>0.0</v>
      </c>
      <c r="G3609" s="33" t="s">
        <v>450</v>
      </c>
    </row>
    <row r="3610" ht="15.75" customHeight="1">
      <c r="A3610" s="33" t="s">
        <v>7596</v>
      </c>
      <c r="B3610" s="33" t="s">
        <v>1399</v>
      </c>
      <c r="C3610" s="39">
        <v>46028.0</v>
      </c>
      <c r="D3610" s="33" t="s">
        <v>461</v>
      </c>
      <c r="E3610" s="40">
        <v>58.67</v>
      </c>
      <c r="F3610" s="40">
        <v>0.39</v>
      </c>
      <c r="G3610" s="33" t="s">
        <v>431</v>
      </c>
    </row>
    <row r="3611" ht="15.75" customHeight="1">
      <c r="A3611" s="33" t="s">
        <v>7597</v>
      </c>
      <c r="B3611" s="33" t="s">
        <v>600</v>
      </c>
      <c r="C3611" s="39">
        <v>45861.0</v>
      </c>
      <c r="D3611" s="33" t="s">
        <v>440</v>
      </c>
      <c r="E3611" s="40">
        <v>20.21</v>
      </c>
      <c r="F3611" s="40">
        <v>0.0</v>
      </c>
      <c r="G3611" s="33" t="s">
        <v>450</v>
      </c>
    </row>
    <row r="3612" ht="15.75" customHeight="1">
      <c r="A3612" s="33" t="s">
        <v>7598</v>
      </c>
      <c r="B3612" s="33" t="s">
        <v>1517</v>
      </c>
      <c r="C3612" s="39">
        <v>46183.0</v>
      </c>
      <c r="D3612" s="33" t="s">
        <v>479</v>
      </c>
      <c r="E3612" s="40">
        <v>161.51</v>
      </c>
      <c r="F3612" s="40">
        <v>1.99</v>
      </c>
      <c r="G3612" s="33" t="s">
        <v>450</v>
      </c>
    </row>
    <row r="3613" ht="15.75" customHeight="1">
      <c r="A3613" s="33" t="s">
        <v>7599</v>
      </c>
      <c r="B3613" s="33" t="s">
        <v>1034</v>
      </c>
      <c r="C3613" s="39">
        <v>45820.0</v>
      </c>
      <c r="D3613" s="33" t="s">
        <v>435</v>
      </c>
      <c r="E3613" s="40">
        <v>59.6</v>
      </c>
      <c r="F3613" s="40">
        <v>0.0</v>
      </c>
      <c r="G3613" s="33" t="s">
        <v>450</v>
      </c>
    </row>
    <row r="3614" ht="15.75" customHeight="1">
      <c r="A3614" s="33" t="s">
        <v>7600</v>
      </c>
      <c r="B3614" s="33" t="s">
        <v>1300</v>
      </c>
      <c r="C3614" s="39">
        <v>46182.0</v>
      </c>
      <c r="D3614" s="33" t="s">
        <v>479</v>
      </c>
      <c r="E3614" s="40">
        <v>82.01</v>
      </c>
      <c r="F3614" s="40">
        <v>1.13</v>
      </c>
      <c r="G3614" s="33" t="s">
        <v>442</v>
      </c>
    </row>
    <row r="3615" ht="15.75" customHeight="1">
      <c r="A3615" s="33" t="s">
        <v>7601</v>
      </c>
      <c r="B3615" s="33" t="s">
        <v>3807</v>
      </c>
      <c r="C3615" s="39">
        <v>46081.0</v>
      </c>
      <c r="D3615" s="33" t="s">
        <v>428</v>
      </c>
      <c r="E3615" s="40">
        <v>142.53</v>
      </c>
      <c r="F3615" s="40">
        <v>0.0</v>
      </c>
      <c r="G3615" s="33" t="s">
        <v>450</v>
      </c>
    </row>
    <row r="3616" ht="15.75" customHeight="1">
      <c r="A3616" s="33" t="s">
        <v>7602</v>
      </c>
      <c r="B3616" s="33" t="s">
        <v>434</v>
      </c>
      <c r="C3616" s="39">
        <v>45740.0</v>
      </c>
      <c r="D3616" s="33" t="s">
        <v>440</v>
      </c>
      <c r="E3616" s="40">
        <v>158.04</v>
      </c>
      <c r="F3616" s="40">
        <v>0.0</v>
      </c>
      <c r="G3616" s="33" t="s">
        <v>450</v>
      </c>
    </row>
    <row r="3617" ht="15.75" customHeight="1">
      <c r="A3617" s="33" t="s">
        <v>7603</v>
      </c>
      <c r="B3617" s="33" t="s">
        <v>1132</v>
      </c>
      <c r="C3617" s="39">
        <v>46118.0</v>
      </c>
      <c r="D3617" s="33" t="s">
        <v>479</v>
      </c>
      <c r="E3617" s="40">
        <v>136.8</v>
      </c>
      <c r="F3617" s="40">
        <v>1.82</v>
      </c>
      <c r="G3617" s="33" t="s">
        <v>450</v>
      </c>
    </row>
    <row r="3618" ht="15.75" customHeight="1">
      <c r="A3618" s="33" t="s">
        <v>7604</v>
      </c>
      <c r="B3618" s="33" t="s">
        <v>732</v>
      </c>
      <c r="C3618" s="39">
        <v>46095.0</v>
      </c>
      <c r="D3618" s="33" t="s">
        <v>428</v>
      </c>
      <c r="E3618" s="40">
        <v>228.12</v>
      </c>
      <c r="F3618" s="40">
        <v>0.0</v>
      </c>
      <c r="G3618" s="33" t="s">
        <v>450</v>
      </c>
    </row>
    <row r="3619" ht="15.75" customHeight="1">
      <c r="A3619" s="33" t="s">
        <v>7605</v>
      </c>
      <c r="B3619" s="33" t="s">
        <v>828</v>
      </c>
      <c r="C3619" s="39">
        <v>45934.0</v>
      </c>
      <c r="D3619" s="33" t="s">
        <v>461</v>
      </c>
      <c r="E3619" s="40">
        <v>75.29</v>
      </c>
      <c r="F3619" s="40">
        <v>1.01</v>
      </c>
      <c r="G3619" s="33" t="s">
        <v>450</v>
      </c>
    </row>
    <row r="3620" ht="15.75" customHeight="1">
      <c r="A3620" s="33" t="s">
        <v>7606</v>
      </c>
      <c r="B3620" s="33" t="s">
        <v>2497</v>
      </c>
      <c r="C3620" s="39">
        <v>45755.0</v>
      </c>
      <c r="D3620" s="33" t="s">
        <v>440</v>
      </c>
      <c r="E3620" s="40">
        <v>45.03</v>
      </c>
      <c r="F3620" s="40">
        <v>0.0</v>
      </c>
      <c r="G3620" s="33" t="s">
        <v>431</v>
      </c>
    </row>
    <row r="3621" ht="15.75" customHeight="1">
      <c r="A3621" s="33" t="s">
        <v>7607</v>
      </c>
      <c r="B3621" s="33" t="s">
        <v>3048</v>
      </c>
      <c r="C3621" s="39">
        <v>45948.0</v>
      </c>
      <c r="D3621" s="33" t="s">
        <v>435</v>
      </c>
      <c r="E3621" s="40">
        <v>34.32</v>
      </c>
      <c r="F3621" s="40">
        <v>0.0</v>
      </c>
      <c r="G3621" s="33" t="s">
        <v>442</v>
      </c>
    </row>
    <row r="3622" ht="15.75" customHeight="1">
      <c r="A3622" s="33" t="s">
        <v>7608</v>
      </c>
      <c r="B3622" s="33" t="s">
        <v>530</v>
      </c>
      <c r="C3622" s="39">
        <v>46027.0</v>
      </c>
      <c r="D3622" s="33" t="s">
        <v>428</v>
      </c>
      <c r="E3622" s="40">
        <v>47.25</v>
      </c>
      <c r="F3622" s="40">
        <v>0.0</v>
      </c>
      <c r="G3622" s="33" t="s">
        <v>431</v>
      </c>
    </row>
    <row r="3623" ht="15.75" customHeight="1">
      <c r="A3623" s="33" t="s">
        <v>7609</v>
      </c>
      <c r="B3623" s="33" t="s">
        <v>1297</v>
      </c>
      <c r="C3623" s="39">
        <v>45738.0</v>
      </c>
      <c r="D3623" s="33" t="s">
        <v>461</v>
      </c>
      <c r="E3623" s="40">
        <v>48.87</v>
      </c>
      <c r="F3623" s="40">
        <v>0.84</v>
      </c>
      <c r="G3623" s="33" t="s">
        <v>450</v>
      </c>
    </row>
    <row r="3624" ht="15.75" customHeight="1">
      <c r="A3624" s="33" t="s">
        <v>7610</v>
      </c>
      <c r="B3624" s="33" t="s">
        <v>1095</v>
      </c>
      <c r="C3624" s="39">
        <v>45865.0</v>
      </c>
      <c r="D3624" s="33" t="s">
        <v>435</v>
      </c>
      <c r="E3624" s="40">
        <v>91.88</v>
      </c>
      <c r="F3624" s="40">
        <v>0.0</v>
      </c>
      <c r="G3624" s="33" t="s">
        <v>450</v>
      </c>
    </row>
    <row r="3625" ht="15.75" customHeight="1">
      <c r="A3625" s="33" t="s">
        <v>7611</v>
      </c>
      <c r="B3625" s="33" t="s">
        <v>534</v>
      </c>
      <c r="C3625" s="39">
        <v>46084.0</v>
      </c>
      <c r="D3625" s="33" t="s">
        <v>479</v>
      </c>
      <c r="E3625" s="40">
        <v>116.36</v>
      </c>
      <c r="F3625" s="40">
        <v>1.16</v>
      </c>
      <c r="G3625" s="33" t="s">
        <v>431</v>
      </c>
    </row>
    <row r="3626" ht="15.75" customHeight="1">
      <c r="A3626" s="33" t="s">
        <v>7612</v>
      </c>
      <c r="B3626" s="33" t="s">
        <v>4175</v>
      </c>
      <c r="C3626" s="39">
        <v>45993.0</v>
      </c>
      <c r="D3626" s="33" t="s">
        <v>428</v>
      </c>
      <c r="E3626" s="40">
        <v>29.97</v>
      </c>
      <c r="F3626" s="40">
        <v>0.0</v>
      </c>
      <c r="G3626" s="33" t="s">
        <v>442</v>
      </c>
    </row>
    <row r="3627" ht="15.75" customHeight="1">
      <c r="A3627" s="33" t="s">
        <v>7613</v>
      </c>
      <c r="B3627" s="33" t="s">
        <v>2080</v>
      </c>
      <c r="C3627" s="39">
        <v>46260.0</v>
      </c>
      <c r="D3627" s="33" t="s">
        <v>428</v>
      </c>
      <c r="E3627" s="40">
        <v>142.82</v>
      </c>
      <c r="F3627" s="40">
        <v>0.0</v>
      </c>
      <c r="G3627" s="33" t="s">
        <v>431</v>
      </c>
    </row>
    <row r="3628" ht="15.75" customHeight="1">
      <c r="A3628" s="33" t="s">
        <v>7614</v>
      </c>
      <c r="B3628" s="33" t="s">
        <v>1346</v>
      </c>
      <c r="C3628" s="39">
        <v>45789.0</v>
      </c>
      <c r="D3628" s="33" t="s">
        <v>435</v>
      </c>
      <c r="E3628" s="40">
        <v>152.58</v>
      </c>
      <c r="F3628" s="40">
        <v>0.0</v>
      </c>
      <c r="G3628" s="33" t="s">
        <v>431</v>
      </c>
    </row>
    <row r="3629" ht="15.75" customHeight="1">
      <c r="A3629" s="33" t="s">
        <v>7615</v>
      </c>
      <c r="B3629" s="33" t="s">
        <v>514</v>
      </c>
      <c r="C3629" s="39">
        <v>46130.0</v>
      </c>
      <c r="D3629" s="33" t="s">
        <v>479</v>
      </c>
      <c r="E3629" s="40">
        <v>118.39</v>
      </c>
      <c r="F3629" s="40">
        <v>2.36</v>
      </c>
      <c r="G3629" s="33" t="s">
        <v>450</v>
      </c>
    </row>
    <row r="3630" ht="15.75" customHeight="1">
      <c r="A3630" s="33" t="s">
        <v>7616</v>
      </c>
      <c r="B3630" s="33" t="s">
        <v>2678</v>
      </c>
      <c r="C3630" s="39">
        <v>45916.0</v>
      </c>
      <c r="D3630" s="33" t="s">
        <v>428</v>
      </c>
      <c r="E3630" s="40">
        <v>53.16</v>
      </c>
      <c r="F3630" s="40">
        <v>0.0</v>
      </c>
      <c r="G3630" s="33" t="s">
        <v>450</v>
      </c>
    </row>
    <row r="3631" ht="15.75" customHeight="1">
      <c r="A3631" s="33" t="s">
        <v>7617</v>
      </c>
      <c r="B3631" s="33" t="s">
        <v>1025</v>
      </c>
      <c r="C3631" s="39">
        <v>45793.0</v>
      </c>
      <c r="D3631" s="33" t="s">
        <v>461</v>
      </c>
      <c r="E3631" s="40">
        <v>186.69</v>
      </c>
      <c r="F3631" s="40">
        <v>2.98</v>
      </c>
      <c r="G3631" s="33" t="s">
        <v>442</v>
      </c>
    </row>
    <row r="3632" ht="15.75" customHeight="1">
      <c r="A3632" s="33" t="s">
        <v>7618</v>
      </c>
      <c r="B3632" s="33" t="s">
        <v>1374</v>
      </c>
      <c r="C3632" s="39">
        <v>46235.0</v>
      </c>
      <c r="D3632" s="33" t="s">
        <v>479</v>
      </c>
      <c r="E3632" s="40">
        <v>74.24</v>
      </c>
      <c r="F3632" s="40">
        <v>0.48</v>
      </c>
      <c r="G3632" s="33" t="s">
        <v>450</v>
      </c>
    </row>
    <row r="3633" ht="15.75" customHeight="1">
      <c r="A3633" s="33" t="s">
        <v>7619</v>
      </c>
      <c r="B3633" s="33" t="s">
        <v>2570</v>
      </c>
      <c r="C3633" s="39">
        <v>46036.0</v>
      </c>
      <c r="D3633" s="33" t="s">
        <v>440</v>
      </c>
      <c r="E3633" s="40">
        <v>40.3</v>
      </c>
      <c r="F3633" s="40">
        <v>0.0</v>
      </c>
      <c r="G3633" s="33" t="s">
        <v>450</v>
      </c>
    </row>
    <row r="3634" ht="15.75" customHeight="1">
      <c r="A3634" s="33" t="s">
        <v>7620</v>
      </c>
      <c r="B3634" s="33" t="s">
        <v>1174</v>
      </c>
      <c r="C3634" s="39">
        <v>45983.0</v>
      </c>
      <c r="D3634" s="33" t="s">
        <v>461</v>
      </c>
      <c r="E3634" s="40">
        <v>29.69</v>
      </c>
      <c r="F3634" s="40">
        <v>0.3</v>
      </c>
      <c r="G3634" s="33" t="s">
        <v>450</v>
      </c>
    </row>
    <row r="3635" ht="15.75" customHeight="1">
      <c r="A3635" s="33" t="s">
        <v>7621</v>
      </c>
      <c r="B3635" s="33" t="s">
        <v>1232</v>
      </c>
      <c r="C3635" s="39">
        <v>45837.0</v>
      </c>
      <c r="D3635" s="33" t="s">
        <v>479</v>
      </c>
      <c r="E3635" s="40">
        <v>86.31</v>
      </c>
      <c r="F3635" s="40">
        <v>1.55</v>
      </c>
      <c r="G3635" s="33" t="s">
        <v>450</v>
      </c>
    </row>
    <row r="3636" ht="15.75" customHeight="1">
      <c r="A3636" s="33" t="s">
        <v>7622</v>
      </c>
      <c r="B3636" s="33" t="s">
        <v>1198</v>
      </c>
      <c r="C3636" s="39">
        <v>46193.0</v>
      </c>
      <c r="D3636" s="33" t="s">
        <v>479</v>
      </c>
      <c r="E3636" s="40">
        <v>53.95</v>
      </c>
      <c r="F3636" s="40">
        <v>0.28</v>
      </c>
      <c r="G3636" s="33" t="s">
        <v>442</v>
      </c>
    </row>
    <row r="3637" ht="15.75" customHeight="1">
      <c r="A3637" s="33" t="s">
        <v>7623</v>
      </c>
      <c r="B3637" s="33" t="s">
        <v>1227</v>
      </c>
      <c r="C3637" s="39">
        <v>45676.0</v>
      </c>
      <c r="D3637" s="33" t="s">
        <v>428</v>
      </c>
      <c r="E3637" s="40">
        <v>22.54</v>
      </c>
      <c r="F3637" s="40">
        <v>0.0</v>
      </c>
      <c r="G3637" s="33" t="s">
        <v>450</v>
      </c>
    </row>
    <row r="3638" ht="15.75" customHeight="1">
      <c r="A3638" s="33" t="s">
        <v>7624</v>
      </c>
      <c r="B3638" s="33" t="s">
        <v>1297</v>
      </c>
      <c r="C3638" s="39">
        <v>45727.0</v>
      </c>
      <c r="D3638" s="33" t="s">
        <v>440</v>
      </c>
      <c r="E3638" s="40">
        <v>16.41</v>
      </c>
      <c r="F3638" s="40">
        <v>0.0</v>
      </c>
      <c r="G3638" s="33" t="s">
        <v>431</v>
      </c>
    </row>
    <row r="3639" ht="15.75" customHeight="1">
      <c r="A3639" s="33" t="s">
        <v>7625</v>
      </c>
      <c r="B3639" s="33" t="s">
        <v>2568</v>
      </c>
      <c r="C3639" s="39">
        <v>45767.0</v>
      </c>
      <c r="D3639" s="33" t="s">
        <v>461</v>
      </c>
      <c r="E3639" s="40">
        <v>96.3</v>
      </c>
      <c r="F3639" s="40">
        <v>0.67</v>
      </c>
      <c r="G3639" s="33" t="s">
        <v>450</v>
      </c>
    </row>
    <row r="3640" ht="15.75" customHeight="1">
      <c r="A3640" s="33" t="s">
        <v>7626</v>
      </c>
      <c r="B3640" s="33" t="s">
        <v>1141</v>
      </c>
      <c r="C3640" s="39">
        <v>46054.0</v>
      </c>
      <c r="D3640" s="33" t="s">
        <v>435</v>
      </c>
      <c r="E3640" s="40">
        <v>19.28</v>
      </c>
      <c r="F3640" s="40">
        <v>0.0</v>
      </c>
      <c r="G3640" s="33" t="s">
        <v>450</v>
      </c>
    </row>
    <row r="3641" ht="15.75" customHeight="1">
      <c r="A3641" s="33" t="s">
        <v>7627</v>
      </c>
      <c r="B3641" s="33" t="s">
        <v>2650</v>
      </c>
      <c r="C3641" s="39">
        <v>45720.0</v>
      </c>
      <c r="D3641" s="33" t="s">
        <v>461</v>
      </c>
      <c r="E3641" s="40">
        <v>5.68</v>
      </c>
      <c r="F3641" s="40">
        <v>0.09</v>
      </c>
      <c r="G3641" s="33" t="s">
        <v>442</v>
      </c>
    </row>
    <row r="3642" ht="15.75" customHeight="1">
      <c r="A3642" s="33" t="s">
        <v>7628</v>
      </c>
      <c r="B3642" s="33" t="s">
        <v>1222</v>
      </c>
      <c r="C3642" s="39">
        <v>46141.0</v>
      </c>
      <c r="D3642" s="33" t="s">
        <v>479</v>
      </c>
      <c r="E3642" s="40">
        <v>154.11</v>
      </c>
      <c r="F3642" s="40">
        <v>2.57</v>
      </c>
      <c r="G3642" s="33" t="s">
        <v>450</v>
      </c>
    </row>
    <row r="3643" ht="15.75" customHeight="1">
      <c r="A3643" s="33" t="s">
        <v>7629</v>
      </c>
      <c r="B3643" s="33" t="s">
        <v>534</v>
      </c>
      <c r="C3643" s="39">
        <v>45776.0</v>
      </c>
      <c r="D3643" s="33" t="s">
        <v>428</v>
      </c>
      <c r="E3643" s="40">
        <v>33.31</v>
      </c>
      <c r="F3643" s="40">
        <v>0.0</v>
      </c>
      <c r="G3643" s="33" t="s">
        <v>442</v>
      </c>
    </row>
    <row r="3644" ht="15.75" customHeight="1">
      <c r="A3644" s="33" t="s">
        <v>7630</v>
      </c>
      <c r="B3644" s="33" t="s">
        <v>1799</v>
      </c>
      <c r="C3644" s="39">
        <v>46068.0</v>
      </c>
      <c r="D3644" s="33" t="s">
        <v>440</v>
      </c>
      <c r="E3644" s="40">
        <v>107.73</v>
      </c>
      <c r="F3644" s="40">
        <v>0.0</v>
      </c>
      <c r="G3644" s="33" t="s">
        <v>431</v>
      </c>
    </row>
    <row r="3645" ht="15.75" customHeight="1">
      <c r="A3645" s="33" t="s">
        <v>7631</v>
      </c>
      <c r="B3645" s="33" t="s">
        <v>1344</v>
      </c>
      <c r="C3645" s="39">
        <v>46140.0</v>
      </c>
      <c r="D3645" s="33" t="s">
        <v>428</v>
      </c>
      <c r="E3645" s="40">
        <v>84.98</v>
      </c>
      <c r="F3645" s="40">
        <v>0.0</v>
      </c>
      <c r="G3645" s="33" t="s">
        <v>442</v>
      </c>
    </row>
    <row r="3646" ht="15.75" customHeight="1">
      <c r="A3646" s="33" t="s">
        <v>7632</v>
      </c>
      <c r="B3646" s="33" t="s">
        <v>1174</v>
      </c>
      <c r="C3646" s="39">
        <v>46191.0</v>
      </c>
      <c r="D3646" s="33" t="s">
        <v>479</v>
      </c>
      <c r="E3646" s="40">
        <v>44.13</v>
      </c>
      <c r="F3646" s="40">
        <v>0.79</v>
      </c>
      <c r="G3646" s="33" t="s">
        <v>442</v>
      </c>
    </row>
    <row r="3647" ht="15.75" customHeight="1">
      <c r="A3647" s="33" t="s">
        <v>7633</v>
      </c>
      <c r="B3647" s="33" t="s">
        <v>514</v>
      </c>
      <c r="C3647" s="39">
        <v>45835.0</v>
      </c>
      <c r="D3647" s="33" t="s">
        <v>440</v>
      </c>
      <c r="E3647" s="40">
        <v>201.09</v>
      </c>
      <c r="F3647" s="40">
        <v>0.0</v>
      </c>
      <c r="G3647" s="33" t="s">
        <v>450</v>
      </c>
    </row>
    <row r="3648" ht="15.75" customHeight="1">
      <c r="A3648" s="33" t="s">
        <v>7634</v>
      </c>
      <c r="B3648" s="33" t="s">
        <v>1876</v>
      </c>
      <c r="C3648" s="39">
        <v>45703.0</v>
      </c>
      <c r="D3648" s="33" t="s">
        <v>435</v>
      </c>
      <c r="E3648" s="40">
        <v>120.32</v>
      </c>
      <c r="F3648" s="40">
        <v>0.0</v>
      </c>
      <c r="G3648" s="33" t="s">
        <v>431</v>
      </c>
    </row>
    <row r="3649" ht="15.75" customHeight="1">
      <c r="A3649" s="33" t="s">
        <v>7635</v>
      </c>
      <c r="B3649" s="33" t="s">
        <v>1998</v>
      </c>
      <c r="C3649" s="39">
        <v>46117.0</v>
      </c>
      <c r="D3649" s="33" t="s">
        <v>435</v>
      </c>
      <c r="E3649" s="40">
        <v>70.71</v>
      </c>
      <c r="F3649" s="40">
        <v>0.0</v>
      </c>
      <c r="G3649" s="33" t="s">
        <v>442</v>
      </c>
    </row>
    <row r="3650" ht="15.75" customHeight="1">
      <c r="A3650" s="33" t="s">
        <v>7636</v>
      </c>
      <c r="B3650" s="33" t="s">
        <v>1368</v>
      </c>
      <c r="C3650" s="39">
        <v>45930.0</v>
      </c>
      <c r="D3650" s="33" t="s">
        <v>440</v>
      </c>
      <c r="E3650" s="40">
        <v>36.18</v>
      </c>
      <c r="F3650" s="40">
        <v>0.0</v>
      </c>
      <c r="G3650" s="33" t="s">
        <v>450</v>
      </c>
    </row>
    <row r="3651" ht="15.75" customHeight="1">
      <c r="A3651" s="33" t="s">
        <v>7637</v>
      </c>
      <c r="B3651" s="33" t="s">
        <v>581</v>
      </c>
      <c r="C3651" s="39">
        <v>46233.0</v>
      </c>
      <c r="D3651" s="33" t="s">
        <v>479</v>
      </c>
      <c r="E3651" s="40">
        <v>113.59</v>
      </c>
      <c r="F3651" s="40">
        <v>1.03</v>
      </c>
      <c r="G3651" s="33" t="s">
        <v>442</v>
      </c>
    </row>
    <row r="3652" ht="15.75" customHeight="1">
      <c r="A3652" s="33" t="s">
        <v>7638</v>
      </c>
      <c r="B3652" s="33" t="s">
        <v>352</v>
      </c>
      <c r="C3652" s="39">
        <v>45772.0</v>
      </c>
      <c r="D3652" s="33" t="s">
        <v>428</v>
      </c>
      <c r="E3652" s="40">
        <v>126.45</v>
      </c>
      <c r="F3652" s="40">
        <v>0.0</v>
      </c>
      <c r="G3652" s="33" t="s">
        <v>450</v>
      </c>
    </row>
    <row r="3653" ht="15.75" customHeight="1">
      <c r="A3653" s="33" t="s">
        <v>7639</v>
      </c>
      <c r="B3653" s="33" t="s">
        <v>838</v>
      </c>
      <c r="C3653" s="39">
        <v>46006.0</v>
      </c>
      <c r="D3653" s="33" t="s">
        <v>428</v>
      </c>
      <c r="E3653" s="40">
        <v>79.28</v>
      </c>
      <c r="F3653" s="40">
        <v>0.0</v>
      </c>
      <c r="G3653" s="33" t="s">
        <v>431</v>
      </c>
    </row>
    <row r="3654" ht="15.75" customHeight="1">
      <c r="A3654" s="33" t="s">
        <v>7640</v>
      </c>
      <c r="B3654" s="33" t="s">
        <v>1076</v>
      </c>
      <c r="C3654" s="39">
        <v>45730.0</v>
      </c>
      <c r="D3654" s="33" t="s">
        <v>461</v>
      </c>
      <c r="E3654" s="40">
        <v>72.14</v>
      </c>
      <c r="F3654" s="40">
        <v>0.46</v>
      </c>
      <c r="G3654" s="33" t="s">
        <v>450</v>
      </c>
    </row>
    <row r="3655" ht="15.75" customHeight="1">
      <c r="A3655" s="33" t="s">
        <v>7641</v>
      </c>
      <c r="B3655" s="33" t="s">
        <v>299</v>
      </c>
      <c r="C3655" s="39">
        <v>45952.0</v>
      </c>
      <c r="D3655" s="33" t="s">
        <v>479</v>
      </c>
      <c r="E3655" s="40">
        <v>120.08</v>
      </c>
      <c r="F3655" s="40">
        <v>0.93</v>
      </c>
      <c r="G3655" s="33" t="s">
        <v>442</v>
      </c>
    </row>
    <row r="3656" ht="15.75" customHeight="1">
      <c r="A3656" s="33" t="s">
        <v>7642</v>
      </c>
      <c r="B3656" s="33" t="s">
        <v>2116</v>
      </c>
      <c r="C3656" s="39">
        <v>45658.0</v>
      </c>
      <c r="D3656" s="33" t="s">
        <v>461</v>
      </c>
      <c r="E3656" s="40">
        <v>69.42</v>
      </c>
      <c r="F3656" s="40">
        <v>1.13</v>
      </c>
      <c r="G3656" s="33" t="s">
        <v>442</v>
      </c>
    </row>
    <row r="3657" ht="15.75" customHeight="1">
      <c r="A3657" s="33" t="s">
        <v>7643</v>
      </c>
      <c r="B3657" s="33" t="s">
        <v>2953</v>
      </c>
      <c r="C3657" s="39">
        <v>46113.0</v>
      </c>
      <c r="D3657" s="33" t="s">
        <v>440</v>
      </c>
      <c r="E3657" s="40">
        <v>39.66</v>
      </c>
      <c r="F3657" s="40">
        <v>0.0</v>
      </c>
      <c r="G3657" s="33" t="s">
        <v>450</v>
      </c>
    </row>
    <row r="3658" ht="15.75" customHeight="1">
      <c r="A3658" s="33" t="s">
        <v>7644</v>
      </c>
      <c r="B3658" s="33" t="s">
        <v>700</v>
      </c>
      <c r="C3658" s="39">
        <v>46025.0</v>
      </c>
      <c r="D3658" s="33" t="s">
        <v>440</v>
      </c>
      <c r="E3658" s="40">
        <v>20.79</v>
      </c>
      <c r="F3658" s="40">
        <v>0.0</v>
      </c>
      <c r="G3658" s="33" t="s">
        <v>431</v>
      </c>
    </row>
    <row r="3659" ht="15.75" customHeight="1">
      <c r="A3659" s="33" t="s">
        <v>7645</v>
      </c>
      <c r="B3659" s="33" t="s">
        <v>1819</v>
      </c>
      <c r="C3659" s="39">
        <v>45716.0</v>
      </c>
      <c r="D3659" s="33" t="s">
        <v>479</v>
      </c>
      <c r="E3659" s="40">
        <v>69.84</v>
      </c>
      <c r="F3659" s="40">
        <v>0.72</v>
      </c>
      <c r="G3659" s="33" t="s">
        <v>450</v>
      </c>
    </row>
    <row r="3660" ht="15.75" customHeight="1">
      <c r="A3660" s="33" t="s">
        <v>7646</v>
      </c>
      <c r="B3660" s="33" t="s">
        <v>1716</v>
      </c>
      <c r="C3660" s="39">
        <v>45961.0</v>
      </c>
      <c r="D3660" s="33" t="s">
        <v>428</v>
      </c>
      <c r="E3660" s="40">
        <v>20.14</v>
      </c>
      <c r="F3660" s="40">
        <v>0.0</v>
      </c>
      <c r="G3660" s="33" t="s">
        <v>450</v>
      </c>
    </row>
    <row r="3661" ht="15.75" customHeight="1">
      <c r="A3661" s="33" t="s">
        <v>7647</v>
      </c>
      <c r="B3661" s="33" t="s">
        <v>2199</v>
      </c>
      <c r="C3661" s="39">
        <v>45917.0</v>
      </c>
      <c r="D3661" s="33" t="s">
        <v>435</v>
      </c>
      <c r="E3661" s="40">
        <v>127.56</v>
      </c>
      <c r="F3661" s="40">
        <v>0.0</v>
      </c>
      <c r="G3661" s="33" t="s">
        <v>450</v>
      </c>
    </row>
    <row r="3662" ht="15.75" customHeight="1">
      <c r="A3662" s="33" t="s">
        <v>7648</v>
      </c>
      <c r="B3662" s="33" t="s">
        <v>2234</v>
      </c>
      <c r="C3662" s="39">
        <v>46066.0</v>
      </c>
      <c r="D3662" s="33" t="s">
        <v>435</v>
      </c>
      <c r="E3662" s="40">
        <v>69.85</v>
      </c>
      <c r="F3662" s="40">
        <v>0.0</v>
      </c>
      <c r="G3662" s="33" t="s">
        <v>450</v>
      </c>
    </row>
    <row r="3663" ht="15.75" customHeight="1">
      <c r="A3663" s="33" t="s">
        <v>7649</v>
      </c>
      <c r="B3663" s="33" t="s">
        <v>845</v>
      </c>
      <c r="C3663" s="39">
        <v>45960.0</v>
      </c>
      <c r="D3663" s="33" t="s">
        <v>435</v>
      </c>
      <c r="E3663" s="40">
        <v>141.51</v>
      </c>
      <c r="F3663" s="40">
        <v>0.0</v>
      </c>
      <c r="G3663" s="33" t="s">
        <v>450</v>
      </c>
    </row>
    <row r="3664" ht="15.75" customHeight="1">
      <c r="A3664" s="33" t="s">
        <v>7650</v>
      </c>
      <c r="B3664" s="33" t="s">
        <v>1957</v>
      </c>
      <c r="C3664" s="39">
        <v>45936.0</v>
      </c>
      <c r="D3664" s="33" t="s">
        <v>440</v>
      </c>
      <c r="E3664" s="40">
        <v>89.87</v>
      </c>
      <c r="F3664" s="40">
        <v>0.0</v>
      </c>
      <c r="G3664" s="33" t="s">
        <v>431</v>
      </c>
    </row>
    <row r="3665" ht="15.75" customHeight="1">
      <c r="A3665" s="33" t="s">
        <v>7651</v>
      </c>
      <c r="B3665" s="33" t="s">
        <v>1945</v>
      </c>
      <c r="C3665" s="39">
        <v>46162.0</v>
      </c>
      <c r="D3665" s="33" t="s">
        <v>435</v>
      </c>
      <c r="E3665" s="40">
        <v>108.07</v>
      </c>
      <c r="F3665" s="40">
        <v>0.0</v>
      </c>
      <c r="G3665" s="33" t="s">
        <v>431</v>
      </c>
    </row>
    <row r="3666" ht="15.75" customHeight="1">
      <c r="A3666" s="33" t="s">
        <v>7652</v>
      </c>
      <c r="B3666" s="33" t="s">
        <v>3088</v>
      </c>
      <c r="C3666" s="39">
        <v>45973.0</v>
      </c>
      <c r="D3666" s="33" t="s">
        <v>435</v>
      </c>
      <c r="E3666" s="40">
        <v>42.88</v>
      </c>
      <c r="F3666" s="40">
        <v>0.0</v>
      </c>
      <c r="G3666" s="33" t="s">
        <v>431</v>
      </c>
    </row>
    <row r="3667" ht="15.75" customHeight="1">
      <c r="A3667" s="33" t="s">
        <v>7653</v>
      </c>
      <c r="B3667" s="33" t="s">
        <v>2169</v>
      </c>
      <c r="C3667" s="39">
        <v>46152.0</v>
      </c>
      <c r="D3667" s="33" t="s">
        <v>435</v>
      </c>
      <c r="E3667" s="40">
        <v>66.27</v>
      </c>
      <c r="F3667" s="40">
        <v>0.0</v>
      </c>
      <c r="G3667" s="33" t="s">
        <v>431</v>
      </c>
    </row>
    <row r="3668" ht="15.75" customHeight="1">
      <c r="A3668" s="33" t="s">
        <v>7654</v>
      </c>
      <c r="B3668" s="33" t="s">
        <v>2934</v>
      </c>
      <c r="C3668" s="39">
        <v>46195.0</v>
      </c>
      <c r="D3668" s="33" t="s">
        <v>440</v>
      </c>
      <c r="E3668" s="40">
        <v>88.96</v>
      </c>
      <c r="F3668" s="40">
        <v>0.0</v>
      </c>
      <c r="G3668" s="33" t="s">
        <v>442</v>
      </c>
    </row>
    <row r="3669" ht="15.75" customHeight="1">
      <c r="A3669" s="33" t="s">
        <v>7655</v>
      </c>
      <c r="B3669" s="33" t="s">
        <v>2153</v>
      </c>
      <c r="C3669" s="39">
        <v>46172.0</v>
      </c>
      <c r="D3669" s="33" t="s">
        <v>461</v>
      </c>
      <c r="E3669" s="40">
        <v>81.52</v>
      </c>
      <c r="F3669" s="40">
        <v>1.01</v>
      </c>
      <c r="G3669" s="33" t="s">
        <v>431</v>
      </c>
    </row>
    <row r="3670" ht="15.75" customHeight="1">
      <c r="A3670" s="33" t="s">
        <v>7656</v>
      </c>
      <c r="B3670" s="33" t="s">
        <v>961</v>
      </c>
      <c r="C3670" s="39">
        <v>46238.0</v>
      </c>
      <c r="D3670" s="33" t="s">
        <v>435</v>
      </c>
      <c r="E3670" s="40">
        <v>78.9</v>
      </c>
      <c r="F3670" s="40">
        <v>0.0</v>
      </c>
      <c r="G3670" s="33" t="s">
        <v>431</v>
      </c>
    </row>
    <row r="3671" ht="15.75" customHeight="1">
      <c r="A3671" s="33" t="s">
        <v>7657</v>
      </c>
      <c r="B3671" s="33" t="s">
        <v>265</v>
      </c>
      <c r="C3671" s="39">
        <v>46081.0</v>
      </c>
      <c r="D3671" s="33" t="s">
        <v>440</v>
      </c>
      <c r="E3671" s="40">
        <v>29.35</v>
      </c>
      <c r="F3671" s="40">
        <v>0.0</v>
      </c>
      <c r="G3671" s="33" t="s">
        <v>450</v>
      </c>
    </row>
    <row r="3672" ht="15.75" customHeight="1">
      <c r="A3672" s="33" t="s">
        <v>7658</v>
      </c>
      <c r="B3672" s="33" t="s">
        <v>1346</v>
      </c>
      <c r="C3672" s="39">
        <v>45998.0</v>
      </c>
      <c r="D3672" s="33" t="s">
        <v>428</v>
      </c>
      <c r="E3672" s="40">
        <v>12.26</v>
      </c>
      <c r="F3672" s="40">
        <v>0.0</v>
      </c>
      <c r="G3672" s="33" t="s">
        <v>450</v>
      </c>
    </row>
    <row r="3673" ht="15.75" customHeight="1">
      <c r="A3673" s="33" t="s">
        <v>7659</v>
      </c>
      <c r="B3673" s="33" t="s">
        <v>2264</v>
      </c>
      <c r="C3673" s="39">
        <v>45980.0</v>
      </c>
      <c r="D3673" s="33" t="s">
        <v>435</v>
      </c>
      <c r="E3673" s="40">
        <v>27.45</v>
      </c>
      <c r="F3673" s="40">
        <v>0.0</v>
      </c>
      <c r="G3673" s="33" t="s">
        <v>450</v>
      </c>
    </row>
    <row r="3674" ht="15.75" customHeight="1">
      <c r="A3674" s="33" t="s">
        <v>7660</v>
      </c>
      <c r="B3674" s="33" t="s">
        <v>1700</v>
      </c>
      <c r="C3674" s="39">
        <v>45782.0</v>
      </c>
      <c r="D3674" s="33" t="s">
        <v>428</v>
      </c>
      <c r="E3674" s="40">
        <v>3.76</v>
      </c>
      <c r="F3674" s="40">
        <v>0.0</v>
      </c>
      <c r="G3674" s="33" t="s">
        <v>442</v>
      </c>
    </row>
    <row r="3675" ht="15.75" customHeight="1">
      <c r="A3675" s="33" t="s">
        <v>7661</v>
      </c>
      <c r="B3675" s="33" t="s">
        <v>1331</v>
      </c>
      <c r="C3675" s="39">
        <v>46160.0</v>
      </c>
      <c r="D3675" s="33" t="s">
        <v>479</v>
      </c>
      <c r="E3675" s="40">
        <v>14.39</v>
      </c>
      <c r="F3675" s="40">
        <v>0.18</v>
      </c>
      <c r="G3675" s="33" t="s">
        <v>450</v>
      </c>
    </row>
    <row r="3676" ht="15.75" customHeight="1">
      <c r="A3676" s="33" t="s">
        <v>7662</v>
      </c>
      <c r="B3676" s="33" t="s">
        <v>2132</v>
      </c>
      <c r="C3676" s="39">
        <v>46078.0</v>
      </c>
      <c r="D3676" s="33" t="s">
        <v>461</v>
      </c>
      <c r="E3676" s="40">
        <v>93.75</v>
      </c>
      <c r="F3676" s="40">
        <v>0.76</v>
      </c>
      <c r="G3676" s="33" t="s">
        <v>442</v>
      </c>
    </row>
    <row r="3677" ht="15.75" customHeight="1">
      <c r="A3677" s="33" t="s">
        <v>7663</v>
      </c>
      <c r="B3677" s="33" t="s">
        <v>565</v>
      </c>
      <c r="C3677" s="39">
        <v>46188.0</v>
      </c>
      <c r="D3677" s="33" t="s">
        <v>440</v>
      </c>
      <c r="E3677" s="40">
        <v>59.71</v>
      </c>
      <c r="F3677" s="40">
        <v>0.0</v>
      </c>
      <c r="G3677" s="33" t="s">
        <v>431</v>
      </c>
    </row>
    <row r="3678" ht="15.75" customHeight="1">
      <c r="A3678" s="33" t="s">
        <v>7664</v>
      </c>
      <c r="B3678" s="33" t="s">
        <v>438</v>
      </c>
      <c r="C3678" s="39">
        <v>46083.0</v>
      </c>
      <c r="D3678" s="33" t="s">
        <v>440</v>
      </c>
      <c r="E3678" s="40">
        <v>37.59</v>
      </c>
      <c r="F3678" s="40">
        <v>0.0</v>
      </c>
      <c r="G3678" s="33" t="s">
        <v>450</v>
      </c>
    </row>
    <row r="3679" ht="15.75" customHeight="1">
      <c r="A3679" s="33" t="s">
        <v>7665</v>
      </c>
      <c r="B3679" s="33" t="s">
        <v>1181</v>
      </c>
      <c r="C3679" s="39">
        <v>45949.0</v>
      </c>
      <c r="D3679" s="33" t="s">
        <v>440</v>
      </c>
      <c r="E3679" s="40">
        <v>58.78</v>
      </c>
      <c r="F3679" s="40">
        <v>0.0</v>
      </c>
      <c r="G3679" s="33" t="s">
        <v>442</v>
      </c>
    </row>
    <row r="3680" ht="15.75" customHeight="1">
      <c r="A3680" s="33" t="s">
        <v>7666</v>
      </c>
      <c r="B3680" s="33" t="s">
        <v>2397</v>
      </c>
      <c r="C3680" s="39">
        <v>45837.0</v>
      </c>
      <c r="D3680" s="33" t="s">
        <v>435</v>
      </c>
      <c r="E3680" s="40">
        <v>9.41</v>
      </c>
      <c r="F3680" s="40">
        <v>0.0</v>
      </c>
      <c r="G3680" s="33" t="s">
        <v>431</v>
      </c>
    </row>
    <row r="3681" ht="15.75" customHeight="1">
      <c r="A3681" s="33" t="s">
        <v>7667</v>
      </c>
      <c r="B3681" s="33" t="s">
        <v>1227</v>
      </c>
      <c r="C3681" s="39">
        <v>46256.0</v>
      </c>
      <c r="D3681" s="33" t="s">
        <v>440</v>
      </c>
      <c r="E3681" s="40">
        <v>68.52</v>
      </c>
      <c r="F3681" s="40">
        <v>0.0</v>
      </c>
      <c r="G3681" s="33" t="s">
        <v>442</v>
      </c>
    </row>
    <row r="3682" ht="15.75" customHeight="1">
      <c r="A3682" s="33" t="s">
        <v>7668</v>
      </c>
      <c r="B3682" s="33" t="s">
        <v>318</v>
      </c>
      <c r="C3682" s="39">
        <v>46103.0</v>
      </c>
      <c r="D3682" s="33" t="s">
        <v>428</v>
      </c>
      <c r="E3682" s="40">
        <v>22.35</v>
      </c>
      <c r="F3682" s="40">
        <v>0.0</v>
      </c>
      <c r="G3682" s="33" t="s">
        <v>450</v>
      </c>
    </row>
    <row r="3683" ht="15.75" customHeight="1">
      <c r="A3683" s="33" t="s">
        <v>7669</v>
      </c>
      <c r="B3683" s="33" t="s">
        <v>291</v>
      </c>
      <c r="C3683" s="39">
        <v>46189.0</v>
      </c>
      <c r="D3683" s="33" t="s">
        <v>435</v>
      </c>
      <c r="E3683" s="40">
        <v>168.89</v>
      </c>
      <c r="F3683" s="40">
        <v>0.0</v>
      </c>
      <c r="G3683" s="33" t="s">
        <v>431</v>
      </c>
    </row>
    <row r="3684" ht="15.75" customHeight="1">
      <c r="A3684" s="33" t="s">
        <v>7670</v>
      </c>
      <c r="B3684" s="33" t="s">
        <v>546</v>
      </c>
      <c r="C3684" s="39">
        <v>46013.0</v>
      </c>
      <c r="D3684" s="33" t="s">
        <v>479</v>
      </c>
      <c r="E3684" s="40">
        <v>111.66</v>
      </c>
      <c r="F3684" s="40">
        <v>1.83</v>
      </c>
      <c r="G3684" s="33" t="s">
        <v>450</v>
      </c>
    </row>
    <row r="3685" ht="15.75" customHeight="1">
      <c r="A3685" s="33" t="s">
        <v>7671</v>
      </c>
      <c r="B3685" s="33" t="s">
        <v>2048</v>
      </c>
      <c r="C3685" s="39">
        <v>45967.0</v>
      </c>
      <c r="D3685" s="33" t="s">
        <v>461</v>
      </c>
      <c r="E3685" s="40">
        <v>104.87</v>
      </c>
      <c r="F3685" s="40">
        <v>1.35</v>
      </c>
      <c r="G3685" s="33" t="s">
        <v>450</v>
      </c>
    </row>
    <row r="3686" ht="15.75" customHeight="1">
      <c r="A3686" s="33" t="s">
        <v>7672</v>
      </c>
      <c r="B3686" s="33" t="s">
        <v>2650</v>
      </c>
      <c r="C3686" s="39">
        <v>45678.0</v>
      </c>
      <c r="D3686" s="33" t="s">
        <v>435</v>
      </c>
      <c r="E3686" s="40">
        <v>80.44</v>
      </c>
      <c r="F3686" s="40">
        <v>0.0</v>
      </c>
      <c r="G3686" s="33" t="s">
        <v>450</v>
      </c>
    </row>
    <row r="3687" ht="15.75" customHeight="1">
      <c r="A3687" s="33" t="s">
        <v>7673</v>
      </c>
      <c r="B3687" s="33" t="s">
        <v>835</v>
      </c>
      <c r="C3687" s="39">
        <v>45700.0</v>
      </c>
      <c r="D3687" s="33" t="s">
        <v>435</v>
      </c>
      <c r="E3687" s="40">
        <v>118.57</v>
      </c>
      <c r="F3687" s="40">
        <v>0.0</v>
      </c>
      <c r="G3687" s="33" t="s">
        <v>450</v>
      </c>
    </row>
    <row r="3688" ht="15.75" customHeight="1">
      <c r="A3688" s="33" t="s">
        <v>7674</v>
      </c>
      <c r="B3688" s="33" t="s">
        <v>474</v>
      </c>
      <c r="C3688" s="39">
        <v>46087.0</v>
      </c>
      <c r="D3688" s="33" t="s">
        <v>479</v>
      </c>
      <c r="E3688" s="40">
        <v>68.79</v>
      </c>
      <c r="F3688" s="40">
        <v>0.79</v>
      </c>
      <c r="G3688" s="33" t="s">
        <v>442</v>
      </c>
    </row>
    <row r="3689" ht="15.75" customHeight="1">
      <c r="A3689" s="33" t="s">
        <v>7675</v>
      </c>
      <c r="B3689" s="33" t="s">
        <v>711</v>
      </c>
      <c r="C3689" s="39">
        <v>45794.0</v>
      </c>
      <c r="D3689" s="33" t="s">
        <v>440</v>
      </c>
      <c r="E3689" s="40">
        <v>36.69</v>
      </c>
      <c r="F3689" s="40">
        <v>0.0</v>
      </c>
      <c r="G3689" s="33" t="s">
        <v>442</v>
      </c>
    </row>
    <row r="3690" ht="15.75" customHeight="1">
      <c r="A3690" s="33" t="s">
        <v>7676</v>
      </c>
      <c r="B3690" s="33" t="s">
        <v>1881</v>
      </c>
      <c r="C3690" s="39">
        <v>45707.0</v>
      </c>
      <c r="D3690" s="33" t="s">
        <v>428</v>
      </c>
      <c r="E3690" s="40">
        <v>106.18</v>
      </c>
      <c r="F3690" s="40">
        <v>0.0</v>
      </c>
      <c r="G3690" s="33" t="s">
        <v>450</v>
      </c>
    </row>
    <row r="3691" ht="15.75" customHeight="1">
      <c r="A3691" s="33" t="s">
        <v>7677</v>
      </c>
      <c r="B3691" s="33" t="s">
        <v>1087</v>
      </c>
      <c r="C3691" s="39">
        <v>46129.0</v>
      </c>
      <c r="D3691" s="33" t="s">
        <v>435</v>
      </c>
      <c r="E3691" s="40">
        <v>146.95</v>
      </c>
      <c r="F3691" s="40">
        <v>0.0</v>
      </c>
      <c r="G3691" s="33" t="s">
        <v>450</v>
      </c>
    </row>
    <row r="3692" ht="15.75" customHeight="1">
      <c r="A3692" s="33" t="s">
        <v>7678</v>
      </c>
      <c r="B3692" s="33" t="s">
        <v>1995</v>
      </c>
      <c r="C3692" s="39">
        <v>46034.0</v>
      </c>
      <c r="D3692" s="33" t="s">
        <v>435</v>
      </c>
      <c r="E3692" s="40">
        <v>30.95</v>
      </c>
      <c r="F3692" s="40">
        <v>0.0</v>
      </c>
      <c r="G3692" s="33" t="s">
        <v>431</v>
      </c>
    </row>
    <row r="3693" ht="15.75" customHeight="1">
      <c r="A3693" s="33" t="s">
        <v>7679</v>
      </c>
      <c r="B3693" s="33" t="s">
        <v>2723</v>
      </c>
      <c r="C3693" s="39">
        <v>45725.0</v>
      </c>
      <c r="D3693" s="33" t="s">
        <v>440</v>
      </c>
      <c r="E3693" s="40">
        <v>16.6</v>
      </c>
      <c r="F3693" s="40">
        <v>0.0</v>
      </c>
      <c r="G3693" s="33" t="s">
        <v>450</v>
      </c>
    </row>
    <row r="3694" ht="15.75" customHeight="1">
      <c r="A3694" s="33" t="s">
        <v>7680</v>
      </c>
      <c r="B3694" s="33" t="s">
        <v>1099</v>
      </c>
      <c r="C3694" s="39">
        <v>45961.0</v>
      </c>
      <c r="D3694" s="33" t="s">
        <v>440</v>
      </c>
      <c r="E3694" s="40">
        <v>242.18</v>
      </c>
      <c r="F3694" s="40">
        <v>0.0</v>
      </c>
      <c r="G3694" s="33" t="s">
        <v>450</v>
      </c>
    </row>
    <row r="3695" ht="15.75" customHeight="1">
      <c r="A3695" s="33" t="s">
        <v>7681</v>
      </c>
      <c r="B3695" s="33" t="s">
        <v>1893</v>
      </c>
      <c r="C3695" s="39">
        <v>45943.0</v>
      </c>
      <c r="D3695" s="33" t="s">
        <v>435</v>
      </c>
      <c r="E3695" s="40">
        <v>183.6</v>
      </c>
      <c r="F3695" s="40">
        <v>0.0</v>
      </c>
      <c r="G3695" s="33" t="s">
        <v>450</v>
      </c>
    </row>
    <row r="3696" ht="15.75" customHeight="1">
      <c r="A3696" s="33" t="s">
        <v>7682</v>
      </c>
      <c r="B3696" s="33" t="s">
        <v>1056</v>
      </c>
      <c r="C3696" s="39">
        <v>45660.0</v>
      </c>
      <c r="D3696" s="33" t="s">
        <v>461</v>
      </c>
      <c r="E3696" s="40">
        <v>74.58</v>
      </c>
      <c r="F3696" s="40">
        <v>1.36</v>
      </c>
      <c r="G3696" s="33" t="s">
        <v>442</v>
      </c>
    </row>
    <row r="3697" ht="15.75" customHeight="1">
      <c r="A3697" s="33" t="s">
        <v>7683</v>
      </c>
      <c r="B3697" s="33" t="s">
        <v>949</v>
      </c>
      <c r="C3697" s="39">
        <v>46025.0</v>
      </c>
      <c r="D3697" s="33" t="s">
        <v>440</v>
      </c>
      <c r="E3697" s="40">
        <v>6.96</v>
      </c>
      <c r="F3697" s="40">
        <v>0.0</v>
      </c>
      <c r="G3697" s="33" t="s">
        <v>450</v>
      </c>
    </row>
    <row r="3698" ht="15.75" customHeight="1">
      <c r="A3698" s="33" t="s">
        <v>7684</v>
      </c>
      <c r="B3698" s="33" t="s">
        <v>1547</v>
      </c>
      <c r="C3698" s="39">
        <v>45898.0</v>
      </c>
      <c r="D3698" s="33" t="s">
        <v>479</v>
      </c>
      <c r="E3698" s="40">
        <v>89.32</v>
      </c>
      <c r="F3698" s="40">
        <v>1.49</v>
      </c>
      <c r="G3698" s="33" t="s">
        <v>431</v>
      </c>
    </row>
    <row r="3699" ht="15.75" customHeight="1">
      <c r="A3699" s="33" t="s">
        <v>7685</v>
      </c>
      <c r="B3699" s="33" t="s">
        <v>655</v>
      </c>
      <c r="C3699" s="39">
        <v>46191.0</v>
      </c>
      <c r="D3699" s="33" t="s">
        <v>440</v>
      </c>
      <c r="E3699" s="40">
        <v>328.82</v>
      </c>
      <c r="F3699" s="40">
        <v>0.0</v>
      </c>
      <c r="G3699" s="33" t="s">
        <v>431</v>
      </c>
    </row>
    <row r="3700" ht="15.75" customHeight="1">
      <c r="A3700" s="33" t="s">
        <v>7686</v>
      </c>
      <c r="B3700" s="33" t="s">
        <v>1127</v>
      </c>
      <c r="C3700" s="39">
        <v>45728.0</v>
      </c>
      <c r="D3700" s="33" t="s">
        <v>435</v>
      </c>
      <c r="E3700" s="40">
        <v>117.89</v>
      </c>
      <c r="F3700" s="40">
        <v>0.0</v>
      </c>
      <c r="G3700" s="33" t="s">
        <v>431</v>
      </c>
    </row>
    <row r="3701" ht="15.75" customHeight="1">
      <c r="A3701" s="33" t="s">
        <v>7687</v>
      </c>
      <c r="B3701" s="33" t="s">
        <v>2075</v>
      </c>
      <c r="C3701" s="39">
        <v>46172.0</v>
      </c>
      <c r="D3701" s="33" t="s">
        <v>435</v>
      </c>
      <c r="E3701" s="40">
        <v>110.99</v>
      </c>
      <c r="F3701" s="40">
        <v>0.0</v>
      </c>
      <c r="G3701" s="33" t="s">
        <v>450</v>
      </c>
    </row>
    <row r="3702" ht="15.75" customHeight="1">
      <c r="A3702" s="33" t="s">
        <v>7688</v>
      </c>
      <c r="B3702" s="33" t="s">
        <v>728</v>
      </c>
      <c r="C3702" s="39">
        <v>45661.0</v>
      </c>
      <c r="D3702" s="33" t="s">
        <v>435</v>
      </c>
      <c r="E3702" s="40">
        <v>70.38</v>
      </c>
      <c r="F3702" s="40">
        <v>0.0</v>
      </c>
      <c r="G3702" s="33" t="s">
        <v>450</v>
      </c>
    </row>
    <row r="3703" ht="15.75" customHeight="1">
      <c r="A3703" s="33" t="s">
        <v>7689</v>
      </c>
      <c r="B3703" s="33" t="s">
        <v>1207</v>
      </c>
      <c r="C3703" s="39">
        <v>46121.0</v>
      </c>
      <c r="D3703" s="33" t="s">
        <v>428</v>
      </c>
      <c r="E3703" s="40">
        <v>103.88</v>
      </c>
      <c r="F3703" s="40">
        <v>0.0</v>
      </c>
      <c r="G3703" s="33" t="s">
        <v>450</v>
      </c>
    </row>
    <row r="3704" ht="15.75" customHeight="1">
      <c r="A3704" s="33" t="s">
        <v>7690</v>
      </c>
      <c r="B3704" s="33" t="s">
        <v>309</v>
      </c>
      <c r="C3704" s="39">
        <v>46133.0</v>
      </c>
      <c r="D3704" s="33" t="s">
        <v>440</v>
      </c>
      <c r="E3704" s="40">
        <v>117.48</v>
      </c>
      <c r="F3704" s="40">
        <v>0.0</v>
      </c>
      <c r="G3704" s="33" t="s">
        <v>442</v>
      </c>
    </row>
    <row r="3705" ht="15.75" customHeight="1">
      <c r="A3705" s="33" t="s">
        <v>7691</v>
      </c>
      <c r="B3705" s="33" t="s">
        <v>838</v>
      </c>
      <c r="C3705" s="39">
        <v>45905.0</v>
      </c>
      <c r="D3705" s="33" t="s">
        <v>440</v>
      </c>
      <c r="E3705" s="40">
        <v>83.86</v>
      </c>
      <c r="F3705" s="40">
        <v>0.0</v>
      </c>
      <c r="G3705" s="33" t="s">
        <v>431</v>
      </c>
    </row>
    <row r="3706" ht="15.75" customHeight="1">
      <c r="A3706" s="33" t="s">
        <v>7692</v>
      </c>
      <c r="B3706" s="33" t="s">
        <v>534</v>
      </c>
      <c r="C3706" s="39">
        <v>45828.0</v>
      </c>
      <c r="D3706" s="33" t="s">
        <v>479</v>
      </c>
      <c r="E3706" s="40">
        <v>62.69</v>
      </c>
      <c r="F3706" s="40">
        <v>1.13</v>
      </c>
      <c r="G3706" s="33" t="s">
        <v>450</v>
      </c>
    </row>
    <row r="3707" ht="15.75" customHeight="1">
      <c r="A3707" s="33" t="s">
        <v>7693</v>
      </c>
      <c r="B3707" s="33" t="s">
        <v>945</v>
      </c>
      <c r="C3707" s="39">
        <v>45744.0</v>
      </c>
      <c r="D3707" s="33" t="s">
        <v>435</v>
      </c>
      <c r="E3707" s="40">
        <v>84.92</v>
      </c>
      <c r="F3707" s="40">
        <v>0.0</v>
      </c>
      <c r="G3707" s="33" t="s">
        <v>450</v>
      </c>
    </row>
    <row r="3708" ht="15.75" customHeight="1">
      <c r="A3708" s="33" t="s">
        <v>7694</v>
      </c>
      <c r="B3708" s="33" t="s">
        <v>1994</v>
      </c>
      <c r="C3708" s="39">
        <v>45864.0</v>
      </c>
      <c r="D3708" s="33" t="s">
        <v>461</v>
      </c>
      <c r="E3708" s="40">
        <v>81.98</v>
      </c>
      <c r="F3708" s="40">
        <v>0.93</v>
      </c>
      <c r="G3708" s="33" t="s">
        <v>431</v>
      </c>
    </row>
    <row r="3709" ht="15.75" customHeight="1">
      <c r="A3709" s="33" t="s">
        <v>7695</v>
      </c>
      <c r="B3709" s="33" t="s">
        <v>3295</v>
      </c>
      <c r="C3709" s="39">
        <v>46064.0</v>
      </c>
      <c r="D3709" s="33" t="s">
        <v>479</v>
      </c>
      <c r="E3709" s="40">
        <v>8.75</v>
      </c>
      <c r="F3709" s="40">
        <v>0.14</v>
      </c>
      <c r="G3709" s="33" t="s">
        <v>442</v>
      </c>
    </row>
    <row r="3710" ht="15.75" customHeight="1">
      <c r="A3710" s="33" t="s">
        <v>7696</v>
      </c>
      <c r="B3710" s="33" t="s">
        <v>285</v>
      </c>
      <c r="C3710" s="39">
        <v>46098.0</v>
      </c>
      <c r="D3710" s="33" t="s">
        <v>461</v>
      </c>
      <c r="E3710" s="40">
        <v>288.12</v>
      </c>
      <c r="F3710" s="40">
        <v>5.3</v>
      </c>
      <c r="G3710" s="33" t="s">
        <v>450</v>
      </c>
    </row>
    <row r="3711" ht="15.75" customHeight="1">
      <c r="A3711" s="33" t="s">
        <v>7697</v>
      </c>
      <c r="B3711" s="33" t="s">
        <v>469</v>
      </c>
      <c r="C3711" s="39">
        <v>45768.0</v>
      </c>
      <c r="D3711" s="33" t="s">
        <v>435</v>
      </c>
      <c r="E3711" s="40">
        <v>111.05</v>
      </c>
      <c r="F3711" s="40">
        <v>0.0</v>
      </c>
      <c r="G3711" s="33" t="s">
        <v>431</v>
      </c>
    </row>
    <row r="3712" ht="15.75" customHeight="1">
      <c r="A3712" s="33" t="s">
        <v>7698</v>
      </c>
      <c r="B3712" s="33" t="s">
        <v>2911</v>
      </c>
      <c r="C3712" s="39">
        <v>45664.0</v>
      </c>
      <c r="D3712" s="33" t="s">
        <v>435</v>
      </c>
      <c r="E3712" s="40">
        <v>164.37</v>
      </c>
      <c r="F3712" s="40">
        <v>0.0</v>
      </c>
      <c r="G3712" s="33" t="s">
        <v>450</v>
      </c>
    </row>
    <row r="3713" ht="15.75" customHeight="1">
      <c r="A3713" s="33" t="s">
        <v>7699</v>
      </c>
      <c r="B3713" s="33" t="s">
        <v>866</v>
      </c>
      <c r="C3713" s="39">
        <v>45998.0</v>
      </c>
      <c r="D3713" s="33" t="s">
        <v>461</v>
      </c>
      <c r="E3713" s="40">
        <v>91.62</v>
      </c>
      <c r="F3713" s="40">
        <v>0.46</v>
      </c>
      <c r="G3713" s="33" t="s">
        <v>450</v>
      </c>
    </row>
    <row r="3714" ht="15.75" customHeight="1">
      <c r="A3714" s="33" t="s">
        <v>7700</v>
      </c>
      <c r="B3714" s="33" t="s">
        <v>551</v>
      </c>
      <c r="C3714" s="39">
        <v>46010.0</v>
      </c>
      <c r="D3714" s="33" t="s">
        <v>440</v>
      </c>
      <c r="E3714" s="40">
        <v>48.26</v>
      </c>
      <c r="F3714" s="40">
        <v>0.0</v>
      </c>
      <c r="G3714" s="33" t="s">
        <v>450</v>
      </c>
    </row>
    <row r="3715" ht="15.75" customHeight="1">
      <c r="A3715" s="33" t="s">
        <v>7701</v>
      </c>
      <c r="B3715" s="33" t="s">
        <v>1392</v>
      </c>
      <c r="C3715" s="39">
        <v>46253.0</v>
      </c>
      <c r="D3715" s="33" t="s">
        <v>435</v>
      </c>
      <c r="E3715" s="40">
        <v>141.01</v>
      </c>
      <c r="F3715" s="40">
        <v>0.0</v>
      </c>
      <c r="G3715" s="33" t="s">
        <v>450</v>
      </c>
    </row>
    <row r="3716" ht="15.75" customHeight="1">
      <c r="A3716" s="33" t="s">
        <v>7702</v>
      </c>
      <c r="B3716" s="33" t="s">
        <v>438</v>
      </c>
      <c r="C3716" s="39">
        <v>46120.0</v>
      </c>
      <c r="D3716" s="33" t="s">
        <v>479</v>
      </c>
      <c r="E3716" s="40">
        <v>15.58</v>
      </c>
      <c r="F3716" s="40">
        <v>0.17</v>
      </c>
      <c r="G3716" s="33" t="s">
        <v>431</v>
      </c>
    </row>
    <row r="3717" ht="15.75" customHeight="1">
      <c r="A3717" s="33" t="s">
        <v>7703</v>
      </c>
      <c r="B3717" s="33" t="s">
        <v>329</v>
      </c>
      <c r="C3717" s="39">
        <v>45992.0</v>
      </c>
      <c r="D3717" s="33" t="s">
        <v>479</v>
      </c>
      <c r="E3717" s="40">
        <v>114.31</v>
      </c>
      <c r="F3717" s="40">
        <v>1.19</v>
      </c>
      <c r="G3717" s="33" t="s">
        <v>450</v>
      </c>
    </row>
    <row r="3718" ht="15.75" customHeight="1">
      <c r="A3718" s="33" t="s">
        <v>7704</v>
      </c>
      <c r="B3718" s="33" t="s">
        <v>3140</v>
      </c>
      <c r="C3718" s="39">
        <v>46017.0</v>
      </c>
      <c r="D3718" s="33" t="s">
        <v>428</v>
      </c>
      <c r="E3718" s="40">
        <v>139.9</v>
      </c>
      <c r="F3718" s="40">
        <v>0.0</v>
      </c>
      <c r="G3718" s="33" t="s">
        <v>442</v>
      </c>
    </row>
    <row r="3719" ht="15.75" customHeight="1">
      <c r="A3719" s="33" t="s">
        <v>7705</v>
      </c>
      <c r="B3719" s="33" t="s">
        <v>1991</v>
      </c>
      <c r="C3719" s="39">
        <v>46049.0</v>
      </c>
      <c r="D3719" s="33" t="s">
        <v>428</v>
      </c>
      <c r="E3719" s="40">
        <v>69.43</v>
      </c>
      <c r="F3719" s="40">
        <v>0.0</v>
      </c>
      <c r="G3719" s="33" t="s">
        <v>450</v>
      </c>
    </row>
    <row r="3720" ht="15.75" customHeight="1">
      <c r="A3720" s="33" t="s">
        <v>7706</v>
      </c>
      <c r="B3720" s="33" t="s">
        <v>2066</v>
      </c>
      <c r="C3720" s="39">
        <v>45932.0</v>
      </c>
      <c r="D3720" s="33" t="s">
        <v>479</v>
      </c>
      <c r="E3720" s="40">
        <v>106.52</v>
      </c>
      <c r="F3720" s="40">
        <v>1.69</v>
      </c>
      <c r="G3720" s="33" t="s">
        <v>450</v>
      </c>
    </row>
    <row r="3721" ht="15.75" customHeight="1">
      <c r="A3721" s="33" t="s">
        <v>7707</v>
      </c>
      <c r="B3721" s="33" t="s">
        <v>931</v>
      </c>
      <c r="C3721" s="39">
        <v>46069.0</v>
      </c>
      <c r="D3721" s="33" t="s">
        <v>435</v>
      </c>
      <c r="E3721" s="40">
        <v>8.94</v>
      </c>
      <c r="F3721" s="40">
        <v>0.0</v>
      </c>
      <c r="G3721" s="33" t="s">
        <v>450</v>
      </c>
    </row>
    <row r="3722" ht="15.75" customHeight="1">
      <c r="A3722" s="33" t="s">
        <v>7708</v>
      </c>
      <c r="B3722" s="33" t="s">
        <v>201</v>
      </c>
      <c r="C3722" s="39">
        <v>45776.0</v>
      </c>
      <c r="D3722" s="33" t="s">
        <v>461</v>
      </c>
      <c r="E3722" s="40">
        <v>109.93</v>
      </c>
      <c r="F3722" s="40">
        <v>2.19</v>
      </c>
      <c r="G3722" s="33" t="s">
        <v>450</v>
      </c>
    </row>
    <row r="3723" ht="15.75" customHeight="1">
      <c r="A3723" s="33" t="s">
        <v>7709</v>
      </c>
      <c r="B3723" s="33" t="s">
        <v>964</v>
      </c>
      <c r="C3723" s="39">
        <v>46162.0</v>
      </c>
      <c r="D3723" s="33" t="s">
        <v>440</v>
      </c>
      <c r="E3723" s="40">
        <v>56.04</v>
      </c>
      <c r="F3723" s="40">
        <v>0.0</v>
      </c>
      <c r="G3723" s="33" t="s">
        <v>450</v>
      </c>
    </row>
    <row r="3724" ht="15.75" customHeight="1">
      <c r="A3724" s="33" t="s">
        <v>7710</v>
      </c>
      <c r="B3724" s="33" t="s">
        <v>575</v>
      </c>
      <c r="C3724" s="39">
        <v>46181.0</v>
      </c>
      <c r="D3724" s="33" t="s">
        <v>428</v>
      </c>
      <c r="E3724" s="40">
        <v>106.91</v>
      </c>
      <c r="F3724" s="40">
        <v>0.0</v>
      </c>
      <c r="G3724" s="33" t="s">
        <v>431</v>
      </c>
    </row>
    <row r="3725" ht="15.75" customHeight="1">
      <c r="A3725" s="33" t="s">
        <v>7711</v>
      </c>
      <c r="B3725" s="33" t="s">
        <v>530</v>
      </c>
      <c r="C3725" s="39">
        <v>45922.0</v>
      </c>
      <c r="D3725" s="33" t="s">
        <v>461</v>
      </c>
      <c r="E3725" s="40">
        <v>71.83</v>
      </c>
      <c r="F3725" s="40">
        <v>0.79</v>
      </c>
      <c r="G3725" s="33" t="s">
        <v>450</v>
      </c>
    </row>
    <row r="3726" ht="15.75" customHeight="1">
      <c r="A3726" s="33" t="s">
        <v>7712</v>
      </c>
      <c r="B3726" s="33" t="s">
        <v>2816</v>
      </c>
      <c r="C3726" s="39">
        <v>45935.0</v>
      </c>
      <c r="D3726" s="33" t="s">
        <v>440</v>
      </c>
      <c r="E3726" s="40">
        <v>71.14</v>
      </c>
      <c r="F3726" s="40">
        <v>0.0</v>
      </c>
      <c r="G3726" s="33" t="s">
        <v>450</v>
      </c>
    </row>
    <row r="3727" ht="15.75" customHeight="1">
      <c r="A3727" s="33" t="s">
        <v>7713</v>
      </c>
      <c r="B3727" s="33" t="s">
        <v>1842</v>
      </c>
      <c r="C3727" s="39">
        <v>45959.0</v>
      </c>
      <c r="D3727" s="33" t="s">
        <v>428</v>
      </c>
      <c r="E3727" s="40">
        <v>109.31</v>
      </c>
      <c r="F3727" s="40">
        <v>0.0</v>
      </c>
      <c r="G3727" s="33" t="s">
        <v>442</v>
      </c>
    </row>
    <row r="3728" ht="15.75" customHeight="1">
      <c r="A3728" s="33" t="s">
        <v>7714</v>
      </c>
      <c r="B3728" s="33" t="s">
        <v>1834</v>
      </c>
      <c r="C3728" s="39">
        <v>46154.0</v>
      </c>
      <c r="D3728" s="33" t="s">
        <v>479</v>
      </c>
      <c r="E3728" s="40">
        <v>58.29</v>
      </c>
      <c r="F3728" s="40">
        <v>0.64</v>
      </c>
      <c r="G3728" s="33" t="s">
        <v>431</v>
      </c>
    </row>
    <row r="3729" ht="15.75" customHeight="1">
      <c r="A3729" s="33" t="s">
        <v>7715</v>
      </c>
      <c r="B3729" s="33" t="s">
        <v>1674</v>
      </c>
      <c r="C3729" s="39">
        <v>45764.0</v>
      </c>
      <c r="D3729" s="33" t="s">
        <v>440</v>
      </c>
      <c r="E3729" s="40">
        <v>69.11</v>
      </c>
      <c r="F3729" s="40">
        <v>0.0</v>
      </c>
      <c r="G3729" s="33" t="s">
        <v>450</v>
      </c>
    </row>
    <row r="3730" ht="15.75" customHeight="1">
      <c r="A3730" s="33" t="s">
        <v>7716</v>
      </c>
      <c r="B3730" s="33" t="s">
        <v>1280</v>
      </c>
      <c r="C3730" s="39">
        <v>45865.0</v>
      </c>
      <c r="D3730" s="33" t="s">
        <v>435</v>
      </c>
      <c r="E3730" s="40">
        <v>249.2</v>
      </c>
      <c r="F3730" s="40">
        <v>0.0</v>
      </c>
      <c r="G3730" s="33" t="s">
        <v>450</v>
      </c>
    </row>
    <row r="3731" ht="15.75" customHeight="1">
      <c r="A3731" s="33" t="s">
        <v>7717</v>
      </c>
      <c r="B3731" s="33" t="s">
        <v>1605</v>
      </c>
      <c r="C3731" s="39">
        <v>46031.0</v>
      </c>
      <c r="D3731" s="33" t="s">
        <v>461</v>
      </c>
      <c r="E3731" s="40">
        <v>171.87</v>
      </c>
      <c r="F3731" s="40">
        <v>2.54</v>
      </c>
      <c r="G3731" s="33" t="s">
        <v>450</v>
      </c>
    </row>
    <row r="3732" ht="15.75" customHeight="1">
      <c r="A3732" s="33" t="s">
        <v>7718</v>
      </c>
      <c r="B3732" s="33" t="s">
        <v>1645</v>
      </c>
      <c r="C3732" s="39">
        <v>46078.0</v>
      </c>
      <c r="D3732" s="33" t="s">
        <v>440</v>
      </c>
      <c r="E3732" s="40">
        <v>62.66</v>
      </c>
      <c r="F3732" s="40">
        <v>0.0</v>
      </c>
      <c r="G3732" s="33" t="s">
        <v>450</v>
      </c>
    </row>
    <row r="3733" ht="15.75" customHeight="1">
      <c r="A3733" s="33" t="s">
        <v>7719</v>
      </c>
      <c r="B3733" s="33" t="s">
        <v>318</v>
      </c>
      <c r="C3733" s="39">
        <v>45837.0</v>
      </c>
      <c r="D3733" s="33" t="s">
        <v>435</v>
      </c>
      <c r="E3733" s="40">
        <v>72.9</v>
      </c>
      <c r="F3733" s="40">
        <v>0.0</v>
      </c>
      <c r="G3733" s="33" t="s">
        <v>450</v>
      </c>
    </row>
    <row r="3734" ht="15.75" customHeight="1">
      <c r="A3734" s="33" t="s">
        <v>7720</v>
      </c>
      <c r="B3734" s="33" t="s">
        <v>268</v>
      </c>
      <c r="C3734" s="39">
        <v>45729.0</v>
      </c>
      <c r="D3734" s="33" t="s">
        <v>435</v>
      </c>
      <c r="E3734" s="40">
        <v>45.49</v>
      </c>
      <c r="F3734" s="40">
        <v>0.0</v>
      </c>
      <c r="G3734" s="33" t="s">
        <v>431</v>
      </c>
    </row>
    <row r="3735" ht="15.75" customHeight="1">
      <c r="A3735" s="33" t="s">
        <v>7721</v>
      </c>
      <c r="B3735" s="33" t="s">
        <v>855</v>
      </c>
      <c r="C3735" s="39">
        <v>45966.0</v>
      </c>
      <c r="D3735" s="33" t="s">
        <v>461</v>
      </c>
      <c r="E3735" s="40">
        <v>56.2</v>
      </c>
      <c r="F3735" s="40">
        <v>0.75</v>
      </c>
      <c r="G3735" s="33" t="s">
        <v>442</v>
      </c>
    </row>
    <row r="3736" ht="15.75" customHeight="1">
      <c r="A3736" s="33" t="s">
        <v>7722</v>
      </c>
      <c r="B3736" s="33" t="s">
        <v>711</v>
      </c>
      <c r="C3736" s="39">
        <v>46045.0</v>
      </c>
      <c r="D3736" s="33" t="s">
        <v>428</v>
      </c>
      <c r="E3736" s="40">
        <v>58.36</v>
      </c>
      <c r="F3736" s="40">
        <v>0.0</v>
      </c>
      <c r="G3736" s="33" t="s">
        <v>442</v>
      </c>
    </row>
    <row r="3737" ht="15.75" customHeight="1">
      <c r="A3737" s="33" t="s">
        <v>7723</v>
      </c>
      <c r="B3737" s="33" t="s">
        <v>423</v>
      </c>
      <c r="C3737" s="39">
        <v>46123.0</v>
      </c>
      <c r="D3737" s="33" t="s">
        <v>440</v>
      </c>
      <c r="E3737" s="40">
        <v>80.82</v>
      </c>
      <c r="F3737" s="40">
        <v>0.0</v>
      </c>
      <c r="G3737" s="33" t="s">
        <v>450</v>
      </c>
    </row>
    <row r="3738" ht="15.75" customHeight="1">
      <c r="A3738" s="33" t="s">
        <v>7724</v>
      </c>
      <c r="B3738" s="33" t="s">
        <v>3344</v>
      </c>
      <c r="C3738" s="39">
        <v>45659.0</v>
      </c>
      <c r="D3738" s="33" t="s">
        <v>440</v>
      </c>
      <c r="E3738" s="40">
        <v>10.42</v>
      </c>
      <c r="F3738" s="40">
        <v>0.0</v>
      </c>
      <c r="G3738" s="33" t="s">
        <v>442</v>
      </c>
    </row>
    <row r="3739" ht="15.75" customHeight="1">
      <c r="A3739" s="33" t="s">
        <v>7725</v>
      </c>
      <c r="B3739" s="33" t="s">
        <v>2911</v>
      </c>
      <c r="C3739" s="39">
        <v>45668.0</v>
      </c>
      <c r="D3739" s="33" t="s">
        <v>461</v>
      </c>
      <c r="E3739" s="40">
        <v>54.97</v>
      </c>
      <c r="F3739" s="40">
        <v>0.63</v>
      </c>
      <c r="G3739" s="33" t="s">
        <v>450</v>
      </c>
    </row>
    <row r="3740" ht="15.75" customHeight="1">
      <c r="A3740" s="33" t="s">
        <v>7726</v>
      </c>
      <c r="B3740" s="33" t="s">
        <v>948</v>
      </c>
      <c r="C3740" s="39">
        <v>45892.0</v>
      </c>
      <c r="D3740" s="33" t="s">
        <v>435</v>
      </c>
      <c r="E3740" s="40">
        <v>47.83</v>
      </c>
      <c r="F3740" s="40">
        <v>0.0</v>
      </c>
      <c r="G3740" s="33" t="s">
        <v>450</v>
      </c>
    </row>
    <row r="3741" ht="15.75" customHeight="1">
      <c r="A3741" s="33" t="s">
        <v>7727</v>
      </c>
      <c r="B3741" s="33" t="s">
        <v>1329</v>
      </c>
      <c r="C3741" s="39">
        <v>46000.0</v>
      </c>
      <c r="D3741" s="33" t="s">
        <v>435</v>
      </c>
      <c r="E3741" s="40">
        <v>187.43</v>
      </c>
      <c r="F3741" s="40">
        <v>0.0</v>
      </c>
      <c r="G3741" s="33" t="s">
        <v>431</v>
      </c>
    </row>
    <row r="3742" ht="15.75" customHeight="1">
      <c r="A3742" s="33" t="s">
        <v>7728</v>
      </c>
      <c r="B3742" s="33" t="s">
        <v>1842</v>
      </c>
      <c r="C3742" s="39">
        <v>45660.0</v>
      </c>
      <c r="D3742" s="33" t="s">
        <v>461</v>
      </c>
      <c r="E3742" s="40">
        <v>72.27</v>
      </c>
      <c r="F3742" s="40">
        <v>1.41</v>
      </c>
      <c r="G3742" s="33" t="s">
        <v>450</v>
      </c>
    </row>
    <row r="3743" ht="15.75" customHeight="1">
      <c r="A3743" s="33" t="s">
        <v>7729</v>
      </c>
      <c r="B3743" s="33" t="s">
        <v>606</v>
      </c>
      <c r="C3743" s="39">
        <v>45763.0</v>
      </c>
      <c r="D3743" s="33" t="s">
        <v>479</v>
      </c>
      <c r="E3743" s="40">
        <v>89.1</v>
      </c>
      <c r="F3743" s="40">
        <v>1.2</v>
      </c>
      <c r="G3743" s="33" t="s">
        <v>442</v>
      </c>
    </row>
    <row r="3744" ht="15.75" customHeight="1">
      <c r="A3744" s="33" t="s">
        <v>7730</v>
      </c>
      <c r="B3744" s="33" t="s">
        <v>872</v>
      </c>
      <c r="C3744" s="39">
        <v>45912.0</v>
      </c>
      <c r="D3744" s="33" t="s">
        <v>435</v>
      </c>
      <c r="E3744" s="40">
        <v>53.74</v>
      </c>
      <c r="F3744" s="40">
        <v>0.0</v>
      </c>
      <c r="G3744" s="33" t="s">
        <v>450</v>
      </c>
    </row>
    <row r="3745" ht="15.75" customHeight="1">
      <c r="A3745" s="33" t="s">
        <v>7731</v>
      </c>
      <c r="B3745" s="33" t="s">
        <v>444</v>
      </c>
      <c r="C3745" s="39">
        <v>45827.0</v>
      </c>
      <c r="D3745" s="33" t="s">
        <v>440</v>
      </c>
      <c r="E3745" s="40">
        <v>72.72</v>
      </c>
      <c r="F3745" s="40">
        <v>0.0</v>
      </c>
      <c r="G3745" s="33" t="s">
        <v>442</v>
      </c>
    </row>
    <row r="3746" ht="15.75" customHeight="1">
      <c r="A3746" s="33" t="s">
        <v>7732</v>
      </c>
      <c r="B3746" s="33" t="s">
        <v>1805</v>
      </c>
      <c r="C3746" s="39">
        <v>46089.0</v>
      </c>
      <c r="D3746" s="33" t="s">
        <v>435</v>
      </c>
      <c r="E3746" s="40">
        <v>56.2</v>
      </c>
      <c r="F3746" s="40">
        <v>0.0</v>
      </c>
      <c r="G3746" s="33" t="s">
        <v>442</v>
      </c>
    </row>
    <row r="3747" ht="15.75" customHeight="1">
      <c r="A3747" s="33" t="s">
        <v>7733</v>
      </c>
      <c r="B3747" s="33" t="s">
        <v>360</v>
      </c>
      <c r="C3747" s="39">
        <v>45679.0</v>
      </c>
      <c r="D3747" s="33" t="s">
        <v>461</v>
      </c>
      <c r="E3747" s="40">
        <v>81.71</v>
      </c>
      <c r="F3747" s="40">
        <v>0.56</v>
      </c>
      <c r="G3747" s="33" t="s">
        <v>442</v>
      </c>
    </row>
    <row r="3748" ht="15.75" customHeight="1">
      <c r="A3748" s="33" t="s">
        <v>7734</v>
      </c>
      <c r="B3748" s="33" t="s">
        <v>3092</v>
      </c>
      <c r="C3748" s="39">
        <v>46197.0</v>
      </c>
      <c r="D3748" s="33" t="s">
        <v>461</v>
      </c>
      <c r="E3748" s="40">
        <v>106.35</v>
      </c>
      <c r="F3748" s="40">
        <v>1.47</v>
      </c>
      <c r="G3748" s="33" t="s">
        <v>431</v>
      </c>
    </row>
    <row r="3749" ht="15.75" customHeight="1">
      <c r="A3749" s="33" t="s">
        <v>7735</v>
      </c>
      <c r="B3749" s="33" t="s">
        <v>2375</v>
      </c>
      <c r="C3749" s="39">
        <v>45760.0</v>
      </c>
      <c r="D3749" s="33" t="s">
        <v>461</v>
      </c>
      <c r="E3749" s="40">
        <v>23.35</v>
      </c>
      <c r="F3749" s="40">
        <v>0.25</v>
      </c>
      <c r="G3749" s="33" t="s">
        <v>450</v>
      </c>
    </row>
    <row r="3750" ht="15.75" customHeight="1">
      <c r="A3750" s="33" t="s">
        <v>7736</v>
      </c>
      <c r="B3750" s="33" t="s">
        <v>870</v>
      </c>
      <c r="C3750" s="39">
        <v>45925.0</v>
      </c>
      <c r="D3750" s="33" t="s">
        <v>435</v>
      </c>
      <c r="E3750" s="40">
        <v>117.14</v>
      </c>
      <c r="F3750" s="40">
        <v>0.0</v>
      </c>
      <c r="G3750" s="33" t="s">
        <v>431</v>
      </c>
    </row>
    <row r="3751" ht="15.75" customHeight="1">
      <c r="A3751" s="33" t="s">
        <v>7737</v>
      </c>
      <c r="B3751" s="33" t="s">
        <v>1637</v>
      </c>
      <c r="C3751" s="39">
        <v>46256.0</v>
      </c>
      <c r="D3751" s="33" t="s">
        <v>428</v>
      </c>
      <c r="E3751" s="40">
        <v>33.84</v>
      </c>
      <c r="F3751" s="40">
        <v>0.0</v>
      </c>
      <c r="G3751" s="33" t="s">
        <v>450</v>
      </c>
    </row>
    <row r="3752" ht="15.75" customHeight="1">
      <c r="A3752" s="33" t="s">
        <v>7738</v>
      </c>
      <c r="B3752" s="33" t="s">
        <v>1503</v>
      </c>
      <c r="C3752" s="39">
        <v>46060.0</v>
      </c>
      <c r="D3752" s="33" t="s">
        <v>440</v>
      </c>
      <c r="E3752" s="40">
        <v>255.02</v>
      </c>
      <c r="F3752" s="40">
        <v>0.0</v>
      </c>
      <c r="G3752" s="33" t="s">
        <v>431</v>
      </c>
    </row>
    <row r="3753" ht="15.75" customHeight="1">
      <c r="A3753" s="33" t="s">
        <v>7739</v>
      </c>
      <c r="B3753" s="33" t="s">
        <v>1135</v>
      </c>
      <c r="C3753" s="39">
        <v>46264.0</v>
      </c>
      <c r="D3753" s="33" t="s">
        <v>428</v>
      </c>
      <c r="E3753" s="40">
        <v>80.44</v>
      </c>
      <c r="F3753" s="40">
        <v>0.0</v>
      </c>
      <c r="G3753" s="33" t="s">
        <v>450</v>
      </c>
    </row>
    <row r="3754" ht="15.75" customHeight="1">
      <c r="A3754" s="33" t="s">
        <v>7740</v>
      </c>
      <c r="B3754" s="33" t="s">
        <v>3059</v>
      </c>
      <c r="C3754" s="39">
        <v>45669.0</v>
      </c>
      <c r="D3754" s="33" t="s">
        <v>428</v>
      </c>
      <c r="E3754" s="40">
        <v>88.21</v>
      </c>
      <c r="F3754" s="40">
        <v>0.0</v>
      </c>
      <c r="G3754" s="33" t="s">
        <v>431</v>
      </c>
    </row>
    <row r="3755" ht="15.75" customHeight="1">
      <c r="A3755" s="33" t="s">
        <v>7741</v>
      </c>
      <c r="B3755" s="33" t="s">
        <v>750</v>
      </c>
      <c r="C3755" s="39">
        <v>46094.0</v>
      </c>
      <c r="D3755" s="33" t="s">
        <v>479</v>
      </c>
      <c r="E3755" s="40">
        <v>90.77</v>
      </c>
      <c r="F3755" s="40">
        <v>0.84</v>
      </c>
      <c r="G3755" s="33" t="s">
        <v>431</v>
      </c>
    </row>
    <row r="3756" ht="15.75" customHeight="1">
      <c r="A3756" s="33" t="s">
        <v>7742</v>
      </c>
      <c r="B3756" s="33" t="s">
        <v>1991</v>
      </c>
      <c r="C3756" s="39">
        <v>45703.0</v>
      </c>
      <c r="D3756" s="33" t="s">
        <v>461</v>
      </c>
      <c r="E3756" s="40">
        <v>76.7</v>
      </c>
      <c r="F3756" s="40">
        <v>1.42</v>
      </c>
      <c r="G3756" s="33" t="s">
        <v>442</v>
      </c>
    </row>
    <row r="3757" ht="15.75" customHeight="1">
      <c r="A3757" s="33" t="s">
        <v>7743</v>
      </c>
      <c r="B3757" s="33" t="s">
        <v>299</v>
      </c>
      <c r="C3757" s="39">
        <v>46029.0</v>
      </c>
      <c r="D3757" s="33" t="s">
        <v>461</v>
      </c>
      <c r="E3757" s="40">
        <v>41.9</v>
      </c>
      <c r="F3757" s="40">
        <v>0.54</v>
      </c>
      <c r="G3757" s="33" t="s">
        <v>431</v>
      </c>
    </row>
    <row r="3758" ht="15.75" customHeight="1">
      <c r="A3758" s="33" t="s">
        <v>7744</v>
      </c>
      <c r="B3758" s="33" t="s">
        <v>1067</v>
      </c>
      <c r="C3758" s="39">
        <v>45855.0</v>
      </c>
      <c r="D3758" s="33" t="s">
        <v>461</v>
      </c>
      <c r="E3758" s="40">
        <v>88.38</v>
      </c>
      <c r="F3758" s="40">
        <v>1.48</v>
      </c>
      <c r="G3758" s="33" t="s">
        <v>442</v>
      </c>
    </row>
    <row r="3759" ht="15.75" customHeight="1">
      <c r="A3759" s="33" t="s">
        <v>7745</v>
      </c>
      <c r="B3759" s="33" t="s">
        <v>308</v>
      </c>
      <c r="C3759" s="39">
        <v>46129.0</v>
      </c>
      <c r="D3759" s="33" t="s">
        <v>435</v>
      </c>
      <c r="E3759" s="40">
        <v>84.75</v>
      </c>
      <c r="F3759" s="40">
        <v>0.0</v>
      </c>
      <c r="G3759" s="33" t="s">
        <v>442</v>
      </c>
    </row>
    <row r="3760" ht="15.75" customHeight="1">
      <c r="A3760" s="33" t="s">
        <v>7746</v>
      </c>
      <c r="B3760" s="33" t="s">
        <v>2255</v>
      </c>
      <c r="C3760" s="39">
        <v>45733.0</v>
      </c>
      <c r="D3760" s="33" t="s">
        <v>435</v>
      </c>
      <c r="E3760" s="40">
        <v>37.84</v>
      </c>
      <c r="F3760" s="40">
        <v>0.0</v>
      </c>
      <c r="G3760" s="33" t="s">
        <v>450</v>
      </c>
    </row>
    <row r="3761" ht="15.75" customHeight="1">
      <c r="A3761" s="33" t="s">
        <v>7747</v>
      </c>
      <c r="B3761" s="33" t="s">
        <v>754</v>
      </c>
      <c r="C3761" s="39">
        <v>46202.0</v>
      </c>
      <c r="D3761" s="33" t="s">
        <v>428</v>
      </c>
      <c r="E3761" s="40">
        <v>23.62</v>
      </c>
      <c r="F3761" s="40">
        <v>0.0</v>
      </c>
      <c r="G3761" s="33" t="s">
        <v>450</v>
      </c>
    </row>
    <row r="3762" ht="15.75" customHeight="1">
      <c r="A3762" s="33" t="s">
        <v>7748</v>
      </c>
      <c r="B3762" s="33" t="s">
        <v>2622</v>
      </c>
      <c r="C3762" s="39">
        <v>45949.0</v>
      </c>
      <c r="D3762" s="33" t="s">
        <v>461</v>
      </c>
      <c r="E3762" s="40">
        <v>140.39</v>
      </c>
      <c r="F3762" s="40">
        <v>1.18</v>
      </c>
      <c r="G3762" s="33" t="s">
        <v>450</v>
      </c>
    </row>
    <row r="3763" ht="15.75" customHeight="1">
      <c r="A3763" s="33" t="s">
        <v>7749</v>
      </c>
      <c r="B3763" s="33" t="s">
        <v>1145</v>
      </c>
      <c r="C3763" s="39">
        <v>45973.0</v>
      </c>
      <c r="D3763" s="33" t="s">
        <v>461</v>
      </c>
      <c r="E3763" s="40">
        <v>54.9</v>
      </c>
      <c r="F3763" s="40">
        <v>0.52</v>
      </c>
      <c r="G3763" s="33" t="s">
        <v>442</v>
      </c>
    </row>
    <row r="3764" ht="15.75" customHeight="1">
      <c r="A3764" s="33" t="s">
        <v>7750</v>
      </c>
      <c r="B3764" s="33" t="s">
        <v>1092</v>
      </c>
      <c r="C3764" s="39">
        <v>46004.0</v>
      </c>
      <c r="D3764" s="33" t="s">
        <v>440</v>
      </c>
      <c r="E3764" s="40">
        <v>65.6</v>
      </c>
      <c r="F3764" s="40">
        <v>0.0</v>
      </c>
      <c r="G3764" s="33" t="s">
        <v>442</v>
      </c>
    </row>
    <row r="3765" ht="15.75" customHeight="1">
      <c r="A3765" s="33" t="s">
        <v>7751</v>
      </c>
      <c r="B3765" s="33" t="s">
        <v>1329</v>
      </c>
      <c r="C3765" s="39">
        <v>45679.0</v>
      </c>
      <c r="D3765" s="33" t="s">
        <v>479</v>
      </c>
      <c r="E3765" s="40">
        <v>85.03</v>
      </c>
      <c r="F3765" s="40">
        <v>1.11</v>
      </c>
      <c r="G3765" s="33" t="s">
        <v>442</v>
      </c>
    </row>
    <row r="3766" ht="15.75" customHeight="1">
      <c r="A3766" s="33" t="s">
        <v>7752</v>
      </c>
      <c r="B3766" s="33" t="s">
        <v>1118</v>
      </c>
      <c r="C3766" s="39">
        <v>45846.0</v>
      </c>
      <c r="D3766" s="33" t="s">
        <v>440</v>
      </c>
      <c r="E3766" s="40">
        <v>40.96</v>
      </c>
      <c r="F3766" s="40">
        <v>0.0</v>
      </c>
      <c r="G3766" s="33" t="s">
        <v>442</v>
      </c>
    </row>
    <row r="3767" ht="15.75" customHeight="1">
      <c r="A3767" s="33" t="s">
        <v>7753</v>
      </c>
      <c r="B3767" s="33" t="s">
        <v>1705</v>
      </c>
      <c r="C3767" s="39">
        <v>46088.0</v>
      </c>
      <c r="D3767" s="33" t="s">
        <v>479</v>
      </c>
      <c r="E3767" s="40">
        <v>93.96</v>
      </c>
      <c r="F3767" s="40">
        <v>1.42</v>
      </c>
      <c r="G3767" s="33" t="s">
        <v>450</v>
      </c>
    </row>
    <row r="3768" ht="15.75" customHeight="1">
      <c r="A3768" s="33" t="s">
        <v>7754</v>
      </c>
      <c r="B3768" s="33" t="s">
        <v>1372</v>
      </c>
      <c r="C3768" s="39">
        <v>46241.0</v>
      </c>
      <c r="D3768" s="33" t="s">
        <v>461</v>
      </c>
      <c r="E3768" s="40">
        <v>68.0</v>
      </c>
      <c r="F3768" s="40">
        <v>0.46</v>
      </c>
      <c r="G3768" s="33" t="s">
        <v>431</v>
      </c>
    </row>
    <row r="3769" ht="15.75" customHeight="1">
      <c r="A3769" s="33" t="s">
        <v>7755</v>
      </c>
      <c r="B3769" s="33" t="s">
        <v>1200</v>
      </c>
      <c r="C3769" s="39">
        <v>46255.0</v>
      </c>
      <c r="D3769" s="33" t="s">
        <v>461</v>
      </c>
      <c r="E3769" s="40">
        <v>72.92</v>
      </c>
      <c r="F3769" s="40">
        <v>0.55</v>
      </c>
      <c r="G3769" s="33" t="s">
        <v>450</v>
      </c>
    </row>
    <row r="3770" ht="15.75" customHeight="1">
      <c r="A3770" s="33" t="s">
        <v>7756</v>
      </c>
      <c r="B3770" s="33" t="s">
        <v>448</v>
      </c>
      <c r="C3770" s="39">
        <v>45983.0</v>
      </c>
      <c r="D3770" s="33" t="s">
        <v>440</v>
      </c>
      <c r="E3770" s="40">
        <v>159.45</v>
      </c>
      <c r="F3770" s="40">
        <v>0.0</v>
      </c>
      <c r="G3770" s="33" t="s">
        <v>442</v>
      </c>
    </row>
    <row r="3771" ht="15.75" customHeight="1">
      <c r="A3771" s="33" t="s">
        <v>7757</v>
      </c>
      <c r="B3771" s="33" t="s">
        <v>1693</v>
      </c>
      <c r="C3771" s="39">
        <v>45814.0</v>
      </c>
      <c r="D3771" s="33" t="s">
        <v>428</v>
      </c>
      <c r="E3771" s="40">
        <v>82.76</v>
      </c>
      <c r="F3771" s="40">
        <v>0.0</v>
      </c>
      <c r="G3771" s="33" t="s">
        <v>450</v>
      </c>
    </row>
    <row r="3772" ht="15.75" customHeight="1">
      <c r="A3772" s="33" t="s">
        <v>7758</v>
      </c>
      <c r="B3772" s="33" t="s">
        <v>806</v>
      </c>
      <c r="C3772" s="39">
        <v>45947.0</v>
      </c>
      <c r="D3772" s="33" t="s">
        <v>435</v>
      </c>
      <c r="E3772" s="40">
        <v>63.18</v>
      </c>
      <c r="F3772" s="40">
        <v>0.0</v>
      </c>
      <c r="G3772" s="33" t="s">
        <v>450</v>
      </c>
    </row>
    <row r="3773" ht="15.75" customHeight="1">
      <c r="A3773" s="33" t="s">
        <v>7759</v>
      </c>
      <c r="B3773" s="33" t="s">
        <v>2366</v>
      </c>
      <c r="C3773" s="39">
        <v>45939.0</v>
      </c>
      <c r="D3773" s="33" t="s">
        <v>428</v>
      </c>
      <c r="E3773" s="40">
        <v>31.29</v>
      </c>
      <c r="F3773" s="40">
        <v>0.0</v>
      </c>
      <c r="G3773" s="33" t="s">
        <v>450</v>
      </c>
    </row>
    <row r="3774" ht="15.75" customHeight="1">
      <c r="A3774" s="33" t="s">
        <v>7760</v>
      </c>
      <c r="B3774" s="33" t="s">
        <v>945</v>
      </c>
      <c r="C3774" s="39">
        <v>45899.0</v>
      </c>
      <c r="D3774" s="33" t="s">
        <v>461</v>
      </c>
      <c r="E3774" s="40">
        <v>90.45</v>
      </c>
      <c r="F3774" s="40">
        <v>0.73</v>
      </c>
      <c r="G3774" s="33" t="s">
        <v>431</v>
      </c>
    </row>
    <row r="3775" ht="15.75" customHeight="1">
      <c r="A3775" s="33" t="s">
        <v>7761</v>
      </c>
      <c r="B3775" s="33" t="s">
        <v>1393</v>
      </c>
      <c r="C3775" s="39">
        <v>45877.0</v>
      </c>
      <c r="D3775" s="33" t="s">
        <v>479</v>
      </c>
      <c r="E3775" s="40">
        <v>136.47</v>
      </c>
      <c r="F3775" s="40">
        <v>0.83</v>
      </c>
      <c r="G3775" s="33" t="s">
        <v>442</v>
      </c>
    </row>
    <row r="3776" ht="15.75" customHeight="1">
      <c r="A3776" s="33" t="s">
        <v>7762</v>
      </c>
      <c r="B3776" s="33" t="s">
        <v>177</v>
      </c>
      <c r="C3776" s="39">
        <v>46185.0</v>
      </c>
      <c r="D3776" s="33" t="s">
        <v>440</v>
      </c>
      <c r="E3776" s="40">
        <v>64.02</v>
      </c>
      <c r="F3776" s="40">
        <v>0.0</v>
      </c>
      <c r="G3776" s="33" t="s">
        <v>431</v>
      </c>
    </row>
    <row r="3777" ht="15.75" customHeight="1">
      <c r="A3777" s="33" t="s">
        <v>7763</v>
      </c>
      <c r="B3777" s="33" t="s">
        <v>672</v>
      </c>
      <c r="C3777" s="39">
        <v>45895.0</v>
      </c>
      <c r="D3777" s="33" t="s">
        <v>440</v>
      </c>
      <c r="E3777" s="40">
        <v>135.72</v>
      </c>
      <c r="F3777" s="40">
        <v>0.0</v>
      </c>
      <c r="G3777" s="33" t="s">
        <v>450</v>
      </c>
    </row>
    <row r="3778" ht="15.75" customHeight="1">
      <c r="A3778" s="33" t="s">
        <v>7764</v>
      </c>
      <c r="B3778" s="33" t="s">
        <v>1799</v>
      </c>
      <c r="C3778" s="39">
        <v>45675.0</v>
      </c>
      <c r="D3778" s="33" t="s">
        <v>440</v>
      </c>
      <c r="E3778" s="40">
        <v>91.36</v>
      </c>
      <c r="F3778" s="40">
        <v>0.0</v>
      </c>
      <c r="G3778" s="33" t="s">
        <v>442</v>
      </c>
    </row>
    <row r="3779" ht="15.75" customHeight="1">
      <c r="A3779" s="33" t="s">
        <v>7765</v>
      </c>
      <c r="B3779" s="33" t="s">
        <v>576</v>
      </c>
      <c r="C3779" s="39">
        <v>46095.0</v>
      </c>
      <c r="D3779" s="33" t="s">
        <v>428</v>
      </c>
      <c r="E3779" s="40">
        <v>78.08</v>
      </c>
      <c r="F3779" s="40">
        <v>0.0</v>
      </c>
      <c r="G3779" s="33" t="s">
        <v>442</v>
      </c>
    </row>
    <row r="3780" ht="15.75" customHeight="1">
      <c r="A3780" s="33" t="s">
        <v>7766</v>
      </c>
      <c r="B3780" s="33" t="s">
        <v>297</v>
      </c>
      <c r="C3780" s="39">
        <v>46061.0</v>
      </c>
      <c r="D3780" s="33" t="s">
        <v>435</v>
      </c>
      <c r="E3780" s="40">
        <v>99.42</v>
      </c>
      <c r="F3780" s="40">
        <v>0.0</v>
      </c>
      <c r="G3780" s="33" t="s">
        <v>450</v>
      </c>
    </row>
    <row r="3781" ht="15.75" customHeight="1">
      <c r="A3781" s="33" t="s">
        <v>7767</v>
      </c>
      <c r="B3781" s="33" t="s">
        <v>672</v>
      </c>
      <c r="C3781" s="39">
        <v>45887.0</v>
      </c>
      <c r="D3781" s="33" t="s">
        <v>461</v>
      </c>
      <c r="E3781" s="40">
        <v>24.51</v>
      </c>
      <c r="F3781" s="40">
        <v>0.31</v>
      </c>
      <c r="G3781" s="33" t="s">
        <v>450</v>
      </c>
    </row>
    <row r="3782" ht="15.75" customHeight="1">
      <c r="A3782" s="33" t="s">
        <v>7768</v>
      </c>
      <c r="B3782" s="33" t="s">
        <v>1920</v>
      </c>
      <c r="C3782" s="39">
        <v>46040.0</v>
      </c>
      <c r="D3782" s="33" t="s">
        <v>428</v>
      </c>
      <c r="E3782" s="40">
        <v>55.58</v>
      </c>
      <c r="F3782" s="40">
        <v>0.0</v>
      </c>
      <c r="G3782" s="33" t="s">
        <v>442</v>
      </c>
    </row>
    <row r="3783" ht="15.75" customHeight="1">
      <c r="A3783" s="33" t="s">
        <v>7769</v>
      </c>
      <c r="B3783" s="33" t="s">
        <v>371</v>
      </c>
      <c r="C3783" s="39">
        <v>46229.0</v>
      </c>
      <c r="D3783" s="33" t="s">
        <v>479</v>
      </c>
      <c r="E3783" s="40">
        <v>57.25</v>
      </c>
      <c r="F3783" s="40">
        <v>0.72</v>
      </c>
      <c r="G3783" s="33" t="s">
        <v>450</v>
      </c>
    </row>
    <row r="3784" ht="15.75" customHeight="1">
      <c r="A3784" s="33" t="s">
        <v>7770</v>
      </c>
      <c r="B3784" s="33" t="s">
        <v>2622</v>
      </c>
      <c r="C3784" s="39">
        <v>46219.0</v>
      </c>
      <c r="D3784" s="33" t="s">
        <v>461</v>
      </c>
      <c r="E3784" s="40">
        <v>66.15</v>
      </c>
      <c r="F3784" s="40">
        <v>0.54</v>
      </c>
      <c r="G3784" s="33" t="s">
        <v>450</v>
      </c>
    </row>
    <row r="3785" ht="15.75" customHeight="1">
      <c r="A3785" s="33" t="s">
        <v>7771</v>
      </c>
      <c r="B3785" s="33" t="s">
        <v>948</v>
      </c>
      <c r="C3785" s="39">
        <v>46137.0</v>
      </c>
      <c r="D3785" s="33" t="s">
        <v>479</v>
      </c>
      <c r="E3785" s="40">
        <v>228.18</v>
      </c>
      <c r="F3785" s="40">
        <v>1.35</v>
      </c>
      <c r="G3785" s="33" t="s">
        <v>442</v>
      </c>
    </row>
    <row r="3786" ht="15.75" customHeight="1">
      <c r="A3786" s="33" t="s">
        <v>7772</v>
      </c>
      <c r="B3786" s="33" t="s">
        <v>713</v>
      </c>
      <c r="C3786" s="39">
        <v>46012.0</v>
      </c>
      <c r="D3786" s="33" t="s">
        <v>479</v>
      </c>
      <c r="E3786" s="40">
        <v>79.98</v>
      </c>
      <c r="F3786" s="40">
        <v>1.0</v>
      </c>
      <c r="G3786" s="33" t="s">
        <v>431</v>
      </c>
    </row>
    <row r="3787" ht="15.75" customHeight="1">
      <c r="A3787" s="33" t="s">
        <v>7773</v>
      </c>
      <c r="B3787" s="33" t="s">
        <v>1054</v>
      </c>
      <c r="C3787" s="39">
        <v>45674.0</v>
      </c>
      <c r="D3787" s="33" t="s">
        <v>461</v>
      </c>
      <c r="E3787" s="40">
        <v>21.06</v>
      </c>
      <c r="F3787" s="40">
        <v>0.24</v>
      </c>
      <c r="G3787" s="33" t="s">
        <v>450</v>
      </c>
    </row>
    <row r="3788" ht="15.75" customHeight="1">
      <c r="A3788" s="33" t="s">
        <v>7774</v>
      </c>
      <c r="B3788" s="33" t="s">
        <v>2987</v>
      </c>
      <c r="C3788" s="39">
        <v>45968.0</v>
      </c>
      <c r="D3788" s="33" t="s">
        <v>428</v>
      </c>
      <c r="E3788" s="40">
        <v>45.53</v>
      </c>
      <c r="F3788" s="40">
        <v>0.0</v>
      </c>
      <c r="G3788" s="33" t="s">
        <v>442</v>
      </c>
    </row>
    <row r="3789" ht="15.75" customHeight="1">
      <c r="A3789" s="33" t="s">
        <v>7775</v>
      </c>
      <c r="B3789" s="33" t="s">
        <v>2958</v>
      </c>
      <c r="C3789" s="39">
        <v>46154.0</v>
      </c>
      <c r="D3789" s="33" t="s">
        <v>461</v>
      </c>
      <c r="E3789" s="40">
        <v>72.96</v>
      </c>
      <c r="F3789" s="40">
        <v>1.15</v>
      </c>
      <c r="G3789" s="33" t="s">
        <v>431</v>
      </c>
    </row>
    <row r="3790" ht="15.75" customHeight="1">
      <c r="A3790" s="33" t="s">
        <v>7776</v>
      </c>
      <c r="B3790" s="33" t="s">
        <v>1416</v>
      </c>
      <c r="C3790" s="39">
        <v>46170.0</v>
      </c>
      <c r="D3790" s="33" t="s">
        <v>428</v>
      </c>
      <c r="E3790" s="40">
        <v>82.53</v>
      </c>
      <c r="F3790" s="40">
        <v>0.0</v>
      </c>
      <c r="G3790" s="33" t="s">
        <v>450</v>
      </c>
    </row>
    <row r="3791" ht="15.75" customHeight="1">
      <c r="A3791" s="33" t="s">
        <v>7777</v>
      </c>
      <c r="B3791" s="33" t="s">
        <v>2177</v>
      </c>
      <c r="C3791" s="39">
        <v>46127.0</v>
      </c>
      <c r="D3791" s="33" t="s">
        <v>479</v>
      </c>
      <c r="E3791" s="40">
        <v>3.49</v>
      </c>
      <c r="F3791" s="40">
        <v>0.02</v>
      </c>
      <c r="G3791" s="33" t="s">
        <v>442</v>
      </c>
    </row>
    <row r="3792" ht="15.75" customHeight="1">
      <c r="A3792" s="33" t="s">
        <v>7778</v>
      </c>
      <c r="B3792" s="33" t="s">
        <v>1245</v>
      </c>
      <c r="C3792" s="39">
        <v>46256.0</v>
      </c>
      <c r="D3792" s="33" t="s">
        <v>461</v>
      </c>
      <c r="E3792" s="40">
        <v>105.64</v>
      </c>
      <c r="F3792" s="40">
        <v>1.65</v>
      </c>
      <c r="G3792" s="33" t="s">
        <v>442</v>
      </c>
    </row>
    <row r="3793" ht="15.75" customHeight="1">
      <c r="A3793" s="33" t="s">
        <v>7779</v>
      </c>
      <c r="B3793" s="33" t="s">
        <v>1476</v>
      </c>
      <c r="C3793" s="39">
        <v>45971.0</v>
      </c>
      <c r="D3793" s="33" t="s">
        <v>428</v>
      </c>
      <c r="E3793" s="40">
        <v>108.83</v>
      </c>
      <c r="F3793" s="40">
        <v>0.0</v>
      </c>
      <c r="G3793" s="33" t="s">
        <v>431</v>
      </c>
    </row>
    <row r="3794" ht="15.75" customHeight="1">
      <c r="A3794" s="33" t="s">
        <v>7780</v>
      </c>
      <c r="B3794" s="33" t="s">
        <v>186</v>
      </c>
      <c r="C3794" s="39">
        <v>45724.0</v>
      </c>
      <c r="D3794" s="33" t="s">
        <v>440</v>
      </c>
      <c r="E3794" s="40">
        <v>30.05</v>
      </c>
      <c r="F3794" s="40">
        <v>0.0</v>
      </c>
      <c r="G3794" s="33" t="s">
        <v>442</v>
      </c>
    </row>
    <row r="3795" ht="15.75" customHeight="1">
      <c r="A3795" s="33" t="s">
        <v>7781</v>
      </c>
      <c r="B3795" s="33" t="s">
        <v>1444</v>
      </c>
      <c r="C3795" s="39">
        <v>45959.0</v>
      </c>
      <c r="D3795" s="33" t="s">
        <v>428</v>
      </c>
      <c r="E3795" s="40">
        <v>133.86</v>
      </c>
      <c r="F3795" s="40">
        <v>0.0</v>
      </c>
      <c r="G3795" s="33" t="s">
        <v>450</v>
      </c>
    </row>
    <row r="3796" ht="15.75" customHeight="1">
      <c r="A3796" s="33" t="s">
        <v>7782</v>
      </c>
      <c r="B3796" s="33" t="s">
        <v>858</v>
      </c>
      <c r="C3796" s="39">
        <v>45851.0</v>
      </c>
      <c r="D3796" s="33" t="s">
        <v>461</v>
      </c>
      <c r="E3796" s="40">
        <v>63.67</v>
      </c>
      <c r="F3796" s="40">
        <v>0.79</v>
      </c>
      <c r="G3796" s="33" t="s">
        <v>450</v>
      </c>
    </row>
    <row r="3797" ht="15.75" customHeight="1">
      <c r="A3797" s="33" t="s">
        <v>7783</v>
      </c>
      <c r="B3797" s="33" t="s">
        <v>1059</v>
      </c>
      <c r="C3797" s="39">
        <v>46165.0</v>
      </c>
      <c r="D3797" s="33" t="s">
        <v>479</v>
      </c>
      <c r="E3797" s="40">
        <v>35.39</v>
      </c>
      <c r="F3797" s="40">
        <v>0.57</v>
      </c>
      <c r="G3797" s="33" t="s">
        <v>442</v>
      </c>
    </row>
    <row r="3798" ht="15.75" customHeight="1">
      <c r="A3798" s="33" t="s">
        <v>7784</v>
      </c>
      <c r="B3798" s="33" t="s">
        <v>195</v>
      </c>
      <c r="C3798" s="39">
        <v>46129.0</v>
      </c>
      <c r="D3798" s="33" t="s">
        <v>461</v>
      </c>
      <c r="E3798" s="40">
        <v>28.15</v>
      </c>
      <c r="F3798" s="40">
        <v>0.3</v>
      </c>
      <c r="G3798" s="33" t="s">
        <v>450</v>
      </c>
    </row>
    <row r="3799" ht="15.75" customHeight="1">
      <c r="A3799" s="33" t="s">
        <v>7785</v>
      </c>
      <c r="B3799" s="33" t="s">
        <v>543</v>
      </c>
      <c r="C3799" s="39">
        <v>45915.0</v>
      </c>
      <c r="D3799" s="33" t="s">
        <v>435</v>
      </c>
      <c r="E3799" s="40">
        <v>104.06</v>
      </c>
      <c r="F3799" s="40">
        <v>0.0</v>
      </c>
      <c r="G3799" s="33" t="s">
        <v>450</v>
      </c>
    </row>
    <row r="3800" ht="15.75" customHeight="1">
      <c r="A3800" s="33" t="s">
        <v>7786</v>
      </c>
      <c r="B3800" s="33" t="s">
        <v>533</v>
      </c>
      <c r="C3800" s="39">
        <v>45893.0</v>
      </c>
      <c r="D3800" s="33" t="s">
        <v>461</v>
      </c>
      <c r="E3800" s="40">
        <v>48.04</v>
      </c>
      <c r="F3800" s="40">
        <v>0.59</v>
      </c>
      <c r="G3800" s="33" t="s">
        <v>450</v>
      </c>
    </row>
    <row r="3801" ht="15.75" customHeight="1">
      <c r="A3801" s="33" t="s">
        <v>7787</v>
      </c>
      <c r="B3801" s="33" t="s">
        <v>317</v>
      </c>
      <c r="C3801" s="39">
        <v>45754.0</v>
      </c>
      <c r="D3801" s="33" t="s">
        <v>479</v>
      </c>
      <c r="E3801" s="40">
        <v>88.9</v>
      </c>
      <c r="F3801" s="40">
        <v>0.9</v>
      </c>
      <c r="G3801" s="33" t="s">
        <v>442</v>
      </c>
    </row>
    <row r="3802" ht="15.75" customHeight="1">
      <c r="A3802" s="33" t="s">
        <v>7788</v>
      </c>
      <c r="B3802" s="33" t="s">
        <v>2511</v>
      </c>
      <c r="C3802" s="39">
        <v>45684.0</v>
      </c>
      <c r="D3802" s="33" t="s">
        <v>428</v>
      </c>
      <c r="E3802" s="40">
        <v>27.39</v>
      </c>
      <c r="F3802" s="40">
        <v>0.0</v>
      </c>
      <c r="G3802" s="33" t="s">
        <v>450</v>
      </c>
    </row>
    <row r="3803" ht="15.75" customHeight="1">
      <c r="A3803" s="33" t="s">
        <v>7789</v>
      </c>
      <c r="B3803" s="33" t="s">
        <v>1637</v>
      </c>
      <c r="C3803" s="39">
        <v>45847.0</v>
      </c>
      <c r="D3803" s="33" t="s">
        <v>461</v>
      </c>
      <c r="E3803" s="40">
        <v>57.79</v>
      </c>
      <c r="F3803" s="40">
        <v>0.7</v>
      </c>
      <c r="G3803" s="33" t="s">
        <v>450</v>
      </c>
    </row>
    <row r="3804" ht="15.75" customHeight="1">
      <c r="A3804" s="33" t="s">
        <v>7790</v>
      </c>
      <c r="B3804" s="33" t="s">
        <v>981</v>
      </c>
      <c r="C3804" s="39">
        <v>45804.0</v>
      </c>
      <c r="D3804" s="33" t="s">
        <v>479</v>
      </c>
      <c r="E3804" s="40">
        <v>99.33</v>
      </c>
      <c r="F3804" s="40">
        <v>0.8</v>
      </c>
      <c r="G3804" s="33" t="s">
        <v>450</v>
      </c>
    </row>
    <row r="3805" ht="15.75" customHeight="1">
      <c r="A3805" s="33" t="s">
        <v>7791</v>
      </c>
      <c r="B3805" s="33" t="s">
        <v>887</v>
      </c>
      <c r="C3805" s="39">
        <v>45818.0</v>
      </c>
      <c r="D3805" s="33" t="s">
        <v>479</v>
      </c>
      <c r="E3805" s="40">
        <v>156.16</v>
      </c>
      <c r="F3805" s="40">
        <v>1.88</v>
      </c>
      <c r="G3805" s="33" t="s">
        <v>450</v>
      </c>
    </row>
    <row r="3806" ht="15.75" customHeight="1">
      <c r="A3806" s="33" t="s">
        <v>7792</v>
      </c>
      <c r="B3806" s="33" t="s">
        <v>606</v>
      </c>
      <c r="C3806" s="39">
        <v>46264.0</v>
      </c>
      <c r="D3806" s="33" t="s">
        <v>479</v>
      </c>
      <c r="E3806" s="40">
        <v>167.59</v>
      </c>
      <c r="F3806" s="40">
        <v>2.33</v>
      </c>
      <c r="G3806" s="33" t="s">
        <v>442</v>
      </c>
    </row>
    <row r="3807" ht="15.75" customHeight="1">
      <c r="A3807" s="33" t="s">
        <v>7793</v>
      </c>
      <c r="B3807" s="33" t="s">
        <v>3059</v>
      </c>
      <c r="C3807" s="39">
        <v>46071.0</v>
      </c>
      <c r="D3807" s="33" t="s">
        <v>428</v>
      </c>
      <c r="E3807" s="40">
        <v>154.04</v>
      </c>
      <c r="F3807" s="40">
        <v>0.0</v>
      </c>
      <c r="G3807" s="33" t="s">
        <v>450</v>
      </c>
    </row>
    <row r="3808" ht="15.75" customHeight="1">
      <c r="A3808" s="33" t="s">
        <v>7794</v>
      </c>
      <c r="B3808" s="33" t="s">
        <v>788</v>
      </c>
      <c r="C3808" s="39">
        <v>45992.0</v>
      </c>
      <c r="D3808" s="33" t="s">
        <v>461</v>
      </c>
      <c r="E3808" s="40">
        <v>341.62</v>
      </c>
      <c r="F3808" s="40">
        <v>6.08</v>
      </c>
      <c r="G3808" s="33" t="s">
        <v>450</v>
      </c>
    </row>
    <row r="3809" ht="15.75" customHeight="1">
      <c r="A3809" s="33" t="s">
        <v>7795</v>
      </c>
      <c r="B3809" s="33" t="s">
        <v>786</v>
      </c>
      <c r="C3809" s="39">
        <v>45766.0</v>
      </c>
      <c r="D3809" s="33" t="s">
        <v>435</v>
      </c>
      <c r="E3809" s="40">
        <v>89.89</v>
      </c>
      <c r="F3809" s="40">
        <v>0.0</v>
      </c>
      <c r="G3809" s="33" t="s">
        <v>442</v>
      </c>
    </row>
    <row r="3810" ht="15.75" customHeight="1">
      <c r="A3810" s="33" t="s">
        <v>7796</v>
      </c>
      <c r="B3810" s="33" t="s">
        <v>260</v>
      </c>
      <c r="C3810" s="39">
        <v>46168.0</v>
      </c>
      <c r="D3810" s="33" t="s">
        <v>479</v>
      </c>
      <c r="E3810" s="40">
        <v>26.65</v>
      </c>
      <c r="F3810" s="40">
        <v>0.49</v>
      </c>
      <c r="G3810" s="33" t="s">
        <v>450</v>
      </c>
    </row>
    <row r="3811" ht="15.75" customHeight="1">
      <c r="A3811" s="33" t="s">
        <v>7797</v>
      </c>
      <c r="B3811" s="33" t="s">
        <v>2048</v>
      </c>
      <c r="C3811" s="39">
        <v>46049.0</v>
      </c>
      <c r="D3811" s="33" t="s">
        <v>440</v>
      </c>
      <c r="E3811" s="40">
        <v>46.42</v>
      </c>
      <c r="F3811" s="40">
        <v>0.0</v>
      </c>
      <c r="G3811" s="33" t="s">
        <v>450</v>
      </c>
    </row>
    <row r="3812" ht="15.75" customHeight="1">
      <c r="A3812" s="33" t="s">
        <v>7798</v>
      </c>
      <c r="B3812" s="33" t="s">
        <v>318</v>
      </c>
      <c r="C3812" s="39">
        <v>45970.0</v>
      </c>
      <c r="D3812" s="33" t="s">
        <v>435</v>
      </c>
      <c r="E3812" s="40">
        <v>164.55</v>
      </c>
      <c r="F3812" s="40">
        <v>0.0</v>
      </c>
      <c r="G3812" s="33" t="s">
        <v>450</v>
      </c>
    </row>
    <row r="3813" ht="15.75" customHeight="1">
      <c r="A3813" s="33" t="s">
        <v>7799</v>
      </c>
      <c r="B3813" s="33" t="s">
        <v>1239</v>
      </c>
      <c r="C3813" s="39">
        <v>45940.0</v>
      </c>
      <c r="D3813" s="33" t="s">
        <v>428</v>
      </c>
      <c r="E3813" s="40">
        <v>41.55</v>
      </c>
      <c r="F3813" s="40">
        <v>0.0</v>
      </c>
      <c r="G3813" s="33" t="s">
        <v>442</v>
      </c>
    </row>
    <row r="3814" ht="15.75" customHeight="1">
      <c r="A3814" s="33" t="s">
        <v>7800</v>
      </c>
      <c r="B3814" s="33" t="s">
        <v>2723</v>
      </c>
      <c r="C3814" s="39">
        <v>45993.0</v>
      </c>
      <c r="D3814" s="33" t="s">
        <v>428</v>
      </c>
      <c r="E3814" s="40">
        <v>2.21</v>
      </c>
      <c r="F3814" s="40">
        <v>0.0</v>
      </c>
      <c r="G3814" s="33" t="s">
        <v>431</v>
      </c>
    </row>
    <row r="3815" ht="15.75" customHeight="1">
      <c r="A3815" s="33" t="s">
        <v>7801</v>
      </c>
      <c r="B3815" s="33" t="s">
        <v>634</v>
      </c>
      <c r="C3815" s="39">
        <v>46167.0</v>
      </c>
      <c r="D3815" s="33" t="s">
        <v>428</v>
      </c>
      <c r="E3815" s="40">
        <v>59.49</v>
      </c>
      <c r="F3815" s="40">
        <v>0.0</v>
      </c>
      <c r="G3815" s="33" t="s">
        <v>431</v>
      </c>
    </row>
    <row r="3816" ht="15.75" customHeight="1">
      <c r="A3816" s="33" t="s">
        <v>7802</v>
      </c>
      <c r="B3816" s="33" t="s">
        <v>806</v>
      </c>
      <c r="C3816" s="39">
        <v>46095.0</v>
      </c>
      <c r="D3816" s="33" t="s">
        <v>440</v>
      </c>
      <c r="E3816" s="40">
        <v>131.97</v>
      </c>
      <c r="F3816" s="40">
        <v>0.0</v>
      </c>
      <c r="G3816" s="33" t="s">
        <v>450</v>
      </c>
    </row>
    <row r="3817" ht="15.75" customHeight="1">
      <c r="A3817" s="33" t="s">
        <v>7803</v>
      </c>
      <c r="B3817" s="33" t="s">
        <v>273</v>
      </c>
      <c r="C3817" s="39">
        <v>45952.0</v>
      </c>
      <c r="D3817" s="33" t="s">
        <v>479</v>
      </c>
      <c r="E3817" s="40">
        <v>45.68</v>
      </c>
      <c r="F3817" s="40">
        <v>0.55</v>
      </c>
      <c r="G3817" s="33" t="s">
        <v>450</v>
      </c>
    </row>
    <row r="3818" ht="15.75" customHeight="1">
      <c r="A3818" s="33" t="s">
        <v>7804</v>
      </c>
      <c r="B3818" s="33" t="s">
        <v>627</v>
      </c>
      <c r="C3818" s="39">
        <v>46063.0</v>
      </c>
      <c r="D3818" s="33" t="s">
        <v>461</v>
      </c>
      <c r="E3818" s="40">
        <v>170.08</v>
      </c>
      <c r="F3818" s="40">
        <v>3.28</v>
      </c>
      <c r="G3818" s="33" t="s">
        <v>442</v>
      </c>
    </row>
    <row r="3819" ht="15.75" customHeight="1">
      <c r="A3819" s="33" t="s">
        <v>7805</v>
      </c>
      <c r="B3819" s="33" t="s">
        <v>1368</v>
      </c>
      <c r="C3819" s="39">
        <v>46222.0</v>
      </c>
      <c r="D3819" s="33" t="s">
        <v>435</v>
      </c>
      <c r="E3819" s="40">
        <v>242.99</v>
      </c>
      <c r="F3819" s="40">
        <v>0.0</v>
      </c>
      <c r="G3819" s="33" t="s">
        <v>450</v>
      </c>
    </row>
    <row r="3820" ht="15.75" customHeight="1">
      <c r="A3820" s="33" t="s">
        <v>7806</v>
      </c>
      <c r="B3820" s="33" t="s">
        <v>1850</v>
      </c>
      <c r="C3820" s="39">
        <v>45856.0</v>
      </c>
      <c r="D3820" s="33" t="s">
        <v>435</v>
      </c>
      <c r="E3820" s="40">
        <v>88.34</v>
      </c>
      <c r="F3820" s="40">
        <v>0.0</v>
      </c>
      <c r="G3820" s="33" t="s">
        <v>450</v>
      </c>
    </row>
    <row r="3821" ht="15.75" customHeight="1">
      <c r="A3821" s="33" t="s">
        <v>7807</v>
      </c>
      <c r="B3821" s="33" t="s">
        <v>3092</v>
      </c>
      <c r="C3821" s="39">
        <v>46204.0</v>
      </c>
      <c r="D3821" s="33" t="s">
        <v>479</v>
      </c>
      <c r="E3821" s="40">
        <v>271.59</v>
      </c>
      <c r="F3821" s="40">
        <v>2.1</v>
      </c>
      <c r="G3821" s="33" t="s">
        <v>431</v>
      </c>
    </row>
    <row r="3822" ht="15.75" customHeight="1">
      <c r="A3822" s="33" t="s">
        <v>7808</v>
      </c>
      <c r="B3822" s="33" t="s">
        <v>1742</v>
      </c>
      <c r="C3822" s="39">
        <v>46026.0</v>
      </c>
      <c r="D3822" s="33" t="s">
        <v>461</v>
      </c>
      <c r="E3822" s="40">
        <v>203.35</v>
      </c>
      <c r="F3822" s="40">
        <v>2.72</v>
      </c>
      <c r="G3822" s="33" t="s">
        <v>450</v>
      </c>
    </row>
    <row r="3823" ht="15.75" customHeight="1">
      <c r="A3823" s="33" t="s">
        <v>7809</v>
      </c>
      <c r="B3823" s="33" t="s">
        <v>1176</v>
      </c>
      <c r="C3823" s="39">
        <v>45770.0</v>
      </c>
      <c r="D3823" s="33" t="s">
        <v>479</v>
      </c>
      <c r="E3823" s="40">
        <v>134.86</v>
      </c>
      <c r="F3823" s="40">
        <v>0.7</v>
      </c>
      <c r="G3823" s="33" t="s">
        <v>450</v>
      </c>
    </row>
    <row r="3824" ht="15.75" customHeight="1">
      <c r="A3824" s="33" t="s">
        <v>7810</v>
      </c>
      <c r="B3824" s="33" t="s">
        <v>558</v>
      </c>
      <c r="C3824" s="39">
        <v>46244.0</v>
      </c>
      <c r="D3824" s="33" t="s">
        <v>440</v>
      </c>
      <c r="E3824" s="40">
        <v>97.12</v>
      </c>
      <c r="F3824" s="40">
        <v>0.0</v>
      </c>
      <c r="G3824" s="33" t="s">
        <v>450</v>
      </c>
    </row>
    <row r="3825" ht="15.75" customHeight="1">
      <c r="A3825" s="33" t="s">
        <v>7811</v>
      </c>
      <c r="B3825" s="33" t="s">
        <v>1561</v>
      </c>
      <c r="C3825" s="39">
        <v>46074.0</v>
      </c>
      <c r="D3825" s="33" t="s">
        <v>479</v>
      </c>
      <c r="E3825" s="40">
        <v>90.95</v>
      </c>
      <c r="F3825" s="40">
        <v>0.97</v>
      </c>
      <c r="G3825" s="33" t="s">
        <v>450</v>
      </c>
    </row>
    <row r="3826" ht="15.75" customHeight="1">
      <c r="A3826" s="33" t="s">
        <v>7812</v>
      </c>
      <c r="B3826" s="33" t="s">
        <v>3687</v>
      </c>
      <c r="C3826" s="39">
        <v>45892.0</v>
      </c>
      <c r="D3826" s="33" t="s">
        <v>428</v>
      </c>
      <c r="E3826" s="40">
        <v>69.67</v>
      </c>
      <c r="F3826" s="40">
        <v>0.0</v>
      </c>
      <c r="G3826" s="33" t="s">
        <v>450</v>
      </c>
    </row>
    <row r="3827" ht="15.75" customHeight="1">
      <c r="A3827" s="33" t="s">
        <v>7813</v>
      </c>
      <c r="B3827" s="33" t="s">
        <v>1799</v>
      </c>
      <c r="C3827" s="39">
        <v>45788.0</v>
      </c>
      <c r="D3827" s="33" t="s">
        <v>440</v>
      </c>
      <c r="E3827" s="40">
        <v>111.52</v>
      </c>
      <c r="F3827" s="40">
        <v>0.0</v>
      </c>
      <c r="G3827" s="33" t="s">
        <v>442</v>
      </c>
    </row>
    <row r="3828" ht="15.75" customHeight="1">
      <c r="A3828" s="33" t="s">
        <v>7814</v>
      </c>
      <c r="B3828" s="33" t="s">
        <v>2914</v>
      </c>
      <c r="C3828" s="39">
        <v>46213.0</v>
      </c>
      <c r="D3828" s="33" t="s">
        <v>479</v>
      </c>
      <c r="E3828" s="40">
        <v>9.94</v>
      </c>
      <c r="F3828" s="40">
        <v>0.14</v>
      </c>
      <c r="G3828" s="33" t="s">
        <v>450</v>
      </c>
    </row>
    <row r="3829" ht="15.75" customHeight="1">
      <c r="A3829" s="33" t="s">
        <v>7815</v>
      </c>
      <c r="B3829" s="33" t="s">
        <v>696</v>
      </c>
      <c r="C3829" s="39">
        <v>46157.0</v>
      </c>
      <c r="D3829" s="33" t="s">
        <v>440</v>
      </c>
      <c r="E3829" s="40">
        <v>209.47</v>
      </c>
      <c r="F3829" s="40">
        <v>0.0</v>
      </c>
      <c r="G3829" s="33" t="s">
        <v>450</v>
      </c>
    </row>
    <row r="3830" ht="15.75" customHeight="1">
      <c r="A3830" s="33" t="s">
        <v>7816</v>
      </c>
      <c r="B3830" s="33" t="s">
        <v>659</v>
      </c>
      <c r="C3830" s="39">
        <v>45685.0</v>
      </c>
      <c r="D3830" s="33" t="s">
        <v>440</v>
      </c>
      <c r="E3830" s="40">
        <v>274.75</v>
      </c>
      <c r="F3830" s="40">
        <v>0.0</v>
      </c>
      <c r="G3830" s="33" t="s">
        <v>450</v>
      </c>
    </row>
    <row r="3831" ht="15.75" customHeight="1">
      <c r="A3831" s="33" t="s">
        <v>7817</v>
      </c>
      <c r="B3831" s="33" t="s">
        <v>905</v>
      </c>
      <c r="C3831" s="39">
        <v>46043.0</v>
      </c>
      <c r="D3831" s="33" t="s">
        <v>461</v>
      </c>
      <c r="E3831" s="40">
        <v>9.06</v>
      </c>
      <c r="F3831" s="40">
        <v>0.14</v>
      </c>
      <c r="G3831" s="33" t="s">
        <v>442</v>
      </c>
    </row>
    <row r="3832" ht="15.75" customHeight="1">
      <c r="A3832" s="33" t="s">
        <v>7818</v>
      </c>
      <c r="B3832" s="33" t="s">
        <v>504</v>
      </c>
      <c r="C3832" s="39">
        <v>45727.0</v>
      </c>
      <c r="D3832" s="33" t="s">
        <v>440</v>
      </c>
      <c r="E3832" s="40">
        <v>129.21</v>
      </c>
      <c r="F3832" s="40">
        <v>0.0</v>
      </c>
      <c r="G3832" s="33" t="s">
        <v>431</v>
      </c>
    </row>
    <row r="3833" ht="15.75" customHeight="1">
      <c r="A3833" s="33" t="s">
        <v>7819</v>
      </c>
      <c r="B3833" s="33" t="s">
        <v>186</v>
      </c>
      <c r="C3833" s="39">
        <v>45836.0</v>
      </c>
      <c r="D3833" s="33" t="s">
        <v>461</v>
      </c>
      <c r="E3833" s="40">
        <v>198.27</v>
      </c>
      <c r="F3833" s="40">
        <v>3.96</v>
      </c>
      <c r="G3833" s="33" t="s">
        <v>442</v>
      </c>
    </row>
    <row r="3834" ht="15.75" customHeight="1">
      <c r="A3834" s="33" t="s">
        <v>7820</v>
      </c>
      <c r="B3834" s="33" t="s">
        <v>2478</v>
      </c>
      <c r="C3834" s="39">
        <v>46002.0</v>
      </c>
      <c r="D3834" s="33" t="s">
        <v>435</v>
      </c>
      <c r="E3834" s="40">
        <v>82.1</v>
      </c>
      <c r="F3834" s="40">
        <v>0.0</v>
      </c>
      <c r="G3834" s="33" t="s">
        <v>450</v>
      </c>
    </row>
    <row r="3835" ht="15.75" customHeight="1">
      <c r="A3835" s="33" t="s">
        <v>7821</v>
      </c>
      <c r="B3835" s="33" t="s">
        <v>2816</v>
      </c>
      <c r="C3835" s="39">
        <v>45809.0</v>
      </c>
      <c r="D3835" s="33" t="s">
        <v>461</v>
      </c>
      <c r="E3835" s="40">
        <v>66.99</v>
      </c>
      <c r="F3835" s="40">
        <v>0.71</v>
      </c>
      <c r="G3835" s="33" t="s">
        <v>450</v>
      </c>
    </row>
    <row r="3836" ht="15.75" customHeight="1">
      <c r="A3836" s="33" t="s">
        <v>7822</v>
      </c>
      <c r="B3836" s="33" t="s">
        <v>804</v>
      </c>
      <c r="C3836" s="39">
        <v>45969.0</v>
      </c>
      <c r="D3836" s="33" t="s">
        <v>435</v>
      </c>
      <c r="E3836" s="40">
        <v>55.84</v>
      </c>
      <c r="F3836" s="40">
        <v>0.0</v>
      </c>
      <c r="G3836" s="33" t="s">
        <v>450</v>
      </c>
    </row>
    <row r="3837" ht="15.75" customHeight="1">
      <c r="A3837" s="33" t="s">
        <v>7823</v>
      </c>
      <c r="B3837" s="33" t="s">
        <v>1289</v>
      </c>
      <c r="C3837" s="39">
        <v>45918.0</v>
      </c>
      <c r="D3837" s="33" t="s">
        <v>440</v>
      </c>
      <c r="E3837" s="40">
        <v>47.56</v>
      </c>
      <c r="F3837" s="40">
        <v>0.0</v>
      </c>
      <c r="G3837" s="33" t="s">
        <v>450</v>
      </c>
    </row>
    <row r="3838" ht="15.75" customHeight="1">
      <c r="A3838" s="33" t="s">
        <v>7824</v>
      </c>
      <c r="B3838" s="33" t="s">
        <v>1834</v>
      </c>
      <c r="C3838" s="39">
        <v>46010.0</v>
      </c>
      <c r="D3838" s="33" t="s">
        <v>428</v>
      </c>
      <c r="E3838" s="40">
        <v>93.99</v>
      </c>
      <c r="F3838" s="40">
        <v>0.0</v>
      </c>
      <c r="G3838" s="33" t="s">
        <v>450</v>
      </c>
    </row>
    <row r="3839" ht="15.75" customHeight="1">
      <c r="A3839" s="33" t="s">
        <v>7825</v>
      </c>
      <c r="B3839" s="33" t="s">
        <v>1113</v>
      </c>
      <c r="C3839" s="39">
        <v>46144.0</v>
      </c>
      <c r="D3839" s="33" t="s">
        <v>440</v>
      </c>
      <c r="E3839" s="40">
        <v>169.14</v>
      </c>
      <c r="F3839" s="40">
        <v>0.0</v>
      </c>
      <c r="G3839" s="33" t="s">
        <v>450</v>
      </c>
    </row>
    <row r="3840" ht="15.75" customHeight="1">
      <c r="A3840" s="33" t="s">
        <v>7826</v>
      </c>
      <c r="B3840" s="33" t="s">
        <v>1561</v>
      </c>
      <c r="C3840" s="39">
        <v>45752.0</v>
      </c>
      <c r="D3840" s="33" t="s">
        <v>461</v>
      </c>
      <c r="E3840" s="40">
        <v>11.31</v>
      </c>
      <c r="F3840" s="40">
        <v>0.21</v>
      </c>
      <c r="G3840" s="33" t="s">
        <v>450</v>
      </c>
    </row>
    <row r="3841" ht="15.75" customHeight="1">
      <c r="A3841" s="33" t="s">
        <v>7827</v>
      </c>
      <c r="B3841" s="33" t="s">
        <v>1147</v>
      </c>
      <c r="C3841" s="39">
        <v>46141.0</v>
      </c>
      <c r="D3841" s="33" t="s">
        <v>440</v>
      </c>
      <c r="E3841" s="40">
        <v>32.46</v>
      </c>
      <c r="F3841" s="40">
        <v>0.0</v>
      </c>
      <c r="G3841" s="33" t="s">
        <v>450</v>
      </c>
    </row>
    <row r="3842" ht="15.75" customHeight="1">
      <c r="A3842" s="33" t="s">
        <v>7828</v>
      </c>
      <c r="B3842" s="33" t="s">
        <v>2515</v>
      </c>
      <c r="C3842" s="39">
        <v>45792.0</v>
      </c>
      <c r="D3842" s="33" t="s">
        <v>428</v>
      </c>
      <c r="E3842" s="40">
        <v>44.76</v>
      </c>
      <c r="F3842" s="40">
        <v>0.0</v>
      </c>
      <c r="G3842" s="33" t="s">
        <v>450</v>
      </c>
    </row>
    <row r="3843" ht="15.75" customHeight="1">
      <c r="A3843" s="33" t="s">
        <v>7829</v>
      </c>
      <c r="B3843" s="33" t="s">
        <v>350</v>
      </c>
      <c r="C3843" s="39">
        <v>45678.0</v>
      </c>
      <c r="D3843" s="33" t="s">
        <v>428</v>
      </c>
      <c r="E3843" s="40">
        <v>18.18</v>
      </c>
      <c r="F3843" s="40">
        <v>0.0</v>
      </c>
      <c r="G3843" s="33" t="s">
        <v>450</v>
      </c>
    </row>
    <row r="3844" ht="15.75" customHeight="1">
      <c r="A3844" s="33" t="s">
        <v>7830</v>
      </c>
      <c r="B3844" s="33" t="s">
        <v>1294</v>
      </c>
      <c r="C3844" s="39">
        <v>45928.0</v>
      </c>
      <c r="D3844" s="33" t="s">
        <v>428</v>
      </c>
      <c r="E3844" s="40">
        <v>119.4</v>
      </c>
      <c r="F3844" s="40">
        <v>0.0</v>
      </c>
      <c r="G3844" s="33" t="s">
        <v>450</v>
      </c>
    </row>
    <row r="3845" ht="15.75" customHeight="1">
      <c r="A3845" s="33" t="s">
        <v>7831</v>
      </c>
      <c r="B3845" s="33" t="s">
        <v>583</v>
      </c>
      <c r="C3845" s="39">
        <v>45841.0</v>
      </c>
      <c r="D3845" s="33" t="s">
        <v>440</v>
      </c>
      <c r="E3845" s="40">
        <v>108.29</v>
      </c>
      <c r="F3845" s="40">
        <v>0.0</v>
      </c>
      <c r="G3845" s="33" t="s">
        <v>431</v>
      </c>
    </row>
    <row r="3846" ht="15.75" customHeight="1">
      <c r="A3846" s="33" t="s">
        <v>7832</v>
      </c>
      <c r="B3846" s="33" t="s">
        <v>275</v>
      </c>
      <c r="C3846" s="39">
        <v>45770.0</v>
      </c>
      <c r="D3846" s="33" t="s">
        <v>440</v>
      </c>
      <c r="E3846" s="40">
        <v>140.63</v>
      </c>
      <c r="F3846" s="40">
        <v>0.0</v>
      </c>
      <c r="G3846" s="33" t="s">
        <v>450</v>
      </c>
    </row>
    <row r="3847" ht="15.75" customHeight="1">
      <c r="A3847" s="33" t="s">
        <v>7833</v>
      </c>
      <c r="B3847" s="33" t="s">
        <v>566</v>
      </c>
      <c r="C3847" s="39">
        <v>45914.0</v>
      </c>
      <c r="D3847" s="33" t="s">
        <v>461</v>
      </c>
      <c r="E3847" s="40">
        <v>7.09</v>
      </c>
      <c r="F3847" s="40">
        <v>0.04</v>
      </c>
      <c r="G3847" s="33" t="s">
        <v>450</v>
      </c>
    </row>
    <row r="3848" ht="15.75" customHeight="1">
      <c r="A3848" s="33" t="s">
        <v>7834</v>
      </c>
      <c r="B3848" s="33" t="s">
        <v>2914</v>
      </c>
      <c r="C3848" s="39">
        <v>46185.0</v>
      </c>
      <c r="D3848" s="33" t="s">
        <v>428</v>
      </c>
      <c r="E3848" s="40">
        <v>129.0</v>
      </c>
      <c r="F3848" s="40">
        <v>0.0</v>
      </c>
      <c r="G3848" s="33" t="s">
        <v>450</v>
      </c>
    </row>
    <row r="3849" ht="15.75" customHeight="1">
      <c r="A3849" s="33" t="s">
        <v>7835</v>
      </c>
      <c r="B3849" s="33" t="s">
        <v>1360</v>
      </c>
      <c r="C3849" s="39">
        <v>46013.0</v>
      </c>
      <c r="D3849" s="33" t="s">
        <v>479</v>
      </c>
      <c r="E3849" s="40">
        <v>168.47</v>
      </c>
      <c r="F3849" s="40">
        <v>2.82</v>
      </c>
      <c r="G3849" s="33" t="s">
        <v>450</v>
      </c>
    </row>
    <row r="3850" ht="15.75" customHeight="1">
      <c r="A3850" s="33" t="s">
        <v>7836</v>
      </c>
      <c r="B3850" s="33" t="s">
        <v>511</v>
      </c>
      <c r="C3850" s="39">
        <v>46099.0</v>
      </c>
      <c r="D3850" s="33" t="s">
        <v>461</v>
      </c>
      <c r="E3850" s="40">
        <v>121.1</v>
      </c>
      <c r="F3850" s="40">
        <v>0.61</v>
      </c>
      <c r="G3850" s="33" t="s">
        <v>431</v>
      </c>
    </row>
    <row r="3851" ht="15.75" customHeight="1">
      <c r="A3851" s="33" t="s">
        <v>7837</v>
      </c>
      <c r="B3851" s="33" t="s">
        <v>2165</v>
      </c>
      <c r="C3851" s="39">
        <v>45748.0</v>
      </c>
      <c r="D3851" s="33" t="s">
        <v>428</v>
      </c>
      <c r="E3851" s="40">
        <v>77.15</v>
      </c>
      <c r="F3851" s="40">
        <v>0.0</v>
      </c>
      <c r="G3851" s="33" t="s">
        <v>442</v>
      </c>
    </row>
    <row r="3852" ht="15.75" customHeight="1">
      <c r="A3852" s="33" t="s">
        <v>7838</v>
      </c>
      <c r="B3852" s="33" t="s">
        <v>1735</v>
      </c>
      <c r="C3852" s="39">
        <v>45704.0</v>
      </c>
      <c r="D3852" s="33" t="s">
        <v>461</v>
      </c>
      <c r="E3852" s="40">
        <v>69.03</v>
      </c>
      <c r="F3852" s="40">
        <v>1.3</v>
      </c>
      <c r="G3852" s="33" t="s">
        <v>450</v>
      </c>
    </row>
    <row r="3853" ht="15.75" customHeight="1">
      <c r="A3853" s="33" t="s">
        <v>7839</v>
      </c>
      <c r="B3853" s="33" t="s">
        <v>469</v>
      </c>
      <c r="C3853" s="39">
        <v>45861.0</v>
      </c>
      <c r="D3853" s="33" t="s">
        <v>440</v>
      </c>
      <c r="E3853" s="40">
        <v>100.92</v>
      </c>
      <c r="F3853" s="40">
        <v>0.0</v>
      </c>
      <c r="G3853" s="33" t="s">
        <v>450</v>
      </c>
    </row>
    <row r="3854" ht="15.75" customHeight="1">
      <c r="A3854" s="33" t="s">
        <v>7840</v>
      </c>
      <c r="B3854" s="33" t="s">
        <v>801</v>
      </c>
      <c r="C3854" s="39">
        <v>46128.0</v>
      </c>
      <c r="D3854" s="33" t="s">
        <v>440</v>
      </c>
      <c r="E3854" s="40">
        <v>92.42</v>
      </c>
      <c r="F3854" s="40">
        <v>0.0</v>
      </c>
      <c r="G3854" s="33" t="s">
        <v>450</v>
      </c>
    </row>
    <row r="3855" ht="15.75" customHeight="1">
      <c r="A3855" s="33" t="s">
        <v>7841</v>
      </c>
      <c r="B3855" s="33" t="s">
        <v>1490</v>
      </c>
      <c r="C3855" s="39">
        <v>46195.0</v>
      </c>
      <c r="D3855" s="33" t="s">
        <v>479</v>
      </c>
      <c r="E3855" s="40">
        <v>45.95</v>
      </c>
      <c r="F3855" s="40">
        <v>0.56</v>
      </c>
      <c r="G3855" s="33" t="s">
        <v>450</v>
      </c>
    </row>
    <row r="3856" ht="15.75" customHeight="1">
      <c r="A3856" s="33" t="s">
        <v>7842</v>
      </c>
      <c r="B3856" s="33" t="s">
        <v>469</v>
      </c>
      <c r="C3856" s="39">
        <v>45719.0</v>
      </c>
      <c r="D3856" s="33" t="s">
        <v>479</v>
      </c>
      <c r="E3856" s="40">
        <v>7.93</v>
      </c>
      <c r="F3856" s="40">
        <v>0.14</v>
      </c>
      <c r="G3856" s="33" t="s">
        <v>442</v>
      </c>
    </row>
    <row r="3857" ht="15.75" customHeight="1">
      <c r="A3857" s="33" t="s">
        <v>7843</v>
      </c>
      <c r="B3857" s="33" t="s">
        <v>1530</v>
      </c>
      <c r="C3857" s="39">
        <v>45947.0</v>
      </c>
      <c r="D3857" s="33" t="s">
        <v>428</v>
      </c>
      <c r="E3857" s="40">
        <v>51.65</v>
      </c>
      <c r="F3857" s="40">
        <v>0.0</v>
      </c>
      <c r="G3857" s="33" t="s">
        <v>431</v>
      </c>
    </row>
    <row r="3858" ht="15.75" customHeight="1">
      <c r="A3858" s="33" t="s">
        <v>7844</v>
      </c>
      <c r="B3858" s="33" t="s">
        <v>438</v>
      </c>
      <c r="C3858" s="39">
        <v>45898.0</v>
      </c>
      <c r="D3858" s="33" t="s">
        <v>440</v>
      </c>
      <c r="E3858" s="40">
        <v>253.82</v>
      </c>
      <c r="F3858" s="40">
        <v>0.0</v>
      </c>
      <c r="G3858" s="33" t="s">
        <v>450</v>
      </c>
    </row>
    <row r="3859" ht="15.75" customHeight="1">
      <c r="A3859" s="33" t="s">
        <v>7845</v>
      </c>
      <c r="B3859" s="33" t="s">
        <v>1300</v>
      </c>
      <c r="C3859" s="39">
        <v>46109.0</v>
      </c>
      <c r="D3859" s="33" t="s">
        <v>435</v>
      </c>
      <c r="E3859" s="40">
        <v>9.58</v>
      </c>
      <c r="F3859" s="40">
        <v>0.0</v>
      </c>
      <c r="G3859" s="33" t="s">
        <v>442</v>
      </c>
    </row>
    <row r="3860" ht="15.75" customHeight="1">
      <c r="A3860" s="33" t="s">
        <v>7846</v>
      </c>
      <c r="B3860" s="33" t="s">
        <v>521</v>
      </c>
      <c r="C3860" s="39">
        <v>45782.0</v>
      </c>
      <c r="D3860" s="33" t="s">
        <v>440</v>
      </c>
      <c r="E3860" s="40">
        <v>91.29</v>
      </c>
      <c r="F3860" s="40">
        <v>0.0</v>
      </c>
      <c r="G3860" s="33" t="s">
        <v>450</v>
      </c>
    </row>
    <row r="3861" ht="15.75" customHeight="1">
      <c r="A3861" s="33" t="s">
        <v>7847</v>
      </c>
      <c r="B3861" s="33" t="s">
        <v>2073</v>
      </c>
      <c r="C3861" s="39">
        <v>45952.0</v>
      </c>
      <c r="D3861" s="33" t="s">
        <v>479</v>
      </c>
      <c r="E3861" s="40">
        <v>214.49</v>
      </c>
      <c r="F3861" s="40">
        <v>1.94</v>
      </c>
      <c r="G3861" s="33" t="s">
        <v>450</v>
      </c>
    </row>
    <row r="3862" ht="15.75" customHeight="1">
      <c r="A3862" s="33" t="s">
        <v>7848</v>
      </c>
      <c r="B3862" s="33" t="s">
        <v>513</v>
      </c>
      <c r="C3862" s="39">
        <v>46173.0</v>
      </c>
      <c r="D3862" s="33" t="s">
        <v>440</v>
      </c>
      <c r="E3862" s="40">
        <v>143.05</v>
      </c>
      <c r="F3862" s="40">
        <v>0.0</v>
      </c>
      <c r="G3862" s="33" t="s">
        <v>431</v>
      </c>
    </row>
    <row r="3863" ht="15.75" customHeight="1">
      <c r="A3863" s="33" t="s">
        <v>7849</v>
      </c>
      <c r="B3863" s="33" t="s">
        <v>2340</v>
      </c>
      <c r="C3863" s="39">
        <v>45940.0</v>
      </c>
      <c r="D3863" s="33" t="s">
        <v>440</v>
      </c>
      <c r="E3863" s="40">
        <v>158.69</v>
      </c>
      <c r="F3863" s="40">
        <v>0.0</v>
      </c>
      <c r="G3863" s="33" t="s">
        <v>450</v>
      </c>
    </row>
    <row r="3864" ht="15.75" customHeight="1">
      <c r="A3864" s="33" t="s">
        <v>7850</v>
      </c>
      <c r="B3864" s="33" t="s">
        <v>1490</v>
      </c>
      <c r="C3864" s="39">
        <v>46132.0</v>
      </c>
      <c r="D3864" s="33" t="s">
        <v>440</v>
      </c>
      <c r="E3864" s="40">
        <v>146.49</v>
      </c>
      <c r="F3864" s="40">
        <v>0.0</v>
      </c>
      <c r="G3864" s="33" t="s">
        <v>450</v>
      </c>
    </row>
    <row r="3865" ht="15.75" customHeight="1">
      <c r="A3865" s="33" t="s">
        <v>7851</v>
      </c>
      <c r="B3865" s="33" t="s">
        <v>504</v>
      </c>
      <c r="C3865" s="39">
        <v>46035.0</v>
      </c>
      <c r="D3865" s="33" t="s">
        <v>428</v>
      </c>
      <c r="E3865" s="40">
        <v>18.41</v>
      </c>
      <c r="F3865" s="40">
        <v>0.0</v>
      </c>
      <c r="G3865" s="33" t="s">
        <v>450</v>
      </c>
    </row>
    <row r="3866" ht="15.75" customHeight="1">
      <c r="A3866" s="33" t="s">
        <v>7852</v>
      </c>
      <c r="B3866" s="33" t="s">
        <v>1010</v>
      </c>
      <c r="C3866" s="39">
        <v>46020.0</v>
      </c>
      <c r="D3866" s="33" t="s">
        <v>479</v>
      </c>
      <c r="E3866" s="40">
        <v>189.01</v>
      </c>
      <c r="F3866" s="40">
        <v>1.58</v>
      </c>
      <c r="G3866" s="33" t="s">
        <v>450</v>
      </c>
    </row>
    <row r="3867" ht="15.75" customHeight="1">
      <c r="A3867" s="33" t="s">
        <v>7853</v>
      </c>
      <c r="B3867" s="33" t="s">
        <v>2821</v>
      </c>
      <c r="C3867" s="39">
        <v>45815.0</v>
      </c>
      <c r="D3867" s="33" t="s">
        <v>461</v>
      </c>
      <c r="E3867" s="40">
        <v>207.35</v>
      </c>
      <c r="F3867" s="40">
        <v>3.65</v>
      </c>
      <c r="G3867" s="33" t="s">
        <v>450</v>
      </c>
    </row>
    <row r="3868" ht="15.75" customHeight="1">
      <c r="A3868" s="33" t="s">
        <v>7854</v>
      </c>
      <c r="B3868" s="33" t="s">
        <v>1224</v>
      </c>
      <c r="C3868" s="39">
        <v>46260.0</v>
      </c>
      <c r="D3868" s="33" t="s">
        <v>479</v>
      </c>
      <c r="E3868" s="40">
        <v>24.74</v>
      </c>
      <c r="F3868" s="40">
        <v>0.38</v>
      </c>
      <c r="G3868" s="33" t="s">
        <v>450</v>
      </c>
    </row>
    <row r="3869" ht="15.75" customHeight="1">
      <c r="A3869" s="33" t="s">
        <v>7855</v>
      </c>
      <c r="B3869" s="33" t="s">
        <v>880</v>
      </c>
      <c r="C3869" s="39">
        <v>45809.0</v>
      </c>
      <c r="D3869" s="33" t="s">
        <v>435</v>
      </c>
      <c r="E3869" s="40">
        <v>55.46</v>
      </c>
      <c r="F3869" s="40">
        <v>0.0</v>
      </c>
      <c r="G3869" s="33" t="s">
        <v>450</v>
      </c>
    </row>
    <row r="3870" ht="15.75" customHeight="1">
      <c r="A3870" s="33" t="s">
        <v>7856</v>
      </c>
      <c r="B3870" s="33" t="s">
        <v>1805</v>
      </c>
      <c r="C3870" s="39">
        <v>46223.0</v>
      </c>
      <c r="D3870" s="33" t="s">
        <v>440</v>
      </c>
      <c r="E3870" s="40">
        <v>83.04</v>
      </c>
      <c r="F3870" s="40">
        <v>0.0</v>
      </c>
      <c r="G3870" s="33" t="s">
        <v>442</v>
      </c>
    </row>
    <row r="3871" ht="15.75" customHeight="1">
      <c r="A3871" s="33" t="s">
        <v>7857</v>
      </c>
      <c r="B3871" s="33" t="s">
        <v>740</v>
      </c>
      <c r="C3871" s="39">
        <v>46258.0</v>
      </c>
      <c r="D3871" s="33" t="s">
        <v>428</v>
      </c>
      <c r="E3871" s="40">
        <v>56.02</v>
      </c>
      <c r="F3871" s="40">
        <v>0.0</v>
      </c>
      <c r="G3871" s="33" t="s">
        <v>450</v>
      </c>
    </row>
    <row r="3872" ht="15.75" customHeight="1">
      <c r="A3872" s="33" t="s">
        <v>7858</v>
      </c>
      <c r="B3872" s="33" t="s">
        <v>1637</v>
      </c>
      <c r="C3872" s="39">
        <v>45968.0</v>
      </c>
      <c r="D3872" s="33" t="s">
        <v>479</v>
      </c>
      <c r="E3872" s="40">
        <v>42.52</v>
      </c>
      <c r="F3872" s="40">
        <v>0.36</v>
      </c>
      <c r="G3872" s="33" t="s">
        <v>450</v>
      </c>
    </row>
    <row r="3873" ht="15.75" customHeight="1">
      <c r="A3873" s="33" t="s">
        <v>7859</v>
      </c>
      <c r="B3873" s="33" t="s">
        <v>2953</v>
      </c>
      <c r="C3873" s="39">
        <v>46185.0</v>
      </c>
      <c r="D3873" s="33" t="s">
        <v>461</v>
      </c>
      <c r="E3873" s="40">
        <v>43.4</v>
      </c>
      <c r="F3873" s="40">
        <v>0.4</v>
      </c>
      <c r="G3873" s="33" t="s">
        <v>431</v>
      </c>
    </row>
    <row r="3874" ht="15.75" customHeight="1">
      <c r="A3874" s="33" t="s">
        <v>7860</v>
      </c>
      <c r="B3874" s="33" t="s">
        <v>1850</v>
      </c>
      <c r="C3874" s="39">
        <v>46092.0</v>
      </c>
      <c r="D3874" s="33" t="s">
        <v>461</v>
      </c>
      <c r="E3874" s="40">
        <v>128.69</v>
      </c>
      <c r="F3874" s="40">
        <v>2.36</v>
      </c>
      <c r="G3874" s="33" t="s">
        <v>450</v>
      </c>
    </row>
    <row r="3875" ht="15.75" customHeight="1">
      <c r="A3875" s="33" t="s">
        <v>7861</v>
      </c>
      <c r="B3875" s="33" t="s">
        <v>553</v>
      </c>
      <c r="C3875" s="39">
        <v>46105.0</v>
      </c>
      <c r="D3875" s="33" t="s">
        <v>479</v>
      </c>
      <c r="E3875" s="40">
        <v>155.4</v>
      </c>
      <c r="F3875" s="40">
        <v>2.91</v>
      </c>
      <c r="G3875" s="33" t="s">
        <v>450</v>
      </c>
    </row>
    <row r="3876" ht="15.75" customHeight="1">
      <c r="A3876" s="33" t="s">
        <v>7862</v>
      </c>
      <c r="B3876" s="33" t="s">
        <v>1224</v>
      </c>
      <c r="C3876" s="39">
        <v>45699.0</v>
      </c>
      <c r="D3876" s="33" t="s">
        <v>479</v>
      </c>
      <c r="E3876" s="40">
        <v>43.56</v>
      </c>
      <c r="F3876" s="40">
        <v>0.39</v>
      </c>
      <c r="G3876" s="33" t="s">
        <v>431</v>
      </c>
    </row>
    <row r="3877" ht="15.75" customHeight="1">
      <c r="A3877" s="33" t="s">
        <v>7863</v>
      </c>
      <c r="B3877" s="33" t="s">
        <v>284</v>
      </c>
      <c r="C3877" s="39">
        <v>45741.0</v>
      </c>
      <c r="D3877" s="33" t="s">
        <v>440</v>
      </c>
      <c r="E3877" s="40">
        <v>154.69</v>
      </c>
      <c r="F3877" s="40">
        <v>0.0</v>
      </c>
      <c r="G3877" s="33" t="s">
        <v>442</v>
      </c>
    </row>
    <row r="3878" ht="15.75" customHeight="1">
      <c r="A3878" s="33" t="s">
        <v>7864</v>
      </c>
      <c r="B3878" s="33" t="s">
        <v>426</v>
      </c>
      <c r="C3878" s="39">
        <v>45700.0</v>
      </c>
      <c r="D3878" s="33" t="s">
        <v>440</v>
      </c>
      <c r="E3878" s="40">
        <v>55.81</v>
      </c>
      <c r="F3878" s="40">
        <v>0.0</v>
      </c>
      <c r="G3878" s="33" t="s">
        <v>442</v>
      </c>
    </row>
    <row r="3879" ht="15.75" customHeight="1">
      <c r="A3879" s="33" t="s">
        <v>7865</v>
      </c>
      <c r="B3879" s="33" t="s">
        <v>1444</v>
      </c>
      <c r="C3879" s="39">
        <v>45676.0</v>
      </c>
      <c r="D3879" s="33" t="s">
        <v>435</v>
      </c>
      <c r="E3879" s="40">
        <v>26.4</v>
      </c>
      <c r="F3879" s="40">
        <v>0.0</v>
      </c>
      <c r="G3879" s="33" t="s">
        <v>450</v>
      </c>
    </row>
    <row r="3880" ht="15.75" customHeight="1">
      <c r="A3880" s="33" t="s">
        <v>7866</v>
      </c>
      <c r="B3880" s="33" t="s">
        <v>2317</v>
      </c>
      <c r="C3880" s="39">
        <v>46165.0</v>
      </c>
      <c r="D3880" s="33" t="s">
        <v>440</v>
      </c>
      <c r="E3880" s="40">
        <v>99.1</v>
      </c>
      <c r="F3880" s="40">
        <v>0.0</v>
      </c>
      <c r="G3880" s="33" t="s">
        <v>450</v>
      </c>
    </row>
    <row r="3881" ht="15.75" customHeight="1">
      <c r="A3881" s="33" t="s">
        <v>7867</v>
      </c>
      <c r="B3881" s="33" t="s">
        <v>1251</v>
      </c>
      <c r="C3881" s="39">
        <v>45764.0</v>
      </c>
      <c r="D3881" s="33" t="s">
        <v>461</v>
      </c>
      <c r="E3881" s="40">
        <v>80.17</v>
      </c>
      <c r="F3881" s="40">
        <v>0.87</v>
      </c>
      <c r="G3881" s="33" t="s">
        <v>450</v>
      </c>
    </row>
    <row r="3882" ht="15.75" customHeight="1">
      <c r="A3882" s="33" t="s">
        <v>7868</v>
      </c>
      <c r="B3882" s="33" t="s">
        <v>783</v>
      </c>
      <c r="C3882" s="39">
        <v>45661.0</v>
      </c>
      <c r="D3882" s="33" t="s">
        <v>428</v>
      </c>
      <c r="E3882" s="40">
        <v>101.86</v>
      </c>
      <c r="F3882" s="40">
        <v>0.0</v>
      </c>
      <c r="G3882" s="33" t="s">
        <v>431</v>
      </c>
    </row>
    <row r="3883" ht="15.75" customHeight="1">
      <c r="A3883" s="33" t="s">
        <v>7869</v>
      </c>
      <c r="B3883" s="33" t="s">
        <v>686</v>
      </c>
      <c r="C3883" s="39">
        <v>46227.0</v>
      </c>
      <c r="D3883" s="33" t="s">
        <v>479</v>
      </c>
      <c r="E3883" s="40">
        <v>100.65</v>
      </c>
      <c r="F3883" s="40">
        <v>0.97</v>
      </c>
      <c r="G3883" s="33" t="s">
        <v>450</v>
      </c>
    </row>
    <row r="3884" ht="15.75" customHeight="1">
      <c r="A3884" s="33" t="s">
        <v>7870</v>
      </c>
      <c r="B3884" s="33" t="s">
        <v>255</v>
      </c>
      <c r="C3884" s="39">
        <v>45827.0</v>
      </c>
      <c r="D3884" s="33" t="s">
        <v>461</v>
      </c>
      <c r="E3884" s="40">
        <v>93.06</v>
      </c>
      <c r="F3884" s="40">
        <v>1.19</v>
      </c>
      <c r="G3884" s="33" t="s">
        <v>442</v>
      </c>
    </row>
    <row r="3885" ht="15.75" customHeight="1">
      <c r="A3885" s="33" t="s">
        <v>7871</v>
      </c>
      <c r="B3885" s="33" t="s">
        <v>1043</v>
      </c>
      <c r="C3885" s="39">
        <v>46153.0</v>
      </c>
      <c r="D3885" s="33" t="s">
        <v>428</v>
      </c>
      <c r="E3885" s="40">
        <v>73.23</v>
      </c>
      <c r="F3885" s="40">
        <v>0.0</v>
      </c>
      <c r="G3885" s="33" t="s">
        <v>450</v>
      </c>
    </row>
    <row r="3886" ht="15.75" customHeight="1">
      <c r="A3886" s="33" t="s">
        <v>7872</v>
      </c>
      <c r="B3886" s="33" t="s">
        <v>3985</v>
      </c>
      <c r="C3886" s="39">
        <v>46241.0</v>
      </c>
      <c r="D3886" s="33" t="s">
        <v>461</v>
      </c>
      <c r="E3886" s="40">
        <v>152.31</v>
      </c>
      <c r="F3886" s="40">
        <v>2.34</v>
      </c>
      <c r="G3886" s="33" t="s">
        <v>450</v>
      </c>
    </row>
    <row r="3887" ht="15.75" customHeight="1">
      <c r="A3887" s="33" t="s">
        <v>7873</v>
      </c>
      <c r="B3887" s="33" t="s">
        <v>675</v>
      </c>
      <c r="C3887" s="39">
        <v>45975.0</v>
      </c>
      <c r="D3887" s="33" t="s">
        <v>440</v>
      </c>
      <c r="E3887" s="40">
        <v>121.88</v>
      </c>
      <c r="F3887" s="40">
        <v>0.0</v>
      </c>
      <c r="G3887" s="33" t="s">
        <v>442</v>
      </c>
    </row>
    <row r="3888" ht="15.75" customHeight="1">
      <c r="A3888" s="33" t="s">
        <v>7874</v>
      </c>
      <c r="B3888" s="33" t="s">
        <v>1669</v>
      </c>
      <c r="C3888" s="39">
        <v>46220.0</v>
      </c>
      <c r="D3888" s="33" t="s">
        <v>440</v>
      </c>
      <c r="E3888" s="40">
        <v>57.42</v>
      </c>
      <c r="F3888" s="40">
        <v>0.0</v>
      </c>
      <c r="G3888" s="33" t="s">
        <v>450</v>
      </c>
    </row>
    <row r="3889" ht="15.75" customHeight="1">
      <c r="A3889" s="33" t="s">
        <v>7875</v>
      </c>
      <c r="B3889" s="33" t="s">
        <v>2231</v>
      </c>
      <c r="C3889" s="39">
        <v>46246.0</v>
      </c>
      <c r="D3889" s="33" t="s">
        <v>461</v>
      </c>
      <c r="E3889" s="40">
        <v>56.28</v>
      </c>
      <c r="F3889" s="40">
        <v>0.73</v>
      </c>
      <c r="G3889" s="33" t="s">
        <v>450</v>
      </c>
    </row>
    <row r="3890" ht="15.75" customHeight="1">
      <c r="A3890" s="33" t="s">
        <v>7876</v>
      </c>
      <c r="B3890" s="33" t="s">
        <v>1314</v>
      </c>
      <c r="C3890" s="39">
        <v>45745.0</v>
      </c>
      <c r="D3890" s="33" t="s">
        <v>440</v>
      </c>
      <c r="E3890" s="40">
        <v>16.74</v>
      </c>
      <c r="F3890" s="40">
        <v>0.0</v>
      </c>
      <c r="G3890" s="33" t="s">
        <v>450</v>
      </c>
    </row>
    <row r="3891" ht="15.75" customHeight="1">
      <c r="A3891" s="33" t="s">
        <v>7877</v>
      </c>
      <c r="B3891" s="33" t="s">
        <v>905</v>
      </c>
      <c r="C3891" s="39">
        <v>45746.0</v>
      </c>
      <c r="D3891" s="33" t="s">
        <v>440</v>
      </c>
      <c r="E3891" s="40">
        <v>19.64</v>
      </c>
      <c r="F3891" s="40">
        <v>0.0</v>
      </c>
      <c r="G3891" s="33" t="s">
        <v>431</v>
      </c>
    </row>
    <row r="3892" ht="15.75" customHeight="1">
      <c r="A3892" s="33" t="s">
        <v>7878</v>
      </c>
      <c r="B3892" s="33" t="s">
        <v>763</v>
      </c>
      <c r="C3892" s="39">
        <v>45882.0</v>
      </c>
      <c r="D3892" s="33" t="s">
        <v>479</v>
      </c>
      <c r="E3892" s="40">
        <v>69.24</v>
      </c>
      <c r="F3892" s="40">
        <v>0.77</v>
      </c>
      <c r="G3892" s="33" t="s">
        <v>450</v>
      </c>
    </row>
    <row r="3893" ht="15.75" customHeight="1">
      <c r="A3893" s="33" t="s">
        <v>7879</v>
      </c>
      <c r="B3893" s="33" t="s">
        <v>558</v>
      </c>
      <c r="C3893" s="39">
        <v>45997.0</v>
      </c>
      <c r="D3893" s="33" t="s">
        <v>461</v>
      </c>
      <c r="E3893" s="40">
        <v>139.11</v>
      </c>
      <c r="F3893" s="40">
        <v>1.52</v>
      </c>
      <c r="G3893" s="33" t="s">
        <v>442</v>
      </c>
    </row>
    <row r="3894" ht="15.75" customHeight="1">
      <c r="A3894" s="33" t="s">
        <v>7880</v>
      </c>
      <c r="B3894" s="33" t="s">
        <v>360</v>
      </c>
      <c r="C3894" s="39">
        <v>46135.0</v>
      </c>
      <c r="D3894" s="33" t="s">
        <v>440</v>
      </c>
      <c r="E3894" s="40">
        <v>37.52</v>
      </c>
      <c r="F3894" s="40">
        <v>0.0</v>
      </c>
      <c r="G3894" s="33" t="s">
        <v>431</v>
      </c>
    </row>
    <row r="3895" ht="15.75" customHeight="1">
      <c r="A3895" s="33" t="s">
        <v>7881</v>
      </c>
      <c r="B3895" s="33" t="s">
        <v>992</v>
      </c>
      <c r="C3895" s="39">
        <v>45769.0</v>
      </c>
      <c r="D3895" s="33" t="s">
        <v>435</v>
      </c>
      <c r="E3895" s="40">
        <v>125.81</v>
      </c>
      <c r="F3895" s="40">
        <v>0.0</v>
      </c>
      <c r="G3895" s="33" t="s">
        <v>450</v>
      </c>
    </row>
    <row r="3896" ht="15.75" customHeight="1">
      <c r="A3896" s="33" t="s">
        <v>7882</v>
      </c>
      <c r="B3896" s="33" t="s">
        <v>2086</v>
      </c>
      <c r="C3896" s="39">
        <v>45775.0</v>
      </c>
      <c r="D3896" s="33" t="s">
        <v>461</v>
      </c>
      <c r="E3896" s="40">
        <v>90.63</v>
      </c>
      <c r="F3896" s="40">
        <v>1.21</v>
      </c>
      <c r="G3896" s="33" t="s">
        <v>450</v>
      </c>
    </row>
    <row r="3897" ht="15.75" customHeight="1">
      <c r="A3897" s="33" t="s">
        <v>7883</v>
      </c>
      <c r="B3897" s="33" t="s">
        <v>2676</v>
      </c>
      <c r="C3897" s="39">
        <v>45844.0</v>
      </c>
      <c r="D3897" s="33" t="s">
        <v>440</v>
      </c>
      <c r="E3897" s="40">
        <v>39.65</v>
      </c>
      <c r="F3897" s="40">
        <v>0.0</v>
      </c>
      <c r="G3897" s="33" t="s">
        <v>450</v>
      </c>
    </row>
    <row r="3898" ht="15.75" customHeight="1">
      <c r="A3898" s="33" t="s">
        <v>7884</v>
      </c>
      <c r="B3898" s="33" t="s">
        <v>322</v>
      </c>
      <c r="C3898" s="39">
        <v>45822.0</v>
      </c>
      <c r="D3898" s="33" t="s">
        <v>461</v>
      </c>
      <c r="E3898" s="40">
        <v>82.45</v>
      </c>
      <c r="F3898" s="40">
        <v>1.08</v>
      </c>
      <c r="G3898" s="33" t="s">
        <v>450</v>
      </c>
    </row>
    <row r="3899" ht="15.75" customHeight="1">
      <c r="A3899" s="33" t="s">
        <v>7885</v>
      </c>
      <c r="B3899" s="33" t="s">
        <v>740</v>
      </c>
      <c r="C3899" s="39">
        <v>46228.0</v>
      </c>
      <c r="D3899" s="33" t="s">
        <v>435</v>
      </c>
      <c r="E3899" s="40">
        <v>80.04</v>
      </c>
      <c r="F3899" s="40">
        <v>0.0</v>
      </c>
      <c r="G3899" s="33" t="s">
        <v>431</v>
      </c>
    </row>
    <row r="3900" ht="15.75" customHeight="1">
      <c r="A3900" s="33" t="s">
        <v>7886</v>
      </c>
      <c r="B3900" s="33" t="s">
        <v>342</v>
      </c>
      <c r="C3900" s="39">
        <v>45898.0</v>
      </c>
      <c r="D3900" s="33" t="s">
        <v>440</v>
      </c>
      <c r="E3900" s="40">
        <v>41.18</v>
      </c>
      <c r="F3900" s="40">
        <v>0.0</v>
      </c>
      <c r="G3900" s="33" t="s">
        <v>450</v>
      </c>
    </row>
    <row r="3901" ht="15.75" customHeight="1">
      <c r="A3901" s="33" t="s">
        <v>7887</v>
      </c>
      <c r="B3901" s="33" t="s">
        <v>952</v>
      </c>
      <c r="C3901" s="39">
        <v>46185.0</v>
      </c>
      <c r="D3901" s="33" t="s">
        <v>461</v>
      </c>
      <c r="E3901" s="40">
        <v>119.98</v>
      </c>
      <c r="F3901" s="40">
        <v>1.97</v>
      </c>
      <c r="G3901" s="33" t="s">
        <v>450</v>
      </c>
    </row>
    <row r="3902" ht="15.75" customHeight="1">
      <c r="A3902" s="33" t="s">
        <v>7888</v>
      </c>
      <c r="B3902" s="33" t="s">
        <v>2276</v>
      </c>
      <c r="C3902" s="39">
        <v>45691.0</v>
      </c>
      <c r="D3902" s="33" t="s">
        <v>435</v>
      </c>
      <c r="E3902" s="40">
        <v>148.54</v>
      </c>
      <c r="F3902" s="40">
        <v>0.0</v>
      </c>
      <c r="G3902" s="33" t="s">
        <v>450</v>
      </c>
    </row>
    <row r="3903" ht="15.75" customHeight="1">
      <c r="A3903" s="33" t="s">
        <v>7889</v>
      </c>
      <c r="B3903" s="33" t="s">
        <v>606</v>
      </c>
      <c r="C3903" s="39">
        <v>45719.0</v>
      </c>
      <c r="D3903" s="33" t="s">
        <v>440</v>
      </c>
      <c r="E3903" s="40">
        <v>61.61</v>
      </c>
      <c r="F3903" s="40">
        <v>0.0</v>
      </c>
      <c r="G3903" s="33" t="s">
        <v>450</v>
      </c>
    </row>
    <row r="3904" ht="15.75" customHeight="1">
      <c r="A3904" s="33" t="s">
        <v>7890</v>
      </c>
      <c r="B3904" s="33" t="s">
        <v>1080</v>
      </c>
      <c r="C3904" s="39">
        <v>46145.0</v>
      </c>
      <c r="D3904" s="33" t="s">
        <v>461</v>
      </c>
      <c r="E3904" s="40">
        <v>28.85</v>
      </c>
      <c r="F3904" s="40">
        <v>0.22</v>
      </c>
      <c r="G3904" s="33" t="s">
        <v>450</v>
      </c>
    </row>
    <row r="3905" ht="15.75" customHeight="1">
      <c r="A3905" s="33" t="s">
        <v>7891</v>
      </c>
      <c r="B3905" s="33" t="s">
        <v>2252</v>
      </c>
      <c r="C3905" s="39">
        <v>45809.0</v>
      </c>
      <c r="D3905" s="33" t="s">
        <v>461</v>
      </c>
      <c r="E3905" s="40">
        <v>153.51</v>
      </c>
      <c r="F3905" s="40">
        <v>2.72</v>
      </c>
      <c r="G3905" s="33" t="s">
        <v>442</v>
      </c>
    </row>
    <row r="3906" ht="15.75" customHeight="1">
      <c r="A3906" s="33" t="s">
        <v>7892</v>
      </c>
      <c r="B3906" s="33" t="s">
        <v>1979</v>
      </c>
      <c r="C3906" s="39">
        <v>45708.0</v>
      </c>
      <c r="D3906" s="33" t="s">
        <v>440</v>
      </c>
      <c r="E3906" s="40">
        <v>18.39</v>
      </c>
      <c r="F3906" s="40">
        <v>0.0</v>
      </c>
      <c r="G3906" s="33" t="s">
        <v>431</v>
      </c>
    </row>
    <row r="3907" ht="15.75" customHeight="1">
      <c r="A3907" s="33" t="s">
        <v>7893</v>
      </c>
      <c r="B3907" s="33" t="s">
        <v>1253</v>
      </c>
      <c r="C3907" s="39">
        <v>46018.0</v>
      </c>
      <c r="D3907" s="33" t="s">
        <v>435</v>
      </c>
      <c r="E3907" s="40">
        <v>96.53</v>
      </c>
      <c r="F3907" s="40">
        <v>0.0</v>
      </c>
      <c r="G3907" s="33" t="s">
        <v>450</v>
      </c>
    </row>
    <row r="3908" ht="15.75" customHeight="1">
      <c r="A3908" s="33" t="s">
        <v>7894</v>
      </c>
      <c r="B3908" s="33" t="s">
        <v>1245</v>
      </c>
      <c r="C3908" s="39">
        <v>45747.0</v>
      </c>
      <c r="D3908" s="33" t="s">
        <v>435</v>
      </c>
      <c r="E3908" s="40">
        <v>37.48</v>
      </c>
      <c r="F3908" s="40">
        <v>0.0</v>
      </c>
      <c r="G3908" s="33" t="s">
        <v>431</v>
      </c>
    </row>
    <row r="3909" ht="15.75" customHeight="1">
      <c r="A3909" s="33" t="s">
        <v>7895</v>
      </c>
      <c r="B3909" s="33" t="s">
        <v>1262</v>
      </c>
      <c r="C3909" s="39">
        <v>45695.0</v>
      </c>
      <c r="D3909" s="33" t="s">
        <v>479</v>
      </c>
      <c r="E3909" s="40">
        <v>26.6</v>
      </c>
      <c r="F3909" s="40">
        <v>0.25</v>
      </c>
      <c r="G3909" s="33" t="s">
        <v>442</v>
      </c>
    </row>
    <row r="3910" ht="15.75" customHeight="1">
      <c r="A3910" s="33" t="s">
        <v>7896</v>
      </c>
      <c r="B3910" s="33" t="s">
        <v>676</v>
      </c>
      <c r="C3910" s="39">
        <v>45904.0</v>
      </c>
      <c r="D3910" s="33" t="s">
        <v>461</v>
      </c>
      <c r="E3910" s="40">
        <v>50.65</v>
      </c>
      <c r="F3910" s="40">
        <v>0.46</v>
      </c>
      <c r="G3910" s="33" t="s">
        <v>450</v>
      </c>
    </row>
    <row r="3911" ht="15.75" customHeight="1">
      <c r="A3911" s="33" t="s">
        <v>7897</v>
      </c>
      <c r="B3911" s="33" t="s">
        <v>880</v>
      </c>
      <c r="C3911" s="39">
        <v>45991.0</v>
      </c>
      <c r="D3911" s="33" t="s">
        <v>479</v>
      </c>
      <c r="E3911" s="40">
        <v>79.97</v>
      </c>
      <c r="F3911" s="40">
        <v>0.62</v>
      </c>
      <c r="G3911" s="33" t="s">
        <v>450</v>
      </c>
    </row>
    <row r="3912" ht="15.75" customHeight="1">
      <c r="A3912" s="33" t="s">
        <v>7898</v>
      </c>
      <c r="B3912" s="33" t="s">
        <v>3687</v>
      </c>
      <c r="C3912" s="39">
        <v>45978.0</v>
      </c>
      <c r="D3912" s="33" t="s">
        <v>479</v>
      </c>
      <c r="E3912" s="40">
        <v>32.16</v>
      </c>
      <c r="F3912" s="40">
        <v>0.64</v>
      </c>
      <c r="G3912" s="33" t="s">
        <v>442</v>
      </c>
    </row>
    <row r="3913" ht="15.75" customHeight="1">
      <c r="A3913" s="33" t="s">
        <v>7899</v>
      </c>
      <c r="B3913" s="33" t="s">
        <v>2836</v>
      </c>
      <c r="C3913" s="39">
        <v>46012.0</v>
      </c>
      <c r="D3913" s="33" t="s">
        <v>435</v>
      </c>
      <c r="E3913" s="40">
        <v>22.54</v>
      </c>
      <c r="F3913" s="40">
        <v>0.0</v>
      </c>
      <c r="G3913" s="33" t="s">
        <v>442</v>
      </c>
    </row>
    <row r="3914" ht="15.75" customHeight="1">
      <c r="A3914" s="33" t="s">
        <v>7900</v>
      </c>
      <c r="B3914" s="33" t="s">
        <v>2139</v>
      </c>
      <c r="C3914" s="39">
        <v>45672.0</v>
      </c>
      <c r="D3914" s="33" t="s">
        <v>440</v>
      </c>
      <c r="E3914" s="40">
        <v>12.97</v>
      </c>
      <c r="F3914" s="40">
        <v>0.0</v>
      </c>
      <c r="G3914" s="33" t="s">
        <v>450</v>
      </c>
    </row>
    <row r="3915" ht="15.75" customHeight="1">
      <c r="A3915" s="33" t="s">
        <v>7901</v>
      </c>
      <c r="B3915" s="33" t="s">
        <v>3612</v>
      </c>
      <c r="C3915" s="39">
        <v>45834.0</v>
      </c>
      <c r="D3915" s="33" t="s">
        <v>435</v>
      </c>
      <c r="E3915" s="40">
        <v>214.6</v>
      </c>
      <c r="F3915" s="40">
        <v>0.0</v>
      </c>
      <c r="G3915" s="33" t="s">
        <v>450</v>
      </c>
    </row>
    <row r="3916" ht="15.75" customHeight="1">
      <c r="A3916" s="33" t="s">
        <v>7902</v>
      </c>
      <c r="B3916" s="33" t="s">
        <v>1147</v>
      </c>
      <c r="C3916" s="39">
        <v>45866.0</v>
      </c>
      <c r="D3916" s="33" t="s">
        <v>479</v>
      </c>
      <c r="E3916" s="40">
        <v>102.23</v>
      </c>
      <c r="F3916" s="40">
        <v>0.79</v>
      </c>
      <c r="G3916" s="33" t="s">
        <v>431</v>
      </c>
    </row>
    <row r="3917" ht="15.75" customHeight="1">
      <c r="A3917" s="33" t="s">
        <v>7903</v>
      </c>
      <c r="B3917" s="33" t="s">
        <v>1402</v>
      </c>
      <c r="C3917" s="39">
        <v>45835.0</v>
      </c>
      <c r="D3917" s="33" t="s">
        <v>440</v>
      </c>
      <c r="E3917" s="40">
        <v>39.9</v>
      </c>
      <c r="F3917" s="40">
        <v>0.0</v>
      </c>
      <c r="G3917" s="33" t="s">
        <v>450</v>
      </c>
    </row>
    <row r="3918" ht="15.75" customHeight="1">
      <c r="A3918" s="33" t="s">
        <v>7904</v>
      </c>
      <c r="B3918" s="33" t="s">
        <v>504</v>
      </c>
      <c r="C3918" s="39">
        <v>45997.0</v>
      </c>
      <c r="D3918" s="33" t="s">
        <v>435</v>
      </c>
      <c r="E3918" s="40">
        <v>105.92</v>
      </c>
      <c r="F3918" s="40">
        <v>0.0</v>
      </c>
      <c r="G3918" s="33" t="s">
        <v>450</v>
      </c>
    </row>
    <row r="3919" ht="15.75" customHeight="1">
      <c r="A3919" s="33" t="s">
        <v>7905</v>
      </c>
      <c r="B3919" s="33" t="s">
        <v>4153</v>
      </c>
      <c r="C3919" s="39">
        <v>45797.0</v>
      </c>
      <c r="D3919" s="33" t="s">
        <v>461</v>
      </c>
      <c r="E3919" s="40">
        <v>79.37</v>
      </c>
      <c r="F3919" s="40">
        <v>0.52</v>
      </c>
      <c r="G3919" s="33" t="s">
        <v>431</v>
      </c>
    </row>
    <row r="3920" ht="15.75" customHeight="1">
      <c r="A3920" s="33" t="s">
        <v>7906</v>
      </c>
      <c r="B3920" s="33" t="s">
        <v>2199</v>
      </c>
      <c r="C3920" s="39">
        <v>46041.0</v>
      </c>
      <c r="D3920" s="33" t="s">
        <v>440</v>
      </c>
      <c r="E3920" s="40">
        <v>128.94</v>
      </c>
      <c r="F3920" s="40">
        <v>0.0</v>
      </c>
      <c r="G3920" s="33" t="s">
        <v>450</v>
      </c>
    </row>
    <row r="3921" ht="15.75" customHeight="1">
      <c r="A3921" s="33" t="s">
        <v>7907</v>
      </c>
      <c r="B3921" s="33" t="s">
        <v>285</v>
      </c>
      <c r="C3921" s="39">
        <v>46225.0</v>
      </c>
      <c r="D3921" s="33" t="s">
        <v>428</v>
      </c>
      <c r="E3921" s="40">
        <v>65.55</v>
      </c>
      <c r="F3921" s="40">
        <v>0.0</v>
      </c>
      <c r="G3921" s="33" t="s">
        <v>450</v>
      </c>
    </row>
    <row r="3922" ht="15.75" customHeight="1">
      <c r="A3922" s="33" t="s">
        <v>7908</v>
      </c>
      <c r="B3922" s="33" t="s">
        <v>275</v>
      </c>
      <c r="C3922" s="39">
        <v>46059.0</v>
      </c>
      <c r="D3922" s="33" t="s">
        <v>479</v>
      </c>
      <c r="E3922" s="40">
        <v>145.19</v>
      </c>
      <c r="F3922" s="40">
        <v>2.71</v>
      </c>
      <c r="G3922" s="33" t="s">
        <v>450</v>
      </c>
    </row>
    <row r="3923" ht="15.75" customHeight="1">
      <c r="A3923" s="33" t="s">
        <v>7909</v>
      </c>
      <c r="B3923" s="33" t="s">
        <v>876</v>
      </c>
      <c r="C3923" s="39">
        <v>45894.0</v>
      </c>
      <c r="D3923" s="33" t="s">
        <v>435</v>
      </c>
      <c r="E3923" s="40">
        <v>45.0</v>
      </c>
      <c r="F3923" s="40">
        <v>0.0</v>
      </c>
      <c r="G3923" s="33" t="s">
        <v>450</v>
      </c>
    </row>
    <row r="3924" ht="15.75" customHeight="1">
      <c r="A3924" s="33" t="s">
        <v>7910</v>
      </c>
      <c r="B3924" s="33" t="s">
        <v>1571</v>
      </c>
      <c r="C3924" s="39">
        <v>45921.0</v>
      </c>
      <c r="D3924" s="33" t="s">
        <v>461</v>
      </c>
      <c r="E3924" s="40">
        <v>90.07</v>
      </c>
      <c r="F3924" s="40">
        <v>1.16</v>
      </c>
      <c r="G3924" s="33" t="s">
        <v>450</v>
      </c>
    </row>
    <row r="3925" ht="15.75" customHeight="1">
      <c r="A3925" s="33" t="s">
        <v>7911</v>
      </c>
      <c r="B3925" s="33" t="s">
        <v>788</v>
      </c>
      <c r="C3925" s="39">
        <v>46013.0</v>
      </c>
      <c r="D3925" s="33" t="s">
        <v>461</v>
      </c>
      <c r="E3925" s="40">
        <v>138.96</v>
      </c>
      <c r="F3925" s="40">
        <v>0.75</v>
      </c>
      <c r="G3925" s="33" t="s">
        <v>442</v>
      </c>
    </row>
    <row r="3926" ht="15.75" customHeight="1">
      <c r="A3926" s="33" t="s">
        <v>7912</v>
      </c>
      <c r="B3926" s="33" t="s">
        <v>2129</v>
      </c>
      <c r="C3926" s="39">
        <v>46097.0</v>
      </c>
      <c r="D3926" s="33" t="s">
        <v>428</v>
      </c>
      <c r="E3926" s="40">
        <v>93.39</v>
      </c>
      <c r="F3926" s="40">
        <v>0.0</v>
      </c>
      <c r="G3926" s="33" t="s">
        <v>450</v>
      </c>
    </row>
    <row r="3927" ht="15.75" customHeight="1">
      <c r="A3927" s="33" t="s">
        <v>7913</v>
      </c>
      <c r="B3927" s="33" t="s">
        <v>3572</v>
      </c>
      <c r="C3927" s="39">
        <v>45841.0</v>
      </c>
      <c r="D3927" s="33" t="s">
        <v>461</v>
      </c>
      <c r="E3927" s="40">
        <v>259.34</v>
      </c>
      <c r="F3927" s="40">
        <v>3.59</v>
      </c>
      <c r="G3927" s="33" t="s">
        <v>450</v>
      </c>
    </row>
    <row r="3928" ht="15.75" customHeight="1">
      <c r="A3928" s="33" t="s">
        <v>7914</v>
      </c>
      <c r="B3928" s="33" t="s">
        <v>1389</v>
      </c>
      <c r="C3928" s="39">
        <v>45681.0</v>
      </c>
      <c r="D3928" s="33" t="s">
        <v>440</v>
      </c>
      <c r="E3928" s="40">
        <v>127.22</v>
      </c>
      <c r="F3928" s="40">
        <v>0.0</v>
      </c>
      <c r="G3928" s="33" t="s">
        <v>450</v>
      </c>
    </row>
    <row r="3929" ht="15.75" customHeight="1">
      <c r="A3929" s="33" t="s">
        <v>7915</v>
      </c>
      <c r="B3929" s="33" t="s">
        <v>464</v>
      </c>
      <c r="C3929" s="39">
        <v>46084.0</v>
      </c>
      <c r="D3929" s="33" t="s">
        <v>461</v>
      </c>
      <c r="E3929" s="40">
        <v>104.64</v>
      </c>
      <c r="F3929" s="40">
        <v>2.06</v>
      </c>
      <c r="G3929" s="33" t="s">
        <v>450</v>
      </c>
    </row>
    <row r="3930" ht="15.75" customHeight="1">
      <c r="A3930" s="33" t="s">
        <v>7916</v>
      </c>
      <c r="B3930" s="33" t="s">
        <v>1966</v>
      </c>
      <c r="C3930" s="39">
        <v>46059.0</v>
      </c>
      <c r="D3930" s="33" t="s">
        <v>461</v>
      </c>
      <c r="E3930" s="40">
        <v>58.32</v>
      </c>
      <c r="F3930" s="40">
        <v>0.3</v>
      </c>
      <c r="G3930" s="33" t="s">
        <v>450</v>
      </c>
    </row>
    <row r="3931" ht="15.75" customHeight="1">
      <c r="A3931" s="33" t="s">
        <v>7917</v>
      </c>
      <c r="B3931" s="33" t="s">
        <v>510</v>
      </c>
      <c r="C3931" s="39">
        <v>45719.0</v>
      </c>
      <c r="D3931" s="33" t="s">
        <v>479</v>
      </c>
      <c r="E3931" s="40">
        <v>91.51</v>
      </c>
      <c r="F3931" s="40">
        <v>0.82</v>
      </c>
      <c r="G3931" s="33" t="s">
        <v>442</v>
      </c>
    </row>
    <row r="3932" ht="15.75" customHeight="1">
      <c r="A3932" s="33" t="s">
        <v>7918</v>
      </c>
      <c r="B3932" s="33" t="s">
        <v>1920</v>
      </c>
      <c r="C3932" s="39">
        <v>46038.0</v>
      </c>
      <c r="D3932" s="33" t="s">
        <v>461</v>
      </c>
      <c r="E3932" s="40">
        <v>174.4</v>
      </c>
      <c r="F3932" s="40">
        <v>2.48</v>
      </c>
      <c r="G3932" s="33" t="s">
        <v>450</v>
      </c>
    </row>
    <row r="3933" ht="15.75" customHeight="1">
      <c r="A3933" s="33" t="s">
        <v>7919</v>
      </c>
      <c r="B3933" s="33" t="s">
        <v>1893</v>
      </c>
      <c r="C3933" s="39">
        <v>45701.0</v>
      </c>
      <c r="D3933" s="33" t="s">
        <v>428</v>
      </c>
      <c r="E3933" s="40">
        <v>52.48</v>
      </c>
      <c r="F3933" s="40">
        <v>0.0</v>
      </c>
      <c r="G3933" s="33" t="s">
        <v>431</v>
      </c>
    </row>
    <row r="3934" ht="15.75" customHeight="1">
      <c r="A3934" s="33" t="s">
        <v>7920</v>
      </c>
      <c r="B3934" s="33" t="s">
        <v>206</v>
      </c>
      <c r="C3934" s="39">
        <v>46048.0</v>
      </c>
      <c r="D3934" s="33" t="s">
        <v>461</v>
      </c>
      <c r="E3934" s="40">
        <v>36.33</v>
      </c>
      <c r="F3934" s="40">
        <v>0.31</v>
      </c>
      <c r="G3934" s="33" t="s">
        <v>431</v>
      </c>
    </row>
    <row r="3935" ht="15.75" customHeight="1">
      <c r="A3935" s="33" t="s">
        <v>7921</v>
      </c>
      <c r="B3935" s="33" t="s">
        <v>510</v>
      </c>
      <c r="C3935" s="39">
        <v>46109.0</v>
      </c>
      <c r="D3935" s="33" t="s">
        <v>479</v>
      </c>
      <c r="E3935" s="40">
        <v>52.73</v>
      </c>
      <c r="F3935" s="40">
        <v>1.04</v>
      </c>
      <c r="G3935" s="33" t="s">
        <v>450</v>
      </c>
    </row>
    <row r="3936" ht="15.75" customHeight="1">
      <c r="A3936" s="33" t="s">
        <v>7922</v>
      </c>
      <c r="B3936" s="33" t="s">
        <v>250</v>
      </c>
      <c r="C3936" s="39">
        <v>45667.0</v>
      </c>
      <c r="D3936" s="33" t="s">
        <v>479</v>
      </c>
      <c r="E3936" s="40">
        <v>50.44</v>
      </c>
      <c r="F3936" s="40">
        <v>0.4</v>
      </c>
      <c r="G3936" s="33" t="s">
        <v>431</v>
      </c>
    </row>
    <row r="3937" ht="15.75" customHeight="1">
      <c r="A3937" s="33" t="s">
        <v>7923</v>
      </c>
      <c r="B3937" s="33" t="s">
        <v>1957</v>
      </c>
      <c r="C3937" s="39">
        <v>46099.0</v>
      </c>
      <c r="D3937" s="33" t="s">
        <v>428</v>
      </c>
      <c r="E3937" s="40">
        <v>115.11</v>
      </c>
      <c r="F3937" s="40">
        <v>0.0</v>
      </c>
      <c r="G3937" s="33" t="s">
        <v>431</v>
      </c>
    </row>
    <row r="3938" ht="15.75" customHeight="1">
      <c r="A3938" s="33" t="s">
        <v>7924</v>
      </c>
      <c r="B3938" s="33" t="s">
        <v>2255</v>
      </c>
      <c r="C3938" s="39">
        <v>45731.0</v>
      </c>
      <c r="D3938" s="33" t="s">
        <v>428</v>
      </c>
      <c r="E3938" s="40">
        <v>239.42</v>
      </c>
      <c r="F3938" s="40">
        <v>0.0</v>
      </c>
      <c r="G3938" s="33" t="s">
        <v>450</v>
      </c>
    </row>
    <row r="3939" ht="15.75" customHeight="1">
      <c r="A3939" s="33" t="s">
        <v>7925</v>
      </c>
      <c r="B3939" s="33" t="s">
        <v>2199</v>
      </c>
      <c r="C3939" s="39">
        <v>45818.0</v>
      </c>
      <c r="D3939" s="33" t="s">
        <v>440</v>
      </c>
      <c r="E3939" s="40">
        <v>19.31</v>
      </c>
      <c r="F3939" s="40">
        <v>0.0</v>
      </c>
      <c r="G3939" s="33" t="s">
        <v>442</v>
      </c>
    </row>
    <row r="3940" ht="15.75" customHeight="1">
      <c r="A3940" s="33" t="s">
        <v>7926</v>
      </c>
      <c r="B3940" s="33" t="s">
        <v>426</v>
      </c>
      <c r="C3940" s="39">
        <v>46085.0</v>
      </c>
      <c r="D3940" s="33" t="s">
        <v>435</v>
      </c>
      <c r="E3940" s="40">
        <v>81.07</v>
      </c>
      <c r="F3940" s="40">
        <v>0.0</v>
      </c>
      <c r="G3940" s="33" t="s">
        <v>450</v>
      </c>
    </row>
    <row r="3941" ht="15.75" customHeight="1">
      <c r="A3941" s="33" t="s">
        <v>7927</v>
      </c>
      <c r="B3941" s="33" t="s">
        <v>1256</v>
      </c>
      <c r="C3941" s="39">
        <v>45873.0</v>
      </c>
      <c r="D3941" s="33" t="s">
        <v>428</v>
      </c>
      <c r="E3941" s="40">
        <v>32.29</v>
      </c>
      <c r="F3941" s="40">
        <v>0.0</v>
      </c>
      <c r="G3941" s="33" t="s">
        <v>450</v>
      </c>
    </row>
    <row r="3942" ht="15.75" customHeight="1">
      <c r="A3942" s="33" t="s">
        <v>7928</v>
      </c>
      <c r="B3942" s="33" t="s">
        <v>2303</v>
      </c>
      <c r="C3942" s="39">
        <v>46251.0</v>
      </c>
      <c r="D3942" s="33" t="s">
        <v>440</v>
      </c>
      <c r="E3942" s="40">
        <v>99.51</v>
      </c>
      <c r="F3942" s="40">
        <v>0.0</v>
      </c>
      <c r="G3942" s="33" t="s">
        <v>450</v>
      </c>
    </row>
    <row r="3943" ht="15.75" customHeight="1">
      <c r="A3943" s="33" t="s">
        <v>7929</v>
      </c>
      <c r="B3943" s="33" t="s">
        <v>2469</v>
      </c>
      <c r="C3943" s="39">
        <v>46239.0</v>
      </c>
      <c r="D3943" s="33" t="s">
        <v>428</v>
      </c>
      <c r="E3943" s="40">
        <v>108.11</v>
      </c>
      <c r="F3943" s="40">
        <v>0.0</v>
      </c>
      <c r="G3943" s="33" t="s">
        <v>442</v>
      </c>
    </row>
    <row r="3944" ht="15.75" customHeight="1">
      <c r="A3944" s="33" t="s">
        <v>7930</v>
      </c>
      <c r="B3944" s="33" t="s">
        <v>1372</v>
      </c>
      <c r="C3944" s="39">
        <v>46257.0</v>
      </c>
      <c r="D3944" s="33" t="s">
        <v>435</v>
      </c>
      <c r="E3944" s="40">
        <v>50.63</v>
      </c>
      <c r="F3944" s="40">
        <v>0.0</v>
      </c>
      <c r="G3944" s="33" t="s">
        <v>450</v>
      </c>
    </row>
    <row r="3945" ht="15.75" customHeight="1">
      <c r="A3945" s="33" t="s">
        <v>7931</v>
      </c>
      <c r="B3945" s="33" t="s">
        <v>2075</v>
      </c>
      <c r="C3945" s="39">
        <v>45721.0</v>
      </c>
      <c r="D3945" s="33" t="s">
        <v>428</v>
      </c>
      <c r="E3945" s="40">
        <v>117.37</v>
      </c>
      <c r="F3945" s="40">
        <v>0.0</v>
      </c>
      <c r="G3945" s="33" t="s">
        <v>450</v>
      </c>
    </row>
    <row r="3946" ht="15.75" customHeight="1">
      <c r="A3946" s="33" t="s">
        <v>7932</v>
      </c>
      <c r="B3946" s="33" t="s">
        <v>1305</v>
      </c>
      <c r="C3946" s="39">
        <v>45765.0</v>
      </c>
      <c r="D3946" s="33" t="s">
        <v>461</v>
      </c>
      <c r="E3946" s="40">
        <v>43.88</v>
      </c>
      <c r="F3946" s="40">
        <v>0.36</v>
      </c>
      <c r="G3946" s="33" t="s">
        <v>450</v>
      </c>
    </row>
    <row r="3947" ht="15.75" customHeight="1">
      <c r="A3947" s="33" t="s">
        <v>7933</v>
      </c>
      <c r="B3947" s="33" t="s">
        <v>1893</v>
      </c>
      <c r="C3947" s="39">
        <v>45769.0</v>
      </c>
      <c r="D3947" s="33" t="s">
        <v>440</v>
      </c>
      <c r="E3947" s="40">
        <v>43.81</v>
      </c>
      <c r="F3947" s="40">
        <v>0.0</v>
      </c>
      <c r="G3947" s="33" t="s">
        <v>442</v>
      </c>
    </row>
    <row r="3948" ht="15.75" customHeight="1">
      <c r="A3948" s="33" t="s">
        <v>7934</v>
      </c>
      <c r="B3948" s="33" t="s">
        <v>1911</v>
      </c>
      <c r="C3948" s="39">
        <v>46013.0</v>
      </c>
      <c r="D3948" s="33" t="s">
        <v>435</v>
      </c>
      <c r="E3948" s="40">
        <v>38.26</v>
      </c>
      <c r="F3948" s="40">
        <v>0.0</v>
      </c>
      <c r="G3948" s="33" t="s">
        <v>442</v>
      </c>
    </row>
    <row r="3949" ht="15.75" customHeight="1">
      <c r="A3949" s="33" t="s">
        <v>7935</v>
      </c>
      <c r="B3949" s="33" t="s">
        <v>518</v>
      </c>
      <c r="C3949" s="39">
        <v>45919.0</v>
      </c>
      <c r="D3949" s="33" t="s">
        <v>428</v>
      </c>
      <c r="E3949" s="40">
        <v>53.2</v>
      </c>
      <c r="F3949" s="40">
        <v>0.0</v>
      </c>
      <c r="G3949" s="33" t="s">
        <v>442</v>
      </c>
    </row>
    <row r="3950" ht="15.75" customHeight="1">
      <c r="A3950" s="33" t="s">
        <v>7936</v>
      </c>
      <c r="B3950" s="33" t="s">
        <v>533</v>
      </c>
      <c r="C3950" s="39">
        <v>46110.0</v>
      </c>
      <c r="D3950" s="33" t="s">
        <v>435</v>
      </c>
      <c r="E3950" s="40">
        <v>75.17</v>
      </c>
      <c r="F3950" s="40">
        <v>0.0</v>
      </c>
      <c r="G3950" s="33" t="s">
        <v>450</v>
      </c>
    </row>
    <row r="3951" ht="15.75" customHeight="1">
      <c r="A3951" s="33" t="s">
        <v>7937</v>
      </c>
      <c r="B3951" s="33" t="s">
        <v>1557</v>
      </c>
      <c r="C3951" s="39">
        <v>45829.0</v>
      </c>
      <c r="D3951" s="33" t="s">
        <v>435</v>
      </c>
      <c r="E3951" s="40">
        <v>68.95</v>
      </c>
      <c r="F3951" s="40">
        <v>0.0</v>
      </c>
      <c r="G3951" s="33" t="s">
        <v>450</v>
      </c>
    </row>
    <row r="3952" ht="15.75" customHeight="1">
      <c r="A3952" s="33" t="s">
        <v>7938</v>
      </c>
      <c r="B3952" s="33" t="s">
        <v>608</v>
      </c>
      <c r="C3952" s="39">
        <v>45779.0</v>
      </c>
      <c r="D3952" s="33" t="s">
        <v>461</v>
      </c>
      <c r="E3952" s="40">
        <v>86.67</v>
      </c>
      <c r="F3952" s="40">
        <v>1.12</v>
      </c>
      <c r="G3952" s="33" t="s">
        <v>450</v>
      </c>
    </row>
    <row r="3953" ht="15.75" customHeight="1">
      <c r="A3953" s="33" t="s">
        <v>7939</v>
      </c>
      <c r="B3953" s="33" t="s">
        <v>1517</v>
      </c>
      <c r="C3953" s="39">
        <v>46051.0</v>
      </c>
      <c r="D3953" s="33" t="s">
        <v>461</v>
      </c>
      <c r="E3953" s="40">
        <v>113.16</v>
      </c>
      <c r="F3953" s="40">
        <v>1.24</v>
      </c>
      <c r="G3953" s="33" t="s">
        <v>450</v>
      </c>
    </row>
    <row r="3954" ht="15.75" customHeight="1">
      <c r="A3954" s="33" t="s">
        <v>7940</v>
      </c>
      <c r="B3954" s="33" t="s">
        <v>260</v>
      </c>
      <c r="C3954" s="39">
        <v>46032.0</v>
      </c>
      <c r="D3954" s="33" t="s">
        <v>435</v>
      </c>
      <c r="E3954" s="40">
        <v>87.52</v>
      </c>
      <c r="F3954" s="40">
        <v>0.0</v>
      </c>
      <c r="G3954" s="33" t="s">
        <v>442</v>
      </c>
    </row>
    <row r="3955" ht="15.75" customHeight="1">
      <c r="A3955" s="33" t="s">
        <v>7941</v>
      </c>
      <c r="B3955" s="33" t="s">
        <v>275</v>
      </c>
      <c r="C3955" s="39">
        <v>46077.0</v>
      </c>
      <c r="D3955" s="33" t="s">
        <v>440</v>
      </c>
      <c r="E3955" s="40">
        <v>211.82</v>
      </c>
      <c r="F3955" s="40">
        <v>0.0</v>
      </c>
      <c r="G3955" s="33" t="s">
        <v>450</v>
      </c>
    </row>
    <row r="3956" ht="15.75" customHeight="1">
      <c r="A3956" s="33" t="s">
        <v>7942</v>
      </c>
      <c r="B3956" s="33" t="s">
        <v>672</v>
      </c>
      <c r="C3956" s="39">
        <v>45847.0</v>
      </c>
      <c r="D3956" s="33" t="s">
        <v>461</v>
      </c>
      <c r="E3956" s="40">
        <v>79.33</v>
      </c>
      <c r="F3956" s="40">
        <v>0.91</v>
      </c>
      <c r="G3956" s="33" t="s">
        <v>450</v>
      </c>
    </row>
    <row r="3957" ht="15.75" customHeight="1">
      <c r="A3957" s="33" t="s">
        <v>7943</v>
      </c>
      <c r="B3957" s="33" t="s">
        <v>1052</v>
      </c>
      <c r="C3957" s="39">
        <v>45977.0</v>
      </c>
      <c r="D3957" s="33" t="s">
        <v>461</v>
      </c>
      <c r="E3957" s="40">
        <v>131.94</v>
      </c>
      <c r="F3957" s="40">
        <v>1.51</v>
      </c>
      <c r="G3957" s="33" t="s">
        <v>450</v>
      </c>
    </row>
    <row r="3958" ht="15.75" customHeight="1">
      <c r="A3958" s="33" t="s">
        <v>7944</v>
      </c>
      <c r="B3958" s="33" t="s">
        <v>1495</v>
      </c>
      <c r="C3958" s="39">
        <v>46221.0</v>
      </c>
      <c r="D3958" s="33" t="s">
        <v>440</v>
      </c>
      <c r="E3958" s="40">
        <v>16.7</v>
      </c>
      <c r="F3958" s="40">
        <v>0.0</v>
      </c>
      <c r="G3958" s="33" t="s">
        <v>450</v>
      </c>
    </row>
    <row r="3959" ht="15.75" customHeight="1">
      <c r="A3959" s="33" t="s">
        <v>7945</v>
      </c>
      <c r="B3959" s="33" t="s">
        <v>2252</v>
      </c>
      <c r="C3959" s="39">
        <v>46028.0</v>
      </c>
      <c r="D3959" s="33" t="s">
        <v>479</v>
      </c>
      <c r="E3959" s="40">
        <v>86.68</v>
      </c>
      <c r="F3959" s="40">
        <v>0.56</v>
      </c>
      <c r="G3959" s="33" t="s">
        <v>431</v>
      </c>
    </row>
    <row r="3960" ht="15.75" customHeight="1">
      <c r="A3960" s="33" t="s">
        <v>7946</v>
      </c>
      <c r="B3960" s="33" t="s">
        <v>2075</v>
      </c>
      <c r="C3960" s="39">
        <v>46224.0</v>
      </c>
      <c r="D3960" s="33" t="s">
        <v>435</v>
      </c>
      <c r="E3960" s="40">
        <v>68.34</v>
      </c>
      <c r="F3960" s="40">
        <v>0.0</v>
      </c>
      <c r="G3960" s="33" t="s">
        <v>450</v>
      </c>
    </row>
    <row r="3961" ht="15.75" customHeight="1">
      <c r="A3961" s="33" t="s">
        <v>7947</v>
      </c>
      <c r="B3961" s="33" t="s">
        <v>460</v>
      </c>
      <c r="C3961" s="39">
        <v>45921.0</v>
      </c>
      <c r="D3961" s="33" t="s">
        <v>435</v>
      </c>
      <c r="E3961" s="40">
        <v>63.61</v>
      </c>
      <c r="F3961" s="40">
        <v>0.0</v>
      </c>
      <c r="G3961" s="33" t="s">
        <v>431</v>
      </c>
    </row>
    <row r="3962" ht="15.75" customHeight="1">
      <c r="A3962" s="33" t="s">
        <v>7948</v>
      </c>
      <c r="B3962" s="33" t="s">
        <v>1207</v>
      </c>
      <c r="C3962" s="39">
        <v>45685.0</v>
      </c>
      <c r="D3962" s="33" t="s">
        <v>428</v>
      </c>
      <c r="E3962" s="40">
        <v>172.02</v>
      </c>
      <c r="F3962" s="40">
        <v>0.0</v>
      </c>
      <c r="G3962" s="33" t="s">
        <v>450</v>
      </c>
    </row>
    <row r="3963" ht="15.75" customHeight="1">
      <c r="A3963" s="33" t="s">
        <v>7949</v>
      </c>
      <c r="B3963" s="33" t="s">
        <v>2276</v>
      </c>
      <c r="C3963" s="39">
        <v>46119.0</v>
      </c>
      <c r="D3963" s="33" t="s">
        <v>440</v>
      </c>
      <c r="E3963" s="40">
        <v>266.06</v>
      </c>
      <c r="F3963" s="40">
        <v>0.0</v>
      </c>
      <c r="G3963" s="33" t="s">
        <v>431</v>
      </c>
    </row>
    <row r="3964" ht="15.75" customHeight="1">
      <c r="A3964" s="33" t="s">
        <v>7950</v>
      </c>
      <c r="B3964" s="33" t="s">
        <v>833</v>
      </c>
      <c r="C3964" s="39">
        <v>45937.0</v>
      </c>
      <c r="D3964" s="33" t="s">
        <v>428</v>
      </c>
      <c r="E3964" s="40">
        <v>114.01</v>
      </c>
      <c r="F3964" s="40">
        <v>0.0</v>
      </c>
      <c r="G3964" s="33" t="s">
        <v>450</v>
      </c>
    </row>
    <row r="3965" ht="15.75" customHeight="1">
      <c r="A3965" s="33" t="s">
        <v>7951</v>
      </c>
      <c r="B3965" s="33" t="s">
        <v>2836</v>
      </c>
      <c r="C3965" s="39">
        <v>45683.0</v>
      </c>
      <c r="D3965" s="33" t="s">
        <v>435</v>
      </c>
      <c r="E3965" s="40">
        <v>12.78</v>
      </c>
      <c r="F3965" s="40">
        <v>0.0</v>
      </c>
      <c r="G3965" s="33" t="s">
        <v>450</v>
      </c>
    </row>
    <row r="3966" ht="15.75" customHeight="1">
      <c r="A3966" s="33" t="s">
        <v>7952</v>
      </c>
      <c r="B3966" s="33" t="s">
        <v>2123</v>
      </c>
      <c r="C3966" s="39">
        <v>45742.0</v>
      </c>
      <c r="D3966" s="33" t="s">
        <v>428</v>
      </c>
      <c r="E3966" s="40">
        <v>48.48</v>
      </c>
      <c r="F3966" s="40">
        <v>0.0</v>
      </c>
      <c r="G3966" s="33" t="s">
        <v>442</v>
      </c>
    </row>
    <row r="3967" ht="15.75" customHeight="1">
      <c r="A3967" s="33" t="s">
        <v>7953</v>
      </c>
      <c r="B3967" s="33" t="s">
        <v>572</v>
      </c>
      <c r="C3967" s="39">
        <v>45847.0</v>
      </c>
      <c r="D3967" s="33" t="s">
        <v>479</v>
      </c>
      <c r="E3967" s="40">
        <v>19.9</v>
      </c>
      <c r="F3967" s="40">
        <v>0.16</v>
      </c>
      <c r="G3967" s="33" t="s">
        <v>450</v>
      </c>
    </row>
    <row r="3968" ht="15.75" customHeight="1">
      <c r="A3968" s="33" t="s">
        <v>7954</v>
      </c>
      <c r="B3968" s="33" t="s">
        <v>2334</v>
      </c>
      <c r="C3968" s="39">
        <v>45773.0</v>
      </c>
      <c r="D3968" s="33" t="s">
        <v>428</v>
      </c>
      <c r="E3968" s="40">
        <v>84.99</v>
      </c>
      <c r="F3968" s="40">
        <v>0.0</v>
      </c>
      <c r="G3968" s="33" t="s">
        <v>442</v>
      </c>
    </row>
    <row r="3969" ht="15.75" customHeight="1">
      <c r="A3969" s="33" t="s">
        <v>7955</v>
      </c>
      <c r="B3969" s="33" t="s">
        <v>553</v>
      </c>
      <c r="C3969" s="39">
        <v>46073.0</v>
      </c>
      <c r="D3969" s="33" t="s">
        <v>428</v>
      </c>
      <c r="E3969" s="40">
        <v>103.77</v>
      </c>
      <c r="F3969" s="40">
        <v>0.0</v>
      </c>
      <c r="G3969" s="33" t="s">
        <v>442</v>
      </c>
    </row>
    <row r="3970" ht="15.75" customHeight="1">
      <c r="A3970" s="33" t="s">
        <v>7956</v>
      </c>
      <c r="B3970" s="33" t="s">
        <v>1705</v>
      </c>
      <c r="C3970" s="39">
        <v>46028.0</v>
      </c>
      <c r="D3970" s="33" t="s">
        <v>440</v>
      </c>
      <c r="E3970" s="40">
        <v>15.2</v>
      </c>
      <c r="F3970" s="40">
        <v>0.0</v>
      </c>
      <c r="G3970" s="33" t="s">
        <v>450</v>
      </c>
    </row>
    <row r="3971" ht="15.75" customHeight="1">
      <c r="A3971" s="33" t="s">
        <v>7957</v>
      </c>
      <c r="B3971" s="33" t="s">
        <v>2715</v>
      </c>
      <c r="C3971" s="39">
        <v>45858.0</v>
      </c>
      <c r="D3971" s="33" t="s">
        <v>461</v>
      </c>
      <c r="E3971" s="40">
        <v>192.86</v>
      </c>
      <c r="F3971" s="40">
        <v>1.1</v>
      </c>
      <c r="G3971" s="33" t="s">
        <v>450</v>
      </c>
    </row>
    <row r="3972" ht="15.75" customHeight="1">
      <c r="A3972" s="33" t="s">
        <v>7958</v>
      </c>
      <c r="B3972" s="33" t="s">
        <v>1329</v>
      </c>
      <c r="C3972" s="39">
        <v>45709.0</v>
      </c>
      <c r="D3972" s="33" t="s">
        <v>440</v>
      </c>
      <c r="E3972" s="40">
        <v>26.22</v>
      </c>
      <c r="F3972" s="40">
        <v>0.0</v>
      </c>
      <c r="G3972" s="33" t="s">
        <v>442</v>
      </c>
    </row>
    <row r="3973" ht="15.75" customHeight="1">
      <c r="A3973" s="33" t="s">
        <v>7959</v>
      </c>
      <c r="B3973" s="33" t="s">
        <v>1470</v>
      </c>
      <c r="C3973" s="39">
        <v>45705.0</v>
      </c>
      <c r="D3973" s="33" t="s">
        <v>461</v>
      </c>
      <c r="E3973" s="40">
        <v>100.3</v>
      </c>
      <c r="F3973" s="40">
        <v>1.74</v>
      </c>
      <c r="G3973" s="33" t="s">
        <v>450</v>
      </c>
    </row>
    <row r="3974" ht="15.75" customHeight="1">
      <c r="A3974" s="33" t="s">
        <v>7960</v>
      </c>
      <c r="B3974" s="33" t="s">
        <v>1799</v>
      </c>
      <c r="C3974" s="39">
        <v>46232.0</v>
      </c>
      <c r="D3974" s="33" t="s">
        <v>428</v>
      </c>
      <c r="E3974" s="40">
        <v>190.05</v>
      </c>
      <c r="F3974" s="40">
        <v>0.0</v>
      </c>
      <c r="G3974" s="33" t="s">
        <v>450</v>
      </c>
    </row>
    <row r="3975" ht="15.75" customHeight="1">
      <c r="A3975" s="33" t="s">
        <v>7961</v>
      </c>
      <c r="B3975" s="33" t="s">
        <v>753</v>
      </c>
      <c r="C3975" s="39">
        <v>45867.0</v>
      </c>
      <c r="D3975" s="33" t="s">
        <v>428</v>
      </c>
      <c r="E3975" s="40">
        <v>86.23</v>
      </c>
      <c r="F3975" s="40">
        <v>0.0</v>
      </c>
      <c r="G3975" s="33" t="s">
        <v>450</v>
      </c>
    </row>
    <row r="3976" ht="15.75" customHeight="1">
      <c r="A3976" s="33" t="s">
        <v>7962</v>
      </c>
      <c r="B3976" s="33" t="s">
        <v>1805</v>
      </c>
      <c r="C3976" s="39">
        <v>45723.0</v>
      </c>
      <c r="D3976" s="33" t="s">
        <v>461</v>
      </c>
      <c r="E3976" s="40">
        <v>41.54</v>
      </c>
      <c r="F3976" s="40">
        <v>0.75</v>
      </c>
      <c r="G3976" s="33" t="s">
        <v>442</v>
      </c>
    </row>
    <row r="3977" ht="15.75" customHeight="1">
      <c r="A3977" s="33" t="s">
        <v>7963</v>
      </c>
      <c r="B3977" s="33" t="s">
        <v>929</v>
      </c>
      <c r="C3977" s="39">
        <v>46089.0</v>
      </c>
      <c r="D3977" s="33" t="s">
        <v>440</v>
      </c>
      <c r="E3977" s="40">
        <v>39.45</v>
      </c>
      <c r="F3977" s="40">
        <v>0.0</v>
      </c>
      <c r="G3977" s="33" t="s">
        <v>431</v>
      </c>
    </row>
    <row r="3978" ht="15.75" customHeight="1">
      <c r="A3978" s="33" t="s">
        <v>7964</v>
      </c>
      <c r="B3978" s="33" t="s">
        <v>1470</v>
      </c>
      <c r="C3978" s="39">
        <v>46186.0</v>
      </c>
      <c r="D3978" s="33" t="s">
        <v>435</v>
      </c>
      <c r="E3978" s="40">
        <v>87.97</v>
      </c>
      <c r="F3978" s="40">
        <v>0.0</v>
      </c>
      <c r="G3978" s="33" t="s">
        <v>431</v>
      </c>
    </row>
    <row r="3979" ht="15.75" customHeight="1">
      <c r="A3979" s="33" t="s">
        <v>7965</v>
      </c>
      <c r="B3979" s="33" t="s">
        <v>767</v>
      </c>
      <c r="C3979" s="39">
        <v>45732.0</v>
      </c>
      <c r="D3979" s="33" t="s">
        <v>479</v>
      </c>
      <c r="E3979" s="40">
        <v>132.13</v>
      </c>
      <c r="F3979" s="40">
        <v>0.68</v>
      </c>
      <c r="G3979" s="33" t="s">
        <v>442</v>
      </c>
    </row>
    <row r="3980" ht="15.75" customHeight="1">
      <c r="A3980" s="33" t="s">
        <v>7966</v>
      </c>
      <c r="B3980" s="33" t="s">
        <v>447</v>
      </c>
      <c r="C3980" s="39">
        <v>46231.0</v>
      </c>
      <c r="D3980" s="33" t="s">
        <v>435</v>
      </c>
      <c r="E3980" s="40">
        <v>97.75</v>
      </c>
      <c r="F3980" s="40">
        <v>0.0</v>
      </c>
      <c r="G3980" s="33" t="s">
        <v>442</v>
      </c>
    </row>
    <row r="3981" ht="15.75" customHeight="1">
      <c r="A3981" s="33" t="s">
        <v>7967</v>
      </c>
      <c r="B3981" s="33" t="s">
        <v>2110</v>
      </c>
      <c r="C3981" s="39">
        <v>46097.0</v>
      </c>
      <c r="D3981" s="33" t="s">
        <v>479</v>
      </c>
      <c r="E3981" s="40">
        <v>38.68</v>
      </c>
      <c r="F3981" s="40">
        <v>0.34</v>
      </c>
      <c r="G3981" s="33" t="s">
        <v>450</v>
      </c>
    </row>
    <row r="3982" ht="15.75" customHeight="1">
      <c r="A3982" s="33" t="s">
        <v>7968</v>
      </c>
      <c r="B3982" s="33" t="s">
        <v>1994</v>
      </c>
      <c r="C3982" s="39">
        <v>45810.0</v>
      </c>
      <c r="D3982" s="33" t="s">
        <v>428</v>
      </c>
      <c r="E3982" s="40">
        <v>67.06</v>
      </c>
      <c r="F3982" s="40">
        <v>0.0</v>
      </c>
      <c r="G3982" s="33" t="s">
        <v>431</v>
      </c>
    </row>
    <row r="3983" ht="15.75" customHeight="1">
      <c r="A3983" s="33" t="s">
        <v>7969</v>
      </c>
      <c r="B3983" s="33" t="s">
        <v>2676</v>
      </c>
      <c r="C3983" s="39">
        <v>46128.0</v>
      </c>
      <c r="D3983" s="33" t="s">
        <v>435</v>
      </c>
      <c r="E3983" s="40">
        <v>34.13</v>
      </c>
      <c r="F3983" s="40">
        <v>0.0</v>
      </c>
      <c r="G3983" s="33" t="s">
        <v>431</v>
      </c>
    </row>
    <row r="3984" ht="15.75" customHeight="1">
      <c r="A3984" s="33" t="s">
        <v>7970</v>
      </c>
      <c r="B3984" s="33" t="s">
        <v>2002</v>
      </c>
      <c r="C3984" s="39">
        <v>45912.0</v>
      </c>
      <c r="D3984" s="33" t="s">
        <v>428</v>
      </c>
      <c r="E3984" s="40">
        <v>33.79</v>
      </c>
      <c r="F3984" s="40">
        <v>0.0</v>
      </c>
      <c r="G3984" s="33" t="s">
        <v>450</v>
      </c>
    </row>
    <row r="3985" ht="15.75" customHeight="1">
      <c r="A3985" s="33" t="s">
        <v>7971</v>
      </c>
      <c r="B3985" s="33" t="s">
        <v>389</v>
      </c>
      <c r="C3985" s="39">
        <v>46043.0</v>
      </c>
      <c r="D3985" s="33" t="s">
        <v>479</v>
      </c>
      <c r="E3985" s="40">
        <v>32.18</v>
      </c>
      <c r="F3985" s="40">
        <v>0.61</v>
      </c>
      <c r="G3985" s="33" t="s">
        <v>442</v>
      </c>
    </row>
    <row r="3986" ht="15.75" customHeight="1">
      <c r="A3986" s="33" t="s">
        <v>7972</v>
      </c>
      <c r="B3986" s="33" t="s">
        <v>587</v>
      </c>
      <c r="C3986" s="39">
        <v>45735.0</v>
      </c>
      <c r="D3986" s="33" t="s">
        <v>435</v>
      </c>
      <c r="E3986" s="40">
        <v>55.86</v>
      </c>
      <c r="F3986" s="40">
        <v>0.0</v>
      </c>
      <c r="G3986" s="33" t="s">
        <v>450</v>
      </c>
    </row>
    <row r="3987" ht="15.75" customHeight="1">
      <c r="A3987" s="33" t="s">
        <v>7973</v>
      </c>
      <c r="B3987" s="33" t="s">
        <v>448</v>
      </c>
      <c r="C3987" s="39">
        <v>45806.0</v>
      </c>
      <c r="D3987" s="33" t="s">
        <v>461</v>
      </c>
      <c r="E3987" s="40">
        <v>72.67</v>
      </c>
      <c r="F3987" s="40">
        <v>0.5</v>
      </c>
      <c r="G3987" s="33" t="s">
        <v>442</v>
      </c>
    </row>
    <row r="3988" ht="15.75" customHeight="1">
      <c r="A3988" s="33" t="s">
        <v>7974</v>
      </c>
      <c r="B3988" s="33" t="s">
        <v>948</v>
      </c>
      <c r="C3988" s="39">
        <v>46127.0</v>
      </c>
      <c r="D3988" s="33" t="s">
        <v>435</v>
      </c>
      <c r="E3988" s="40">
        <v>79.32</v>
      </c>
      <c r="F3988" s="40">
        <v>0.0</v>
      </c>
      <c r="G3988" s="33" t="s">
        <v>450</v>
      </c>
    </row>
    <row r="3989" ht="15.75" customHeight="1">
      <c r="A3989" s="33" t="s">
        <v>7975</v>
      </c>
      <c r="B3989" s="33" t="s">
        <v>308</v>
      </c>
      <c r="C3989" s="39">
        <v>46146.0</v>
      </c>
      <c r="D3989" s="33" t="s">
        <v>461</v>
      </c>
      <c r="E3989" s="40">
        <v>93.99</v>
      </c>
      <c r="F3989" s="40">
        <v>1.46</v>
      </c>
      <c r="G3989" s="33" t="s">
        <v>450</v>
      </c>
    </row>
    <row r="3990" ht="15.75" customHeight="1">
      <c r="A3990" s="33" t="s">
        <v>7976</v>
      </c>
      <c r="B3990" s="33" t="s">
        <v>1906</v>
      </c>
      <c r="C3990" s="39">
        <v>45664.0</v>
      </c>
      <c r="D3990" s="33" t="s">
        <v>479</v>
      </c>
      <c r="E3990" s="40">
        <v>40.66</v>
      </c>
      <c r="F3990" s="40">
        <v>0.68</v>
      </c>
      <c r="G3990" s="33" t="s">
        <v>450</v>
      </c>
    </row>
    <row r="3991" ht="15.75" customHeight="1">
      <c r="A3991" s="33" t="s">
        <v>7977</v>
      </c>
      <c r="B3991" s="33" t="s">
        <v>676</v>
      </c>
      <c r="C3991" s="39">
        <v>45788.0</v>
      </c>
      <c r="D3991" s="33" t="s">
        <v>461</v>
      </c>
      <c r="E3991" s="40">
        <v>73.85</v>
      </c>
      <c r="F3991" s="40">
        <v>1.39</v>
      </c>
      <c r="G3991" s="33" t="s">
        <v>450</v>
      </c>
    </row>
    <row r="3992" ht="15.75" customHeight="1">
      <c r="A3992" s="33" t="s">
        <v>7978</v>
      </c>
      <c r="B3992" s="33" t="s">
        <v>183</v>
      </c>
      <c r="C3992" s="39">
        <v>46026.0</v>
      </c>
      <c r="D3992" s="33" t="s">
        <v>440</v>
      </c>
      <c r="E3992" s="40">
        <v>80.96</v>
      </c>
      <c r="F3992" s="40">
        <v>0.0</v>
      </c>
      <c r="G3992" s="33" t="s">
        <v>450</v>
      </c>
    </row>
    <row r="3993" ht="15.75" customHeight="1">
      <c r="A3993" s="33" t="s">
        <v>7979</v>
      </c>
      <c r="B3993" s="33" t="s">
        <v>245</v>
      </c>
      <c r="C3993" s="39">
        <v>46207.0</v>
      </c>
      <c r="D3993" s="33" t="s">
        <v>435</v>
      </c>
      <c r="E3993" s="40">
        <v>161.78</v>
      </c>
      <c r="F3993" s="40">
        <v>0.0</v>
      </c>
      <c r="G3993" s="33" t="s">
        <v>450</v>
      </c>
    </row>
    <row r="3994" ht="15.75" customHeight="1">
      <c r="A3994" s="33" t="s">
        <v>7980</v>
      </c>
      <c r="B3994" s="33" t="s">
        <v>634</v>
      </c>
      <c r="C3994" s="39">
        <v>46067.0</v>
      </c>
      <c r="D3994" s="33" t="s">
        <v>440</v>
      </c>
      <c r="E3994" s="40">
        <v>15.76</v>
      </c>
      <c r="F3994" s="40">
        <v>0.0</v>
      </c>
      <c r="G3994" s="33" t="s">
        <v>450</v>
      </c>
    </row>
    <row r="3995" ht="15.75" customHeight="1">
      <c r="A3995" s="33" t="s">
        <v>7981</v>
      </c>
      <c r="B3995" s="33" t="s">
        <v>371</v>
      </c>
      <c r="C3995" s="39">
        <v>46086.0</v>
      </c>
      <c r="D3995" s="33" t="s">
        <v>461</v>
      </c>
      <c r="E3995" s="40">
        <v>20.81</v>
      </c>
      <c r="F3995" s="40">
        <v>0.27</v>
      </c>
      <c r="G3995" s="33" t="s">
        <v>442</v>
      </c>
    </row>
    <row r="3996" ht="15.75" customHeight="1">
      <c r="A3996" s="33" t="s">
        <v>7982</v>
      </c>
      <c r="B3996" s="33" t="s">
        <v>1660</v>
      </c>
      <c r="C3996" s="39">
        <v>45893.0</v>
      </c>
      <c r="D3996" s="33" t="s">
        <v>428</v>
      </c>
      <c r="E3996" s="40">
        <v>109.93</v>
      </c>
      <c r="F3996" s="40">
        <v>0.0</v>
      </c>
      <c r="G3996" s="33" t="s">
        <v>450</v>
      </c>
    </row>
    <row r="3997" ht="15.75" customHeight="1">
      <c r="A3997" s="33" t="s">
        <v>7983</v>
      </c>
      <c r="B3997" s="33" t="s">
        <v>812</v>
      </c>
      <c r="C3997" s="39">
        <v>45691.0</v>
      </c>
      <c r="D3997" s="33" t="s">
        <v>440</v>
      </c>
      <c r="E3997" s="40">
        <v>118.22</v>
      </c>
      <c r="F3997" s="40">
        <v>0.0</v>
      </c>
      <c r="G3997" s="33" t="s">
        <v>450</v>
      </c>
    </row>
    <row r="3998" ht="15.75" customHeight="1">
      <c r="A3998" s="33" t="s">
        <v>7984</v>
      </c>
      <c r="B3998" s="33" t="s">
        <v>1850</v>
      </c>
      <c r="C3998" s="39">
        <v>46122.0</v>
      </c>
      <c r="D3998" s="33" t="s">
        <v>440</v>
      </c>
      <c r="E3998" s="40">
        <v>110.26</v>
      </c>
      <c r="F3998" s="40">
        <v>0.0</v>
      </c>
      <c r="G3998" s="33" t="s">
        <v>450</v>
      </c>
    </row>
    <row r="3999" ht="15.75" customHeight="1">
      <c r="A3999" s="33" t="s">
        <v>7985</v>
      </c>
      <c r="B3999" s="33" t="s">
        <v>600</v>
      </c>
      <c r="C3999" s="39">
        <v>46143.0</v>
      </c>
      <c r="D3999" s="33" t="s">
        <v>428</v>
      </c>
      <c r="E3999" s="40">
        <v>109.44</v>
      </c>
      <c r="F3999" s="40">
        <v>0.0</v>
      </c>
      <c r="G3999" s="33" t="s">
        <v>450</v>
      </c>
    </row>
    <row r="4000" ht="15.75" customHeight="1">
      <c r="A4000" s="33" t="s">
        <v>7986</v>
      </c>
      <c r="B4000" s="33" t="s">
        <v>312</v>
      </c>
      <c r="C4000" s="39">
        <v>45927.0</v>
      </c>
      <c r="D4000" s="33" t="s">
        <v>440</v>
      </c>
      <c r="E4000" s="40">
        <v>17.47</v>
      </c>
      <c r="F4000" s="40">
        <v>0.0</v>
      </c>
      <c r="G4000" s="33" t="s">
        <v>450</v>
      </c>
    </row>
    <row r="4001" ht="15.75" customHeight="1">
      <c r="A4001" s="33" t="s">
        <v>7987</v>
      </c>
      <c r="B4001" s="33" t="s">
        <v>861</v>
      </c>
      <c r="C4001" s="39">
        <v>45965.0</v>
      </c>
      <c r="D4001" s="33" t="s">
        <v>440</v>
      </c>
      <c r="E4001" s="40">
        <v>239.71</v>
      </c>
      <c r="F4001" s="40">
        <v>0.0</v>
      </c>
      <c r="G4001" s="33" t="s">
        <v>450</v>
      </c>
    </row>
    <row r="4002" ht="15.75" customHeight="1">
      <c r="A4002" s="33" t="s">
        <v>7988</v>
      </c>
      <c r="B4002" s="33" t="s">
        <v>1805</v>
      </c>
      <c r="C4002" s="39">
        <v>45800.0</v>
      </c>
      <c r="D4002" s="33" t="s">
        <v>428</v>
      </c>
      <c r="E4002" s="40">
        <v>149.49</v>
      </c>
      <c r="F4002" s="40">
        <v>0.0</v>
      </c>
      <c r="G4002" s="33" t="s">
        <v>450</v>
      </c>
    </row>
    <row r="4003" ht="15.75" customHeight="1">
      <c r="A4003" s="33" t="s">
        <v>7989</v>
      </c>
      <c r="B4003" s="33" t="s">
        <v>264</v>
      </c>
      <c r="C4003" s="39">
        <v>45932.0</v>
      </c>
      <c r="D4003" s="33" t="s">
        <v>479</v>
      </c>
      <c r="E4003" s="40">
        <v>17.76</v>
      </c>
      <c r="F4003" s="40">
        <v>0.3</v>
      </c>
      <c r="G4003" s="33" t="s">
        <v>450</v>
      </c>
    </row>
    <row r="4004" ht="15.75" customHeight="1">
      <c r="A4004" s="33" t="s">
        <v>7990</v>
      </c>
      <c r="B4004" s="33" t="s">
        <v>2165</v>
      </c>
      <c r="C4004" s="39">
        <v>45804.0</v>
      </c>
      <c r="D4004" s="33" t="s">
        <v>479</v>
      </c>
      <c r="E4004" s="40">
        <v>60.32</v>
      </c>
      <c r="F4004" s="40">
        <v>0.85</v>
      </c>
      <c r="G4004" s="33" t="s">
        <v>442</v>
      </c>
    </row>
    <row r="4005" ht="15.75" customHeight="1">
      <c r="A4005" s="33" t="s">
        <v>7991</v>
      </c>
      <c r="B4005" s="33" t="s">
        <v>1742</v>
      </c>
      <c r="C4005" s="39">
        <v>45913.0</v>
      </c>
      <c r="D4005" s="33" t="s">
        <v>479</v>
      </c>
      <c r="E4005" s="40">
        <v>57.66</v>
      </c>
      <c r="F4005" s="40">
        <v>0.67</v>
      </c>
      <c r="G4005" s="33" t="s">
        <v>431</v>
      </c>
    </row>
    <row r="4006" ht="15.75" customHeight="1">
      <c r="A4006" s="33" t="s">
        <v>7992</v>
      </c>
      <c r="B4006" s="33" t="s">
        <v>460</v>
      </c>
      <c r="C4006" s="39">
        <v>45739.0</v>
      </c>
      <c r="D4006" s="33" t="s">
        <v>461</v>
      </c>
      <c r="E4006" s="40">
        <v>68.67</v>
      </c>
      <c r="F4006" s="40">
        <v>0.77</v>
      </c>
      <c r="G4006" s="33" t="s">
        <v>450</v>
      </c>
    </row>
    <row r="4007" ht="15.75" customHeight="1">
      <c r="A4007" s="33" t="s">
        <v>7993</v>
      </c>
      <c r="B4007" s="33" t="s">
        <v>493</v>
      </c>
      <c r="C4007" s="39">
        <v>46026.0</v>
      </c>
      <c r="D4007" s="33" t="s">
        <v>440</v>
      </c>
      <c r="E4007" s="40">
        <v>51.94</v>
      </c>
      <c r="F4007" s="40">
        <v>0.0</v>
      </c>
      <c r="G4007" s="33" t="s">
        <v>450</v>
      </c>
    </row>
    <row r="4008" ht="15.75" customHeight="1">
      <c r="A4008" s="33" t="s">
        <v>7994</v>
      </c>
      <c r="B4008" s="33" t="s">
        <v>2958</v>
      </c>
      <c r="C4008" s="39">
        <v>45808.0</v>
      </c>
      <c r="D4008" s="33" t="s">
        <v>461</v>
      </c>
      <c r="E4008" s="40">
        <v>28.14</v>
      </c>
      <c r="F4008" s="40">
        <v>0.48</v>
      </c>
      <c r="G4008" s="33" t="s">
        <v>431</v>
      </c>
    </row>
    <row r="4009" ht="15.75" customHeight="1">
      <c r="A4009" s="33" t="s">
        <v>7995</v>
      </c>
      <c r="B4009" s="33" t="s">
        <v>1262</v>
      </c>
      <c r="C4009" s="39">
        <v>46097.0</v>
      </c>
      <c r="D4009" s="33" t="s">
        <v>440</v>
      </c>
      <c r="E4009" s="40">
        <v>82.05</v>
      </c>
      <c r="F4009" s="40">
        <v>0.0</v>
      </c>
      <c r="G4009" s="33" t="s">
        <v>442</v>
      </c>
    </row>
    <row r="4010" ht="15.75" customHeight="1">
      <c r="A4010" s="33" t="s">
        <v>7996</v>
      </c>
      <c r="B4010" s="33" t="s">
        <v>306</v>
      </c>
      <c r="C4010" s="39">
        <v>45972.0</v>
      </c>
      <c r="D4010" s="33" t="s">
        <v>479</v>
      </c>
      <c r="E4010" s="40">
        <v>168.95</v>
      </c>
      <c r="F4010" s="40">
        <v>3.15</v>
      </c>
      <c r="G4010" s="33" t="s">
        <v>450</v>
      </c>
    </row>
    <row r="4011" ht="15.75" customHeight="1">
      <c r="A4011" s="33" t="s">
        <v>7997</v>
      </c>
      <c r="B4011" s="33" t="s">
        <v>753</v>
      </c>
      <c r="C4011" s="39">
        <v>46201.0</v>
      </c>
      <c r="D4011" s="33" t="s">
        <v>435</v>
      </c>
      <c r="E4011" s="40">
        <v>50.67</v>
      </c>
      <c r="F4011" s="40">
        <v>0.0</v>
      </c>
      <c r="G4011" s="33" t="s">
        <v>431</v>
      </c>
    </row>
    <row r="4012" ht="15.75" customHeight="1">
      <c r="A4012" s="33" t="s">
        <v>7998</v>
      </c>
      <c r="B4012" s="33" t="s">
        <v>2021</v>
      </c>
      <c r="C4012" s="39">
        <v>45792.0</v>
      </c>
      <c r="D4012" s="33" t="s">
        <v>435</v>
      </c>
      <c r="E4012" s="40">
        <v>93.44</v>
      </c>
      <c r="F4012" s="40">
        <v>0.0</v>
      </c>
      <c r="G4012" s="33" t="s">
        <v>442</v>
      </c>
    </row>
    <row r="4013" ht="15.75" customHeight="1">
      <c r="A4013" s="33" t="s">
        <v>7999</v>
      </c>
      <c r="B4013" s="33" t="s">
        <v>961</v>
      </c>
      <c r="C4013" s="39">
        <v>45823.0</v>
      </c>
      <c r="D4013" s="33" t="s">
        <v>479</v>
      </c>
      <c r="E4013" s="40">
        <v>70.21</v>
      </c>
      <c r="F4013" s="40">
        <v>0.36</v>
      </c>
      <c r="G4013" s="33" t="s">
        <v>442</v>
      </c>
    </row>
    <row r="4014" ht="15.75" customHeight="1">
      <c r="A4014" s="33" t="s">
        <v>8000</v>
      </c>
      <c r="B4014" s="33" t="s">
        <v>919</v>
      </c>
      <c r="C4014" s="39">
        <v>45805.0</v>
      </c>
      <c r="D4014" s="33" t="s">
        <v>435</v>
      </c>
      <c r="E4014" s="40">
        <v>109.4</v>
      </c>
      <c r="F4014" s="40">
        <v>0.0</v>
      </c>
      <c r="G4014" s="33" t="s">
        <v>450</v>
      </c>
    </row>
    <row r="4015" ht="15.75" customHeight="1">
      <c r="A4015" s="33" t="s">
        <v>8001</v>
      </c>
      <c r="B4015" s="33" t="s">
        <v>1475</v>
      </c>
      <c r="C4015" s="39">
        <v>46040.0</v>
      </c>
      <c r="D4015" s="33" t="s">
        <v>428</v>
      </c>
      <c r="E4015" s="40">
        <v>65.52</v>
      </c>
      <c r="F4015" s="40">
        <v>0.0</v>
      </c>
      <c r="G4015" s="33" t="s">
        <v>450</v>
      </c>
    </row>
    <row r="4016" ht="15.75" customHeight="1">
      <c r="A4016" s="33" t="s">
        <v>8002</v>
      </c>
      <c r="B4016" s="33" t="s">
        <v>916</v>
      </c>
      <c r="C4016" s="39">
        <v>45722.0</v>
      </c>
      <c r="D4016" s="33" t="s">
        <v>428</v>
      </c>
      <c r="E4016" s="40">
        <v>44.74</v>
      </c>
      <c r="F4016" s="40">
        <v>0.0</v>
      </c>
      <c r="G4016" s="33" t="s">
        <v>450</v>
      </c>
    </row>
    <row r="4017" ht="15.75" customHeight="1">
      <c r="A4017" s="33" t="s">
        <v>8003</v>
      </c>
      <c r="B4017" s="33" t="s">
        <v>1200</v>
      </c>
      <c r="C4017" s="39">
        <v>46074.0</v>
      </c>
      <c r="D4017" s="33" t="s">
        <v>440</v>
      </c>
      <c r="E4017" s="40">
        <v>52.99</v>
      </c>
      <c r="F4017" s="40">
        <v>0.0</v>
      </c>
      <c r="G4017" s="33" t="s">
        <v>442</v>
      </c>
    </row>
    <row r="4018" ht="15.75" customHeight="1">
      <c r="A4018" s="33" t="s">
        <v>8004</v>
      </c>
      <c r="B4018" s="33" t="s">
        <v>767</v>
      </c>
      <c r="C4018" s="39">
        <v>46155.0</v>
      </c>
      <c r="D4018" s="33" t="s">
        <v>440</v>
      </c>
      <c r="E4018" s="40">
        <v>164.55</v>
      </c>
      <c r="F4018" s="40">
        <v>0.0</v>
      </c>
      <c r="G4018" s="33" t="s">
        <v>431</v>
      </c>
    </row>
    <row r="4019" ht="15.75" customHeight="1">
      <c r="A4019" s="33" t="s">
        <v>8005</v>
      </c>
      <c r="B4019" s="33" t="s">
        <v>487</v>
      </c>
      <c r="C4019" s="39">
        <v>46067.0</v>
      </c>
      <c r="D4019" s="33" t="s">
        <v>479</v>
      </c>
      <c r="E4019" s="40">
        <v>77.07</v>
      </c>
      <c r="F4019" s="40">
        <v>1.15</v>
      </c>
      <c r="G4019" s="33" t="s">
        <v>431</v>
      </c>
    </row>
    <row r="4020" ht="15.75" customHeight="1">
      <c r="A4020" s="33" t="s">
        <v>8006</v>
      </c>
      <c r="B4020" s="33" t="s">
        <v>322</v>
      </c>
      <c r="C4020" s="39">
        <v>45739.0</v>
      </c>
      <c r="D4020" s="33" t="s">
        <v>440</v>
      </c>
      <c r="E4020" s="40">
        <v>75.19</v>
      </c>
      <c r="F4020" s="40">
        <v>0.0</v>
      </c>
      <c r="G4020" s="33" t="s">
        <v>450</v>
      </c>
    </row>
    <row r="4021" ht="15.75" customHeight="1">
      <c r="A4021" s="33" t="s">
        <v>8007</v>
      </c>
      <c r="B4021" s="33" t="s">
        <v>767</v>
      </c>
      <c r="C4021" s="39">
        <v>45957.0</v>
      </c>
      <c r="D4021" s="33" t="s">
        <v>428</v>
      </c>
      <c r="E4021" s="40">
        <v>161.08</v>
      </c>
      <c r="F4021" s="40">
        <v>0.0</v>
      </c>
      <c r="G4021" s="33" t="s">
        <v>442</v>
      </c>
    </row>
    <row r="4022" ht="15.75" customHeight="1">
      <c r="A4022" s="33" t="s">
        <v>8008</v>
      </c>
      <c r="B4022" s="33" t="s">
        <v>3344</v>
      </c>
      <c r="C4022" s="39">
        <v>45981.0</v>
      </c>
      <c r="D4022" s="33" t="s">
        <v>435</v>
      </c>
      <c r="E4022" s="40">
        <v>181.47</v>
      </c>
      <c r="F4022" s="40">
        <v>0.0</v>
      </c>
      <c r="G4022" s="33" t="s">
        <v>442</v>
      </c>
    </row>
    <row r="4023" ht="15.75" customHeight="1">
      <c r="A4023" s="33" t="s">
        <v>8009</v>
      </c>
      <c r="B4023" s="33" t="s">
        <v>1467</v>
      </c>
      <c r="C4023" s="39">
        <v>45895.0</v>
      </c>
      <c r="D4023" s="33" t="s">
        <v>479</v>
      </c>
      <c r="E4023" s="40">
        <v>6.91</v>
      </c>
      <c r="F4023" s="40">
        <v>0.13</v>
      </c>
      <c r="G4023" s="33" t="s">
        <v>450</v>
      </c>
    </row>
    <row r="4024" ht="15.75" customHeight="1">
      <c r="A4024" s="33" t="s">
        <v>8010</v>
      </c>
      <c r="B4024" s="33" t="s">
        <v>1749</v>
      </c>
      <c r="C4024" s="39">
        <v>45941.0</v>
      </c>
      <c r="D4024" s="33" t="s">
        <v>435</v>
      </c>
      <c r="E4024" s="40">
        <v>21.33</v>
      </c>
      <c r="F4024" s="40">
        <v>0.0</v>
      </c>
      <c r="G4024" s="33" t="s">
        <v>442</v>
      </c>
    </row>
    <row r="4025" ht="15.75" customHeight="1">
      <c r="A4025" s="33" t="s">
        <v>8011</v>
      </c>
      <c r="B4025" s="33" t="s">
        <v>303</v>
      </c>
      <c r="C4025" s="39">
        <v>46120.0</v>
      </c>
      <c r="D4025" s="33" t="s">
        <v>428</v>
      </c>
      <c r="E4025" s="40">
        <v>130.21</v>
      </c>
      <c r="F4025" s="40">
        <v>0.0</v>
      </c>
      <c r="G4025" s="33" t="s">
        <v>450</v>
      </c>
    </row>
    <row r="4026" ht="15.75" customHeight="1">
      <c r="A4026" s="33" t="s">
        <v>8012</v>
      </c>
      <c r="B4026" s="33" t="s">
        <v>815</v>
      </c>
      <c r="C4026" s="39">
        <v>46164.0</v>
      </c>
      <c r="D4026" s="33" t="s">
        <v>435</v>
      </c>
      <c r="E4026" s="40">
        <v>79.76</v>
      </c>
      <c r="F4026" s="40">
        <v>0.0</v>
      </c>
      <c r="G4026" s="33" t="s">
        <v>450</v>
      </c>
    </row>
    <row r="4027" ht="15.75" customHeight="1">
      <c r="A4027" s="33" t="s">
        <v>8013</v>
      </c>
      <c r="B4027" s="33" t="s">
        <v>594</v>
      </c>
      <c r="C4027" s="39">
        <v>45840.0</v>
      </c>
      <c r="D4027" s="33" t="s">
        <v>479</v>
      </c>
      <c r="E4027" s="40">
        <v>181.93</v>
      </c>
      <c r="F4027" s="40">
        <v>3.46</v>
      </c>
      <c r="G4027" s="33" t="s">
        <v>450</v>
      </c>
    </row>
    <row r="4028" ht="15.75" customHeight="1">
      <c r="A4028" s="33" t="s">
        <v>8014</v>
      </c>
      <c r="B4028" s="33" t="s">
        <v>4154</v>
      </c>
      <c r="C4028" s="39">
        <v>45858.0</v>
      </c>
      <c r="D4028" s="33" t="s">
        <v>428</v>
      </c>
      <c r="E4028" s="40">
        <v>15.85</v>
      </c>
      <c r="F4028" s="40">
        <v>0.0</v>
      </c>
      <c r="G4028" s="33" t="s">
        <v>450</v>
      </c>
    </row>
    <row r="4029" ht="15.75" customHeight="1">
      <c r="A4029" s="33" t="s">
        <v>8015</v>
      </c>
      <c r="B4029" s="33" t="s">
        <v>1043</v>
      </c>
      <c r="C4029" s="39">
        <v>45784.0</v>
      </c>
      <c r="D4029" s="33" t="s">
        <v>479</v>
      </c>
      <c r="E4029" s="40">
        <v>88.47</v>
      </c>
      <c r="F4029" s="40">
        <v>1.58</v>
      </c>
      <c r="G4029" s="33" t="s">
        <v>450</v>
      </c>
    </row>
    <row r="4030" ht="15.75" customHeight="1">
      <c r="A4030" s="33" t="s">
        <v>8016</v>
      </c>
      <c r="B4030" s="33" t="s">
        <v>576</v>
      </c>
      <c r="C4030" s="39">
        <v>45901.0</v>
      </c>
      <c r="D4030" s="33" t="s">
        <v>435</v>
      </c>
      <c r="E4030" s="40">
        <v>113.42</v>
      </c>
      <c r="F4030" s="40">
        <v>0.0</v>
      </c>
      <c r="G4030" s="33" t="s">
        <v>450</v>
      </c>
    </row>
    <row r="4031" ht="15.75" customHeight="1">
      <c r="A4031" s="33" t="s">
        <v>8017</v>
      </c>
      <c r="B4031" s="33" t="s">
        <v>1901</v>
      </c>
      <c r="C4031" s="39">
        <v>45989.0</v>
      </c>
      <c r="D4031" s="33" t="s">
        <v>435</v>
      </c>
      <c r="E4031" s="40">
        <v>58.4</v>
      </c>
      <c r="F4031" s="40">
        <v>0.0</v>
      </c>
      <c r="G4031" s="33" t="s">
        <v>442</v>
      </c>
    </row>
    <row r="4032" ht="15.75" customHeight="1">
      <c r="A4032" s="33" t="s">
        <v>8018</v>
      </c>
      <c r="B4032" s="33" t="s">
        <v>3687</v>
      </c>
      <c r="C4032" s="39">
        <v>46091.0</v>
      </c>
      <c r="D4032" s="33" t="s">
        <v>461</v>
      </c>
      <c r="E4032" s="40">
        <v>125.07</v>
      </c>
      <c r="F4032" s="40">
        <v>1.1</v>
      </c>
      <c r="G4032" s="33" t="s">
        <v>450</v>
      </c>
    </row>
    <row r="4033" ht="15.75" customHeight="1">
      <c r="A4033" s="33" t="s">
        <v>8019</v>
      </c>
      <c r="B4033" s="33" t="s">
        <v>329</v>
      </c>
      <c r="C4033" s="39">
        <v>45820.0</v>
      </c>
      <c r="D4033" s="33" t="s">
        <v>435</v>
      </c>
      <c r="E4033" s="40">
        <v>131.96</v>
      </c>
      <c r="F4033" s="40">
        <v>0.0</v>
      </c>
      <c r="G4033" s="33" t="s">
        <v>450</v>
      </c>
    </row>
    <row r="4034" ht="15.75" customHeight="1">
      <c r="A4034" s="33" t="s">
        <v>8020</v>
      </c>
      <c r="B4034" s="33" t="s">
        <v>1099</v>
      </c>
      <c r="C4034" s="39">
        <v>45789.0</v>
      </c>
      <c r="D4034" s="33" t="s">
        <v>440</v>
      </c>
      <c r="E4034" s="40">
        <v>70.85</v>
      </c>
      <c r="F4034" s="40">
        <v>0.0</v>
      </c>
      <c r="G4034" s="33" t="s">
        <v>450</v>
      </c>
    </row>
    <row r="4035" ht="15.75" customHeight="1">
      <c r="A4035" s="33" t="s">
        <v>8021</v>
      </c>
      <c r="B4035" s="33" t="s">
        <v>236</v>
      </c>
      <c r="C4035" s="39">
        <v>45678.0</v>
      </c>
      <c r="D4035" s="33" t="s">
        <v>461</v>
      </c>
      <c r="E4035" s="40">
        <v>67.2</v>
      </c>
      <c r="F4035" s="40">
        <v>0.37</v>
      </c>
      <c r="G4035" s="33" t="s">
        <v>442</v>
      </c>
    </row>
    <row r="4036" ht="15.75" customHeight="1">
      <c r="A4036" s="33" t="s">
        <v>8022</v>
      </c>
      <c r="B4036" s="33" t="s">
        <v>1247</v>
      </c>
      <c r="C4036" s="39">
        <v>45714.0</v>
      </c>
      <c r="D4036" s="33" t="s">
        <v>440</v>
      </c>
      <c r="E4036" s="40">
        <v>140.92</v>
      </c>
      <c r="F4036" s="40">
        <v>0.0</v>
      </c>
      <c r="G4036" s="33" t="s">
        <v>450</v>
      </c>
    </row>
    <row r="4037" ht="15.75" customHeight="1">
      <c r="A4037" s="33" t="s">
        <v>8023</v>
      </c>
      <c r="B4037" s="33" t="s">
        <v>1408</v>
      </c>
      <c r="C4037" s="39">
        <v>45689.0</v>
      </c>
      <c r="D4037" s="33" t="s">
        <v>428</v>
      </c>
      <c r="E4037" s="40">
        <v>87.25</v>
      </c>
      <c r="F4037" s="40">
        <v>0.0</v>
      </c>
      <c r="G4037" s="33" t="s">
        <v>442</v>
      </c>
    </row>
    <row r="4038" ht="15.75" customHeight="1">
      <c r="A4038" s="33" t="s">
        <v>8024</v>
      </c>
      <c r="B4038" s="33" t="s">
        <v>487</v>
      </c>
      <c r="C4038" s="39">
        <v>45783.0</v>
      </c>
      <c r="D4038" s="33" t="s">
        <v>461</v>
      </c>
      <c r="E4038" s="40">
        <v>107.99</v>
      </c>
      <c r="F4038" s="40">
        <v>1.97</v>
      </c>
      <c r="G4038" s="33" t="s">
        <v>442</v>
      </c>
    </row>
    <row r="4039" ht="15.75" customHeight="1">
      <c r="A4039" s="33" t="s">
        <v>8025</v>
      </c>
      <c r="B4039" s="33" t="s">
        <v>788</v>
      </c>
      <c r="C4039" s="39">
        <v>46079.0</v>
      </c>
      <c r="D4039" s="33" t="s">
        <v>435</v>
      </c>
      <c r="E4039" s="40">
        <v>86.92</v>
      </c>
      <c r="F4039" s="40">
        <v>0.0</v>
      </c>
      <c r="G4039" s="33" t="s">
        <v>450</v>
      </c>
    </row>
    <row r="4040" ht="15.75" customHeight="1">
      <c r="A4040" s="33" t="s">
        <v>8026</v>
      </c>
      <c r="B4040" s="33" t="s">
        <v>2836</v>
      </c>
      <c r="C4040" s="39">
        <v>46127.0</v>
      </c>
      <c r="D4040" s="33" t="s">
        <v>428</v>
      </c>
      <c r="E4040" s="40">
        <v>83.73</v>
      </c>
      <c r="F4040" s="40">
        <v>0.0</v>
      </c>
      <c r="G4040" s="33" t="s">
        <v>450</v>
      </c>
    </row>
    <row r="4041" ht="15.75" customHeight="1">
      <c r="A4041" s="33" t="s">
        <v>8027</v>
      </c>
      <c r="B4041" s="33" t="s">
        <v>1346</v>
      </c>
      <c r="C4041" s="39">
        <v>46248.0</v>
      </c>
      <c r="D4041" s="33" t="s">
        <v>428</v>
      </c>
      <c r="E4041" s="40">
        <v>67.07</v>
      </c>
      <c r="F4041" s="40">
        <v>0.0</v>
      </c>
      <c r="G4041" s="33" t="s">
        <v>450</v>
      </c>
    </row>
    <row r="4042" ht="15.75" customHeight="1">
      <c r="A4042" s="33" t="s">
        <v>8028</v>
      </c>
      <c r="B4042" s="33" t="s">
        <v>858</v>
      </c>
      <c r="C4042" s="39">
        <v>45988.0</v>
      </c>
      <c r="D4042" s="33" t="s">
        <v>440</v>
      </c>
      <c r="E4042" s="40">
        <v>113.09</v>
      </c>
      <c r="F4042" s="40">
        <v>0.0</v>
      </c>
      <c r="G4042" s="33" t="s">
        <v>442</v>
      </c>
    </row>
    <row r="4043" ht="15.75" customHeight="1">
      <c r="A4043" s="33" t="s">
        <v>8029</v>
      </c>
      <c r="B4043" s="33" t="s">
        <v>294</v>
      </c>
      <c r="C4043" s="39">
        <v>45933.0</v>
      </c>
      <c r="D4043" s="33" t="s">
        <v>440</v>
      </c>
      <c r="E4043" s="40">
        <v>37.67</v>
      </c>
      <c r="F4043" s="40">
        <v>0.0</v>
      </c>
      <c r="G4043" s="33" t="s">
        <v>450</v>
      </c>
    </row>
    <row r="4044" ht="15.75" customHeight="1">
      <c r="A4044" s="33" t="s">
        <v>8030</v>
      </c>
      <c r="B4044" s="33" t="s">
        <v>534</v>
      </c>
      <c r="C4044" s="39">
        <v>46203.0</v>
      </c>
      <c r="D4044" s="33" t="s">
        <v>440</v>
      </c>
      <c r="E4044" s="40">
        <v>16.69</v>
      </c>
      <c r="F4044" s="40">
        <v>0.0</v>
      </c>
      <c r="G4044" s="33" t="s">
        <v>450</v>
      </c>
    </row>
    <row r="4045" ht="15.75" customHeight="1">
      <c r="A4045" s="33" t="s">
        <v>8031</v>
      </c>
      <c r="B4045" s="33" t="s">
        <v>312</v>
      </c>
      <c r="C4045" s="39">
        <v>45747.0</v>
      </c>
      <c r="D4045" s="33" t="s">
        <v>479</v>
      </c>
      <c r="E4045" s="40">
        <v>75.08</v>
      </c>
      <c r="F4045" s="40">
        <v>0.66</v>
      </c>
      <c r="G4045" s="33" t="s">
        <v>450</v>
      </c>
    </row>
    <row r="4046" ht="15.75" customHeight="1">
      <c r="A4046" s="33" t="s">
        <v>8032</v>
      </c>
      <c r="B4046" s="33" t="s">
        <v>4533</v>
      </c>
      <c r="C4046" s="39">
        <v>46040.0</v>
      </c>
      <c r="D4046" s="33" t="s">
        <v>479</v>
      </c>
      <c r="E4046" s="40">
        <v>183.78</v>
      </c>
      <c r="F4046" s="40">
        <v>2.61</v>
      </c>
      <c r="G4046" s="33" t="s">
        <v>442</v>
      </c>
    </row>
    <row r="4047" ht="15.75" customHeight="1">
      <c r="A4047" s="33" t="s">
        <v>8033</v>
      </c>
      <c r="B4047" s="33" t="s">
        <v>753</v>
      </c>
      <c r="C4047" s="39">
        <v>46154.0</v>
      </c>
      <c r="D4047" s="33" t="s">
        <v>428</v>
      </c>
      <c r="E4047" s="40">
        <v>87.34</v>
      </c>
      <c r="F4047" s="40">
        <v>0.0</v>
      </c>
      <c r="G4047" s="33" t="s">
        <v>431</v>
      </c>
    </row>
    <row r="4048" ht="15.75" customHeight="1">
      <c r="A4048" s="33" t="s">
        <v>8034</v>
      </c>
      <c r="B4048" s="33" t="s">
        <v>2259</v>
      </c>
      <c r="C4048" s="39">
        <v>45963.0</v>
      </c>
      <c r="D4048" s="33" t="s">
        <v>461</v>
      </c>
      <c r="E4048" s="40">
        <v>62.39</v>
      </c>
      <c r="F4048" s="40">
        <v>1.22</v>
      </c>
      <c r="G4048" s="33" t="s">
        <v>431</v>
      </c>
    </row>
    <row r="4049" ht="15.75" customHeight="1">
      <c r="A4049" s="33" t="s">
        <v>8035</v>
      </c>
      <c r="B4049" s="33" t="s">
        <v>546</v>
      </c>
      <c r="C4049" s="39">
        <v>45816.0</v>
      </c>
      <c r="D4049" s="33" t="s">
        <v>428</v>
      </c>
      <c r="E4049" s="40">
        <v>56.26</v>
      </c>
      <c r="F4049" s="40">
        <v>0.0</v>
      </c>
      <c r="G4049" s="33" t="s">
        <v>450</v>
      </c>
    </row>
    <row r="4050" ht="15.75" customHeight="1">
      <c r="A4050" s="33" t="s">
        <v>8036</v>
      </c>
      <c r="B4050" s="33" t="s">
        <v>2615</v>
      </c>
      <c r="C4050" s="39">
        <v>46034.0</v>
      </c>
      <c r="D4050" s="33" t="s">
        <v>440</v>
      </c>
      <c r="E4050" s="40">
        <v>53.33</v>
      </c>
      <c r="F4050" s="40">
        <v>0.0</v>
      </c>
      <c r="G4050" s="33" t="s">
        <v>450</v>
      </c>
    </row>
    <row r="4051" ht="15.75" customHeight="1">
      <c r="A4051" s="33" t="s">
        <v>8037</v>
      </c>
      <c r="B4051" s="33" t="s">
        <v>1444</v>
      </c>
      <c r="C4051" s="39">
        <v>46262.0</v>
      </c>
      <c r="D4051" s="33" t="s">
        <v>479</v>
      </c>
      <c r="E4051" s="40">
        <v>3.13</v>
      </c>
      <c r="F4051" s="40">
        <v>0.03</v>
      </c>
      <c r="G4051" s="33" t="s">
        <v>450</v>
      </c>
    </row>
    <row r="4052" ht="15.75" customHeight="1">
      <c r="A4052" s="33" t="s">
        <v>8038</v>
      </c>
      <c r="B4052" s="33" t="s">
        <v>474</v>
      </c>
      <c r="C4052" s="39">
        <v>45801.0</v>
      </c>
      <c r="D4052" s="33" t="s">
        <v>435</v>
      </c>
      <c r="E4052" s="40">
        <v>166.98</v>
      </c>
      <c r="F4052" s="40">
        <v>0.0</v>
      </c>
      <c r="G4052" s="33" t="s">
        <v>450</v>
      </c>
    </row>
    <row r="4053" ht="15.75" customHeight="1">
      <c r="A4053" s="33" t="s">
        <v>8039</v>
      </c>
      <c r="B4053" s="33" t="s">
        <v>590</v>
      </c>
      <c r="C4053" s="39">
        <v>45999.0</v>
      </c>
      <c r="D4053" s="33" t="s">
        <v>440</v>
      </c>
      <c r="E4053" s="40">
        <v>49.02</v>
      </c>
      <c r="F4053" s="40">
        <v>0.0</v>
      </c>
      <c r="G4053" s="33" t="s">
        <v>450</v>
      </c>
    </row>
    <row r="4054" ht="15.75" customHeight="1">
      <c r="A4054" s="33" t="s">
        <v>8040</v>
      </c>
      <c r="B4054" s="33" t="s">
        <v>300</v>
      </c>
      <c r="C4054" s="39">
        <v>45688.0</v>
      </c>
      <c r="D4054" s="33" t="s">
        <v>479</v>
      </c>
      <c r="E4054" s="40">
        <v>76.14</v>
      </c>
      <c r="F4054" s="40">
        <v>1.02</v>
      </c>
      <c r="G4054" s="33" t="s">
        <v>450</v>
      </c>
    </row>
    <row r="4055" ht="15.75" customHeight="1">
      <c r="A4055" s="33" t="s">
        <v>8041</v>
      </c>
      <c r="B4055" s="33" t="s">
        <v>2469</v>
      </c>
      <c r="C4055" s="39">
        <v>45799.0</v>
      </c>
      <c r="D4055" s="33" t="s">
        <v>435</v>
      </c>
      <c r="E4055" s="40">
        <v>59.52</v>
      </c>
      <c r="F4055" s="40">
        <v>0.0</v>
      </c>
      <c r="G4055" s="33" t="s">
        <v>442</v>
      </c>
    </row>
    <row r="4056" ht="15.75" customHeight="1">
      <c r="A4056" s="33" t="s">
        <v>8042</v>
      </c>
      <c r="B4056" s="33" t="s">
        <v>337</v>
      </c>
      <c r="C4056" s="39">
        <v>46123.0</v>
      </c>
      <c r="D4056" s="33" t="s">
        <v>428</v>
      </c>
      <c r="E4056" s="40">
        <v>42.43</v>
      </c>
      <c r="F4056" s="40">
        <v>0.0</v>
      </c>
      <c r="G4056" s="33" t="s">
        <v>450</v>
      </c>
    </row>
    <row r="4057" ht="15.75" customHeight="1">
      <c r="A4057" s="33" t="s">
        <v>8043</v>
      </c>
      <c r="B4057" s="33" t="s">
        <v>817</v>
      </c>
      <c r="C4057" s="39">
        <v>45959.0</v>
      </c>
      <c r="D4057" s="33" t="s">
        <v>440</v>
      </c>
      <c r="E4057" s="40">
        <v>172.76</v>
      </c>
      <c r="F4057" s="40">
        <v>0.0</v>
      </c>
      <c r="G4057" s="33" t="s">
        <v>442</v>
      </c>
    </row>
    <row r="4058" ht="15.75" customHeight="1">
      <c r="A4058" s="33" t="s">
        <v>8044</v>
      </c>
      <c r="B4058" s="33" t="s">
        <v>303</v>
      </c>
      <c r="C4058" s="39">
        <v>45778.0</v>
      </c>
      <c r="D4058" s="33" t="s">
        <v>435</v>
      </c>
      <c r="E4058" s="40">
        <v>29.34</v>
      </c>
      <c r="F4058" s="40">
        <v>0.0</v>
      </c>
      <c r="G4058" s="33" t="s">
        <v>431</v>
      </c>
    </row>
    <row r="4059" ht="15.75" customHeight="1">
      <c r="A4059" s="33" t="s">
        <v>8045</v>
      </c>
      <c r="B4059" s="33" t="s">
        <v>1651</v>
      </c>
      <c r="C4059" s="39">
        <v>45861.0</v>
      </c>
      <c r="D4059" s="33" t="s">
        <v>461</v>
      </c>
      <c r="E4059" s="40">
        <v>115.84</v>
      </c>
      <c r="F4059" s="40">
        <v>1.26</v>
      </c>
      <c r="G4059" s="33" t="s">
        <v>431</v>
      </c>
    </row>
    <row r="4060" ht="15.75" customHeight="1">
      <c r="A4060" s="33" t="s">
        <v>8046</v>
      </c>
      <c r="B4060" s="33" t="s">
        <v>999</v>
      </c>
      <c r="C4060" s="39">
        <v>45731.0</v>
      </c>
      <c r="D4060" s="33" t="s">
        <v>435</v>
      </c>
      <c r="E4060" s="40">
        <v>19.42</v>
      </c>
      <c r="F4060" s="40">
        <v>0.0</v>
      </c>
      <c r="G4060" s="33" t="s">
        <v>431</v>
      </c>
    </row>
    <row r="4061" ht="15.75" customHeight="1">
      <c r="A4061" s="33" t="s">
        <v>8047</v>
      </c>
      <c r="B4061" s="33" t="s">
        <v>1581</v>
      </c>
      <c r="C4061" s="39">
        <v>46131.0</v>
      </c>
      <c r="D4061" s="33" t="s">
        <v>440</v>
      </c>
      <c r="E4061" s="40">
        <v>67.52</v>
      </c>
      <c r="F4061" s="40">
        <v>0.0</v>
      </c>
      <c r="G4061" s="33" t="s">
        <v>450</v>
      </c>
    </row>
    <row r="4062" ht="15.75" customHeight="1">
      <c r="A4062" s="33" t="s">
        <v>8048</v>
      </c>
      <c r="B4062" s="33" t="s">
        <v>769</v>
      </c>
      <c r="C4062" s="39">
        <v>46230.0</v>
      </c>
      <c r="D4062" s="33" t="s">
        <v>435</v>
      </c>
      <c r="E4062" s="40">
        <v>156.76</v>
      </c>
      <c r="F4062" s="40">
        <v>0.0</v>
      </c>
      <c r="G4062" s="33" t="s">
        <v>442</v>
      </c>
    </row>
    <row r="4063" ht="15.75" customHeight="1">
      <c r="A4063" s="33" t="s">
        <v>8049</v>
      </c>
      <c r="B4063" s="33" t="s">
        <v>1605</v>
      </c>
      <c r="C4063" s="39">
        <v>45722.0</v>
      </c>
      <c r="D4063" s="33" t="s">
        <v>461</v>
      </c>
      <c r="E4063" s="40">
        <v>51.54</v>
      </c>
      <c r="F4063" s="40">
        <v>0.46</v>
      </c>
      <c r="G4063" s="33" t="s">
        <v>450</v>
      </c>
    </row>
    <row r="4064" ht="15.75" customHeight="1">
      <c r="A4064" s="33" t="s">
        <v>8050</v>
      </c>
      <c r="B4064" s="33" t="s">
        <v>1256</v>
      </c>
      <c r="C4064" s="39">
        <v>45802.0</v>
      </c>
      <c r="D4064" s="33" t="s">
        <v>428</v>
      </c>
      <c r="E4064" s="40">
        <v>108.71</v>
      </c>
      <c r="F4064" s="40">
        <v>0.0</v>
      </c>
      <c r="G4064" s="33" t="s">
        <v>450</v>
      </c>
    </row>
    <row r="4065" ht="15.75" customHeight="1">
      <c r="A4065" s="33" t="s">
        <v>8051</v>
      </c>
      <c r="B4065" s="33" t="s">
        <v>282</v>
      </c>
      <c r="C4065" s="39">
        <v>46178.0</v>
      </c>
      <c r="D4065" s="33" t="s">
        <v>435</v>
      </c>
      <c r="E4065" s="40">
        <v>49.64</v>
      </c>
      <c r="F4065" s="40">
        <v>0.0</v>
      </c>
      <c r="G4065" s="33" t="s">
        <v>442</v>
      </c>
    </row>
    <row r="4066" ht="15.75" customHeight="1">
      <c r="A4066" s="33" t="s">
        <v>8052</v>
      </c>
      <c r="B4066" s="33" t="s">
        <v>658</v>
      </c>
      <c r="C4066" s="39">
        <v>46191.0</v>
      </c>
      <c r="D4066" s="33" t="s">
        <v>479</v>
      </c>
      <c r="E4066" s="40">
        <v>58.25</v>
      </c>
      <c r="F4066" s="40">
        <v>0.61</v>
      </c>
      <c r="G4066" s="33" t="s">
        <v>450</v>
      </c>
    </row>
    <row r="4067" ht="15.75" customHeight="1">
      <c r="A4067" s="33" t="s">
        <v>8053</v>
      </c>
      <c r="B4067" s="33" t="s">
        <v>1183</v>
      </c>
      <c r="C4067" s="39">
        <v>46123.0</v>
      </c>
      <c r="D4067" s="33" t="s">
        <v>479</v>
      </c>
      <c r="E4067" s="40">
        <v>126.8</v>
      </c>
      <c r="F4067" s="40">
        <v>1.56</v>
      </c>
      <c r="G4067" s="33" t="s">
        <v>450</v>
      </c>
    </row>
    <row r="4068" ht="15.75" customHeight="1">
      <c r="A4068" s="33" t="s">
        <v>8054</v>
      </c>
      <c r="B4068" s="33" t="s">
        <v>1393</v>
      </c>
      <c r="C4068" s="39">
        <v>46092.0</v>
      </c>
      <c r="D4068" s="33" t="s">
        <v>461</v>
      </c>
      <c r="E4068" s="40">
        <v>110.45</v>
      </c>
      <c r="F4068" s="40">
        <v>1.15</v>
      </c>
      <c r="G4068" s="33" t="s">
        <v>450</v>
      </c>
    </row>
    <row r="4069" ht="15.75" customHeight="1">
      <c r="A4069" s="33" t="s">
        <v>8055</v>
      </c>
      <c r="B4069" s="33" t="s">
        <v>3190</v>
      </c>
      <c r="C4069" s="39">
        <v>46180.0</v>
      </c>
      <c r="D4069" s="33" t="s">
        <v>440</v>
      </c>
      <c r="E4069" s="40">
        <v>185.12</v>
      </c>
      <c r="F4069" s="40">
        <v>0.0</v>
      </c>
      <c r="G4069" s="33" t="s">
        <v>450</v>
      </c>
    </row>
    <row r="4070" ht="15.75" customHeight="1">
      <c r="A4070" s="33" t="s">
        <v>8056</v>
      </c>
      <c r="B4070" s="33" t="s">
        <v>563</v>
      </c>
      <c r="C4070" s="39">
        <v>45884.0</v>
      </c>
      <c r="D4070" s="33" t="s">
        <v>479</v>
      </c>
      <c r="E4070" s="40">
        <v>51.37</v>
      </c>
      <c r="F4070" s="40">
        <v>0.6</v>
      </c>
      <c r="G4070" s="33" t="s">
        <v>442</v>
      </c>
    </row>
    <row r="4071" ht="15.75" customHeight="1">
      <c r="A4071" s="33" t="s">
        <v>8057</v>
      </c>
      <c r="B4071" s="33" t="s">
        <v>382</v>
      </c>
      <c r="C4071" s="39">
        <v>46201.0</v>
      </c>
      <c r="D4071" s="33" t="s">
        <v>479</v>
      </c>
      <c r="E4071" s="40">
        <v>96.26</v>
      </c>
      <c r="F4071" s="40">
        <v>0.91</v>
      </c>
      <c r="G4071" s="33" t="s">
        <v>431</v>
      </c>
    </row>
    <row r="4072" ht="15.75" customHeight="1">
      <c r="A4072" s="33" t="s">
        <v>8058</v>
      </c>
      <c r="B4072" s="33" t="s">
        <v>1145</v>
      </c>
      <c r="C4072" s="39">
        <v>46196.0</v>
      </c>
      <c r="D4072" s="33" t="s">
        <v>435</v>
      </c>
      <c r="E4072" s="40">
        <v>79.42</v>
      </c>
      <c r="F4072" s="40">
        <v>0.0</v>
      </c>
      <c r="G4072" s="33" t="s">
        <v>450</v>
      </c>
    </row>
    <row r="4073" ht="15.75" customHeight="1">
      <c r="A4073" s="33" t="s">
        <v>8059</v>
      </c>
      <c r="B4073" s="33" t="s">
        <v>2221</v>
      </c>
      <c r="C4073" s="39">
        <v>45797.0</v>
      </c>
      <c r="D4073" s="33" t="s">
        <v>479</v>
      </c>
      <c r="E4073" s="40">
        <v>98.2</v>
      </c>
      <c r="F4073" s="40">
        <v>1.6</v>
      </c>
      <c r="G4073" s="33" t="s">
        <v>450</v>
      </c>
    </row>
    <row r="4074" ht="15.75" customHeight="1">
      <c r="A4074" s="33" t="s">
        <v>8060</v>
      </c>
      <c r="B4074" s="33" t="s">
        <v>961</v>
      </c>
      <c r="C4074" s="39">
        <v>45702.0</v>
      </c>
      <c r="D4074" s="33" t="s">
        <v>479</v>
      </c>
      <c r="E4074" s="40">
        <v>148.64</v>
      </c>
      <c r="F4074" s="40">
        <v>1.62</v>
      </c>
      <c r="G4074" s="33" t="s">
        <v>442</v>
      </c>
    </row>
    <row r="4075" ht="15.75" customHeight="1">
      <c r="A4075" s="33" t="s">
        <v>8061</v>
      </c>
      <c r="B4075" s="33" t="s">
        <v>822</v>
      </c>
      <c r="C4075" s="39">
        <v>45974.0</v>
      </c>
      <c r="D4075" s="33" t="s">
        <v>428</v>
      </c>
      <c r="E4075" s="40">
        <v>44.21</v>
      </c>
      <c r="F4075" s="40">
        <v>0.0</v>
      </c>
      <c r="G4075" s="33" t="s">
        <v>450</v>
      </c>
    </row>
    <row r="4076" ht="15.75" customHeight="1">
      <c r="A4076" s="33" t="s">
        <v>8062</v>
      </c>
      <c r="B4076" s="33" t="s">
        <v>783</v>
      </c>
      <c r="C4076" s="39">
        <v>46118.0</v>
      </c>
      <c r="D4076" s="33" t="s">
        <v>479</v>
      </c>
      <c r="E4076" s="40">
        <v>93.51</v>
      </c>
      <c r="F4076" s="40">
        <v>0.77</v>
      </c>
      <c r="G4076" s="33" t="s">
        <v>450</v>
      </c>
    </row>
    <row r="4077" ht="15.75" customHeight="1">
      <c r="A4077" s="33" t="s">
        <v>8063</v>
      </c>
      <c r="B4077" s="33" t="s">
        <v>1162</v>
      </c>
      <c r="C4077" s="39">
        <v>46173.0</v>
      </c>
      <c r="D4077" s="33" t="s">
        <v>428</v>
      </c>
      <c r="E4077" s="40">
        <v>171.41</v>
      </c>
      <c r="F4077" s="40">
        <v>0.0</v>
      </c>
      <c r="G4077" s="33" t="s">
        <v>431</v>
      </c>
    </row>
    <row r="4078" ht="15.75" customHeight="1">
      <c r="A4078" s="33" t="s">
        <v>8064</v>
      </c>
      <c r="B4078" s="33" t="s">
        <v>887</v>
      </c>
      <c r="C4078" s="39">
        <v>45744.0</v>
      </c>
      <c r="D4078" s="33" t="s">
        <v>440</v>
      </c>
      <c r="E4078" s="40">
        <v>79.48</v>
      </c>
      <c r="F4078" s="40">
        <v>0.0</v>
      </c>
      <c r="G4078" s="33" t="s">
        <v>450</v>
      </c>
    </row>
    <row r="4079" ht="15.75" customHeight="1">
      <c r="A4079" s="33" t="s">
        <v>8065</v>
      </c>
      <c r="B4079" s="33" t="s">
        <v>2073</v>
      </c>
      <c r="C4079" s="39">
        <v>45887.0</v>
      </c>
      <c r="D4079" s="33" t="s">
        <v>461</v>
      </c>
      <c r="E4079" s="40">
        <v>126.14</v>
      </c>
      <c r="F4079" s="40">
        <v>1.66</v>
      </c>
      <c r="G4079" s="33" t="s">
        <v>450</v>
      </c>
    </row>
    <row r="4080" ht="15.75" customHeight="1">
      <c r="A4080" s="33" t="s">
        <v>8066</v>
      </c>
      <c r="B4080" s="33" t="s">
        <v>1198</v>
      </c>
      <c r="C4080" s="39">
        <v>46124.0</v>
      </c>
      <c r="D4080" s="33" t="s">
        <v>428</v>
      </c>
      <c r="E4080" s="40">
        <v>11.34</v>
      </c>
      <c r="F4080" s="40">
        <v>0.0</v>
      </c>
      <c r="G4080" s="33" t="s">
        <v>450</v>
      </c>
    </row>
    <row r="4081" ht="15.75" customHeight="1">
      <c r="A4081" s="33" t="s">
        <v>8067</v>
      </c>
      <c r="B4081" s="33" t="s">
        <v>3452</v>
      </c>
      <c r="C4081" s="39">
        <v>45694.0</v>
      </c>
      <c r="D4081" s="33" t="s">
        <v>435</v>
      </c>
      <c r="E4081" s="40">
        <v>82.17</v>
      </c>
      <c r="F4081" s="40">
        <v>0.0</v>
      </c>
      <c r="G4081" s="33" t="s">
        <v>450</v>
      </c>
    </row>
    <row r="4082" ht="15.75" customHeight="1">
      <c r="A4082" s="33" t="s">
        <v>8068</v>
      </c>
      <c r="B4082" s="33" t="s">
        <v>527</v>
      </c>
      <c r="C4082" s="39">
        <v>46096.0</v>
      </c>
      <c r="D4082" s="33" t="s">
        <v>479</v>
      </c>
      <c r="E4082" s="40">
        <v>53.8</v>
      </c>
      <c r="F4082" s="40">
        <v>0.57</v>
      </c>
      <c r="G4082" s="33" t="s">
        <v>442</v>
      </c>
    </row>
    <row r="4083" ht="15.75" customHeight="1">
      <c r="A4083" s="33" t="s">
        <v>8069</v>
      </c>
      <c r="B4083" s="33" t="s">
        <v>539</v>
      </c>
      <c r="C4083" s="39">
        <v>45835.0</v>
      </c>
      <c r="D4083" s="33" t="s">
        <v>428</v>
      </c>
      <c r="E4083" s="40">
        <v>109.24</v>
      </c>
      <c r="F4083" s="40">
        <v>0.0</v>
      </c>
      <c r="G4083" s="33" t="s">
        <v>450</v>
      </c>
    </row>
    <row r="4084" ht="15.75" customHeight="1">
      <c r="A4084" s="33" t="s">
        <v>8070</v>
      </c>
      <c r="B4084" s="33" t="s">
        <v>267</v>
      </c>
      <c r="C4084" s="39">
        <v>45671.0</v>
      </c>
      <c r="D4084" s="33" t="s">
        <v>479</v>
      </c>
      <c r="E4084" s="40">
        <v>93.95</v>
      </c>
      <c r="F4084" s="40">
        <v>1.31</v>
      </c>
      <c r="G4084" s="33" t="s">
        <v>442</v>
      </c>
    </row>
    <row r="4085" ht="15.75" customHeight="1">
      <c r="A4085" s="33" t="s">
        <v>8071</v>
      </c>
      <c r="B4085" s="33" t="s">
        <v>2958</v>
      </c>
      <c r="C4085" s="39">
        <v>45804.0</v>
      </c>
      <c r="D4085" s="33" t="s">
        <v>428</v>
      </c>
      <c r="E4085" s="40">
        <v>38.05</v>
      </c>
      <c r="F4085" s="40">
        <v>0.0</v>
      </c>
      <c r="G4085" s="33" t="s">
        <v>450</v>
      </c>
    </row>
    <row r="4086" ht="15.75" customHeight="1">
      <c r="A4086" s="33" t="s">
        <v>8072</v>
      </c>
      <c r="B4086" s="33" t="s">
        <v>2048</v>
      </c>
      <c r="C4086" s="39">
        <v>46108.0</v>
      </c>
      <c r="D4086" s="33" t="s">
        <v>479</v>
      </c>
      <c r="E4086" s="40">
        <v>21.72</v>
      </c>
      <c r="F4086" s="40">
        <v>0.37</v>
      </c>
      <c r="G4086" s="33" t="s">
        <v>442</v>
      </c>
    </row>
    <row r="4087" ht="15.75" customHeight="1">
      <c r="A4087" s="33" t="s">
        <v>8073</v>
      </c>
      <c r="B4087" s="33" t="s">
        <v>664</v>
      </c>
      <c r="C4087" s="39">
        <v>46186.0</v>
      </c>
      <c r="D4087" s="33" t="s">
        <v>428</v>
      </c>
      <c r="E4087" s="40">
        <v>245.3</v>
      </c>
      <c r="F4087" s="40">
        <v>0.0</v>
      </c>
      <c r="G4087" s="33" t="s">
        <v>450</v>
      </c>
    </row>
    <row r="4088" ht="15.75" customHeight="1">
      <c r="A4088" s="33" t="s">
        <v>8074</v>
      </c>
      <c r="B4088" s="33" t="s">
        <v>1245</v>
      </c>
      <c r="C4088" s="39">
        <v>45707.0</v>
      </c>
      <c r="D4088" s="33" t="s">
        <v>461</v>
      </c>
      <c r="E4088" s="40">
        <v>99.36</v>
      </c>
      <c r="F4088" s="40">
        <v>1.64</v>
      </c>
      <c r="G4088" s="33" t="s">
        <v>431</v>
      </c>
    </row>
    <row r="4089" ht="15.75" customHeight="1">
      <c r="A4089" s="33" t="s">
        <v>8075</v>
      </c>
      <c r="B4089" s="33" t="s">
        <v>1118</v>
      </c>
      <c r="C4089" s="39">
        <v>45939.0</v>
      </c>
      <c r="D4089" s="33" t="s">
        <v>479</v>
      </c>
      <c r="E4089" s="40">
        <v>97.67</v>
      </c>
      <c r="F4089" s="40">
        <v>1.54</v>
      </c>
      <c r="G4089" s="33" t="s">
        <v>431</v>
      </c>
    </row>
    <row r="4090" ht="15.75" customHeight="1">
      <c r="A4090" s="33" t="s">
        <v>8076</v>
      </c>
      <c r="B4090" s="33" t="s">
        <v>1239</v>
      </c>
      <c r="C4090" s="39">
        <v>45780.0</v>
      </c>
      <c r="D4090" s="33" t="s">
        <v>440</v>
      </c>
      <c r="E4090" s="40">
        <v>43.19</v>
      </c>
      <c r="F4090" s="40">
        <v>0.0</v>
      </c>
      <c r="G4090" s="33" t="s">
        <v>450</v>
      </c>
    </row>
    <row r="4091" ht="15.75" customHeight="1">
      <c r="A4091" s="33" t="s">
        <v>8077</v>
      </c>
      <c r="B4091" s="33" t="s">
        <v>2234</v>
      </c>
      <c r="C4091" s="39">
        <v>46072.0</v>
      </c>
      <c r="D4091" s="33" t="s">
        <v>435</v>
      </c>
      <c r="E4091" s="40">
        <v>59.68</v>
      </c>
      <c r="F4091" s="40">
        <v>0.0</v>
      </c>
      <c r="G4091" s="33" t="s">
        <v>431</v>
      </c>
    </row>
    <row r="4092" ht="15.75" customHeight="1">
      <c r="A4092" s="33" t="s">
        <v>8078</v>
      </c>
      <c r="B4092" s="33" t="s">
        <v>721</v>
      </c>
      <c r="C4092" s="39">
        <v>46131.0</v>
      </c>
      <c r="D4092" s="33" t="s">
        <v>440</v>
      </c>
      <c r="E4092" s="40">
        <v>172.65</v>
      </c>
      <c r="F4092" s="40">
        <v>0.0</v>
      </c>
      <c r="G4092" s="33" t="s">
        <v>431</v>
      </c>
    </row>
    <row r="4093" ht="15.75" customHeight="1">
      <c r="A4093" s="33" t="s">
        <v>8079</v>
      </c>
      <c r="B4093" s="33" t="s">
        <v>1145</v>
      </c>
      <c r="C4093" s="39">
        <v>46242.0</v>
      </c>
      <c r="D4093" s="33" t="s">
        <v>461</v>
      </c>
      <c r="E4093" s="40">
        <v>80.69</v>
      </c>
      <c r="F4093" s="40">
        <v>1.3</v>
      </c>
      <c r="G4093" s="33" t="s">
        <v>442</v>
      </c>
    </row>
    <row r="4094" ht="15.75" customHeight="1">
      <c r="A4094" s="33" t="s">
        <v>8080</v>
      </c>
      <c r="B4094" s="33" t="s">
        <v>879</v>
      </c>
      <c r="C4094" s="39">
        <v>45873.0</v>
      </c>
      <c r="D4094" s="33" t="s">
        <v>479</v>
      </c>
      <c r="E4094" s="40">
        <v>176.63</v>
      </c>
      <c r="F4094" s="40">
        <v>1.56</v>
      </c>
      <c r="G4094" s="33" t="s">
        <v>450</v>
      </c>
    </row>
    <row r="4095" ht="15.75" customHeight="1">
      <c r="A4095" s="33" t="s">
        <v>8081</v>
      </c>
      <c r="B4095" s="33" t="s">
        <v>2723</v>
      </c>
      <c r="C4095" s="39">
        <v>45839.0</v>
      </c>
      <c r="D4095" s="33" t="s">
        <v>440</v>
      </c>
      <c r="E4095" s="40">
        <v>99.61</v>
      </c>
      <c r="F4095" s="40">
        <v>0.0</v>
      </c>
      <c r="G4095" s="33" t="s">
        <v>431</v>
      </c>
    </row>
    <row r="4096" ht="15.75" customHeight="1">
      <c r="A4096" s="33" t="s">
        <v>8082</v>
      </c>
      <c r="B4096" s="33" t="s">
        <v>1400</v>
      </c>
      <c r="C4096" s="39">
        <v>45846.0</v>
      </c>
      <c r="D4096" s="33" t="s">
        <v>479</v>
      </c>
      <c r="E4096" s="40">
        <v>151.52</v>
      </c>
      <c r="F4096" s="40">
        <v>2.37</v>
      </c>
      <c r="G4096" s="33" t="s">
        <v>431</v>
      </c>
    </row>
    <row r="4097" ht="15.75" customHeight="1">
      <c r="A4097" s="33" t="s">
        <v>8083</v>
      </c>
      <c r="B4097" s="33" t="s">
        <v>470</v>
      </c>
      <c r="C4097" s="39">
        <v>46120.0</v>
      </c>
      <c r="D4097" s="33" t="s">
        <v>440</v>
      </c>
      <c r="E4097" s="40">
        <v>10.37</v>
      </c>
      <c r="F4097" s="40">
        <v>0.0</v>
      </c>
      <c r="G4097" s="33" t="s">
        <v>450</v>
      </c>
    </row>
    <row r="4098" ht="15.75" customHeight="1">
      <c r="A4098" s="33" t="s">
        <v>8084</v>
      </c>
      <c r="B4098" s="33" t="s">
        <v>923</v>
      </c>
      <c r="C4098" s="39">
        <v>45928.0</v>
      </c>
      <c r="D4098" s="33" t="s">
        <v>428</v>
      </c>
      <c r="E4098" s="40">
        <v>41.22</v>
      </c>
      <c r="F4098" s="40">
        <v>0.0</v>
      </c>
      <c r="G4098" s="33" t="s">
        <v>450</v>
      </c>
    </row>
    <row r="4099" ht="15.75" customHeight="1">
      <c r="A4099" s="33" t="s">
        <v>8085</v>
      </c>
      <c r="B4099" s="33" t="s">
        <v>3934</v>
      </c>
      <c r="C4099" s="39">
        <v>45671.0</v>
      </c>
      <c r="D4099" s="33" t="s">
        <v>440</v>
      </c>
      <c r="E4099" s="40">
        <v>79.6</v>
      </c>
      <c r="F4099" s="40">
        <v>0.0</v>
      </c>
      <c r="G4099" s="33" t="s">
        <v>450</v>
      </c>
    </row>
    <row r="4100" ht="15.75" customHeight="1">
      <c r="A4100" s="33" t="s">
        <v>8086</v>
      </c>
      <c r="B4100" s="33" t="s">
        <v>1571</v>
      </c>
      <c r="C4100" s="39">
        <v>46233.0</v>
      </c>
      <c r="D4100" s="33" t="s">
        <v>479</v>
      </c>
      <c r="E4100" s="40">
        <v>63.63</v>
      </c>
      <c r="F4100" s="40">
        <v>0.68</v>
      </c>
      <c r="G4100" s="33" t="s">
        <v>431</v>
      </c>
    </row>
    <row r="4101" ht="15.75" customHeight="1">
      <c r="A4101" s="33" t="s">
        <v>8087</v>
      </c>
      <c r="B4101" s="33" t="s">
        <v>2023</v>
      </c>
      <c r="C4101" s="39">
        <v>45721.0</v>
      </c>
      <c r="D4101" s="33" t="s">
        <v>479</v>
      </c>
      <c r="E4101" s="40">
        <v>109.73</v>
      </c>
      <c r="F4101" s="40">
        <v>1.2</v>
      </c>
      <c r="G4101" s="33" t="s">
        <v>450</v>
      </c>
    </row>
    <row r="4102" ht="15.75" customHeight="1">
      <c r="A4102" s="33" t="s">
        <v>8088</v>
      </c>
      <c r="B4102" s="33" t="s">
        <v>731</v>
      </c>
      <c r="C4102" s="39">
        <v>46221.0</v>
      </c>
      <c r="D4102" s="33" t="s">
        <v>461</v>
      </c>
      <c r="E4102" s="40">
        <v>21.75</v>
      </c>
      <c r="F4102" s="40">
        <v>0.33</v>
      </c>
      <c r="G4102" s="33" t="s">
        <v>450</v>
      </c>
    </row>
    <row r="4103" ht="15.75" customHeight="1">
      <c r="A4103" s="33" t="s">
        <v>8089</v>
      </c>
      <c r="B4103" s="33" t="s">
        <v>2221</v>
      </c>
      <c r="C4103" s="39">
        <v>45756.0</v>
      </c>
      <c r="D4103" s="33" t="s">
        <v>440</v>
      </c>
      <c r="E4103" s="40">
        <v>22.18</v>
      </c>
      <c r="F4103" s="40">
        <v>0.0</v>
      </c>
      <c r="G4103" s="33" t="s">
        <v>450</v>
      </c>
    </row>
    <row r="4104" ht="15.75" customHeight="1">
      <c r="A4104" s="33" t="s">
        <v>8090</v>
      </c>
      <c r="B4104" s="33" t="s">
        <v>861</v>
      </c>
      <c r="C4104" s="39">
        <v>45984.0</v>
      </c>
      <c r="D4104" s="33" t="s">
        <v>435</v>
      </c>
      <c r="E4104" s="40">
        <v>106.86</v>
      </c>
      <c r="F4104" s="40">
        <v>0.0</v>
      </c>
      <c r="G4104" s="33" t="s">
        <v>431</v>
      </c>
    </row>
    <row r="4105" ht="15.75" customHeight="1">
      <c r="A4105" s="33" t="s">
        <v>8091</v>
      </c>
      <c r="B4105" s="33" t="s">
        <v>478</v>
      </c>
      <c r="C4105" s="39">
        <v>45847.0</v>
      </c>
      <c r="D4105" s="33" t="s">
        <v>461</v>
      </c>
      <c r="E4105" s="40">
        <v>147.14</v>
      </c>
      <c r="F4105" s="40">
        <v>2.34</v>
      </c>
      <c r="G4105" s="33" t="s">
        <v>450</v>
      </c>
    </row>
    <row r="4106" ht="15.75" customHeight="1">
      <c r="A4106" s="33" t="s">
        <v>8092</v>
      </c>
      <c r="B4106" s="33" t="s">
        <v>981</v>
      </c>
      <c r="C4106" s="39">
        <v>46074.0</v>
      </c>
      <c r="D4106" s="33" t="s">
        <v>479</v>
      </c>
      <c r="E4106" s="40">
        <v>59.41</v>
      </c>
      <c r="F4106" s="40">
        <v>0.51</v>
      </c>
      <c r="G4106" s="33" t="s">
        <v>450</v>
      </c>
    </row>
    <row r="4107" ht="15.75" customHeight="1">
      <c r="A4107" s="33" t="s">
        <v>8093</v>
      </c>
      <c r="B4107" s="33" t="s">
        <v>4153</v>
      </c>
      <c r="C4107" s="39">
        <v>45902.0</v>
      </c>
      <c r="D4107" s="33" t="s">
        <v>461</v>
      </c>
      <c r="E4107" s="40">
        <v>188.75</v>
      </c>
      <c r="F4107" s="40">
        <v>1.44</v>
      </c>
      <c r="G4107" s="33" t="s">
        <v>450</v>
      </c>
    </row>
    <row r="4108" ht="15.75" customHeight="1">
      <c r="A4108" s="33" t="s">
        <v>8094</v>
      </c>
      <c r="B4108" s="33" t="s">
        <v>1881</v>
      </c>
      <c r="C4108" s="39">
        <v>45880.0</v>
      </c>
      <c r="D4108" s="33" t="s">
        <v>479</v>
      </c>
      <c r="E4108" s="40">
        <v>218.25</v>
      </c>
      <c r="F4108" s="40">
        <v>1.38</v>
      </c>
      <c r="G4108" s="33" t="s">
        <v>431</v>
      </c>
    </row>
    <row r="4109" ht="15.75" customHeight="1">
      <c r="A4109" s="33" t="s">
        <v>8095</v>
      </c>
      <c r="B4109" s="33" t="s">
        <v>438</v>
      </c>
      <c r="C4109" s="39">
        <v>45947.0</v>
      </c>
      <c r="D4109" s="33" t="s">
        <v>479</v>
      </c>
      <c r="E4109" s="40">
        <v>73.75</v>
      </c>
      <c r="F4109" s="40">
        <v>0.62</v>
      </c>
      <c r="G4109" s="33" t="s">
        <v>431</v>
      </c>
    </row>
    <row r="4110" ht="15.75" customHeight="1">
      <c r="A4110" s="33" t="s">
        <v>8096</v>
      </c>
      <c r="B4110" s="33" t="s">
        <v>1043</v>
      </c>
      <c r="C4110" s="39">
        <v>46247.0</v>
      </c>
      <c r="D4110" s="33" t="s">
        <v>428</v>
      </c>
      <c r="E4110" s="40">
        <v>57.78</v>
      </c>
      <c r="F4110" s="40">
        <v>0.0</v>
      </c>
      <c r="G4110" s="33" t="s">
        <v>442</v>
      </c>
    </row>
    <row r="4111" ht="15.75" customHeight="1">
      <c r="A4111" s="33" t="s">
        <v>8097</v>
      </c>
      <c r="B4111" s="33" t="s">
        <v>474</v>
      </c>
      <c r="C4111" s="39">
        <v>45806.0</v>
      </c>
      <c r="D4111" s="33" t="s">
        <v>435</v>
      </c>
      <c r="E4111" s="40">
        <v>47.74</v>
      </c>
      <c r="F4111" s="40">
        <v>0.0</v>
      </c>
      <c r="G4111" s="33" t="s">
        <v>450</v>
      </c>
    </row>
    <row r="4112" ht="15.75" customHeight="1">
      <c r="A4112" s="33" t="s">
        <v>8098</v>
      </c>
      <c r="B4112" s="33" t="s">
        <v>1253</v>
      </c>
      <c r="C4112" s="39">
        <v>45791.0</v>
      </c>
      <c r="D4112" s="33" t="s">
        <v>435</v>
      </c>
      <c r="E4112" s="40">
        <v>40.96</v>
      </c>
      <c r="F4112" s="40">
        <v>0.0</v>
      </c>
      <c r="G4112" s="33" t="s">
        <v>450</v>
      </c>
    </row>
    <row r="4113" ht="15.75" customHeight="1">
      <c r="A4113" s="33" t="s">
        <v>8099</v>
      </c>
      <c r="B4113" s="33" t="s">
        <v>1422</v>
      </c>
      <c r="C4113" s="39">
        <v>45698.0</v>
      </c>
      <c r="D4113" s="33" t="s">
        <v>428</v>
      </c>
      <c r="E4113" s="40">
        <v>121.78</v>
      </c>
      <c r="F4113" s="40">
        <v>0.0</v>
      </c>
      <c r="G4113" s="33" t="s">
        <v>442</v>
      </c>
    </row>
    <row r="4114" ht="15.75" customHeight="1">
      <c r="A4114" s="33" t="s">
        <v>8100</v>
      </c>
      <c r="B4114" s="33" t="s">
        <v>740</v>
      </c>
      <c r="C4114" s="39">
        <v>46106.0</v>
      </c>
      <c r="D4114" s="33" t="s">
        <v>428</v>
      </c>
      <c r="E4114" s="40">
        <v>36.69</v>
      </c>
      <c r="F4114" s="40">
        <v>0.0</v>
      </c>
      <c r="G4114" s="33" t="s">
        <v>450</v>
      </c>
    </row>
    <row r="4115" ht="15.75" customHeight="1">
      <c r="A4115" s="33" t="s">
        <v>8101</v>
      </c>
      <c r="B4115" s="33" t="s">
        <v>293</v>
      </c>
      <c r="C4115" s="39">
        <v>46069.0</v>
      </c>
      <c r="D4115" s="33" t="s">
        <v>479</v>
      </c>
      <c r="E4115" s="40">
        <v>31.19</v>
      </c>
      <c r="F4115" s="40">
        <v>0.22</v>
      </c>
      <c r="G4115" s="33" t="s">
        <v>450</v>
      </c>
    </row>
    <row r="4116" ht="15.75" customHeight="1">
      <c r="A4116" s="33" t="s">
        <v>8102</v>
      </c>
      <c r="B4116" s="33" t="s">
        <v>1360</v>
      </c>
      <c r="C4116" s="39">
        <v>46027.0</v>
      </c>
      <c r="D4116" s="33" t="s">
        <v>479</v>
      </c>
      <c r="E4116" s="40">
        <v>39.39</v>
      </c>
      <c r="F4116" s="40">
        <v>0.31</v>
      </c>
      <c r="G4116" s="33" t="s">
        <v>431</v>
      </c>
    </row>
    <row r="4117" ht="15.75" customHeight="1">
      <c r="A4117" s="33" t="s">
        <v>8103</v>
      </c>
      <c r="B4117" s="33" t="s">
        <v>949</v>
      </c>
      <c r="C4117" s="39">
        <v>45672.0</v>
      </c>
      <c r="D4117" s="33" t="s">
        <v>479</v>
      </c>
      <c r="E4117" s="40">
        <v>74.29</v>
      </c>
      <c r="F4117" s="40">
        <v>1.37</v>
      </c>
      <c r="G4117" s="33" t="s">
        <v>450</v>
      </c>
    </row>
    <row r="4118" ht="15.75" customHeight="1">
      <c r="A4118" s="33" t="s">
        <v>8104</v>
      </c>
      <c r="B4118" s="33" t="s">
        <v>240</v>
      </c>
      <c r="C4118" s="39">
        <v>46137.0</v>
      </c>
      <c r="D4118" s="33" t="s">
        <v>428</v>
      </c>
      <c r="E4118" s="40">
        <v>78.27</v>
      </c>
      <c r="F4118" s="40">
        <v>0.0</v>
      </c>
      <c r="G4118" s="33" t="s">
        <v>450</v>
      </c>
    </row>
    <row r="4119" ht="15.75" customHeight="1">
      <c r="A4119" s="33" t="s">
        <v>8105</v>
      </c>
      <c r="B4119" s="33" t="s">
        <v>866</v>
      </c>
      <c r="C4119" s="39">
        <v>46149.0</v>
      </c>
      <c r="D4119" s="33" t="s">
        <v>479</v>
      </c>
      <c r="E4119" s="40">
        <v>117.24</v>
      </c>
      <c r="F4119" s="40">
        <v>2.01</v>
      </c>
      <c r="G4119" s="33" t="s">
        <v>442</v>
      </c>
    </row>
    <row r="4120" ht="15.75" customHeight="1">
      <c r="A4120" s="33" t="s">
        <v>8106</v>
      </c>
      <c r="B4120" s="33" t="s">
        <v>1207</v>
      </c>
      <c r="C4120" s="39">
        <v>46231.0</v>
      </c>
      <c r="D4120" s="33" t="s">
        <v>461</v>
      </c>
      <c r="E4120" s="40">
        <v>69.21</v>
      </c>
      <c r="F4120" s="40">
        <v>0.72</v>
      </c>
      <c r="G4120" s="33" t="s">
        <v>450</v>
      </c>
    </row>
    <row r="4121" ht="15.75" customHeight="1">
      <c r="A4121" s="33" t="s">
        <v>8107</v>
      </c>
      <c r="B4121" s="33" t="s">
        <v>783</v>
      </c>
      <c r="C4121" s="39">
        <v>46221.0</v>
      </c>
      <c r="D4121" s="33" t="s">
        <v>440</v>
      </c>
      <c r="E4121" s="40">
        <v>20.36</v>
      </c>
      <c r="F4121" s="40">
        <v>0.0</v>
      </c>
      <c r="G4121" s="33" t="s">
        <v>450</v>
      </c>
    </row>
    <row r="4122" ht="15.75" customHeight="1">
      <c r="A4122" s="33" t="s">
        <v>8108</v>
      </c>
      <c r="B4122" s="33" t="s">
        <v>1505</v>
      </c>
      <c r="C4122" s="39">
        <v>45817.0</v>
      </c>
      <c r="D4122" s="33" t="s">
        <v>440</v>
      </c>
      <c r="E4122" s="40">
        <v>55.74</v>
      </c>
      <c r="F4122" s="40">
        <v>0.0</v>
      </c>
      <c r="G4122" s="33" t="s">
        <v>450</v>
      </c>
    </row>
    <row r="4123" ht="15.75" customHeight="1">
      <c r="A4123" s="33" t="s">
        <v>8109</v>
      </c>
      <c r="B4123" s="33" t="s">
        <v>2317</v>
      </c>
      <c r="C4123" s="39">
        <v>46089.0</v>
      </c>
      <c r="D4123" s="33" t="s">
        <v>461</v>
      </c>
      <c r="E4123" s="40">
        <v>75.7</v>
      </c>
      <c r="F4123" s="40">
        <v>0.61</v>
      </c>
      <c r="G4123" s="33" t="s">
        <v>450</v>
      </c>
    </row>
    <row r="4124" ht="15.75" customHeight="1">
      <c r="A4124" s="33" t="s">
        <v>8110</v>
      </c>
      <c r="B4124" s="33" t="s">
        <v>1140</v>
      </c>
      <c r="C4124" s="39">
        <v>45902.0</v>
      </c>
      <c r="D4124" s="33" t="s">
        <v>440</v>
      </c>
      <c r="E4124" s="40">
        <v>45.37</v>
      </c>
      <c r="F4124" s="40">
        <v>0.0</v>
      </c>
      <c r="G4124" s="33" t="s">
        <v>450</v>
      </c>
    </row>
    <row r="4125" ht="15.75" customHeight="1">
      <c r="A4125" s="33" t="s">
        <v>8111</v>
      </c>
      <c r="B4125" s="33" t="s">
        <v>825</v>
      </c>
      <c r="C4125" s="39">
        <v>46019.0</v>
      </c>
      <c r="D4125" s="33" t="s">
        <v>435</v>
      </c>
      <c r="E4125" s="40">
        <v>93.71</v>
      </c>
      <c r="F4125" s="40">
        <v>0.0</v>
      </c>
      <c r="G4125" s="33" t="s">
        <v>450</v>
      </c>
    </row>
    <row r="4126" ht="15.75" customHeight="1">
      <c r="A4126" s="33" t="s">
        <v>8112</v>
      </c>
      <c r="B4126" s="33" t="s">
        <v>1245</v>
      </c>
      <c r="C4126" s="39">
        <v>45859.0</v>
      </c>
      <c r="D4126" s="33" t="s">
        <v>435</v>
      </c>
      <c r="E4126" s="40">
        <v>5.83</v>
      </c>
      <c r="F4126" s="40">
        <v>0.0</v>
      </c>
      <c r="G4126" s="33" t="s">
        <v>431</v>
      </c>
    </row>
    <row r="4127" ht="15.75" customHeight="1">
      <c r="A4127" s="33" t="s">
        <v>8113</v>
      </c>
      <c r="B4127" s="33" t="s">
        <v>2334</v>
      </c>
      <c r="C4127" s="39">
        <v>46056.0</v>
      </c>
      <c r="D4127" s="33" t="s">
        <v>428</v>
      </c>
      <c r="E4127" s="40">
        <v>68.73</v>
      </c>
      <c r="F4127" s="40">
        <v>0.0</v>
      </c>
      <c r="G4127" s="33" t="s">
        <v>442</v>
      </c>
    </row>
    <row r="4128" ht="15.75" customHeight="1">
      <c r="A4128" s="33" t="s">
        <v>8114</v>
      </c>
      <c r="B4128" s="33" t="s">
        <v>884</v>
      </c>
      <c r="C4128" s="39">
        <v>46236.0</v>
      </c>
      <c r="D4128" s="33" t="s">
        <v>440</v>
      </c>
      <c r="E4128" s="40">
        <v>167.11</v>
      </c>
      <c r="F4128" s="40">
        <v>0.0</v>
      </c>
      <c r="G4128" s="33" t="s">
        <v>442</v>
      </c>
    </row>
    <row r="4129" ht="15.75" customHeight="1">
      <c r="A4129" s="33" t="s">
        <v>8115</v>
      </c>
      <c r="B4129" s="33" t="s">
        <v>1530</v>
      </c>
      <c r="C4129" s="39">
        <v>46053.0</v>
      </c>
      <c r="D4129" s="33" t="s">
        <v>435</v>
      </c>
      <c r="E4129" s="40">
        <v>144.32</v>
      </c>
      <c r="F4129" s="40">
        <v>0.0</v>
      </c>
      <c r="G4129" s="33" t="s">
        <v>450</v>
      </c>
    </row>
    <row r="4130" ht="15.75" customHeight="1">
      <c r="A4130" s="33" t="s">
        <v>8116</v>
      </c>
      <c r="B4130" s="33" t="s">
        <v>1660</v>
      </c>
      <c r="C4130" s="39">
        <v>46216.0</v>
      </c>
      <c r="D4130" s="33" t="s">
        <v>428</v>
      </c>
      <c r="E4130" s="40">
        <v>82.66</v>
      </c>
      <c r="F4130" s="40">
        <v>0.0</v>
      </c>
      <c r="G4130" s="33" t="s">
        <v>450</v>
      </c>
    </row>
    <row r="4131" ht="15.75" customHeight="1">
      <c r="A4131" s="33" t="s">
        <v>8117</v>
      </c>
      <c r="B4131" s="33" t="s">
        <v>290</v>
      </c>
      <c r="C4131" s="39">
        <v>46223.0</v>
      </c>
      <c r="D4131" s="33" t="s">
        <v>428</v>
      </c>
      <c r="E4131" s="40">
        <v>77.72</v>
      </c>
      <c r="F4131" s="40">
        <v>0.0</v>
      </c>
      <c r="G4131" s="33" t="s">
        <v>450</v>
      </c>
    </row>
    <row r="4132" ht="15.75" customHeight="1">
      <c r="A4132" s="33" t="s">
        <v>8118</v>
      </c>
      <c r="B4132" s="33" t="s">
        <v>2622</v>
      </c>
      <c r="C4132" s="39">
        <v>45730.0</v>
      </c>
      <c r="D4132" s="33" t="s">
        <v>479</v>
      </c>
      <c r="E4132" s="40">
        <v>103.35</v>
      </c>
      <c r="F4132" s="40">
        <v>0.92</v>
      </c>
      <c r="G4132" s="33" t="s">
        <v>442</v>
      </c>
    </row>
    <row r="4133" ht="15.75" customHeight="1">
      <c r="A4133" s="33" t="s">
        <v>8119</v>
      </c>
      <c r="B4133" s="33" t="s">
        <v>2283</v>
      </c>
      <c r="C4133" s="39">
        <v>46243.0</v>
      </c>
      <c r="D4133" s="33" t="s">
        <v>461</v>
      </c>
      <c r="E4133" s="40">
        <v>31.52</v>
      </c>
      <c r="F4133" s="40">
        <v>0.57</v>
      </c>
      <c r="G4133" s="33" t="s">
        <v>450</v>
      </c>
    </row>
    <row r="4134" ht="15.75" customHeight="1">
      <c r="A4134" s="33" t="s">
        <v>8120</v>
      </c>
      <c r="B4134" s="33" t="s">
        <v>1085</v>
      </c>
      <c r="C4134" s="39">
        <v>46154.0</v>
      </c>
      <c r="D4134" s="33" t="s">
        <v>461</v>
      </c>
      <c r="E4134" s="40">
        <v>136.52</v>
      </c>
      <c r="F4134" s="40">
        <v>2.16</v>
      </c>
      <c r="G4134" s="33" t="s">
        <v>431</v>
      </c>
    </row>
    <row r="4135" ht="15.75" customHeight="1">
      <c r="A4135" s="33" t="s">
        <v>8121</v>
      </c>
      <c r="B4135" s="33" t="s">
        <v>2729</v>
      </c>
      <c r="C4135" s="39">
        <v>45917.0</v>
      </c>
      <c r="D4135" s="33" t="s">
        <v>435</v>
      </c>
      <c r="E4135" s="40">
        <v>185.04</v>
      </c>
      <c r="F4135" s="40">
        <v>0.0</v>
      </c>
      <c r="G4135" s="33" t="s">
        <v>450</v>
      </c>
    </row>
    <row r="4136" ht="15.75" customHeight="1">
      <c r="A4136" s="33" t="s">
        <v>8122</v>
      </c>
      <c r="B4136" s="33" t="s">
        <v>855</v>
      </c>
      <c r="C4136" s="39">
        <v>46022.0</v>
      </c>
      <c r="D4136" s="33" t="s">
        <v>440</v>
      </c>
      <c r="E4136" s="40">
        <v>68.44</v>
      </c>
      <c r="F4136" s="40">
        <v>0.0</v>
      </c>
      <c r="G4136" s="33" t="s">
        <v>442</v>
      </c>
    </row>
    <row r="4137" ht="15.75" customHeight="1">
      <c r="A4137" s="33" t="s">
        <v>8123</v>
      </c>
      <c r="B4137" s="33" t="s">
        <v>350</v>
      </c>
      <c r="C4137" s="39">
        <v>46032.0</v>
      </c>
      <c r="D4137" s="33" t="s">
        <v>479</v>
      </c>
      <c r="E4137" s="40">
        <v>82.6</v>
      </c>
      <c r="F4137" s="40">
        <v>1.03</v>
      </c>
      <c r="G4137" s="33" t="s">
        <v>431</v>
      </c>
    </row>
    <row r="4138" ht="15.75" customHeight="1">
      <c r="A4138" s="33" t="s">
        <v>8124</v>
      </c>
      <c r="B4138" s="33" t="s">
        <v>1054</v>
      </c>
      <c r="C4138" s="39">
        <v>46135.0</v>
      </c>
      <c r="D4138" s="33" t="s">
        <v>479</v>
      </c>
      <c r="E4138" s="40">
        <v>118.34</v>
      </c>
      <c r="F4138" s="40">
        <v>1.33</v>
      </c>
      <c r="G4138" s="33" t="s">
        <v>442</v>
      </c>
    </row>
    <row r="4139" ht="15.75" customHeight="1">
      <c r="A4139" s="33" t="s">
        <v>8125</v>
      </c>
      <c r="B4139" s="33" t="s">
        <v>367</v>
      </c>
      <c r="C4139" s="39">
        <v>46145.0</v>
      </c>
      <c r="D4139" s="33" t="s">
        <v>440</v>
      </c>
      <c r="E4139" s="40">
        <v>41.95</v>
      </c>
      <c r="F4139" s="40">
        <v>0.0</v>
      </c>
      <c r="G4139" s="33" t="s">
        <v>450</v>
      </c>
    </row>
    <row r="4140" ht="15.75" customHeight="1">
      <c r="A4140" s="33" t="s">
        <v>8126</v>
      </c>
      <c r="B4140" s="33" t="s">
        <v>1303</v>
      </c>
      <c r="C4140" s="39">
        <v>45720.0</v>
      </c>
      <c r="D4140" s="33" t="s">
        <v>435</v>
      </c>
      <c r="E4140" s="40">
        <v>188.97</v>
      </c>
      <c r="F4140" s="40">
        <v>0.0</v>
      </c>
      <c r="G4140" s="33" t="s">
        <v>450</v>
      </c>
    </row>
    <row r="4141" ht="15.75" customHeight="1">
      <c r="A4141" s="33" t="s">
        <v>8127</v>
      </c>
      <c r="B4141" s="33" t="s">
        <v>2212</v>
      </c>
      <c r="C4141" s="39">
        <v>45658.0</v>
      </c>
      <c r="D4141" s="33" t="s">
        <v>428</v>
      </c>
      <c r="E4141" s="40">
        <v>241.66</v>
      </c>
      <c r="F4141" s="40">
        <v>0.0</v>
      </c>
      <c r="G4141" s="33" t="s">
        <v>450</v>
      </c>
    </row>
    <row r="4142" ht="15.75" customHeight="1">
      <c r="A4142" s="33" t="s">
        <v>8128</v>
      </c>
      <c r="B4142" s="33" t="s">
        <v>1887</v>
      </c>
      <c r="C4142" s="39">
        <v>45807.0</v>
      </c>
      <c r="D4142" s="33" t="s">
        <v>461</v>
      </c>
      <c r="E4142" s="40">
        <v>109.39</v>
      </c>
      <c r="F4142" s="40">
        <v>1.7</v>
      </c>
      <c r="G4142" s="33" t="s">
        <v>431</v>
      </c>
    </row>
    <row r="4143" ht="15.75" customHeight="1">
      <c r="A4143" s="33" t="s">
        <v>8129</v>
      </c>
      <c r="B4143" s="33" t="s">
        <v>1237</v>
      </c>
      <c r="C4143" s="39">
        <v>45977.0</v>
      </c>
      <c r="D4143" s="33" t="s">
        <v>461</v>
      </c>
      <c r="E4143" s="40">
        <v>198.93</v>
      </c>
      <c r="F4143" s="40">
        <v>2.38</v>
      </c>
      <c r="G4143" s="33" t="s">
        <v>442</v>
      </c>
    </row>
    <row r="4144" ht="15.75" customHeight="1">
      <c r="A4144" s="33" t="s">
        <v>8130</v>
      </c>
      <c r="B4144" s="33" t="s">
        <v>1001</v>
      </c>
      <c r="C4144" s="39">
        <v>46173.0</v>
      </c>
      <c r="D4144" s="33" t="s">
        <v>479</v>
      </c>
      <c r="E4144" s="40">
        <v>27.98</v>
      </c>
      <c r="F4144" s="40">
        <v>0.23</v>
      </c>
      <c r="G4144" s="33" t="s">
        <v>442</v>
      </c>
    </row>
    <row r="4145" ht="15.75" customHeight="1">
      <c r="A4145" s="33" t="s">
        <v>8131</v>
      </c>
      <c r="B4145" s="33" t="s">
        <v>1135</v>
      </c>
      <c r="C4145" s="39">
        <v>46054.0</v>
      </c>
      <c r="D4145" s="33" t="s">
        <v>479</v>
      </c>
      <c r="E4145" s="40">
        <v>91.5</v>
      </c>
      <c r="F4145" s="40">
        <v>0.53</v>
      </c>
      <c r="G4145" s="33" t="s">
        <v>431</v>
      </c>
    </row>
    <row r="4146" ht="15.75" customHeight="1">
      <c r="A4146" s="33" t="s">
        <v>8132</v>
      </c>
      <c r="B4146" s="33" t="s">
        <v>3985</v>
      </c>
      <c r="C4146" s="39">
        <v>45740.0</v>
      </c>
      <c r="D4146" s="33" t="s">
        <v>479</v>
      </c>
      <c r="E4146" s="40">
        <v>11.96</v>
      </c>
      <c r="F4146" s="40">
        <v>0.18</v>
      </c>
      <c r="G4146" s="33" t="s">
        <v>450</v>
      </c>
    </row>
    <row r="4147" ht="15.75" customHeight="1">
      <c r="A4147" s="33" t="s">
        <v>8133</v>
      </c>
      <c r="B4147" s="33" t="s">
        <v>3552</v>
      </c>
      <c r="C4147" s="39">
        <v>46093.0</v>
      </c>
      <c r="D4147" s="33" t="s">
        <v>479</v>
      </c>
      <c r="E4147" s="40">
        <v>55.76</v>
      </c>
      <c r="F4147" s="40">
        <v>0.84</v>
      </c>
      <c r="G4147" s="33" t="s">
        <v>450</v>
      </c>
    </row>
    <row r="4148" ht="15.75" customHeight="1">
      <c r="A4148" s="33" t="s">
        <v>8134</v>
      </c>
      <c r="B4148" s="33" t="s">
        <v>1561</v>
      </c>
      <c r="C4148" s="39">
        <v>45942.0</v>
      </c>
      <c r="D4148" s="33" t="s">
        <v>461</v>
      </c>
      <c r="E4148" s="40">
        <v>56.75</v>
      </c>
      <c r="F4148" s="40">
        <v>0.85</v>
      </c>
      <c r="G4148" s="33" t="s">
        <v>450</v>
      </c>
    </row>
    <row r="4149" ht="15.75" customHeight="1">
      <c r="A4149" s="33" t="s">
        <v>8135</v>
      </c>
      <c r="B4149" s="33" t="s">
        <v>630</v>
      </c>
      <c r="C4149" s="39">
        <v>45881.0</v>
      </c>
      <c r="D4149" s="33" t="s">
        <v>428</v>
      </c>
      <c r="E4149" s="40">
        <v>46.06</v>
      </c>
      <c r="F4149" s="40">
        <v>0.0</v>
      </c>
      <c r="G4149" s="33" t="s">
        <v>450</v>
      </c>
    </row>
    <row r="4150" ht="15.75" customHeight="1">
      <c r="A4150" s="33" t="s">
        <v>8136</v>
      </c>
      <c r="B4150" s="33" t="s">
        <v>513</v>
      </c>
      <c r="C4150" s="39">
        <v>46126.0</v>
      </c>
      <c r="D4150" s="33" t="s">
        <v>461</v>
      </c>
      <c r="E4150" s="40">
        <v>28.43</v>
      </c>
      <c r="F4150" s="40">
        <v>0.29</v>
      </c>
      <c r="G4150" s="33" t="s">
        <v>450</v>
      </c>
    </row>
    <row r="4151" ht="15.75" customHeight="1">
      <c r="A4151" s="33" t="s">
        <v>8137</v>
      </c>
      <c r="B4151" s="33" t="s">
        <v>2259</v>
      </c>
      <c r="C4151" s="39">
        <v>45837.0</v>
      </c>
      <c r="D4151" s="33" t="s">
        <v>461</v>
      </c>
      <c r="E4151" s="40">
        <v>108.56</v>
      </c>
      <c r="F4151" s="40">
        <v>0.94</v>
      </c>
      <c r="G4151" s="33" t="s">
        <v>442</v>
      </c>
    </row>
    <row r="4152" ht="15.75" customHeight="1">
      <c r="A4152" s="33" t="s">
        <v>8138</v>
      </c>
      <c r="B4152" s="33" t="s">
        <v>536</v>
      </c>
      <c r="C4152" s="39">
        <v>46033.0</v>
      </c>
      <c r="D4152" s="33" t="s">
        <v>435</v>
      </c>
      <c r="E4152" s="40">
        <v>39.25</v>
      </c>
      <c r="F4152" s="40">
        <v>0.0</v>
      </c>
      <c r="G4152" s="33" t="s">
        <v>450</v>
      </c>
    </row>
    <row r="4153" ht="15.75" customHeight="1">
      <c r="A4153" s="33" t="s">
        <v>8139</v>
      </c>
      <c r="B4153" s="33" t="s">
        <v>551</v>
      </c>
      <c r="C4153" s="39">
        <v>45768.0</v>
      </c>
      <c r="D4153" s="33" t="s">
        <v>479</v>
      </c>
      <c r="E4153" s="40">
        <v>108.64</v>
      </c>
      <c r="F4153" s="40">
        <v>0.78</v>
      </c>
      <c r="G4153" s="33" t="s">
        <v>450</v>
      </c>
    </row>
    <row r="4154" ht="15.75" customHeight="1">
      <c r="A4154" s="33" t="s">
        <v>8140</v>
      </c>
      <c r="B4154" s="33" t="s">
        <v>1825</v>
      </c>
      <c r="C4154" s="39">
        <v>45889.0</v>
      </c>
      <c r="D4154" s="33" t="s">
        <v>428</v>
      </c>
      <c r="E4154" s="40">
        <v>72.15</v>
      </c>
      <c r="F4154" s="40">
        <v>0.0</v>
      </c>
      <c r="G4154" s="33" t="s">
        <v>431</v>
      </c>
    </row>
    <row r="4155" ht="15.75" customHeight="1">
      <c r="A4155" s="33" t="s">
        <v>8141</v>
      </c>
      <c r="B4155" s="33" t="s">
        <v>1408</v>
      </c>
      <c r="C4155" s="39">
        <v>45996.0</v>
      </c>
      <c r="D4155" s="33" t="s">
        <v>440</v>
      </c>
      <c r="E4155" s="40">
        <v>95.36</v>
      </c>
      <c r="F4155" s="40">
        <v>0.0</v>
      </c>
      <c r="G4155" s="33" t="s">
        <v>450</v>
      </c>
    </row>
    <row r="4156" ht="15.75" customHeight="1">
      <c r="A4156" s="33" t="s">
        <v>8142</v>
      </c>
      <c r="B4156" s="33" t="s">
        <v>2268</v>
      </c>
      <c r="C4156" s="39">
        <v>46036.0</v>
      </c>
      <c r="D4156" s="33" t="s">
        <v>479</v>
      </c>
      <c r="E4156" s="40">
        <v>49.74</v>
      </c>
      <c r="F4156" s="40">
        <v>0.93</v>
      </c>
      <c r="G4156" s="33" t="s">
        <v>450</v>
      </c>
    </row>
    <row r="4157" ht="15.75" customHeight="1">
      <c r="A4157" s="33" t="s">
        <v>8143</v>
      </c>
      <c r="B4157" s="33" t="s">
        <v>672</v>
      </c>
      <c r="C4157" s="39">
        <v>46216.0</v>
      </c>
      <c r="D4157" s="33" t="s">
        <v>440</v>
      </c>
      <c r="E4157" s="40">
        <v>71.62</v>
      </c>
      <c r="F4157" s="40">
        <v>0.0</v>
      </c>
      <c r="G4157" s="33" t="s">
        <v>431</v>
      </c>
    </row>
    <row r="4158" ht="15.75" customHeight="1">
      <c r="A4158" s="33" t="s">
        <v>8144</v>
      </c>
      <c r="B4158" s="33" t="s">
        <v>1162</v>
      </c>
      <c r="C4158" s="39">
        <v>45834.0</v>
      </c>
      <c r="D4158" s="33" t="s">
        <v>435</v>
      </c>
      <c r="E4158" s="40">
        <v>269.71</v>
      </c>
      <c r="F4158" s="40">
        <v>0.0</v>
      </c>
      <c r="G4158" s="33" t="s">
        <v>442</v>
      </c>
    </row>
    <row r="4159" ht="15.75" customHeight="1">
      <c r="A4159" s="33" t="s">
        <v>8145</v>
      </c>
      <c r="B4159" s="33" t="s">
        <v>186</v>
      </c>
      <c r="C4159" s="39">
        <v>46201.0</v>
      </c>
      <c r="D4159" s="33" t="s">
        <v>461</v>
      </c>
      <c r="E4159" s="40">
        <v>93.12</v>
      </c>
      <c r="F4159" s="40">
        <v>1.3</v>
      </c>
      <c r="G4159" s="33" t="s">
        <v>450</v>
      </c>
    </row>
    <row r="4160" ht="15.75" customHeight="1">
      <c r="A4160" s="33" t="s">
        <v>8146</v>
      </c>
      <c r="B4160" s="33" t="s">
        <v>1562</v>
      </c>
      <c r="C4160" s="39">
        <v>46153.0</v>
      </c>
      <c r="D4160" s="33" t="s">
        <v>440</v>
      </c>
      <c r="E4160" s="40">
        <v>189.33</v>
      </c>
      <c r="F4160" s="40">
        <v>0.0</v>
      </c>
      <c r="G4160" s="33" t="s">
        <v>450</v>
      </c>
    </row>
    <row r="4161" ht="15.75" customHeight="1">
      <c r="A4161" s="33" t="s">
        <v>8147</v>
      </c>
      <c r="B4161" s="33" t="s">
        <v>553</v>
      </c>
      <c r="C4161" s="39">
        <v>45876.0</v>
      </c>
      <c r="D4161" s="33" t="s">
        <v>479</v>
      </c>
      <c r="E4161" s="40">
        <v>182.85</v>
      </c>
      <c r="F4161" s="40">
        <v>2.9</v>
      </c>
      <c r="G4161" s="33" t="s">
        <v>450</v>
      </c>
    </row>
    <row r="4162" ht="15.75" customHeight="1">
      <c r="A4162" s="33" t="s">
        <v>8148</v>
      </c>
      <c r="B4162" s="33" t="s">
        <v>2021</v>
      </c>
      <c r="C4162" s="39">
        <v>45743.0</v>
      </c>
      <c r="D4162" s="33" t="s">
        <v>479</v>
      </c>
      <c r="E4162" s="40">
        <v>23.86</v>
      </c>
      <c r="F4162" s="40">
        <v>0.47</v>
      </c>
      <c r="G4162" s="33" t="s">
        <v>450</v>
      </c>
    </row>
    <row r="4163" ht="15.75" customHeight="1">
      <c r="A4163" s="33" t="s">
        <v>8149</v>
      </c>
      <c r="B4163" s="33" t="s">
        <v>1977</v>
      </c>
      <c r="C4163" s="39">
        <v>45814.0</v>
      </c>
      <c r="D4163" s="33" t="s">
        <v>428</v>
      </c>
      <c r="E4163" s="40">
        <v>182.49</v>
      </c>
      <c r="F4163" s="40">
        <v>0.0</v>
      </c>
      <c r="G4163" s="33" t="s">
        <v>450</v>
      </c>
    </row>
    <row r="4164" ht="15.75" customHeight="1">
      <c r="A4164" s="33" t="s">
        <v>8150</v>
      </c>
      <c r="B4164" s="33" t="s">
        <v>470</v>
      </c>
      <c r="C4164" s="39">
        <v>46057.0</v>
      </c>
      <c r="D4164" s="33" t="s">
        <v>428</v>
      </c>
      <c r="E4164" s="40">
        <v>71.59</v>
      </c>
      <c r="F4164" s="40">
        <v>0.0</v>
      </c>
      <c r="G4164" s="33" t="s">
        <v>450</v>
      </c>
    </row>
    <row r="4165" ht="15.75" customHeight="1">
      <c r="A4165" s="33" t="s">
        <v>8151</v>
      </c>
      <c r="B4165" s="33" t="s">
        <v>2211</v>
      </c>
      <c r="C4165" s="39">
        <v>46136.0</v>
      </c>
      <c r="D4165" s="33" t="s">
        <v>479</v>
      </c>
      <c r="E4165" s="40">
        <v>56.69</v>
      </c>
      <c r="F4165" s="40">
        <v>0.51</v>
      </c>
      <c r="G4165" s="33" t="s">
        <v>450</v>
      </c>
    </row>
    <row r="4166" ht="15.75" customHeight="1">
      <c r="A4166" s="33" t="s">
        <v>8152</v>
      </c>
      <c r="B4166" s="33" t="s">
        <v>2622</v>
      </c>
      <c r="C4166" s="39">
        <v>46029.0</v>
      </c>
      <c r="D4166" s="33" t="s">
        <v>435</v>
      </c>
      <c r="E4166" s="40">
        <v>32.42</v>
      </c>
      <c r="F4166" s="40">
        <v>0.0</v>
      </c>
      <c r="G4166" s="33" t="s">
        <v>450</v>
      </c>
    </row>
    <row r="4167" ht="15.75" customHeight="1">
      <c r="A4167" s="33" t="s">
        <v>8153</v>
      </c>
      <c r="B4167" s="33" t="s">
        <v>448</v>
      </c>
      <c r="C4167" s="39">
        <v>46098.0</v>
      </c>
      <c r="D4167" s="33" t="s">
        <v>479</v>
      </c>
      <c r="E4167" s="40">
        <v>24.04</v>
      </c>
      <c r="F4167" s="40">
        <v>0.17</v>
      </c>
      <c r="G4167" s="33" t="s">
        <v>450</v>
      </c>
    </row>
    <row r="4168" ht="15.75" customHeight="1">
      <c r="A4168" s="33" t="s">
        <v>8154</v>
      </c>
      <c r="B4168" s="33" t="s">
        <v>2021</v>
      </c>
      <c r="C4168" s="39">
        <v>45719.0</v>
      </c>
      <c r="D4168" s="33" t="s">
        <v>428</v>
      </c>
      <c r="E4168" s="40">
        <v>106.48</v>
      </c>
      <c r="F4168" s="40">
        <v>0.0</v>
      </c>
      <c r="G4168" s="33" t="s">
        <v>450</v>
      </c>
    </row>
    <row r="4169" ht="15.75" customHeight="1">
      <c r="A4169" s="33" t="s">
        <v>8155</v>
      </c>
      <c r="B4169" s="33" t="s">
        <v>732</v>
      </c>
      <c r="C4169" s="39">
        <v>45964.0</v>
      </c>
      <c r="D4169" s="33" t="s">
        <v>479</v>
      </c>
      <c r="E4169" s="40">
        <v>23.19</v>
      </c>
      <c r="F4169" s="40">
        <v>0.37</v>
      </c>
      <c r="G4169" s="33" t="s">
        <v>450</v>
      </c>
    </row>
    <row r="4170" ht="15.75" customHeight="1">
      <c r="A4170" s="33" t="s">
        <v>8156</v>
      </c>
      <c r="B4170" s="33" t="s">
        <v>1812</v>
      </c>
      <c r="C4170" s="39">
        <v>46188.0</v>
      </c>
      <c r="D4170" s="33" t="s">
        <v>479</v>
      </c>
      <c r="E4170" s="40">
        <v>109.64</v>
      </c>
      <c r="F4170" s="40">
        <v>0.79</v>
      </c>
      <c r="G4170" s="33" t="s">
        <v>431</v>
      </c>
    </row>
    <row r="4171" ht="15.75" customHeight="1">
      <c r="A4171" s="33" t="s">
        <v>8157</v>
      </c>
      <c r="B4171" s="33" t="s">
        <v>478</v>
      </c>
      <c r="C4171" s="39">
        <v>45894.0</v>
      </c>
      <c r="D4171" s="33" t="s">
        <v>461</v>
      </c>
      <c r="E4171" s="40">
        <v>7.54</v>
      </c>
      <c r="F4171" s="40">
        <v>0.11</v>
      </c>
      <c r="G4171" s="33" t="s">
        <v>450</v>
      </c>
    </row>
    <row r="4172" ht="15.75" customHeight="1">
      <c r="A4172" s="33" t="s">
        <v>8158</v>
      </c>
      <c r="B4172" s="33" t="s">
        <v>350</v>
      </c>
      <c r="C4172" s="39">
        <v>46203.0</v>
      </c>
      <c r="D4172" s="33" t="s">
        <v>479</v>
      </c>
      <c r="E4172" s="40">
        <v>34.87</v>
      </c>
      <c r="F4172" s="40">
        <v>0.63</v>
      </c>
      <c r="G4172" s="33" t="s">
        <v>450</v>
      </c>
    </row>
    <row r="4173" ht="15.75" customHeight="1">
      <c r="A4173" s="33" t="s">
        <v>8159</v>
      </c>
      <c r="B4173" s="33" t="s">
        <v>2023</v>
      </c>
      <c r="C4173" s="39">
        <v>45733.0</v>
      </c>
      <c r="D4173" s="33" t="s">
        <v>479</v>
      </c>
      <c r="E4173" s="40">
        <v>63.89</v>
      </c>
      <c r="F4173" s="40">
        <v>1.13</v>
      </c>
      <c r="G4173" s="33" t="s">
        <v>450</v>
      </c>
    </row>
    <row r="4174" ht="15.75" customHeight="1">
      <c r="A4174" s="33" t="s">
        <v>8160</v>
      </c>
      <c r="B4174" s="33" t="s">
        <v>863</v>
      </c>
      <c r="C4174" s="39">
        <v>46252.0</v>
      </c>
      <c r="D4174" s="33" t="s">
        <v>479</v>
      </c>
      <c r="E4174" s="40">
        <v>78.08</v>
      </c>
      <c r="F4174" s="40">
        <v>0.74</v>
      </c>
      <c r="G4174" s="33" t="s">
        <v>450</v>
      </c>
    </row>
    <row r="4175" ht="15.75" customHeight="1">
      <c r="A4175" s="33" t="s">
        <v>8161</v>
      </c>
      <c r="B4175" s="33" t="s">
        <v>600</v>
      </c>
      <c r="C4175" s="39">
        <v>46134.0</v>
      </c>
      <c r="D4175" s="33" t="s">
        <v>428</v>
      </c>
      <c r="E4175" s="40">
        <v>36.54</v>
      </c>
      <c r="F4175" s="40">
        <v>0.0</v>
      </c>
      <c r="G4175" s="33" t="s">
        <v>450</v>
      </c>
    </row>
    <row r="4176" ht="15.75" customHeight="1">
      <c r="A4176" s="33" t="s">
        <v>8162</v>
      </c>
      <c r="B4176" s="33" t="s">
        <v>1152</v>
      </c>
      <c r="C4176" s="39">
        <v>46038.0</v>
      </c>
      <c r="D4176" s="33" t="s">
        <v>479</v>
      </c>
      <c r="E4176" s="40">
        <v>26.23</v>
      </c>
      <c r="F4176" s="40">
        <v>0.31</v>
      </c>
      <c r="G4176" s="33" t="s">
        <v>442</v>
      </c>
    </row>
    <row r="4177" ht="15.75" customHeight="1">
      <c r="A4177" s="33" t="s">
        <v>8163</v>
      </c>
      <c r="B4177" s="33" t="s">
        <v>1157</v>
      </c>
      <c r="C4177" s="39">
        <v>46032.0</v>
      </c>
      <c r="D4177" s="33" t="s">
        <v>440</v>
      </c>
      <c r="E4177" s="40">
        <v>58.52</v>
      </c>
      <c r="F4177" s="40">
        <v>0.0</v>
      </c>
      <c r="G4177" s="33" t="s">
        <v>450</v>
      </c>
    </row>
    <row r="4178" ht="15.75" customHeight="1">
      <c r="A4178" s="33" t="s">
        <v>8164</v>
      </c>
      <c r="B4178" s="33" t="s">
        <v>312</v>
      </c>
      <c r="C4178" s="39">
        <v>46226.0</v>
      </c>
      <c r="D4178" s="33" t="s">
        <v>479</v>
      </c>
      <c r="E4178" s="40">
        <v>46.99</v>
      </c>
      <c r="F4178" s="40">
        <v>0.5</v>
      </c>
      <c r="G4178" s="33" t="s">
        <v>431</v>
      </c>
    </row>
    <row r="4179" ht="15.75" customHeight="1">
      <c r="A4179" s="33" t="s">
        <v>8165</v>
      </c>
      <c r="B4179" s="33" t="s">
        <v>600</v>
      </c>
      <c r="C4179" s="39">
        <v>45886.0</v>
      </c>
      <c r="D4179" s="33" t="s">
        <v>461</v>
      </c>
      <c r="E4179" s="40">
        <v>51.95</v>
      </c>
      <c r="F4179" s="40">
        <v>0.7</v>
      </c>
      <c r="G4179" s="33" t="s">
        <v>442</v>
      </c>
    </row>
    <row r="4180" ht="15.75" customHeight="1">
      <c r="A4180" s="33" t="s">
        <v>8166</v>
      </c>
      <c r="B4180" s="33" t="s">
        <v>563</v>
      </c>
      <c r="C4180" s="39">
        <v>45758.0</v>
      </c>
      <c r="D4180" s="33" t="s">
        <v>428</v>
      </c>
      <c r="E4180" s="40">
        <v>113.54</v>
      </c>
      <c r="F4180" s="40">
        <v>0.0</v>
      </c>
      <c r="G4180" s="33" t="s">
        <v>431</v>
      </c>
    </row>
    <row r="4181" ht="15.75" customHeight="1">
      <c r="A4181" s="33" t="s">
        <v>8167</v>
      </c>
      <c r="B4181" s="33" t="s">
        <v>478</v>
      </c>
      <c r="C4181" s="39">
        <v>46215.0</v>
      </c>
      <c r="D4181" s="33" t="s">
        <v>428</v>
      </c>
      <c r="E4181" s="40">
        <v>163.67</v>
      </c>
      <c r="F4181" s="40">
        <v>0.0</v>
      </c>
      <c r="G4181" s="33" t="s">
        <v>442</v>
      </c>
    </row>
    <row r="4182" ht="15.75" customHeight="1">
      <c r="A4182" s="33" t="s">
        <v>8168</v>
      </c>
      <c r="B4182" s="33" t="s">
        <v>2199</v>
      </c>
      <c r="C4182" s="39">
        <v>45720.0</v>
      </c>
      <c r="D4182" s="33" t="s">
        <v>461</v>
      </c>
      <c r="E4182" s="40">
        <v>55.96</v>
      </c>
      <c r="F4182" s="40">
        <v>0.47</v>
      </c>
      <c r="G4182" s="33" t="s">
        <v>431</v>
      </c>
    </row>
    <row r="4183" ht="15.75" customHeight="1">
      <c r="A4183" s="33" t="s">
        <v>8169</v>
      </c>
      <c r="B4183" s="33" t="s">
        <v>1095</v>
      </c>
      <c r="C4183" s="39">
        <v>46058.0</v>
      </c>
      <c r="D4183" s="33" t="s">
        <v>461</v>
      </c>
      <c r="E4183" s="40">
        <v>113.61</v>
      </c>
      <c r="F4183" s="40">
        <v>2.04</v>
      </c>
      <c r="G4183" s="33" t="s">
        <v>450</v>
      </c>
    </row>
    <row r="4184" ht="15.75" customHeight="1">
      <c r="A4184" s="33" t="s">
        <v>8170</v>
      </c>
      <c r="B4184" s="33" t="s">
        <v>2816</v>
      </c>
      <c r="C4184" s="39">
        <v>45819.0</v>
      </c>
      <c r="D4184" s="33" t="s">
        <v>479</v>
      </c>
      <c r="E4184" s="40">
        <v>48.18</v>
      </c>
      <c r="F4184" s="40">
        <v>0.92</v>
      </c>
      <c r="G4184" s="33" t="s">
        <v>450</v>
      </c>
    </row>
    <row r="4185" ht="15.75" customHeight="1">
      <c r="A4185" s="33" t="s">
        <v>8171</v>
      </c>
      <c r="B4185" s="33" t="s">
        <v>783</v>
      </c>
      <c r="C4185" s="39">
        <v>46222.0</v>
      </c>
      <c r="D4185" s="33" t="s">
        <v>440</v>
      </c>
      <c r="E4185" s="40">
        <v>45.17</v>
      </c>
      <c r="F4185" s="40">
        <v>0.0</v>
      </c>
      <c r="G4185" s="33" t="s">
        <v>450</v>
      </c>
    </row>
    <row r="4186" ht="15.75" customHeight="1">
      <c r="A4186" s="33" t="s">
        <v>8172</v>
      </c>
      <c r="B4186" s="33" t="s">
        <v>462</v>
      </c>
      <c r="C4186" s="39">
        <v>46249.0</v>
      </c>
      <c r="D4186" s="33" t="s">
        <v>479</v>
      </c>
      <c r="E4186" s="40">
        <v>58.25</v>
      </c>
      <c r="F4186" s="40">
        <v>0.78</v>
      </c>
      <c r="G4186" s="33" t="s">
        <v>450</v>
      </c>
    </row>
    <row r="4187" ht="15.75" customHeight="1">
      <c r="A4187" s="33" t="s">
        <v>8173</v>
      </c>
      <c r="B4187" s="33" t="s">
        <v>320</v>
      </c>
      <c r="C4187" s="39">
        <v>45945.0</v>
      </c>
      <c r="D4187" s="33" t="s">
        <v>461</v>
      </c>
      <c r="E4187" s="40">
        <v>147.74</v>
      </c>
      <c r="F4187" s="40">
        <v>2.2</v>
      </c>
      <c r="G4187" s="33" t="s">
        <v>450</v>
      </c>
    </row>
    <row r="4188" ht="15.75" customHeight="1">
      <c r="A4188" s="33" t="s">
        <v>8174</v>
      </c>
      <c r="B4188" s="33" t="s">
        <v>1528</v>
      </c>
      <c r="C4188" s="39">
        <v>45981.0</v>
      </c>
      <c r="D4188" s="33" t="s">
        <v>479</v>
      </c>
      <c r="E4188" s="40">
        <v>18.39</v>
      </c>
      <c r="F4188" s="40">
        <v>0.13</v>
      </c>
      <c r="G4188" s="33" t="s">
        <v>431</v>
      </c>
    </row>
    <row r="4189" ht="15.75" customHeight="1">
      <c r="A4189" s="33" t="s">
        <v>8175</v>
      </c>
      <c r="B4189" s="33" t="s">
        <v>501</v>
      </c>
      <c r="C4189" s="39">
        <v>45933.0</v>
      </c>
      <c r="D4189" s="33" t="s">
        <v>440</v>
      </c>
      <c r="E4189" s="40">
        <v>15.87</v>
      </c>
      <c r="F4189" s="40">
        <v>0.0</v>
      </c>
      <c r="G4189" s="33" t="s">
        <v>431</v>
      </c>
    </row>
    <row r="4190" ht="15.75" customHeight="1">
      <c r="A4190" s="33" t="s">
        <v>8176</v>
      </c>
      <c r="B4190" s="33" t="s">
        <v>1259</v>
      </c>
      <c r="C4190" s="39">
        <v>45916.0</v>
      </c>
      <c r="D4190" s="33" t="s">
        <v>435</v>
      </c>
      <c r="E4190" s="40">
        <v>213.28</v>
      </c>
      <c r="F4190" s="40">
        <v>0.0</v>
      </c>
      <c r="G4190" s="33" t="s">
        <v>442</v>
      </c>
    </row>
    <row r="4191" ht="15.75" customHeight="1">
      <c r="A4191" s="33" t="s">
        <v>8177</v>
      </c>
      <c r="B4191" s="33" t="s">
        <v>1102</v>
      </c>
      <c r="C4191" s="39">
        <v>46226.0</v>
      </c>
      <c r="D4191" s="33" t="s">
        <v>435</v>
      </c>
      <c r="E4191" s="40">
        <v>35.57</v>
      </c>
      <c r="F4191" s="40">
        <v>0.0</v>
      </c>
      <c r="G4191" s="33" t="s">
        <v>450</v>
      </c>
    </row>
    <row r="4192" ht="15.75" customHeight="1">
      <c r="A4192" s="33" t="s">
        <v>8178</v>
      </c>
      <c r="B4192" s="33" t="s">
        <v>913</v>
      </c>
      <c r="C4192" s="39">
        <v>45832.0</v>
      </c>
      <c r="D4192" s="33" t="s">
        <v>479</v>
      </c>
      <c r="E4192" s="40">
        <v>64.6</v>
      </c>
      <c r="F4192" s="40">
        <v>0.54</v>
      </c>
      <c r="G4192" s="33" t="s">
        <v>431</v>
      </c>
    </row>
    <row r="4193" ht="15.75" customHeight="1">
      <c r="A4193" s="33" t="s">
        <v>8179</v>
      </c>
      <c r="B4193" s="33" t="s">
        <v>464</v>
      </c>
      <c r="C4193" s="39">
        <v>46240.0</v>
      </c>
      <c r="D4193" s="33" t="s">
        <v>461</v>
      </c>
      <c r="E4193" s="40">
        <v>51.61</v>
      </c>
      <c r="F4193" s="40">
        <v>0.8</v>
      </c>
      <c r="G4193" s="33" t="s">
        <v>450</v>
      </c>
    </row>
    <row r="4194" ht="15.75" customHeight="1">
      <c r="A4194" s="33" t="s">
        <v>8180</v>
      </c>
      <c r="B4194" s="33" t="s">
        <v>1393</v>
      </c>
      <c r="C4194" s="39">
        <v>46052.0</v>
      </c>
      <c r="D4194" s="33" t="s">
        <v>461</v>
      </c>
      <c r="E4194" s="40">
        <v>186.11</v>
      </c>
      <c r="F4194" s="40">
        <v>3.03</v>
      </c>
      <c r="G4194" s="33" t="s">
        <v>431</v>
      </c>
    </row>
    <row r="4195" ht="15.75" customHeight="1">
      <c r="A4195" s="33" t="s">
        <v>8181</v>
      </c>
      <c r="B4195" s="33" t="s">
        <v>1305</v>
      </c>
      <c r="C4195" s="39">
        <v>46241.0</v>
      </c>
      <c r="D4195" s="33" t="s">
        <v>428</v>
      </c>
      <c r="E4195" s="40">
        <v>146.73</v>
      </c>
      <c r="F4195" s="40">
        <v>0.0</v>
      </c>
      <c r="G4195" s="33" t="s">
        <v>442</v>
      </c>
    </row>
    <row r="4196" ht="15.75" customHeight="1">
      <c r="A4196" s="33" t="s">
        <v>8182</v>
      </c>
      <c r="B4196" s="33" t="s">
        <v>213</v>
      </c>
      <c r="C4196" s="39">
        <v>46029.0</v>
      </c>
      <c r="D4196" s="33" t="s">
        <v>461</v>
      </c>
      <c r="E4196" s="40">
        <v>25.96</v>
      </c>
      <c r="F4196" s="40">
        <v>0.3</v>
      </c>
      <c r="G4196" s="33" t="s">
        <v>450</v>
      </c>
    </row>
    <row r="4197" ht="15.75" customHeight="1">
      <c r="A4197" s="33" t="s">
        <v>8183</v>
      </c>
      <c r="B4197" s="33" t="s">
        <v>489</v>
      </c>
      <c r="C4197" s="39">
        <v>46155.0</v>
      </c>
      <c r="D4197" s="33" t="s">
        <v>435</v>
      </c>
      <c r="E4197" s="40">
        <v>78.58</v>
      </c>
      <c r="F4197" s="40">
        <v>0.0</v>
      </c>
      <c r="G4197" s="33" t="s">
        <v>442</v>
      </c>
    </row>
    <row r="4198" ht="15.75" customHeight="1">
      <c r="A4198" s="33" t="s">
        <v>8184</v>
      </c>
      <c r="B4198" s="33" t="s">
        <v>895</v>
      </c>
      <c r="C4198" s="39">
        <v>45955.0</v>
      </c>
      <c r="D4198" s="33" t="s">
        <v>428</v>
      </c>
      <c r="E4198" s="40">
        <v>94.08</v>
      </c>
      <c r="F4198" s="40">
        <v>0.0</v>
      </c>
      <c r="G4198" s="33" t="s">
        <v>442</v>
      </c>
    </row>
    <row r="4199" ht="15.75" customHeight="1">
      <c r="A4199" s="33" t="s">
        <v>8185</v>
      </c>
      <c r="B4199" s="33" t="s">
        <v>543</v>
      </c>
      <c r="C4199" s="39">
        <v>45938.0</v>
      </c>
      <c r="D4199" s="33" t="s">
        <v>428</v>
      </c>
      <c r="E4199" s="40">
        <v>111.35</v>
      </c>
      <c r="F4199" s="40">
        <v>0.0</v>
      </c>
      <c r="G4199" s="33" t="s">
        <v>431</v>
      </c>
    </row>
    <row r="4200" ht="15.75" customHeight="1">
      <c r="A4200" s="33" t="s">
        <v>8186</v>
      </c>
      <c r="B4200" s="33" t="s">
        <v>833</v>
      </c>
      <c r="C4200" s="39">
        <v>45814.0</v>
      </c>
      <c r="D4200" s="33" t="s">
        <v>428</v>
      </c>
      <c r="E4200" s="40">
        <v>10.43</v>
      </c>
      <c r="F4200" s="40">
        <v>0.0</v>
      </c>
      <c r="G4200" s="33" t="s">
        <v>442</v>
      </c>
    </row>
    <row r="4201" ht="15.75" customHeight="1">
      <c r="A4201" s="33" t="s">
        <v>8187</v>
      </c>
      <c r="B4201" s="33" t="s">
        <v>4175</v>
      </c>
      <c r="C4201" s="39">
        <v>45785.0</v>
      </c>
      <c r="D4201" s="33" t="s">
        <v>479</v>
      </c>
      <c r="E4201" s="40">
        <v>15.82</v>
      </c>
      <c r="F4201" s="40">
        <v>0.2</v>
      </c>
      <c r="G4201" s="33" t="s">
        <v>450</v>
      </c>
    </row>
    <row r="4202" ht="15.75" customHeight="1">
      <c r="A4202" s="33" t="s">
        <v>8188</v>
      </c>
      <c r="B4202" s="33" t="s">
        <v>1340</v>
      </c>
      <c r="C4202" s="39">
        <v>45680.0</v>
      </c>
      <c r="D4202" s="33" t="s">
        <v>440</v>
      </c>
      <c r="E4202" s="40">
        <v>116.98</v>
      </c>
      <c r="F4202" s="40">
        <v>0.0</v>
      </c>
      <c r="G4202" s="33" t="s">
        <v>450</v>
      </c>
    </row>
    <row r="4203" ht="15.75" customHeight="1">
      <c r="A4203" s="33" t="s">
        <v>8189</v>
      </c>
      <c r="B4203" s="33" t="s">
        <v>1145</v>
      </c>
      <c r="C4203" s="39">
        <v>45890.0</v>
      </c>
      <c r="D4203" s="33" t="s">
        <v>428</v>
      </c>
      <c r="E4203" s="40">
        <v>22.56</v>
      </c>
      <c r="F4203" s="40">
        <v>0.0</v>
      </c>
      <c r="G4203" s="33" t="s">
        <v>431</v>
      </c>
    </row>
    <row r="4204" ht="15.75" customHeight="1">
      <c r="A4204" s="33" t="s">
        <v>8190</v>
      </c>
      <c r="B4204" s="33" t="s">
        <v>1346</v>
      </c>
      <c r="C4204" s="39">
        <v>46257.0</v>
      </c>
      <c r="D4204" s="33" t="s">
        <v>435</v>
      </c>
      <c r="E4204" s="40">
        <v>92.94</v>
      </c>
      <c r="F4204" s="40">
        <v>0.0</v>
      </c>
      <c r="G4204" s="33" t="s">
        <v>442</v>
      </c>
    </row>
    <row r="4205" ht="15.75" customHeight="1">
      <c r="A4205" s="33" t="s">
        <v>8191</v>
      </c>
      <c r="B4205" s="33" t="s">
        <v>1409</v>
      </c>
      <c r="C4205" s="39">
        <v>46227.0</v>
      </c>
      <c r="D4205" s="33" t="s">
        <v>461</v>
      </c>
      <c r="E4205" s="40">
        <v>27.31</v>
      </c>
      <c r="F4205" s="40">
        <v>0.2</v>
      </c>
      <c r="G4205" s="33" t="s">
        <v>450</v>
      </c>
    </row>
    <row r="4206" ht="15.75" customHeight="1">
      <c r="A4206" s="33" t="s">
        <v>8192</v>
      </c>
      <c r="B4206" s="33" t="s">
        <v>1711</v>
      </c>
      <c r="C4206" s="39">
        <v>46076.0</v>
      </c>
      <c r="D4206" s="33" t="s">
        <v>428</v>
      </c>
      <c r="E4206" s="40">
        <v>16.92</v>
      </c>
      <c r="F4206" s="40">
        <v>0.0</v>
      </c>
      <c r="G4206" s="33" t="s">
        <v>442</v>
      </c>
    </row>
    <row r="4207" ht="15.75" customHeight="1">
      <c r="A4207" s="33" t="s">
        <v>8193</v>
      </c>
      <c r="B4207" s="33" t="s">
        <v>1972</v>
      </c>
      <c r="C4207" s="39">
        <v>45878.0</v>
      </c>
      <c r="D4207" s="33" t="s">
        <v>428</v>
      </c>
      <c r="E4207" s="40">
        <v>34.48</v>
      </c>
      <c r="F4207" s="40">
        <v>0.0</v>
      </c>
      <c r="G4207" s="33" t="s">
        <v>431</v>
      </c>
    </row>
    <row r="4208" ht="15.75" customHeight="1">
      <c r="A4208" s="33" t="s">
        <v>8194</v>
      </c>
      <c r="B4208" s="33" t="s">
        <v>294</v>
      </c>
      <c r="C4208" s="39">
        <v>45973.0</v>
      </c>
      <c r="D4208" s="33" t="s">
        <v>479</v>
      </c>
      <c r="E4208" s="40">
        <v>70.04</v>
      </c>
      <c r="F4208" s="40">
        <v>1.23</v>
      </c>
      <c r="G4208" s="33" t="s">
        <v>442</v>
      </c>
    </row>
    <row r="4209" ht="15.75" customHeight="1">
      <c r="A4209" s="33" t="s">
        <v>8195</v>
      </c>
      <c r="B4209" s="33" t="s">
        <v>364</v>
      </c>
      <c r="C4209" s="39">
        <v>46117.0</v>
      </c>
      <c r="D4209" s="33" t="s">
        <v>428</v>
      </c>
      <c r="E4209" s="40">
        <v>89.96</v>
      </c>
      <c r="F4209" s="40">
        <v>0.0</v>
      </c>
      <c r="G4209" s="33" t="s">
        <v>450</v>
      </c>
    </row>
    <row r="4210" ht="15.75" customHeight="1">
      <c r="A4210" s="33" t="s">
        <v>8196</v>
      </c>
      <c r="B4210" s="33" t="s">
        <v>526</v>
      </c>
      <c r="C4210" s="39">
        <v>45659.0</v>
      </c>
      <c r="D4210" s="33" t="s">
        <v>428</v>
      </c>
      <c r="E4210" s="40">
        <v>97.89</v>
      </c>
      <c r="F4210" s="40">
        <v>0.0</v>
      </c>
      <c r="G4210" s="33" t="s">
        <v>450</v>
      </c>
    </row>
    <row r="4211" ht="15.75" customHeight="1">
      <c r="A4211" s="33" t="s">
        <v>8197</v>
      </c>
      <c r="B4211" s="33" t="s">
        <v>2478</v>
      </c>
      <c r="C4211" s="39">
        <v>46218.0</v>
      </c>
      <c r="D4211" s="33" t="s">
        <v>428</v>
      </c>
      <c r="E4211" s="40">
        <v>126.74</v>
      </c>
      <c r="F4211" s="40">
        <v>0.0</v>
      </c>
      <c r="G4211" s="33" t="s">
        <v>431</v>
      </c>
    </row>
    <row r="4212" ht="15.75" customHeight="1">
      <c r="A4212" s="33" t="s">
        <v>8198</v>
      </c>
      <c r="B4212" s="33" t="s">
        <v>3552</v>
      </c>
      <c r="C4212" s="39">
        <v>46186.0</v>
      </c>
      <c r="D4212" s="33" t="s">
        <v>440</v>
      </c>
      <c r="E4212" s="40">
        <v>36.25</v>
      </c>
      <c r="F4212" s="40">
        <v>0.0</v>
      </c>
      <c r="G4212" s="33" t="s">
        <v>450</v>
      </c>
    </row>
    <row r="4213" ht="15.75" customHeight="1">
      <c r="A4213" s="33" t="s">
        <v>8199</v>
      </c>
      <c r="B4213" s="33" t="s">
        <v>2914</v>
      </c>
      <c r="C4213" s="39">
        <v>46247.0</v>
      </c>
      <c r="D4213" s="33" t="s">
        <v>461</v>
      </c>
      <c r="E4213" s="40">
        <v>121.85</v>
      </c>
      <c r="F4213" s="40">
        <v>0.84</v>
      </c>
      <c r="G4213" s="33" t="s">
        <v>431</v>
      </c>
    </row>
    <row r="4214" ht="15.75" customHeight="1">
      <c r="A4214" s="33" t="s">
        <v>8200</v>
      </c>
      <c r="B4214" s="33" t="s">
        <v>701</v>
      </c>
      <c r="C4214" s="39">
        <v>45715.0</v>
      </c>
      <c r="D4214" s="33" t="s">
        <v>428</v>
      </c>
      <c r="E4214" s="40">
        <v>75.16</v>
      </c>
      <c r="F4214" s="40">
        <v>0.0</v>
      </c>
      <c r="G4214" s="33" t="s">
        <v>450</v>
      </c>
    </row>
    <row r="4215" ht="15.75" customHeight="1">
      <c r="A4215" s="33" t="s">
        <v>8201</v>
      </c>
      <c r="B4215" s="33" t="s">
        <v>2123</v>
      </c>
      <c r="C4215" s="39">
        <v>46233.0</v>
      </c>
      <c r="D4215" s="33" t="s">
        <v>440</v>
      </c>
      <c r="E4215" s="40">
        <v>84.08</v>
      </c>
      <c r="F4215" s="40">
        <v>0.0</v>
      </c>
      <c r="G4215" s="33" t="s">
        <v>442</v>
      </c>
    </row>
    <row r="4216" ht="15.75" customHeight="1">
      <c r="A4216" s="33" t="s">
        <v>8202</v>
      </c>
      <c r="B4216" s="33" t="s">
        <v>1842</v>
      </c>
      <c r="C4216" s="39">
        <v>46030.0</v>
      </c>
      <c r="D4216" s="33" t="s">
        <v>440</v>
      </c>
      <c r="E4216" s="40">
        <v>286.0</v>
      </c>
      <c r="F4216" s="40">
        <v>0.0</v>
      </c>
      <c r="G4216" s="33" t="s">
        <v>450</v>
      </c>
    </row>
    <row r="4217" ht="15.75" customHeight="1">
      <c r="A4217" s="33" t="s">
        <v>8203</v>
      </c>
      <c r="B4217" s="33" t="s">
        <v>1805</v>
      </c>
      <c r="C4217" s="39">
        <v>45994.0</v>
      </c>
      <c r="D4217" s="33" t="s">
        <v>440</v>
      </c>
      <c r="E4217" s="40">
        <v>108.05</v>
      </c>
      <c r="F4217" s="40">
        <v>0.0</v>
      </c>
      <c r="G4217" s="33" t="s">
        <v>442</v>
      </c>
    </row>
    <row r="4218" ht="15.75" customHeight="1">
      <c r="A4218" s="33" t="s">
        <v>8204</v>
      </c>
      <c r="B4218" s="33" t="s">
        <v>2429</v>
      </c>
      <c r="C4218" s="39">
        <v>45766.0</v>
      </c>
      <c r="D4218" s="33" t="s">
        <v>440</v>
      </c>
      <c r="E4218" s="40">
        <v>60.53</v>
      </c>
      <c r="F4218" s="40">
        <v>0.0</v>
      </c>
      <c r="G4218" s="33" t="s">
        <v>450</v>
      </c>
    </row>
    <row r="4219" ht="15.75" customHeight="1">
      <c r="A4219" s="33" t="s">
        <v>8205</v>
      </c>
      <c r="B4219" s="33" t="s">
        <v>668</v>
      </c>
      <c r="C4219" s="39">
        <v>45956.0</v>
      </c>
      <c r="D4219" s="33" t="s">
        <v>461</v>
      </c>
      <c r="E4219" s="40">
        <v>52.99</v>
      </c>
      <c r="F4219" s="40">
        <v>0.4</v>
      </c>
      <c r="G4219" s="33" t="s">
        <v>450</v>
      </c>
    </row>
    <row r="4220" ht="15.75" customHeight="1">
      <c r="A4220" s="33" t="s">
        <v>8206</v>
      </c>
      <c r="B4220" s="33" t="s">
        <v>1108</v>
      </c>
      <c r="C4220" s="39">
        <v>45878.0</v>
      </c>
      <c r="D4220" s="33" t="s">
        <v>428</v>
      </c>
      <c r="E4220" s="40">
        <v>70.56</v>
      </c>
      <c r="F4220" s="40">
        <v>0.0</v>
      </c>
      <c r="G4220" s="33" t="s">
        <v>442</v>
      </c>
    </row>
    <row r="4221" ht="15.75" customHeight="1">
      <c r="A4221" s="33" t="s">
        <v>8207</v>
      </c>
      <c r="B4221" s="33" t="s">
        <v>3075</v>
      </c>
      <c r="C4221" s="39">
        <v>46257.0</v>
      </c>
      <c r="D4221" s="33" t="s">
        <v>435</v>
      </c>
      <c r="E4221" s="40">
        <v>19.37</v>
      </c>
      <c r="F4221" s="40">
        <v>0.0</v>
      </c>
      <c r="G4221" s="33" t="s">
        <v>450</v>
      </c>
    </row>
    <row r="4222" ht="15.75" customHeight="1">
      <c r="A4222" s="33" t="s">
        <v>8208</v>
      </c>
      <c r="B4222" s="33" t="s">
        <v>2303</v>
      </c>
      <c r="C4222" s="39">
        <v>45864.0</v>
      </c>
      <c r="D4222" s="33" t="s">
        <v>440</v>
      </c>
      <c r="E4222" s="40">
        <v>92.86</v>
      </c>
      <c r="F4222" s="40">
        <v>0.0</v>
      </c>
      <c r="G4222" s="33" t="s">
        <v>442</v>
      </c>
    </row>
    <row r="4223" ht="15.75" customHeight="1">
      <c r="A4223" s="33" t="s">
        <v>8209</v>
      </c>
      <c r="B4223" s="33" t="s">
        <v>828</v>
      </c>
      <c r="C4223" s="39">
        <v>45790.0</v>
      </c>
      <c r="D4223" s="33" t="s">
        <v>428</v>
      </c>
      <c r="E4223" s="40">
        <v>69.91</v>
      </c>
      <c r="F4223" s="40">
        <v>0.0</v>
      </c>
      <c r="G4223" s="33" t="s">
        <v>450</v>
      </c>
    </row>
    <row r="4224" ht="15.75" customHeight="1">
      <c r="A4224" s="33" t="s">
        <v>8210</v>
      </c>
      <c r="B4224" s="33" t="s">
        <v>812</v>
      </c>
      <c r="C4224" s="39">
        <v>46232.0</v>
      </c>
      <c r="D4224" s="33" t="s">
        <v>479</v>
      </c>
      <c r="E4224" s="40">
        <v>83.33</v>
      </c>
      <c r="F4224" s="40">
        <v>1.66</v>
      </c>
      <c r="G4224" s="33" t="s">
        <v>450</v>
      </c>
    </row>
    <row r="4225" ht="15.75" customHeight="1">
      <c r="A4225" s="33" t="s">
        <v>8211</v>
      </c>
      <c r="B4225" s="33" t="s">
        <v>1789</v>
      </c>
      <c r="C4225" s="39">
        <v>45771.0</v>
      </c>
      <c r="D4225" s="33" t="s">
        <v>440</v>
      </c>
      <c r="E4225" s="40">
        <v>74.89</v>
      </c>
      <c r="F4225" s="40">
        <v>0.0</v>
      </c>
      <c r="G4225" s="33" t="s">
        <v>442</v>
      </c>
    </row>
    <row r="4226" ht="15.75" customHeight="1">
      <c r="A4226" s="33" t="s">
        <v>8212</v>
      </c>
      <c r="B4226" s="33" t="s">
        <v>696</v>
      </c>
      <c r="C4226" s="39">
        <v>46207.0</v>
      </c>
      <c r="D4226" s="33" t="s">
        <v>461</v>
      </c>
      <c r="E4226" s="40">
        <v>21.45</v>
      </c>
      <c r="F4226" s="40">
        <v>0.31</v>
      </c>
      <c r="G4226" s="33" t="s">
        <v>431</v>
      </c>
    </row>
    <row r="4227" ht="15.75" customHeight="1">
      <c r="A4227" s="33" t="s">
        <v>8213</v>
      </c>
      <c r="B4227" s="33" t="s">
        <v>1147</v>
      </c>
      <c r="C4227" s="39">
        <v>46242.0</v>
      </c>
      <c r="D4227" s="33" t="s">
        <v>428</v>
      </c>
      <c r="E4227" s="40">
        <v>110.62</v>
      </c>
      <c r="F4227" s="40">
        <v>0.0</v>
      </c>
      <c r="G4227" s="33" t="s">
        <v>450</v>
      </c>
    </row>
    <row r="4228" ht="15.75" customHeight="1">
      <c r="A4228" s="33" t="s">
        <v>8214</v>
      </c>
      <c r="B4228" s="33" t="s">
        <v>4142</v>
      </c>
      <c r="C4228" s="39">
        <v>45844.0</v>
      </c>
      <c r="D4228" s="33" t="s">
        <v>440</v>
      </c>
      <c r="E4228" s="40">
        <v>44.26</v>
      </c>
      <c r="F4228" s="40">
        <v>0.0</v>
      </c>
      <c r="G4228" s="33" t="s">
        <v>450</v>
      </c>
    </row>
    <row r="4229" ht="15.75" customHeight="1">
      <c r="A4229" s="33" t="s">
        <v>8215</v>
      </c>
      <c r="B4229" s="33" t="s">
        <v>3434</v>
      </c>
      <c r="C4229" s="39">
        <v>46076.0</v>
      </c>
      <c r="D4229" s="33" t="s">
        <v>479</v>
      </c>
      <c r="E4229" s="40">
        <v>136.88</v>
      </c>
      <c r="F4229" s="40">
        <v>2.42</v>
      </c>
      <c r="G4229" s="33" t="s">
        <v>450</v>
      </c>
    </row>
    <row r="4230" ht="15.75" customHeight="1">
      <c r="A4230" s="33" t="s">
        <v>8216</v>
      </c>
      <c r="B4230" s="33" t="s">
        <v>2732</v>
      </c>
      <c r="C4230" s="39">
        <v>46141.0</v>
      </c>
      <c r="D4230" s="33" t="s">
        <v>461</v>
      </c>
      <c r="E4230" s="40">
        <v>117.18</v>
      </c>
      <c r="F4230" s="40">
        <v>1.92</v>
      </c>
      <c r="G4230" s="33" t="s">
        <v>450</v>
      </c>
    </row>
    <row r="4231" ht="15.75" customHeight="1">
      <c r="A4231" s="33" t="s">
        <v>8217</v>
      </c>
      <c r="B4231" s="33" t="s">
        <v>1217</v>
      </c>
      <c r="C4231" s="39">
        <v>45983.0</v>
      </c>
      <c r="D4231" s="33" t="s">
        <v>428</v>
      </c>
      <c r="E4231" s="40">
        <v>205.53</v>
      </c>
      <c r="F4231" s="40">
        <v>0.0</v>
      </c>
      <c r="G4231" s="33" t="s">
        <v>450</v>
      </c>
    </row>
    <row r="4232" ht="15.75" customHeight="1">
      <c r="A4232" s="33" t="s">
        <v>8218</v>
      </c>
      <c r="B4232" s="33" t="s">
        <v>1014</v>
      </c>
      <c r="C4232" s="39">
        <v>46081.0</v>
      </c>
      <c r="D4232" s="33" t="s">
        <v>479</v>
      </c>
      <c r="E4232" s="40">
        <v>70.39</v>
      </c>
      <c r="F4232" s="40">
        <v>1.15</v>
      </c>
      <c r="G4232" s="33" t="s">
        <v>442</v>
      </c>
    </row>
    <row r="4233" ht="15.75" customHeight="1">
      <c r="A4233" s="33" t="s">
        <v>8219</v>
      </c>
      <c r="B4233" s="33" t="s">
        <v>3552</v>
      </c>
      <c r="C4233" s="39">
        <v>45738.0</v>
      </c>
      <c r="D4233" s="33" t="s">
        <v>428</v>
      </c>
      <c r="E4233" s="40">
        <v>126.81</v>
      </c>
      <c r="F4233" s="40">
        <v>0.0</v>
      </c>
      <c r="G4233" s="33" t="s">
        <v>442</v>
      </c>
    </row>
    <row r="4234" ht="15.75" customHeight="1">
      <c r="A4234" s="33" t="s">
        <v>8220</v>
      </c>
      <c r="B4234" s="33" t="s">
        <v>2914</v>
      </c>
      <c r="C4234" s="39">
        <v>45971.0</v>
      </c>
      <c r="D4234" s="33" t="s">
        <v>461</v>
      </c>
      <c r="E4234" s="40">
        <v>220.8</v>
      </c>
      <c r="F4234" s="40">
        <v>4.2</v>
      </c>
      <c r="G4234" s="33" t="s">
        <v>442</v>
      </c>
    </row>
    <row r="4235" ht="15.75" customHeight="1">
      <c r="A4235" s="33" t="s">
        <v>8221</v>
      </c>
      <c r="B4235" s="33" t="s">
        <v>866</v>
      </c>
      <c r="C4235" s="39">
        <v>45969.0</v>
      </c>
      <c r="D4235" s="33" t="s">
        <v>479</v>
      </c>
      <c r="E4235" s="40">
        <v>41.08</v>
      </c>
      <c r="F4235" s="40">
        <v>0.49</v>
      </c>
      <c r="G4235" s="33" t="s">
        <v>450</v>
      </c>
    </row>
    <row r="4236" ht="15.75" customHeight="1">
      <c r="A4236" s="33" t="s">
        <v>8222</v>
      </c>
      <c r="B4236" s="33" t="s">
        <v>2075</v>
      </c>
      <c r="C4236" s="39">
        <v>46001.0</v>
      </c>
      <c r="D4236" s="33" t="s">
        <v>479</v>
      </c>
      <c r="E4236" s="40">
        <v>148.2</v>
      </c>
      <c r="F4236" s="40">
        <v>2.67</v>
      </c>
      <c r="G4236" s="33" t="s">
        <v>450</v>
      </c>
    </row>
    <row r="4237" ht="15.75" customHeight="1">
      <c r="A4237" s="33" t="s">
        <v>8223</v>
      </c>
      <c r="B4237" s="33" t="s">
        <v>786</v>
      </c>
      <c r="C4237" s="39">
        <v>46231.0</v>
      </c>
      <c r="D4237" s="33" t="s">
        <v>461</v>
      </c>
      <c r="E4237" s="40">
        <v>106.68</v>
      </c>
      <c r="F4237" s="40">
        <v>1.71</v>
      </c>
      <c r="G4237" s="33" t="s">
        <v>450</v>
      </c>
    </row>
    <row r="4238" ht="15.75" customHeight="1">
      <c r="A4238" s="33" t="s">
        <v>8224</v>
      </c>
      <c r="B4238" s="33" t="s">
        <v>3552</v>
      </c>
      <c r="C4238" s="39">
        <v>46158.0</v>
      </c>
      <c r="D4238" s="33" t="s">
        <v>435</v>
      </c>
      <c r="E4238" s="40">
        <v>30.53</v>
      </c>
      <c r="F4238" s="40">
        <v>0.0</v>
      </c>
      <c r="G4238" s="33" t="s">
        <v>431</v>
      </c>
    </row>
    <row r="4239" ht="15.75" customHeight="1">
      <c r="A4239" s="33" t="s">
        <v>8225</v>
      </c>
      <c r="B4239" s="33" t="s">
        <v>566</v>
      </c>
      <c r="C4239" s="39">
        <v>46023.0</v>
      </c>
      <c r="D4239" s="33" t="s">
        <v>440</v>
      </c>
      <c r="E4239" s="40">
        <v>64.1</v>
      </c>
      <c r="F4239" s="40">
        <v>0.0</v>
      </c>
      <c r="G4239" s="33" t="s">
        <v>450</v>
      </c>
    </row>
    <row r="4240" ht="15.75" customHeight="1">
      <c r="A4240" s="33" t="s">
        <v>8226</v>
      </c>
      <c r="B4240" s="33" t="s">
        <v>2362</v>
      </c>
      <c r="C4240" s="39">
        <v>45902.0</v>
      </c>
      <c r="D4240" s="33" t="s">
        <v>440</v>
      </c>
      <c r="E4240" s="40">
        <v>315.18</v>
      </c>
      <c r="F4240" s="40">
        <v>0.0</v>
      </c>
      <c r="G4240" s="33" t="s">
        <v>450</v>
      </c>
    </row>
    <row r="4241" ht="15.75" customHeight="1">
      <c r="A4241" s="33" t="s">
        <v>8227</v>
      </c>
      <c r="B4241" s="33" t="s">
        <v>312</v>
      </c>
      <c r="C4241" s="39">
        <v>45903.0</v>
      </c>
      <c r="D4241" s="33" t="s">
        <v>428</v>
      </c>
      <c r="E4241" s="40">
        <v>142.75</v>
      </c>
      <c r="F4241" s="40">
        <v>0.0</v>
      </c>
      <c r="G4241" s="33" t="s">
        <v>450</v>
      </c>
    </row>
    <row r="4242" ht="15.75" customHeight="1">
      <c r="A4242" s="33" t="s">
        <v>8228</v>
      </c>
      <c r="B4242" s="33" t="s">
        <v>2314</v>
      </c>
      <c r="C4242" s="39">
        <v>45670.0</v>
      </c>
      <c r="D4242" s="33" t="s">
        <v>428</v>
      </c>
      <c r="E4242" s="40">
        <v>99.63</v>
      </c>
      <c r="F4242" s="40">
        <v>0.0</v>
      </c>
      <c r="G4242" s="33" t="s">
        <v>450</v>
      </c>
    </row>
    <row r="4243" ht="15.75" customHeight="1">
      <c r="A4243" s="33" t="s">
        <v>8229</v>
      </c>
      <c r="B4243" s="33" t="s">
        <v>1141</v>
      </c>
      <c r="C4243" s="39">
        <v>45992.0</v>
      </c>
      <c r="D4243" s="33" t="s">
        <v>428</v>
      </c>
      <c r="E4243" s="40">
        <v>42.06</v>
      </c>
      <c r="F4243" s="40">
        <v>0.0</v>
      </c>
      <c r="G4243" s="33" t="s">
        <v>450</v>
      </c>
    </row>
    <row r="4244" ht="15.75" customHeight="1">
      <c r="A4244" s="33" t="s">
        <v>8230</v>
      </c>
      <c r="B4244" s="33" t="s">
        <v>323</v>
      </c>
      <c r="C4244" s="39">
        <v>45811.0</v>
      </c>
      <c r="D4244" s="33" t="s">
        <v>435</v>
      </c>
      <c r="E4244" s="40">
        <v>7.86</v>
      </c>
      <c r="F4244" s="40">
        <v>0.0</v>
      </c>
      <c r="G4244" s="33" t="s">
        <v>450</v>
      </c>
    </row>
    <row r="4245" ht="15.75" customHeight="1">
      <c r="A4245" s="33" t="s">
        <v>8231</v>
      </c>
      <c r="B4245" s="33" t="s">
        <v>1118</v>
      </c>
      <c r="C4245" s="39">
        <v>46195.0</v>
      </c>
      <c r="D4245" s="33" t="s">
        <v>440</v>
      </c>
      <c r="E4245" s="40">
        <v>22.85</v>
      </c>
      <c r="F4245" s="40">
        <v>0.0</v>
      </c>
      <c r="G4245" s="33" t="s">
        <v>450</v>
      </c>
    </row>
    <row r="4246" ht="15.75" customHeight="1">
      <c r="A4246" s="33" t="s">
        <v>8232</v>
      </c>
      <c r="B4246" s="33" t="s">
        <v>2447</v>
      </c>
      <c r="C4246" s="39">
        <v>46127.0</v>
      </c>
      <c r="D4246" s="33" t="s">
        <v>440</v>
      </c>
      <c r="E4246" s="40">
        <v>72.53</v>
      </c>
      <c r="F4246" s="40">
        <v>0.0</v>
      </c>
      <c r="G4246" s="33" t="s">
        <v>450</v>
      </c>
    </row>
    <row r="4247" ht="15.75" customHeight="1">
      <c r="A4247" s="33" t="s">
        <v>8233</v>
      </c>
      <c r="B4247" s="33" t="s">
        <v>2934</v>
      </c>
      <c r="C4247" s="39">
        <v>46212.0</v>
      </c>
      <c r="D4247" s="33" t="s">
        <v>435</v>
      </c>
      <c r="E4247" s="40">
        <v>72.57</v>
      </c>
      <c r="F4247" s="40">
        <v>0.0</v>
      </c>
      <c r="G4247" s="33" t="s">
        <v>442</v>
      </c>
    </row>
    <row r="4248" ht="15.75" customHeight="1">
      <c r="A4248" s="33" t="s">
        <v>8234</v>
      </c>
      <c r="B4248" s="33" t="s">
        <v>2087</v>
      </c>
      <c r="C4248" s="39">
        <v>46262.0</v>
      </c>
      <c r="D4248" s="33" t="s">
        <v>440</v>
      </c>
      <c r="E4248" s="40">
        <v>169.49</v>
      </c>
      <c r="F4248" s="40">
        <v>0.0</v>
      </c>
      <c r="G4248" s="33" t="s">
        <v>431</v>
      </c>
    </row>
    <row r="4249" ht="15.75" customHeight="1">
      <c r="A4249" s="33" t="s">
        <v>8235</v>
      </c>
      <c r="B4249" s="33" t="s">
        <v>220</v>
      </c>
      <c r="C4249" s="39">
        <v>45900.0</v>
      </c>
      <c r="D4249" s="33" t="s">
        <v>479</v>
      </c>
      <c r="E4249" s="40">
        <v>33.96</v>
      </c>
      <c r="F4249" s="40">
        <v>0.65</v>
      </c>
      <c r="G4249" s="33" t="s">
        <v>450</v>
      </c>
    </row>
    <row r="4250" ht="15.75" customHeight="1">
      <c r="A4250" s="33" t="s">
        <v>8236</v>
      </c>
      <c r="B4250" s="33" t="s">
        <v>1087</v>
      </c>
      <c r="C4250" s="39">
        <v>45918.0</v>
      </c>
      <c r="D4250" s="33" t="s">
        <v>428</v>
      </c>
      <c r="E4250" s="40">
        <v>31.43</v>
      </c>
      <c r="F4250" s="40">
        <v>0.0</v>
      </c>
      <c r="G4250" s="33" t="s">
        <v>442</v>
      </c>
    </row>
    <row r="4251" ht="15.75" customHeight="1">
      <c r="A4251" s="33" t="s">
        <v>8237</v>
      </c>
      <c r="B4251" s="33" t="s">
        <v>3612</v>
      </c>
      <c r="C4251" s="39">
        <v>46027.0</v>
      </c>
      <c r="D4251" s="33" t="s">
        <v>435</v>
      </c>
      <c r="E4251" s="40">
        <v>107.84</v>
      </c>
      <c r="F4251" s="40">
        <v>0.0</v>
      </c>
      <c r="G4251" s="33" t="s">
        <v>431</v>
      </c>
    </row>
    <row r="4252" ht="15.75" customHeight="1">
      <c r="A4252" s="33" t="s">
        <v>8238</v>
      </c>
      <c r="B4252" s="33" t="s">
        <v>1524</v>
      </c>
      <c r="C4252" s="39">
        <v>45919.0</v>
      </c>
      <c r="D4252" s="33" t="s">
        <v>428</v>
      </c>
      <c r="E4252" s="40">
        <v>53.84</v>
      </c>
      <c r="F4252" s="40">
        <v>0.0</v>
      </c>
      <c r="G4252" s="33" t="s">
        <v>442</v>
      </c>
    </row>
    <row r="4253" ht="15.75" customHeight="1">
      <c r="A4253" s="33" t="s">
        <v>8239</v>
      </c>
      <c r="B4253" s="33" t="s">
        <v>1883</v>
      </c>
      <c r="C4253" s="39">
        <v>45827.0</v>
      </c>
      <c r="D4253" s="33" t="s">
        <v>428</v>
      </c>
      <c r="E4253" s="40">
        <v>53.35</v>
      </c>
      <c r="F4253" s="40">
        <v>0.0</v>
      </c>
      <c r="G4253" s="33" t="s">
        <v>450</v>
      </c>
    </row>
    <row r="4254" ht="15.75" customHeight="1">
      <c r="A4254" s="33" t="s">
        <v>8240</v>
      </c>
      <c r="B4254" s="33" t="s">
        <v>1188</v>
      </c>
      <c r="C4254" s="39">
        <v>46087.0</v>
      </c>
      <c r="D4254" s="33" t="s">
        <v>435</v>
      </c>
      <c r="E4254" s="40">
        <v>158.3</v>
      </c>
      <c r="F4254" s="40">
        <v>0.0</v>
      </c>
      <c r="G4254" s="33" t="s">
        <v>442</v>
      </c>
    </row>
    <row r="4255" ht="15.75" customHeight="1">
      <c r="A4255" s="33" t="s">
        <v>8241</v>
      </c>
      <c r="B4255" s="33" t="s">
        <v>1742</v>
      </c>
      <c r="C4255" s="39">
        <v>45931.0</v>
      </c>
      <c r="D4255" s="33" t="s">
        <v>440</v>
      </c>
      <c r="E4255" s="40">
        <v>29.74</v>
      </c>
      <c r="F4255" s="40">
        <v>0.0</v>
      </c>
      <c r="G4255" s="33" t="s">
        <v>450</v>
      </c>
    </row>
    <row r="4256" ht="15.75" customHeight="1">
      <c r="A4256" s="33" t="s">
        <v>8242</v>
      </c>
      <c r="B4256" s="33" t="s">
        <v>2650</v>
      </c>
      <c r="C4256" s="39">
        <v>46229.0</v>
      </c>
      <c r="D4256" s="33" t="s">
        <v>479</v>
      </c>
      <c r="E4256" s="40">
        <v>142.66</v>
      </c>
      <c r="F4256" s="40">
        <v>1.67</v>
      </c>
      <c r="G4256" s="33" t="s">
        <v>431</v>
      </c>
    </row>
    <row r="4257" ht="15.75" customHeight="1">
      <c r="A4257" s="33" t="s">
        <v>8243</v>
      </c>
      <c r="B4257" s="33" t="s">
        <v>3934</v>
      </c>
      <c r="C4257" s="39">
        <v>45791.0</v>
      </c>
      <c r="D4257" s="33" t="s">
        <v>428</v>
      </c>
      <c r="E4257" s="40">
        <v>98.76</v>
      </c>
      <c r="F4257" s="40">
        <v>0.0</v>
      </c>
      <c r="G4257" s="33" t="s">
        <v>431</v>
      </c>
    </row>
    <row r="4258" ht="15.75" customHeight="1">
      <c r="A4258" s="33" t="s">
        <v>8244</v>
      </c>
      <c r="B4258" s="33" t="s">
        <v>1010</v>
      </c>
      <c r="C4258" s="39">
        <v>45927.0</v>
      </c>
      <c r="D4258" s="33" t="s">
        <v>461</v>
      </c>
      <c r="E4258" s="40">
        <v>49.48</v>
      </c>
      <c r="F4258" s="40">
        <v>0.72</v>
      </c>
      <c r="G4258" s="33" t="s">
        <v>450</v>
      </c>
    </row>
    <row r="4259" ht="15.75" customHeight="1">
      <c r="A4259" s="33" t="s">
        <v>8245</v>
      </c>
      <c r="B4259" s="33" t="s">
        <v>3059</v>
      </c>
      <c r="C4259" s="39">
        <v>45980.0</v>
      </c>
      <c r="D4259" s="33" t="s">
        <v>428</v>
      </c>
      <c r="E4259" s="40">
        <v>70.86</v>
      </c>
      <c r="F4259" s="40">
        <v>0.0</v>
      </c>
      <c r="G4259" s="33" t="s">
        <v>431</v>
      </c>
    </row>
    <row r="4260" ht="15.75" customHeight="1">
      <c r="A4260" s="33" t="s">
        <v>8246</v>
      </c>
      <c r="B4260" s="33" t="s">
        <v>1881</v>
      </c>
      <c r="C4260" s="39">
        <v>46209.0</v>
      </c>
      <c r="D4260" s="33" t="s">
        <v>440</v>
      </c>
      <c r="E4260" s="40">
        <v>37.16</v>
      </c>
      <c r="F4260" s="40">
        <v>0.0</v>
      </c>
      <c r="G4260" s="33" t="s">
        <v>450</v>
      </c>
    </row>
    <row r="4261" ht="15.75" customHeight="1">
      <c r="A4261" s="33" t="s">
        <v>8247</v>
      </c>
      <c r="B4261" s="33" t="s">
        <v>2511</v>
      </c>
      <c r="C4261" s="39">
        <v>46008.0</v>
      </c>
      <c r="D4261" s="33" t="s">
        <v>428</v>
      </c>
      <c r="E4261" s="40">
        <v>62.19</v>
      </c>
      <c r="F4261" s="40">
        <v>0.0</v>
      </c>
      <c r="G4261" s="33" t="s">
        <v>450</v>
      </c>
    </row>
    <row r="4262" ht="15.75" customHeight="1">
      <c r="A4262" s="33" t="s">
        <v>8248</v>
      </c>
      <c r="B4262" s="33" t="s">
        <v>2836</v>
      </c>
      <c r="C4262" s="39">
        <v>45699.0</v>
      </c>
      <c r="D4262" s="33" t="s">
        <v>428</v>
      </c>
      <c r="E4262" s="40">
        <v>212.89</v>
      </c>
      <c r="F4262" s="40">
        <v>0.0</v>
      </c>
      <c r="G4262" s="33" t="s">
        <v>442</v>
      </c>
    </row>
    <row r="4263" ht="15.75" customHeight="1">
      <c r="A4263" s="33" t="s">
        <v>8249</v>
      </c>
      <c r="B4263" s="33" t="s">
        <v>2375</v>
      </c>
      <c r="C4263" s="39">
        <v>45863.0</v>
      </c>
      <c r="D4263" s="33" t="s">
        <v>479</v>
      </c>
      <c r="E4263" s="40">
        <v>40.77</v>
      </c>
      <c r="F4263" s="40">
        <v>0.76</v>
      </c>
      <c r="G4263" s="33" t="s">
        <v>450</v>
      </c>
    </row>
    <row r="4264" ht="15.75" customHeight="1">
      <c r="A4264" s="33" t="s">
        <v>8250</v>
      </c>
      <c r="B4264" s="33" t="s">
        <v>1052</v>
      </c>
      <c r="C4264" s="39">
        <v>46195.0</v>
      </c>
      <c r="D4264" s="33" t="s">
        <v>435</v>
      </c>
      <c r="E4264" s="40">
        <v>13.82</v>
      </c>
      <c r="F4264" s="40">
        <v>0.0</v>
      </c>
      <c r="G4264" s="33" t="s">
        <v>450</v>
      </c>
    </row>
    <row r="4265" ht="15.75" customHeight="1">
      <c r="A4265" s="33" t="s">
        <v>8251</v>
      </c>
      <c r="B4265" s="33" t="s">
        <v>3633</v>
      </c>
      <c r="C4265" s="39">
        <v>45823.0</v>
      </c>
      <c r="D4265" s="33" t="s">
        <v>440</v>
      </c>
      <c r="E4265" s="40">
        <v>72.48</v>
      </c>
      <c r="F4265" s="40">
        <v>0.0</v>
      </c>
      <c r="G4265" s="33" t="s">
        <v>450</v>
      </c>
    </row>
    <row r="4266" ht="15.75" customHeight="1">
      <c r="A4266" s="33" t="s">
        <v>8252</v>
      </c>
      <c r="B4266" s="33" t="s">
        <v>2169</v>
      </c>
      <c r="C4266" s="39">
        <v>45864.0</v>
      </c>
      <c r="D4266" s="33" t="s">
        <v>435</v>
      </c>
      <c r="E4266" s="40">
        <v>188.74</v>
      </c>
      <c r="F4266" s="40">
        <v>0.0</v>
      </c>
      <c r="G4266" s="33" t="s">
        <v>450</v>
      </c>
    </row>
    <row r="4267" ht="15.75" customHeight="1">
      <c r="A4267" s="33" t="s">
        <v>8253</v>
      </c>
      <c r="B4267" s="33" t="s">
        <v>4287</v>
      </c>
      <c r="C4267" s="39">
        <v>45749.0</v>
      </c>
      <c r="D4267" s="33" t="s">
        <v>428</v>
      </c>
      <c r="E4267" s="40">
        <v>85.17</v>
      </c>
      <c r="F4267" s="40">
        <v>0.0</v>
      </c>
      <c r="G4267" s="33" t="s">
        <v>450</v>
      </c>
    </row>
    <row r="4268" ht="15.75" customHeight="1">
      <c r="A4268" s="33" t="s">
        <v>8254</v>
      </c>
      <c r="B4268" s="33" t="s">
        <v>2375</v>
      </c>
      <c r="C4268" s="39">
        <v>46094.0</v>
      </c>
      <c r="D4268" s="33" t="s">
        <v>440</v>
      </c>
      <c r="E4268" s="40">
        <v>59.22</v>
      </c>
      <c r="F4268" s="40">
        <v>0.0</v>
      </c>
      <c r="G4268" s="33" t="s">
        <v>431</v>
      </c>
    </row>
    <row r="4269" ht="15.75" customHeight="1">
      <c r="A4269" s="33" t="s">
        <v>8255</v>
      </c>
      <c r="B4269" s="33" t="s">
        <v>2199</v>
      </c>
      <c r="C4269" s="39">
        <v>45742.0</v>
      </c>
      <c r="D4269" s="33" t="s">
        <v>461</v>
      </c>
      <c r="E4269" s="40">
        <v>57.18</v>
      </c>
      <c r="F4269" s="40">
        <v>0.37</v>
      </c>
      <c r="G4269" s="33" t="s">
        <v>450</v>
      </c>
    </row>
    <row r="4270" ht="15.75" customHeight="1">
      <c r="A4270" s="33" t="s">
        <v>8256</v>
      </c>
      <c r="B4270" s="33" t="s">
        <v>2715</v>
      </c>
      <c r="C4270" s="39">
        <v>45881.0</v>
      </c>
      <c r="D4270" s="33" t="s">
        <v>440</v>
      </c>
      <c r="E4270" s="40">
        <v>145.49</v>
      </c>
      <c r="F4270" s="40">
        <v>0.0</v>
      </c>
      <c r="G4270" s="33" t="s">
        <v>442</v>
      </c>
    </row>
    <row r="4271" ht="15.75" customHeight="1">
      <c r="A4271" s="33" t="s">
        <v>8257</v>
      </c>
      <c r="B4271" s="33" t="s">
        <v>3195</v>
      </c>
      <c r="C4271" s="39">
        <v>46089.0</v>
      </c>
      <c r="D4271" s="33" t="s">
        <v>428</v>
      </c>
      <c r="E4271" s="40">
        <v>93.05</v>
      </c>
      <c r="F4271" s="40">
        <v>0.0</v>
      </c>
      <c r="G4271" s="33" t="s">
        <v>450</v>
      </c>
    </row>
    <row r="4272" ht="15.75" customHeight="1">
      <c r="A4272" s="33" t="s">
        <v>8258</v>
      </c>
      <c r="B4272" s="33" t="s">
        <v>1424</v>
      </c>
      <c r="C4272" s="39">
        <v>46201.0</v>
      </c>
      <c r="D4272" s="33" t="s">
        <v>461</v>
      </c>
      <c r="E4272" s="40">
        <v>107.64</v>
      </c>
      <c r="F4272" s="40">
        <v>1.48</v>
      </c>
      <c r="G4272" s="33" t="s">
        <v>450</v>
      </c>
    </row>
    <row r="4273" ht="15.75" customHeight="1">
      <c r="A4273" s="33" t="s">
        <v>8259</v>
      </c>
      <c r="B4273" s="33" t="s">
        <v>1300</v>
      </c>
      <c r="C4273" s="39">
        <v>45792.0</v>
      </c>
      <c r="D4273" s="33" t="s">
        <v>440</v>
      </c>
      <c r="E4273" s="40">
        <v>80.05</v>
      </c>
      <c r="F4273" s="40">
        <v>0.0</v>
      </c>
      <c r="G4273" s="33" t="s">
        <v>450</v>
      </c>
    </row>
    <row r="4274" ht="15.75" customHeight="1">
      <c r="A4274" s="33" t="s">
        <v>8260</v>
      </c>
      <c r="B4274" s="33" t="s">
        <v>1188</v>
      </c>
      <c r="C4274" s="39">
        <v>45859.0</v>
      </c>
      <c r="D4274" s="33" t="s">
        <v>479</v>
      </c>
      <c r="E4274" s="40">
        <v>129.37</v>
      </c>
      <c r="F4274" s="40">
        <v>1.41</v>
      </c>
      <c r="G4274" s="33" t="s">
        <v>450</v>
      </c>
    </row>
    <row r="4275" ht="15.75" customHeight="1">
      <c r="A4275" s="33" t="s">
        <v>8261</v>
      </c>
      <c r="B4275" s="33" t="s">
        <v>4153</v>
      </c>
      <c r="C4275" s="39">
        <v>45729.0</v>
      </c>
      <c r="D4275" s="33" t="s">
        <v>435</v>
      </c>
      <c r="E4275" s="40">
        <v>212.9</v>
      </c>
      <c r="F4275" s="40">
        <v>0.0</v>
      </c>
      <c r="G4275" s="33" t="s">
        <v>450</v>
      </c>
    </row>
    <row r="4276" ht="15.75" customHeight="1">
      <c r="A4276" s="33" t="s">
        <v>8262</v>
      </c>
      <c r="B4276" s="33" t="s">
        <v>497</v>
      </c>
      <c r="C4276" s="39">
        <v>45923.0</v>
      </c>
      <c r="D4276" s="33" t="s">
        <v>435</v>
      </c>
      <c r="E4276" s="40">
        <v>71.56</v>
      </c>
      <c r="F4276" s="40">
        <v>0.0</v>
      </c>
      <c r="G4276" s="33" t="s">
        <v>450</v>
      </c>
    </row>
    <row r="4277" ht="15.75" customHeight="1">
      <c r="A4277" s="33" t="s">
        <v>8263</v>
      </c>
      <c r="B4277" s="33" t="s">
        <v>1576</v>
      </c>
      <c r="C4277" s="39">
        <v>46264.0</v>
      </c>
      <c r="D4277" s="33" t="s">
        <v>428</v>
      </c>
      <c r="E4277" s="40">
        <v>91.84</v>
      </c>
      <c r="F4277" s="40">
        <v>0.0</v>
      </c>
      <c r="G4277" s="33" t="s">
        <v>431</v>
      </c>
    </row>
    <row r="4278" ht="15.75" customHeight="1">
      <c r="A4278" s="33" t="s">
        <v>8264</v>
      </c>
      <c r="B4278" s="33" t="s">
        <v>2259</v>
      </c>
      <c r="C4278" s="39">
        <v>45842.0</v>
      </c>
      <c r="D4278" s="33" t="s">
        <v>428</v>
      </c>
      <c r="E4278" s="40">
        <v>206.86</v>
      </c>
      <c r="F4278" s="40">
        <v>0.0</v>
      </c>
      <c r="G4278" s="33" t="s">
        <v>431</v>
      </c>
    </row>
    <row r="4279" ht="15.75" customHeight="1">
      <c r="A4279" s="33" t="s">
        <v>8265</v>
      </c>
      <c r="B4279" s="33" t="s">
        <v>931</v>
      </c>
      <c r="C4279" s="39">
        <v>45815.0</v>
      </c>
      <c r="D4279" s="33" t="s">
        <v>428</v>
      </c>
      <c r="E4279" s="40">
        <v>79.89</v>
      </c>
      <c r="F4279" s="40">
        <v>0.0</v>
      </c>
      <c r="G4279" s="33" t="s">
        <v>450</v>
      </c>
    </row>
    <row r="4280" ht="15.75" customHeight="1">
      <c r="A4280" s="33" t="s">
        <v>8266</v>
      </c>
      <c r="B4280" s="33" t="s">
        <v>659</v>
      </c>
      <c r="C4280" s="39">
        <v>45900.0</v>
      </c>
      <c r="D4280" s="33" t="s">
        <v>461</v>
      </c>
      <c r="E4280" s="40">
        <v>144.13</v>
      </c>
      <c r="F4280" s="40">
        <v>0.8</v>
      </c>
      <c r="G4280" s="33" t="s">
        <v>450</v>
      </c>
    </row>
    <row r="4281" ht="15.75" customHeight="1">
      <c r="A4281" s="33" t="s">
        <v>8267</v>
      </c>
      <c r="B4281" s="33" t="s">
        <v>1637</v>
      </c>
      <c r="C4281" s="39">
        <v>46201.0</v>
      </c>
      <c r="D4281" s="33" t="s">
        <v>440</v>
      </c>
      <c r="E4281" s="40">
        <v>34.98</v>
      </c>
      <c r="F4281" s="40">
        <v>0.0</v>
      </c>
      <c r="G4281" s="33" t="s">
        <v>431</v>
      </c>
    </row>
    <row r="4282" ht="15.75" customHeight="1">
      <c r="A4282" s="33" t="s">
        <v>8268</v>
      </c>
      <c r="B4282" s="33" t="s">
        <v>460</v>
      </c>
      <c r="C4282" s="39">
        <v>45990.0</v>
      </c>
      <c r="D4282" s="33" t="s">
        <v>435</v>
      </c>
      <c r="E4282" s="40">
        <v>39.57</v>
      </c>
      <c r="F4282" s="40">
        <v>0.0</v>
      </c>
      <c r="G4282" s="33" t="s">
        <v>450</v>
      </c>
    </row>
    <row r="4283" ht="15.75" customHeight="1">
      <c r="A4283" s="33" t="s">
        <v>8269</v>
      </c>
      <c r="B4283" s="33" t="s">
        <v>1031</v>
      </c>
      <c r="C4283" s="39">
        <v>46027.0</v>
      </c>
      <c r="D4283" s="33" t="s">
        <v>461</v>
      </c>
      <c r="E4283" s="40">
        <v>246.25</v>
      </c>
      <c r="F4283" s="40">
        <v>1.83</v>
      </c>
      <c r="G4283" s="33" t="s">
        <v>450</v>
      </c>
    </row>
    <row r="4284" ht="15.75" customHeight="1">
      <c r="A4284" s="33" t="s">
        <v>8270</v>
      </c>
      <c r="B4284" s="33" t="s">
        <v>1188</v>
      </c>
      <c r="C4284" s="39">
        <v>46131.0</v>
      </c>
      <c r="D4284" s="33" t="s">
        <v>440</v>
      </c>
      <c r="E4284" s="40">
        <v>121.88</v>
      </c>
      <c r="F4284" s="40">
        <v>0.0</v>
      </c>
      <c r="G4284" s="33" t="s">
        <v>450</v>
      </c>
    </row>
    <row r="4285" ht="15.75" customHeight="1">
      <c r="A4285" s="33" t="s">
        <v>8271</v>
      </c>
      <c r="B4285" s="33" t="s">
        <v>1505</v>
      </c>
      <c r="C4285" s="39">
        <v>46092.0</v>
      </c>
      <c r="D4285" s="33" t="s">
        <v>435</v>
      </c>
      <c r="E4285" s="40">
        <v>64.7</v>
      </c>
      <c r="F4285" s="40">
        <v>0.0</v>
      </c>
      <c r="G4285" s="33" t="s">
        <v>431</v>
      </c>
    </row>
    <row r="4286" ht="15.75" customHeight="1">
      <c r="A4286" s="33" t="s">
        <v>8272</v>
      </c>
      <c r="B4286" s="33" t="s">
        <v>887</v>
      </c>
      <c r="C4286" s="39">
        <v>46021.0</v>
      </c>
      <c r="D4286" s="33" t="s">
        <v>435</v>
      </c>
      <c r="E4286" s="40">
        <v>47.23</v>
      </c>
      <c r="F4286" s="40">
        <v>0.0</v>
      </c>
      <c r="G4286" s="33" t="s">
        <v>442</v>
      </c>
    </row>
    <row r="4287" ht="15.75" customHeight="1">
      <c r="A4287" s="33" t="s">
        <v>8273</v>
      </c>
      <c r="B4287" s="33" t="s">
        <v>342</v>
      </c>
      <c r="C4287" s="39">
        <v>45998.0</v>
      </c>
      <c r="D4287" s="33" t="s">
        <v>479</v>
      </c>
      <c r="E4287" s="40">
        <v>57.31</v>
      </c>
      <c r="F4287" s="40">
        <v>0.86</v>
      </c>
      <c r="G4287" s="33" t="s">
        <v>442</v>
      </c>
    </row>
    <row r="4288" ht="15.75" customHeight="1">
      <c r="A4288" s="33" t="s">
        <v>8274</v>
      </c>
      <c r="B4288" s="33" t="s">
        <v>1705</v>
      </c>
      <c r="C4288" s="39">
        <v>45981.0</v>
      </c>
      <c r="D4288" s="33" t="s">
        <v>428</v>
      </c>
      <c r="E4288" s="40">
        <v>23.77</v>
      </c>
      <c r="F4288" s="40">
        <v>0.0</v>
      </c>
      <c r="G4288" s="33" t="s">
        <v>450</v>
      </c>
    </row>
    <row r="4289" ht="15.75" customHeight="1">
      <c r="A4289" s="33" t="s">
        <v>8275</v>
      </c>
      <c r="B4289" s="33" t="s">
        <v>2456</v>
      </c>
      <c r="C4289" s="39">
        <v>45767.0</v>
      </c>
      <c r="D4289" s="33" t="s">
        <v>440</v>
      </c>
      <c r="E4289" s="40">
        <v>114.86</v>
      </c>
      <c r="F4289" s="40">
        <v>0.0</v>
      </c>
      <c r="G4289" s="33" t="s">
        <v>450</v>
      </c>
    </row>
    <row r="4290" ht="15.75" customHeight="1">
      <c r="A4290" s="33" t="s">
        <v>8276</v>
      </c>
      <c r="B4290" s="33" t="s">
        <v>401</v>
      </c>
      <c r="C4290" s="39">
        <v>45909.0</v>
      </c>
      <c r="D4290" s="33" t="s">
        <v>428</v>
      </c>
      <c r="E4290" s="40">
        <v>106.89</v>
      </c>
      <c r="F4290" s="40">
        <v>0.0</v>
      </c>
      <c r="G4290" s="33" t="s">
        <v>442</v>
      </c>
    </row>
    <row r="4291" ht="15.75" customHeight="1">
      <c r="A4291" s="33" t="s">
        <v>8277</v>
      </c>
      <c r="B4291" s="33" t="s">
        <v>360</v>
      </c>
      <c r="C4291" s="39">
        <v>46172.0</v>
      </c>
      <c r="D4291" s="33" t="s">
        <v>440</v>
      </c>
      <c r="E4291" s="40">
        <v>105.13</v>
      </c>
      <c r="F4291" s="40">
        <v>0.0</v>
      </c>
      <c r="G4291" s="33" t="s">
        <v>450</v>
      </c>
    </row>
    <row r="4292" ht="15.75" customHeight="1">
      <c r="A4292" s="33" t="s">
        <v>8278</v>
      </c>
      <c r="B4292" s="33" t="s">
        <v>634</v>
      </c>
      <c r="C4292" s="39">
        <v>45681.0</v>
      </c>
      <c r="D4292" s="33" t="s">
        <v>461</v>
      </c>
      <c r="E4292" s="40">
        <v>176.95</v>
      </c>
      <c r="F4292" s="40">
        <v>3.31</v>
      </c>
      <c r="G4292" s="33" t="s">
        <v>450</v>
      </c>
    </row>
    <row r="4293" ht="15.75" customHeight="1">
      <c r="A4293" s="33" t="s">
        <v>8279</v>
      </c>
      <c r="B4293" s="33" t="s">
        <v>2066</v>
      </c>
      <c r="C4293" s="39">
        <v>46160.0</v>
      </c>
      <c r="D4293" s="33" t="s">
        <v>440</v>
      </c>
      <c r="E4293" s="40">
        <v>76.57</v>
      </c>
      <c r="F4293" s="40">
        <v>0.0</v>
      </c>
      <c r="G4293" s="33" t="s">
        <v>450</v>
      </c>
    </row>
    <row r="4294" ht="15.75" customHeight="1">
      <c r="A4294" s="33" t="s">
        <v>8280</v>
      </c>
      <c r="B4294" s="33" t="s">
        <v>2158</v>
      </c>
      <c r="C4294" s="39">
        <v>46001.0</v>
      </c>
      <c r="D4294" s="33" t="s">
        <v>461</v>
      </c>
      <c r="E4294" s="40">
        <v>98.89</v>
      </c>
      <c r="F4294" s="40">
        <v>1.04</v>
      </c>
      <c r="G4294" s="33" t="s">
        <v>450</v>
      </c>
    </row>
    <row r="4295" ht="15.75" customHeight="1">
      <c r="A4295" s="33" t="s">
        <v>8281</v>
      </c>
      <c r="B4295" s="33" t="s">
        <v>913</v>
      </c>
      <c r="C4295" s="39">
        <v>45870.0</v>
      </c>
      <c r="D4295" s="33" t="s">
        <v>440</v>
      </c>
      <c r="E4295" s="40">
        <v>14.54</v>
      </c>
      <c r="F4295" s="40">
        <v>0.0</v>
      </c>
      <c r="G4295" s="33" t="s">
        <v>442</v>
      </c>
    </row>
    <row r="4296" ht="15.75" customHeight="1">
      <c r="A4296" s="33" t="s">
        <v>8282</v>
      </c>
      <c r="B4296" s="33" t="s">
        <v>2757</v>
      </c>
      <c r="C4296" s="39">
        <v>45727.0</v>
      </c>
      <c r="D4296" s="33" t="s">
        <v>461</v>
      </c>
      <c r="E4296" s="40">
        <v>122.71</v>
      </c>
      <c r="F4296" s="40">
        <v>1.86</v>
      </c>
      <c r="G4296" s="33" t="s">
        <v>450</v>
      </c>
    </row>
    <row r="4297" ht="15.75" customHeight="1">
      <c r="A4297" s="33" t="s">
        <v>8283</v>
      </c>
      <c r="B4297" s="33" t="s">
        <v>759</v>
      </c>
      <c r="C4297" s="39">
        <v>46121.0</v>
      </c>
      <c r="D4297" s="33" t="s">
        <v>479</v>
      </c>
      <c r="E4297" s="40">
        <v>108.75</v>
      </c>
      <c r="F4297" s="40">
        <v>2.08</v>
      </c>
      <c r="G4297" s="33" t="s">
        <v>450</v>
      </c>
    </row>
    <row r="4298" ht="15.75" customHeight="1">
      <c r="A4298" s="33" t="s">
        <v>8284</v>
      </c>
      <c r="B4298" s="33" t="s">
        <v>1482</v>
      </c>
      <c r="C4298" s="39">
        <v>45658.0</v>
      </c>
      <c r="D4298" s="33" t="s">
        <v>435</v>
      </c>
      <c r="E4298" s="40">
        <v>26.71</v>
      </c>
      <c r="F4298" s="40">
        <v>0.0</v>
      </c>
      <c r="G4298" s="33" t="s">
        <v>431</v>
      </c>
    </row>
    <row r="4299" ht="15.75" customHeight="1">
      <c r="A4299" s="33" t="s">
        <v>8285</v>
      </c>
      <c r="B4299" s="33" t="s">
        <v>1649</v>
      </c>
      <c r="C4299" s="39">
        <v>45987.0</v>
      </c>
      <c r="D4299" s="33" t="s">
        <v>440</v>
      </c>
      <c r="E4299" s="40">
        <v>64.92</v>
      </c>
      <c r="F4299" s="40">
        <v>0.0</v>
      </c>
      <c r="G4299" s="33" t="s">
        <v>442</v>
      </c>
    </row>
    <row r="4300" ht="15.75" customHeight="1">
      <c r="A4300" s="33" t="s">
        <v>8286</v>
      </c>
      <c r="B4300" s="33" t="s">
        <v>2161</v>
      </c>
      <c r="C4300" s="39">
        <v>45756.0</v>
      </c>
      <c r="D4300" s="33" t="s">
        <v>440</v>
      </c>
      <c r="E4300" s="40">
        <v>160.79</v>
      </c>
      <c r="F4300" s="40">
        <v>0.0</v>
      </c>
      <c r="G4300" s="33" t="s">
        <v>450</v>
      </c>
    </row>
    <row r="4301" ht="15.75" customHeight="1">
      <c r="A4301" s="33" t="s">
        <v>8287</v>
      </c>
      <c r="B4301" s="33" t="s">
        <v>2327</v>
      </c>
      <c r="C4301" s="39">
        <v>46209.0</v>
      </c>
      <c r="D4301" s="33" t="s">
        <v>479</v>
      </c>
      <c r="E4301" s="40">
        <v>96.68</v>
      </c>
      <c r="F4301" s="40">
        <v>0.96</v>
      </c>
      <c r="G4301" s="33" t="s">
        <v>431</v>
      </c>
    </row>
    <row r="4302" ht="15.75" customHeight="1">
      <c r="A4302" s="33" t="s">
        <v>8288</v>
      </c>
      <c r="B4302" s="33" t="s">
        <v>1405</v>
      </c>
      <c r="C4302" s="39">
        <v>45768.0</v>
      </c>
      <c r="D4302" s="33" t="s">
        <v>440</v>
      </c>
      <c r="E4302" s="40">
        <v>44.25</v>
      </c>
      <c r="F4302" s="40">
        <v>0.0</v>
      </c>
      <c r="G4302" s="33" t="s">
        <v>431</v>
      </c>
    </row>
    <row r="4303" ht="15.75" customHeight="1">
      <c r="A4303" s="33" t="s">
        <v>8289</v>
      </c>
      <c r="B4303" s="33" t="s">
        <v>620</v>
      </c>
      <c r="C4303" s="39">
        <v>46145.0</v>
      </c>
      <c r="D4303" s="33" t="s">
        <v>479</v>
      </c>
      <c r="E4303" s="40">
        <v>108.96</v>
      </c>
      <c r="F4303" s="40">
        <v>1.54</v>
      </c>
      <c r="G4303" s="33" t="s">
        <v>450</v>
      </c>
    </row>
    <row r="4304" ht="15.75" customHeight="1">
      <c r="A4304" s="33" t="s">
        <v>8290</v>
      </c>
      <c r="B4304" s="33" t="s">
        <v>303</v>
      </c>
      <c r="C4304" s="39">
        <v>46006.0</v>
      </c>
      <c r="D4304" s="33" t="s">
        <v>428</v>
      </c>
      <c r="E4304" s="40">
        <v>231.14</v>
      </c>
      <c r="F4304" s="40">
        <v>0.0</v>
      </c>
      <c r="G4304" s="33" t="s">
        <v>450</v>
      </c>
    </row>
    <row r="4305" ht="15.75" customHeight="1">
      <c r="A4305" s="33" t="s">
        <v>8291</v>
      </c>
      <c r="B4305" s="33" t="s">
        <v>4154</v>
      </c>
      <c r="C4305" s="39">
        <v>45682.0</v>
      </c>
      <c r="D4305" s="33" t="s">
        <v>461</v>
      </c>
      <c r="E4305" s="40">
        <v>19.79</v>
      </c>
      <c r="F4305" s="40">
        <v>0.34</v>
      </c>
      <c r="G4305" s="33" t="s">
        <v>442</v>
      </c>
    </row>
    <row r="4306" ht="15.75" customHeight="1">
      <c r="A4306" s="33" t="s">
        <v>8292</v>
      </c>
      <c r="B4306" s="33" t="s">
        <v>1503</v>
      </c>
      <c r="C4306" s="39">
        <v>46095.0</v>
      </c>
      <c r="D4306" s="33" t="s">
        <v>440</v>
      </c>
      <c r="E4306" s="40">
        <v>119.69</v>
      </c>
      <c r="F4306" s="40">
        <v>0.0</v>
      </c>
      <c r="G4306" s="33" t="s">
        <v>450</v>
      </c>
    </row>
    <row r="4307" ht="15.75" customHeight="1">
      <c r="A4307" s="33" t="s">
        <v>8293</v>
      </c>
      <c r="B4307" s="33" t="s">
        <v>1878</v>
      </c>
      <c r="C4307" s="39">
        <v>46191.0</v>
      </c>
      <c r="D4307" s="33" t="s">
        <v>461</v>
      </c>
      <c r="E4307" s="40">
        <v>93.96</v>
      </c>
      <c r="F4307" s="40">
        <v>1.47</v>
      </c>
      <c r="G4307" s="33" t="s">
        <v>431</v>
      </c>
    </row>
    <row r="4308" ht="15.75" customHeight="1">
      <c r="A4308" s="33" t="s">
        <v>8294</v>
      </c>
      <c r="B4308" s="33" t="s">
        <v>2002</v>
      </c>
      <c r="C4308" s="39">
        <v>45792.0</v>
      </c>
      <c r="D4308" s="33" t="s">
        <v>428</v>
      </c>
      <c r="E4308" s="40">
        <v>24.41</v>
      </c>
      <c r="F4308" s="40">
        <v>0.0</v>
      </c>
      <c r="G4308" s="33" t="s">
        <v>450</v>
      </c>
    </row>
    <row r="4309" ht="15.75" customHeight="1">
      <c r="A4309" s="33" t="s">
        <v>8295</v>
      </c>
      <c r="B4309" s="33" t="s">
        <v>268</v>
      </c>
      <c r="C4309" s="39">
        <v>46245.0</v>
      </c>
      <c r="D4309" s="33" t="s">
        <v>440</v>
      </c>
      <c r="E4309" s="40">
        <v>97.15</v>
      </c>
      <c r="F4309" s="40">
        <v>0.0</v>
      </c>
      <c r="G4309" s="33" t="s">
        <v>442</v>
      </c>
    </row>
    <row r="4310" ht="15.75" customHeight="1">
      <c r="A4310" s="33" t="s">
        <v>8296</v>
      </c>
      <c r="B4310" s="33" t="s">
        <v>1285</v>
      </c>
      <c r="C4310" s="39">
        <v>46142.0</v>
      </c>
      <c r="D4310" s="33" t="s">
        <v>440</v>
      </c>
      <c r="E4310" s="40">
        <v>47.85</v>
      </c>
      <c r="F4310" s="40">
        <v>0.0</v>
      </c>
      <c r="G4310" s="33" t="s">
        <v>450</v>
      </c>
    </row>
    <row r="4311" ht="15.75" customHeight="1">
      <c r="A4311" s="33" t="s">
        <v>8297</v>
      </c>
      <c r="B4311" s="33" t="s">
        <v>1132</v>
      </c>
      <c r="C4311" s="39">
        <v>46108.0</v>
      </c>
      <c r="D4311" s="33" t="s">
        <v>435</v>
      </c>
      <c r="E4311" s="40">
        <v>59.68</v>
      </c>
      <c r="F4311" s="40">
        <v>0.0</v>
      </c>
      <c r="G4311" s="33" t="s">
        <v>450</v>
      </c>
    </row>
    <row r="4312" ht="15.75" customHeight="1">
      <c r="A4312" s="33" t="s">
        <v>8298</v>
      </c>
      <c r="B4312" s="33" t="s">
        <v>255</v>
      </c>
      <c r="C4312" s="39">
        <v>45861.0</v>
      </c>
      <c r="D4312" s="33" t="s">
        <v>428</v>
      </c>
      <c r="E4312" s="40">
        <v>109.4</v>
      </c>
      <c r="F4312" s="40">
        <v>0.0</v>
      </c>
      <c r="G4312" s="33" t="s">
        <v>450</v>
      </c>
    </row>
    <row r="4313" ht="15.75" customHeight="1">
      <c r="A4313" s="33" t="s">
        <v>8299</v>
      </c>
      <c r="B4313" s="33" t="s">
        <v>861</v>
      </c>
      <c r="C4313" s="39">
        <v>45730.0</v>
      </c>
      <c r="D4313" s="33" t="s">
        <v>428</v>
      </c>
      <c r="E4313" s="40">
        <v>106.37</v>
      </c>
      <c r="F4313" s="40">
        <v>0.0</v>
      </c>
      <c r="G4313" s="33" t="s">
        <v>450</v>
      </c>
    </row>
    <row r="4314" ht="15.75" customHeight="1">
      <c r="A4314" s="33" t="s">
        <v>8300</v>
      </c>
      <c r="B4314" s="33" t="s">
        <v>2334</v>
      </c>
      <c r="C4314" s="39">
        <v>45918.0</v>
      </c>
      <c r="D4314" s="33" t="s">
        <v>479</v>
      </c>
      <c r="E4314" s="40">
        <v>104.83</v>
      </c>
      <c r="F4314" s="40">
        <v>1.16</v>
      </c>
      <c r="G4314" s="33" t="s">
        <v>431</v>
      </c>
    </row>
    <row r="4315" ht="15.75" customHeight="1">
      <c r="A4315" s="33" t="s">
        <v>8301</v>
      </c>
      <c r="B4315" s="33" t="s">
        <v>662</v>
      </c>
      <c r="C4315" s="39">
        <v>46148.0</v>
      </c>
      <c r="D4315" s="33" t="s">
        <v>428</v>
      </c>
      <c r="E4315" s="40">
        <v>314.28</v>
      </c>
      <c r="F4315" s="40">
        <v>0.0</v>
      </c>
      <c r="G4315" s="33" t="s">
        <v>450</v>
      </c>
    </row>
    <row r="4316" ht="15.75" customHeight="1">
      <c r="A4316" s="33" t="s">
        <v>8302</v>
      </c>
      <c r="B4316" s="33" t="s">
        <v>1158</v>
      </c>
      <c r="C4316" s="39">
        <v>46014.0</v>
      </c>
      <c r="D4316" s="33" t="s">
        <v>461</v>
      </c>
      <c r="E4316" s="40">
        <v>67.09</v>
      </c>
      <c r="F4316" s="40">
        <v>1.19</v>
      </c>
      <c r="G4316" s="33" t="s">
        <v>450</v>
      </c>
    </row>
    <row r="4317" ht="15.75" customHeight="1">
      <c r="A4317" s="33" t="s">
        <v>8303</v>
      </c>
      <c r="B4317" s="33" t="s">
        <v>1188</v>
      </c>
      <c r="C4317" s="39">
        <v>46051.0</v>
      </c>
      <c r="D4317" s="33" t="s">
        <v>428</v>
      </c>
      <c r="E4317" s="40">
        <v>29.58</v>
      </c>
      <c r="F4317" s="40">
        <v>0.0</v>
      </c>
      <c r="G4317" s="33" t="s">
        <v>450</v>
      </c>
    </row>
    <row r="4318" ht="15.75" customHeight="1">
      <c r="A4318" s="33" t="s">
        <v>8304</v>
      </c>
      <c r="B4318" s="33" t="s">
        <v>2394</v>
      </c>
      <c r="C4318" s="39">
        <v>46132.0</v>
      </c>
      <c r="D4318" s="33" t="s">
        <v>428</v>
      </c>
      <c r="E4318" s="40">
        <v>120.65</v>
      </c>
      <c r="F4318" s="40">
        <v>0.0</v>
      </c>
      <c r="G4318" s="33" t="s">
        <v>450</v>
      </c>
    </row>
    <row r="4319" ht="15.75" customHeight="1">
      <c r="A4319" s="33" t="s">
        <v>8305</v>
      </c>
      <c r="B4319" s="33" t="s">
        <v>496</v>
      </c>
      <c r="C4319" s="39">
        <v>45863.0</v>
      </c>
      <c r="D4319" s="33" t="s">
        <v>428</v>
      </c>
      <c r="E4319" s="40">
        <v>93.52</v>
      </c>
      <c r="F4319" s="40">
        <v>0.0</v>
      </c>
      <c r="G4319" s="33" t="s">
        <v>450</v>
      </c>
    </row>
    <row r="4320" ht="15.75" customHeight="1">
      <c r="A4320" s="33" t="s">
        <v>8306</v>
      </c>
      <c r="B4320" s="33" t="s">
        <v>1069</v>
      </c>
      <c r="C4320" s="39">
        <v>45680.0</v>
      </c>
      <c r="D4320" s="33" t="s">
        <v>440</v>
      </c>
      <c r="E4320" s="40">
        <v>49.83</v>
      </c>
      <c r="F4320" s="40">
        <v>0.0</v>
      </c>
      <c r="G4320" s="33" t="s">
        <v>450</v>
      </c>
    </row>
    <row r="4321" ht="15.75" customHeight="1">
      <c r="A4321" s="33" t="s">
        <v>8307</v>
      </c>
      <c r="B4321" s="33" t="s">
        <v>2589</v>
      </c>
      <c r="C4321" s="39">
        <v>46194.0</v>
      </c>
      <c r="D4321" s="33" t="s">
        <v>461</v>
      </c>
      <c r="E4321" s="40">
        <v>47.08</v>
      </c>
      <c r="F4321" s="40">
        <v>0.44</v>
      </c>
      <c r="G4321" s="33" t="s">
        <v>431</v>
      </c>
    </row>
    <row r="4322" ht="15.75" customHeight="1">
      <c r="A4322" s="33" t="s">
        <v>8308</v>
      </c>
      <c r="B4322" s="33" t="s">
        <v>1099</v>
      </c>
      <c r="C4322" s="39">
        <v>46030.0</v>
      </c>
      <c r="D4322" s="33" t="s">
        <v>435</v>
      </c>
      <c r="E4322" s="40">
        <v>184.77</v>
      </c>
      <c r="F4322" s="40">
        <v>0.0</v>
      </c>
      <c r="G4322" s="33" t="s">
        <v>442</v>
      </c>
    </row>
    <row r="4323" ht="15.75" customHeight="1">
      <c r="A4323" s="33" t="s">
        <v>8309</v>
      </c>
      <c r="B4323" s="33" t="s">
        <v>781</v>
      </c>
      <c r="C4323" s="39">
        <v>46001.0</v>
      </c>
      <c r="D4323" s="33" t="s">
        <v>428</v>
      </c>
      <c r="E4323" s="40">
        <v>9.38</v>
      </c>
      <c r="F4323" s="40">
        <v>0.0</v>
      </c>
      <c r="G4323" s="33" t="s">
        <v>450</v>
      </c>
    </row>
    <row r="4324" ht="15.75" customHeight="1">
      <c r="A4324" s="33" t="s">
        <v>8310</v>
      </c>
      <c r="B4324" s="33" t="s">
        <v>2211</v>
      </c>
      <c r="C4324" s="39">
        <v>46005.0</v>
      </c>
      <c r="D4324" s="33" t="s">
        <v>440</v>
      </c>
      <c r="E4324" s="40">
        <v>91.98</v>
      </c>
      <c r="F4324" s="40">
        <v>0.0</v>
      </c>
      <c r="G4324" s="33" t="s">
        <v>450</v>
      </c>
    </row>
    <row r="4325" ht="15.75" customHeight="1">
      <c r="A4325" s="33" t="s">
        <v>8311</v>
      </c>
      <c r="B4325" s="33" t="s">
        <v>1085</v>
      </c>
      <c r="C4325" s="39">
        <v>46175.0</v>
      </c>
      <c r="D4325" s="33" t="s">
        <v>479</v>
      </c>
      <c r="E4325" s="40">
        <v>45.57</v>
      </c>
      <c r="F4325" s="40">
        <v>0.55</v>
      </c>
      <c r="G4325" s="33" t="s">
        <v>450</v>
      </c>
    </row>
    <row r="4326" ht="15.75" customHeight="1">
      <c r="A4326" s="33" t="s">
        <v>8312</v>
      </c>
      <c r="B4326" s="33" t="s">
        <v>563</v>
      </c>
      <c r="C4326" s="39">
        <v>46124.0</v>
      </c>
      <c r="D4326" s="33" t="s">
        <v>479</v>
      </c>
      <c r="E4326" s="40">
        <v>101.46</v>
      </c>
      <c r="F4326" s="40">
        <v>1.31</v>
      </c>
      <c r="G4326" s="33" t="s">
        <v>442</v>
      </c>
    </row>
    <row r="4327" ht="15.75" customHeight="1">
      <c r="A4327" s="33" t="s">
        <v>8313</v>
      </c>
      <c r="B4327" s="33" t="s">
        <v>2914</v>
      </c>
      <c r="C4327" s="39">
        <v>46064.0</v>
      </c>
      <c r="D4327" s="33" t="s">
        <v>461</v>
      </c>
      <c r="E4327" s="40">
        <v>39.8</v>
      </c>
      <c r="F4327" s="40">
        <v>0.55</v>
      </c>
      <c r="G4327" s="33" t="s">
        <v>450</v>
      </c>
    </row>
    <row r="4328" ht="15.75" customHeight="1">
      <c r="A4328" s="33" t="s">
        <v>8314</v>
      </c>
      <c r="B4328" s="33" t="s">
        <v>311</v>
      </c>
      <c r="C4328" s="39">
        <v>46132.0</v>
      </c>
      <c r="D4328" s="33" t="s">
        <v>461</v>
      </c>
      <c r="E4328" s="40">
        <v>103.21</v>
      </c>
      <c r="F4328" s="40">
        <v>1.43</v>
      </c>
      <c r="G4328" s="33" t="s">
        <v>450</v>
      </c>
    </row>
    <row r="4329" ht="15.75" customHeight="1">
      <c r="A4329" s="33" t="s">
        <v>8315</v>
      </c>
      <c r="B4329" s="33" t="s">
        <v>783</v>
      </c>
      <c r="C4329" s="39">
        <v>45833.0</v>
      </c>
      <c r="D4329" s="33" t="s">
        <v>428</v>
      </c>
      <c r="E4329" s="40">
        <v>154.46</v>
      </c>
      <c r="F4329" s="40">
        <v>0.0</v>
      </c>
      <c r="G4329" s="33" t="s">
        <v>431</v>
      </c>
    </row>
    <row r="4330" ht="15.75" customHeight="1">
      <c r="A4330" s="33" t="s">
        <v>8316</v>
      </c>
      <c r="B4330" s="33" t="s">
        <v>880</v>
      </c>
      <c r="C4330" s="39">
        <v>46090.0</v>
      </c>
      <c r="D4330" s="33" t="s">
        <v>461</v>
      </c>
      <c r="E4330" s="40">
        <v>50.94</v>
      </c>
      <c r="F4330" s="40">
        <v>0.94</v>
      </c>
      <c r="G4330" s="33" t="s">
        <v>450</v>
      </c>
    </row>
    <row r="4331" ht="15.75" customHeight="1">
      <c r="A4331" s="33" t="s">
        <v>8317</v>
      </c>
      <c r="B4331" s="33" t="s">
        <v>183</v>
      </c>
      <c r="C4331" s="39">
        <v>46249.0</v>
      </c>
      <c r="D4331" s="33" t="s">
        <v>461</v>
      </c>
      <c r="E4331" s="40">
        <v>57.3</v>
      </c>
      <c r="F4331" s="40">
        <v>0.73</v>
      </c>
      <c r="G4331" s="33" t="s">
        <v>450</v>
      </c>
    </row>
    <row r="4332" ht="15.75" customHeight="1">
      <c r="A4332" s="33" t="s">
        <v>8318</v>
      </c>
      <c r="B4332" s="33" t="s">
        <v>3179</v>
      </c>
      <c r="C4332" s="39">
        <v>45800.0</v>
      </c>
      <c r="D4332" s="33" t="s">
        <v>479</v>
      </c>
      <c r="E4332" s="40">
        <v>100.45</v>
      </c>
      <c r="F4332" s="40">
        <v>1.76</v>
      </c>
      <c r="G4332" s="33" t="s">
        <v>450</v>
      </c>
    </row>
    <row r="4333" ht="15.75" customHeight="1">
      <c r="A4333" s="33" t="s">
        <v>8319</v>
      </c>
      <c r="B4333" s="33" t="s">
        <v>1200</v>
      </c>
      <c r="C4333" s="39">
        <v>46004.0</v>
      </c>
      <c r="D4333" s="33" t="s">
        <v>479</v>
      </c>
      <c r="E4333" s="40">
        <v>127.97</v>
      </c>
      <c r="F4333" s="40">
        <v>1.71</v>
      </c>
      <c r="G4333" s="33" t="s">
        <v>450</v>
      </c>
    </row>
    <row r="4334" ht="15.75" customHeight="1">
      <c r="A4334" s="33" t="s">
        <v>8320</v>
      </c>
      <c r="B4334" s="33" t="s">
        <v>2860</v>
      </c>
      <c r="C4334" s="39">
        <v>46071.0</v>
      </c>
      <c r="D4334" s="33" t="s">
        <v>428</v>
      </c>
      <c r="E4334" s="40">
        <v>276.31</v>
      </c>
      <c r="F4334" s="40">
        <v>0.0</v>
      </c>
      <c r="G4334" s="33" t="s">
        <v>442</v>
      </c>
    </row>
    <row r="4335" ht="15.75" customHeight="1">
      <c r="A4335" s="33" t="s">
        <v>8321</v>
      </c>
      <c r="B4335" s="33" t="s">
        <v>1554</v>
      </c>
      <c r="C4335" s="39">
        <v>45971.0</v>
      </c>
      <c r="D4335" s="33" t="s">
        <v>440</v>
      </c>
      <c r="E4335" s="40">
        <v>58.3</v>
      </c>
      <c r="F4335" s="40">
        <v>0.0</v>
      </c>
      <c r="G4335" s="33" t="s">
        <v>450</v>
      </c>
    </row>
    <row r="4336" ht="15.75" customHeight="1">
      <c r="A4336" s="33" t="s">
        <v>8322</v>
      </c>
      <c r="B4336" s="33" t="s">
        <v>1375</v>
      </c>
      <c r="C4336" s="39">
        <v>46246.0</v>
      </c>
      <c r="D4336" s="33" t="s">
        <v>461</v>
      </c>
      <c r="E4336" s="40">
        <v>57.27</v>
      </c>
      <c r="F4336" s="40">
        <v>0.44</v>
      </c>
      <c r="G4336" s="33" t="s">
        <v>450</v>
      </c>
    </row>
    <row r="4337" ht="15.75" customHeight="1">
      <c r="A4337" s="33" t="s">
        <v>8323</v>
      </c>
      <c r="B4337" s="33" t="s">
        <v>3190</v>
      </c>
      <c r="C4337" s="39">
        <v>45902.0</v>
      </c>
      <c r="D4337" s="33" t="s">
        <v>440</v>
      </c>
      <c r="E4337" s="40">
        <v>31.52</v>
      </c>
      <c r="F4337" s="40">
        <v>0.0</v>
      </c>
      <c r="G4337" s="33" t="s">
        <v>450</v>
      </c>
    </row>
    <row r="4338" ht="15.75" customHeight="1">
      <c r="A4338" s="33" t="s">
        <v>8324</v>
      </c>
      <c r="B4338" s="33" t="s">
        <v>234</v>
      </c>
      <c r="C4338" s="39">
        <v>45790.0</v>
      </c>
      <c r="D4338" s="33" t="s">
        <v>479</v>
      </c>
      <c r="E4338" s="40">
        <v>6.41</v>
      </c>
      <c r="F4338" s="40">
        <v>0.09</v>
      </c>
      <c r="G4338" s="33" t="s">
        <v>431</v>
      </c>
    </row>
    <row r="4339" ht="15.75" customHeight="1">
      <c r="A4339" s="33" t="s">
        <v>8325</v>
      </c>
      <c r="B4339" s="33" t="s">
        <v>1462</v>
      </c>
      <c r="C4339" s="39">
        <v>45740.0</v>
      </c>
      <c r="D4339" s="33" t="s">
        <v>440</v>
      </c>
      <c r="E4339" s="40">
        <v>155.42</v>
      </c>
      <c r="F4339" s="40">
        <v>0.0</v>
      </c>
      <c r="G4339" s="33" t="s">
        <v>450</v>
      </c>
    </row>
    <row r="4340" ht="15.75" customHeight="1">
      <c r="A4340" s="33" t="s">
        <v>8326</v>
      </c>
      <c r="B4340" s="33" t="s">
        <v>2075</v>
      </c>
      <c r="C4340" s="39">
        <v>46173.0</v>
      </c>
      <c r="D4340" s="33" t="s">
        <v>440</v>
      </c>
      <c r="E4340" s="40">
        <v>69.55</v>
      </c>
      <c r="F4340" s="40">
        <v>0.0</v>
      </c>
      <c r="G4340" s="33" t="s">
        <v>442</v>
      </c>
    </row>
    <row r="4341" ht="15.75" customHeight="1">
      <c r="A4341" s="33" t="s">
        <v>8327</v>
      </c>
      <c r="B4341" s="33" t="s">
        <v>1473</v>
      </c>
      <c r="C4341" s="39">
        <v>46074.0</v>
      </c>
      <c r="D4341" s="33" t="s">
        <v>428</v>
      </c>
      <c r="E4341" s="40">
        <v>30.54</v>
      </c>
      <c r="F4341" s="40">
        <v>0.0</v>
      </c>
      <c r="G4341" s="33" t="s">
        <v>450</v>
      </c>
    </row>
    <row r="4342" ht="15.75" customHeight="1">
      <c r="A4342" s="33" t="s">
        <v>8328</v>
      </c>
      <c r="B4342" s="33" t="s">
        <v>1145</v>
      </c>
      <c r="C4342" s="39">
        <v>46008.0</v>
      </c>
      <c r="D4342" s="33" t="s">
        <v>461</v>
      </c>
      <c r="E4342" s="40">
        <v>139.52</v>
      </c>
      <c r="F4342" s="40">
        <v>0.84</v>
      </c>
      <c r="G4342" s="33" t="s">
        <v>450</v>
      </c>
    </row>
    <row r="4343" ht="15.75" customHeight="1">
      <c r="A4343" s="33" t="s">
        <v>8329</v>
      </c>
      <c r="B4343" s="33" t="s">
        <v>606</v>
      </c>
      <c r="C4343" s="39">
        <v>45919.0</v>
      </c>
      <c r="D4343" s="33" t="s">
        <v>461</v>
      </c>
      <c r="E4343" s="40">
        <v>120.45</v>
      </c>
      <c r="F4343" s="40">
        <v>1.07</v>
      </c>
      <c r="G4343" s="33" t="s">
        <v>450</v>
      </c>
    </row>
    <row r="4344" ht="15.75" customHeight="1">
      <c r="A4344" s="33" t="s">
        <v>8330</v>
      </c>
      <c r="B4344" s="33" t="s">
        <v>569</v>
      </c>
      <c r="C4344" s="39">
        <v>45906.0</v>
      </c>
      <c r="D4344" s="33" t="s">
        <v>435</v>
      </c>
      <c r="E4344" s="40">
        <v>56.73</v>
      </c>
      <c r="F4344" s="40">
        <v>0.0</v>
      </c>
      <c r="G4344" s="33" t="s">
        <v>450</v>
      </c>
    </row>
    <row r="4345" ht="15.75" customHeight="1">
      <c r="A4345" s="33" t="s">
        <v>8331</v>
      </c>
      <c r="B4345" s="33" t="s">
        <v>959</v>
      </c>
      <c r="C4345" s="39">
        <v>46225.0</v>
      </c>
      <c r="D4345" s="33" t="s">
        <v>440</v>
      </c>
      <c r="E4345" s="40">
        <v>94.77</v>
      </c>
      <c r="F4345" s="40">
        <v>0.0</v>
      </c>
      <c r="G4345" s="33" t="s">
        <v>450</v>
      </c>
    </row>
    <row r="4346" ht="15.75" customHeight="1">
      <c r="A4346" s="33" t="s">
        <v>8332</v>
      </c>
      <c r="B4346" s="33" t="s">
        <v>245</v>
      </c>
      <c r="C4346" s="39">
        <v>46070.0</v>
      </c>
      <c r="D4346" s="33" t="s">
        <v>440</v>
      </c>
      <c r="E4346" s="40">
        <v>35.31</v>
      </c>
      <c r="F4346" s="40">
        <v>0.0</v>
      </c>
      <c r="G4346" s="33" t="s">
        <v>450</v>
      </c>
    </row>
    <row r="4347" ht="15.75" customHeight="1">
      <c r="A4347" s="33" t="s">
        <v>8333</v>
      </c>
      <c r="B4347" s="33" t="s">
        <v>1576</v>
      </c>
      <c r="C4347" s="39">
        <v>46243.0</v>
      </c>
      <c r="D4347" s="33" t="s">
        <v>461</v>
      </c>
      <c r="E4347" s="40">
        <v>124.79</v>
      </c>
      <c r="F4347" s="40">
        <v>0.81</v>
      </c>
      <c r="G4347" s="33" t="s">
        <v>450</v>
      </c>
    </row>
    <row r="4348" ht="15.75" customHeight="1">
      <c r="A4348" s="33" t="s">
        <v>8334</v>
      </c>
      <c r="B4348" s="33" t="s">
        <v>311</v>
      </c>
      <c r="C4348" s="39">
        <v>46144.0</v>
      </c>
      <c r="D4348" s="33" t="s">
        <v>428</v>
      </c>
      <c r="E4348" s="40">
        <v>48.69</v>
      </c>
      <c r="F4348" s="40">
        <v>0.0</v>
      </c>
      <c r="G4348" s="33" t="s">
        <v>442</v>
      </c>
    </row>
    <row r="4349" ht="15.75" customHeight="1">
      <c r="A4349" s="33" t="s">
        <v>8335</v>
      </c>
      <c r="B4349" s="33" t="s">
        <v>2231</v>
      </c>
      <c r="C4349" s="39">
        <v>46123.0</v>
      </c>
      <c r="D4349" s="33" t="s">
        <v>440</v>
      </c>
      <c r="E4349" s="40">
        <v>167.73</v>
      </c>
      <c r="F4349" s="40">
        <v>0.0</v>
      </c>
      <c r="G4349" s="33" t="s">
        <v>442</v>
      </c>
    </row>
    <row r="4350" ht="15.75" customHeight="1">
      <c r="A4350" s="33" t="s">
        <v>8336</v>
      </c>
      <c r="B4350" s="33" t="s">
        <v>672</v>
      </c>
      <c r="C4350" s="39">
        <v>45994.0</v>
      </c>
      <c r="D4350" s="33" t="s">
        <v>440</v>
      </c>
      <c r="E4350" s="40">
        <v>110.5</v>
      </c>
      <c r="F4350" s="40">
        <v>0.0</v>
      </c>
      <c r="G4350" s="33" t="s">
        <v>450</v>
      </c>
    </row>
    <row r="4351" ht="15.75" customHeight="1">
      <c r="A4351" s="33" t="s">
        <v>8337</v>
      </c>
      <c r="B4351" s="33" t="s">
        <v>1743</v>
      </c>
      <c r="C4351" s="39">
        <v>45805.0</v>
      </c>
      <c r="D4351" s="33" t="s">
        <v>479</v>
      </c>
      <c r="E4351" s="40">
        <v>25.13</v>
      </c>
      <c r="F4351" s="40">
        <v>0.49</v>
      </c>
      <c r="G4351" s="33" t="s">
        <v>450</v>
      </c>
    </row>
    <row r="4352" ht="15.75" customHeight="1">
      <c r="A4352" s="33" t="s">
        <v>8338</v>
      </c>
      <c r="B4352" s="33" t="s">
        <v>721</v>
      </c>
      <c r="C4352" s="39">
        <v>46054.0</v>
      </c>
      <c r="D4352" s="33" t="s">
        <v>428</v>
      </c>
      <c r="E4352" s="40">
        <v>155.73</v>
      </c>
      <c r="F4352" s="40">
        <v>0.0</v>
      </c>
      <c r="G4352" s="33" t="s">
        <v>442</v>
      </c>
    </row>
    <row r="4353" ht="15.75" customHeight="1">
      <c r="A4353" s="33" t="s">
        <v>8339</v>
      </c>
      <c r="B4353" s="33" t="s">
        <v>2018</v>
      </c>
      <c r="C4353" s="39">
        <v>46092.0</v>
      </c>
      <c r="D4353" s="33" t="s">
        <v>440</v>
      </c>
      <c r="E4353" s="40">
        <v>147.32</v>
      </c>
      <c r="F4353" s="40">
        <v>0.0</v>
      </c>
      <c r="G4353" s="33" t="s">
        <v>431</v>
      </c>
    </row>
    <row r="4354" ht="15.75" customHeight="1">
      <c r="A4354" s="33" t="s">
        <v>8340</v>
      </c>
      <c r="B4354" s="33" t="s">
        <v>929</v>
      </c>
      <c r="C4354" s="39">
        <v>45974.0</v>
      </c>
      <c r="D4354" s="33" t="s">
        <v>440</v>
      </c>
      <c r="E4354" s="40">
        <v>134.09</v>
      </c>
      <c r="F4354" s="40">
        <v>0.0</v>
      </c>
      <c r="G4354" s="33" t="s">
        <v>431</v>
      </c>
    </row>
    <row r="4355" ht="15.75" customHeight="1">
      <c r="A4355" s="33" t="s">
        <v>8341</v>
      </c>
      <c r="B4355" s="33" t="s">
        <v>1045</v>
      </c>
      <c r="C4355" s="39">
        <v>45670.0</v>
      </c>
      <c r="D4355" s="33" t="s">
        <v>479</v>
      </c>
      <c r="E4355" s="40">
        <v>139.2</v>
      </c>
      <c r="F4355" s="40">
        <v>1.59</v>
      </c>
      <c r="G4355" s="33" t="s">
        <v>450</v>
      </c>
    </row>
    <row r="4356" ht="15.75" customHeight="1">
      <c r="A4356" s="33" t="s">
        <v>8342</v>
      </c>
      <c r="B4356" s="33" t="s">
        <v>3633</v>
      </c>
      <c r="C4356" s="39">
        <v>46240.0</v>
      </c>
      <c r="D4356" s="33" t="s">
        <v>428</v>
      </c>
      <c r="E4356" s="40">
        <v>76.94</v>
      </c>
      <c r="F4356" s="40">
        <v>0.0</v>
      </c>
      <c r="G4356" s="33" t="s">
        <v>450</v>
      </c>
    </row>
    <row r="4357" ht="15.75" customHeight="1">
      <c r="A4357" s="33" t="s">
        <v>8343</v>
      </c>
      <c r="B4357" s="33" t="s">
        <v>1051</v>
      </c>
      <c r="C4357" s="39">
        <v>46159.0</v>
      </c>
      <c r="D4357" s="33" t="s">
        <v>461</v>
      </c>
      <c r="E4357" s="40">
        <v>93.56</v>
      </c>
      <c r="F4357" s="40">
        <v>1.04</v>
      </c>
      <c r="G4357" s="33" t="s">
        <v>450</v>
      </c>
    </row>
    <row r="4358" ht="15.75" customHeight="1">
      <c r="A4358" s="33" t="s">
        <v>8344</v>
      </c>
      <c r="B4358" s="33" t="s">
        <v>1705</v>
      </c>
      <c r="C4358" s="39">
        <v>45871.0</v>
      </c>
      <c r="D4358" s="33" t="s">
        <v>479</v>
      </c>
      <c r="E4358" s="40">
        <v>66.24</v>
      </c>
      <c r="F4358" s="40">
        <v>1.14</v>
      </c>
      <c r="G4358" s="33" t="s">
        <v>442</v>
      </c>
    </row>
    <row r="4359" ht="15.75" customHeight="1">
      <c r="A4359" s="33" t="s">
        <v>8345</v>
      </c>
      <c r="B4359" s="33" t="s">
        <v>1527</v>
      </c>
      <c r="C4359" s="39">
        <v>45957.0</v>
      </c>
      <c r="D4359" s="33" t="s">
        <v>461</v>
      </c>
      <c r="E4359" s="40">
        <v>14.39</v>
      </c>
      <c r="F4359" s="40">
        <v>0.11</v>
      </c>
      <c r="G4359" s="33" t="s">
        <v>442</v>
      </c>
    </row>
    <row r="4360" ht="15.75" customHeight="1">
      <c r="A4360" s="33" t="s">
        <v>8346</v>
      </c>
      <c r="B4360" s="33" t="s">
        <v>2456</v>
      </c>
      <c r="C4360" s="39">
        <v>45732.0</v>
      </c>
      <c r="D4360" s="33" t="s">
        <v>435</v>
      </c>
      <c r="E4360" s="40">
        <v>109.21</v>
      </c>
      <c r="F4360" s="40">
        <v>0.0</v>
      </c>
      <c r="G4360" s="33" t="s">
        <v>442</v>
      </c>
    </row>
    <row r="4361" ht="15.75" customHeight="1">
      <c r="A4361" s="33" t="s">
        <v>8347</v>
      </c>
      <c r="B4361" s="33" t="s">
        <v>1137</v>
      </c>
      <c r="C4361" s="39">
        <v>46226.0</v>
      </c>
      <c r="D4361" s="33" t="s">
        <v>461</v>
      </c>
      <c r="E4361" s="40">
        <v>19.54</v>
      </c>
      <c r="F4361" s="40">
        <v>0.36</v>
      </c>
      <c r="G4361" s="33" t="s">
        <v>450</v>
      </c>
    </row>
    <row r="4362" ht="15.75" customHeight="1">
      <c r="A4362" s="33" t="s">
        <v>8348</v>
      </c>
      <c r="B4362" s="33" t="s">
        <v>236</v>
      </c>
      <c r="C4362" s="39">
        <v>45797.0</v>
      </c>
      <c r="D4362" s="33" t="s">
        <v>435</v>
      </c>
      <c r="E4362" s="40">
        <v>31.44</v>
      </c>
      <c r="F4362" s="40">
        <v>0.0</v>
      </c>
      <c r="G4362" s="33" t="s">
        <v>431</v>
      </c>
    </row>
    <row r="4363" ht="15.75" customHeight="1">
      <c r="A4363" s="33" t="s">
        <v>8349</v>
      </c>
      <c r="B4363" s="33" t="s">
        <v>1137</v>
      </c>
      <c r="C4363" s="39">
        <v>45887.0</v>
      </c>
      <c r="D4363" s="33" t="s">
        <v>440</v>
      </c>
      <c r="E4363" s="40">
        <v>46.57</v>
      </c>
      <c r="F4363" s="40">
        <v>0.0</v>
      </c>
      <c r="G4363" s="33" t="s">
        <v>450</v>
      </c>
    </row>
    <row r="4364" ht="15.75" customHeight="1">
      <c r="A4364" s="33" t="s">
        <v>8350</v>
      </c>
      <c r="B4364" s="33" t="s">
        <v>3177</v>
      </c>
      <c r="C4364" s="39">
        <v>45918.0</v>
      </c>
      <c r="D4364" s="33" t="s">
        <v>440</v>
      </c>
      <c r="E4364" s="40">
        <v>80.6</v>
      </c>
      <c r="F4364" s="40">
        <v>0.0</v>
      </c>
      <c r="G4364" s="33" t="s">
        <v>450</v>
      </c>
    </row>
    <row r="4365" ht="15.75" customHeight="1">
      <c r="A4365" s="33" t="s">
        <v>8351</v>
      </c>
      <c r="B4365" s="33" t="s">
        <v>2255</v>
      </c>
      <c r="C4365" s="39">
        <v>45817.0</v>
      </c>
      <c r="D4365" s="33" t="s">
        <v>461</v>
      </c>
      <c r="E4365" s="40">
        <v>241.2</v>
      </c>
      <c r="F4365" s="40">
        <v>2.5</v>
      </c>
      <c r="G4365" s="33" t="s">
        <v>450</v>
      </c>
    </row>
    <row r="4366" ht="15.75" customHeight="1">
      <c r="A4366" s="33" t="s">
        <v>8352</v>
      </c>
      <c r="B4366" s="33" t="s">
        <v>1014</v>
      </c>
      <c r="C4366" s="39">
        <v>46043.0</v>
      </c>
      <c r="D4366" s="33" t="s">
        <v>440</v>
      </c>
      <c r="E4366" s="40">
        <v>46.24</v>
      </c>
      <c r="F4366" s="40">
        <v>0.0</v>
      </c>
      <c r="G4366" s="33" t="s">
        <v>450</v>
      </c>
    </row>
    <row r="4367" ht="15.75" customHeight="1">
      <c r="A4367" s="33" t="s">
        <v>8353</v>
      </c>
      <c r="B4367" s="33" t="s">
        <v>3092</v>
      </c>
      <c r="C4367" s="39">
        <v>46261.0</v>
      </c>
      <c r="D4367" s="33" t="s">
        <v>440</v>
      </c>
      <c r="E4367" s="40">
        <v>254.26</v>
      </c>
      <c r="F4367" s="40">
        <v>0.0</v>
      </c>
      <c r="G4367" s="33" t="s">
        <v>431</v>
      </c>
    </row>
    <row r="4368" ht="15.75" customHeight="1">
      <c r="A4368" s="33" t="s">
        <v>8354</v>
      </c>
      <c r="B4368" s="33" t="s">
        <v>1285</v>
      </c>
      <c r="C4368" s="39">
        <v>46177.0</v>
      </c>
      <c r="D4368" s="33" t="s">
        <v>428</v>
      </c>
      <c r="E4368" s="40">
        <v>144.45</v>
      </c>
      <c r="F4368" s="40">
        <v>0.0</v>
      </c>
      <c r="G4368" s="33" t="s">
        <v>442</v>
      </c>
    </row>
    <row r="4369" ht="15.75" customHeight="1">
      <c r="A4369" s="33" t="s">
        <v>8355</v>
      </c>
      <c r="B4369" s="33" t="s">
        <v>1108</v>
      </c>
      <c r="C4369" s="39">
        <v>45980.0</v>
      </c>
      <c r="D4369" s="33" t="s">
        <v>479</v>
      </c>
      <c r="E4369" s="40">
        <v>99.8</v>
      </c>
      <c r="F4369" s="40">
        <v>1.74</v>
      </c>
      <c r="G4369" s="33" t="s">
        <v>450</v>
      </c>
    </row>
    <row r="4370" ht="15.75" customHeight="1">
      <c r="A4370" s="33" t="s">
        <v>8356</v>
      </c>
      <c r="B4370" s="33" t="s">
        <v>1256</v>
      </c>
      <c r="C4370" s="39">
        <v>45737.0</v>
      </c>
      <c r="D4370" s="33" t="s">
        <v>461</v>
      </c>
      <c r="E4370" s="40">
        <v>42.02</v>
      </c>
      <c r="F4370" s="40">
        <v>0.58</v>
      </c>
      <c r="G4370" s="33" t="s">
        <v>450</v>
      </c>
    </row>
    <row r="4371" ht="15.75" customHeight="1">
      <c r="A4371" s="33" t="s">
        <v>8357</v>
      </c>
      <c r="B4371" s="33" t="s">
        <v>177</v>
      </c>
      <c r="C4371" s="39">
        <v>46181.0</v>
      </c>
      <c r="D4371" s="33" t="s">
        <v>479</v>
      </c>
      <c r="E4371" s="40">
        <v>81.49</v>
      </c>
      <c r="F4371" s="40">
        <v>0.87</v>
      </c>
      <c r="G4371" s="33" t="s">
        <v>450</v>
      </c>
    </row>
    <row r="4372" ht="15.75" customHeight="1">
      <c r="A4372" s="33" t="s">
        <v>8358</v>
      </c>
      <c r="B4372" s="33" t="s">
        <v>1703</v>
      </c>
      <c r="C4372" s="39">
        <v>45813.0</v>
      </c>
      <c r="D4372" s="33" t="s">
        <v>461</v>
      </c>
      <c r="E4372" s="40">
        <v>86.49</v>
      </c>
      <c r="F4372" s="40">
        <v>1.29</v>
      </c>
      <c r="G4372" s="33" t="s">
        <v>450</v>
      </c>
    </row>
    <row r="4373" ht="15.75" customHeight="1">
      <c r="A4373" s="33" t="s">
        <v>8359</v>
      </c>
      <c r="B4373" s="33" t="s">
        <v>2741</v>
      </c>
      <c r="C4373" s="39">
        <v>46211.0</v>
      </c>
      <c r="D4373" s="33" t="s">
        <v>461</v>
      </c>
      <c r="E4373" s="40">
        <v>123.66</v>
      </c>
      <c r="F4373" s="40">
        <v>2.43</v>
      </c>
      <c r="G4373" s="33" t="s">
        <v>450</v>
      </c>
    </row>
    <row r="4374" ht="15.75" customHeight="1">
      <c r="A4374" s="33" t="s">
        <v>8360</v>
      </c>
      <c r="B4374" s="33" t="s">
        <v>1132</v>
      </c>
      <c r="C4374" s="39">
        <v>45898.0</v>
      </c>
      <c r="D4374" s="33" t="s">
        <v>461</v>
      </c>
      <c r="E4374" s="40">
        <v>43.92</v>
      </c>
      <c r="F4374" s="40">
        <v>0.26</v>
      </c>
      <c r="G4374" s="33" t="s">
        <v>450</v>
      </c>
    </row>
    <row r="4375" ht="15.75" customHeight="1">
      <c r="A4375" s="33" t="s">
        <v>8361</v>
      </c>
      <c r="B4375" s="33" t="s">
        <v>2212</v>
      </c>
      <c r="C4375" s="39">
        <v>45972.0</v>
      </c>
      <c r="D4375" s="33" t="s">
        <v>428</v>
      </c>
      <c r="E4375" s="40">
        <v>147.5</v>
      </c>
      <c r="F4375" s="40">
        <v>0.0</v>
      </c>
      <c r="G4375" s="33" t="s">
        <v>450</v>
      </c>
    </row>
    <row r="4376" ht="15.75" customHeight="1">
      <c r="A4376" s="33" t="s">
        <v>8362</v>
      </c>
      <c r="B4376" s="33" t="s">
        <v>318</v>
      </c>
      <c r="C4376" s="39">
        <v>45923.0</v>
      </c>
      <c r="D4376" s="33" t="s">
        <v>461</v>
      </c>
      <c r="E4376" s="40">
        <v>74.65</v>
      </c>
      <c r="F4376" s="40">
        <v>0.55</v>
      </c>
      <c r="G4376" s="33" t="s">
        <v>450</v>
      </c>
    </row>
    <row r="4377" ht="15.75" customHeight="1">
      <c r="A4377" s="33" t="s">
        <v>8363</v>
      </c>
      <c r="B4377" s="33" t="s">
        <v>737</v>
      </c>
      <c r="C4377" s="39">
        <v>45934.0</v>
      </c>
      <c r="D4377" s="33" t="s">
        <v>440</v>
      </c>
      <c r="E4377" s="40">
        <v>108.98</v>
      </c>
      <c r="F4377" s="40">
        <v>0.0</v>
      </c>
      <c r="G4377" s="33" t="s">
        <v>450</v>
      </c>
    </row>
    <row r="4378" ht="15.75" customHeight="1">
      <c r="A4378" s="33" t="s">
        <v>8364</v>
      </c>
      <c r="B4378" s="33" t="s">
        <v>3075</v>
      </c>
      <c r="C4378" s="39">
        <v>45758.0</v>
      </c>
      <c r="D4378" s="33" t="s">
        <v>435</v>
      </c>
      <c r="E4378" s="40">
        <v>70.1</v>
      </c>
      <c r="F4378" s="40">
        <v>0.0</v>
      </c>
      <c r="G4378" s="33" t="s">
        <v>431</v>
      </c>
    </row>
    <row r="4379" ht="15.75" customHeight="1">
      <c r="A4379" s="33" t="s">
        <v>8365</v>
      </c>
      <c r="B4379" s="33" t="s">
        <v>546</v>
      </c>
      <c r="C4379" s="39">
        <v>45993.0</v>
      </c>
      <c r="D4379" s="33" t="s">
        <v>428</v>
      </c>
      <c r="E4379" s="40">
        <v>182.15</v>
      </c>
      <c r="F4379" s="40">
        <v>0.0</v>
      </c>
      <c r="G4379" s="33" t="s">
        <v>431</v>
      </c>
    </row>
    <row r="4380" ht="15.75" customHeight="1">
      <c r="A4380" s="33" t="s">
        <v>8366</v>
      </c>
      <c r="B4380" s="33" t="s">
        <v>1547</v>
      </c>
      <c r="C4380" s="39">
        <v>45902.0</v>
      </c>
      <c r="D4380" s="33" t="s">
        <v>440</v>
      </c>
      <c r="E4380" s="40">
        <v>33.2</v>
      </c>
      <c r="F4380" s="40">
        <v>0.0</v>
      </c>
      <c r="G4380" s="33" t="s">
        <v>450</v>
      </c>
    </row>
    <row r="4381" ht="15.75" customHeight="1">
      <c r="A4381" s="33" t="s">
        <v>8367</v>
      </c>
      <c r="B4381" s="33" t="s">
        <v>2478</v>
      </c>
      <c r="C4381" s="39">
        <v>46172.0</v>
      </c>
      <c r="D4381" s="33" t="s">
        <v>440</v>
      </c>
      <c r="E4381" s="40">
        <v>95.56</v>
      </c>
      <c r="F4381" s="40">
        <v>0.0</v>
      </c>
      <c r="G4381" s="33" t="s">
        <v>431</v>
      </c>
    </row>
    <row r="4382" ht="15.75" customHeight="1">
      <c r="A4382" s="33" t="s">
        <v>8368</v>
      </c>
      <c r="B4382" s="33" t="s">
        <v>1130</v>
      </c>
      <c r="C4382" s="39">
        <v>45947.0</v>
      </c>
      <c r="D4382" s="33" t="s">
        <v>435</v>
      </c>
      <c r="E4382" s="40">
        <v>24.6</v>
      </c>
      <c r="F4382" s="40">
        <v>0.0</v>
      </c>
      <c r="G4382" s="33" t="s">
        <v>450</v>
      </c>
    </row>
    <row r="4383" ht="15.75" customHeight="1">
      <c r="A4383" s="33" t="s">
        <v>8369</v>
      </c>
      <c r="B4383" s="33" t="s">
        <v>732</v>
      </c>
      <c r="C4383" s="39">
        <v>46243.0</v>
      </c>
      <c r="D4383" s="33" t="s">
        <v>479</v>
      </c>
      <c r="E4383" s="40">
        <v>115.35</v>
      </c>
      <c r="F4383" s="40">
        <v>2.07</v>
      </c>
      <c r="G4383" s="33" t="s">
        <v>431</v>
      </c>
    </row>
    <row r="4384" ht="15.75" customHeight="1">
      <c r="A4384" s="33" t="s">
        <v>8370</v>
      </c>
      <c r="B4384" s="33" t="s">
        <v>265</v>
      </c>
      <c r="C4384" s="39">
        <v>45838.0</v>
      </c>
      <c r="D4384" s="33" t="s">
        <v>479</v>
      </c>
      <c r="E4384" s="40">
        <v>30.79</v>
      </c>
      <c r="F4384" s="40">
        <v>0.48</v>
      </c>
      <c r="G4384" s="33" t="s">
        <v>450</v>
      </c>
    </row>
    <row r="4385" ht="15.75" customHeight="1">
      <c r="A4385" s="33" t="s">
        <v>8371</v>
      </c>
      <c r="B4385" s="33" t="s">
        <v>2334</v>
      </c>
      <c r="C4385" s="39">
        <v>45857.0</v>
      </c>
      <c r="D4385" s="33" t="s">
        <v>428</v>
      </c>
      <c r="E4385" s="40">
        <v>63.33</v>
      </c>
      <c r="F4385" s="40">
        <v>0.0</v>
      </c>
      <c r="G4385" s="33" t="s">
        <v>450</v>
      </c>
    </row>
    <row r="4386" ht="15.75" customHeight="1">
      <c r="A4386" s="33" t="s">
        <v>8372</v>
      </c>
      <c r="B4386" s="33" t="s">
        <v>407</v>
      </c>
      <c r="C4386" s="39">
        <v>45680.0</v>
      </c>
      <c r="D4386" s="33" t="s">
        <v>461</v>
      </c>
      <c r="E4386" s="40">
        <v>57.59</v>
      </c>
      <c r="F4386" s="40">
        <v>1.12</v>
      </c>
      <c r="G4386" s="33" t="s">
        <v>442</v>
      </c>
    </row>
    <row r="4387" ht="15.75" customHeight="1">
      <c r="A4387" s="33" t="s">
        <v>8373</v>
      </c>
      <c r="B4387" s="33" t="s">
        <v>496</v>
      </c>
      <c r="C4387" s="39">
        <v>46106.0</v>
      </c>
      <c r="D4387" s="33" t="s">
        <v>461</v>
      </c>
      <c r="E4387" s="40">
        <v>295.8</v>
      </c>
      <c r="F4387" s="40">
        <v>2.19</v>
      </c>
      <c r="G4387" s="33" t="s">
        <v>450</v>
      </c>
    </row>
    <row r="4388" ht="15.75" customHeight="1">
      <c r="A4388" s="33" t="s">
        <v>8374</v>
      </c>
      <c r="B4388" s="33" t="s">
        <v>2144</v>
      </c>
      <c r="C4388" s="39">
        <v>45702.0</v>
      </c>
      <c r="D4388" s="33" t="s">
        <v>479</v>
      </c>
      <c r="E4388" s="40">
        <v>43.1</v>
      </c>
      <c r="F4388" s="40">
        <v>0.22</v>
      </c>
      <c r="G4388" s="33" t="s">
        <v>442</v>
      </c>
    </row>
    <row r="4389" ht="15.75" customHeight="1">
      <c r="A4389" s="33" t="s">
        <v>8375</v>
      </c>
      <c r="B4389" s="33" t="s">
        <v>948</v>
      </c>
      <c r="C4389" s="39">
        <v>45831.0</v>
      </c>
      <c r="D4389" s="33" t="s">
        <v>428</v>
      </c>
      <c r="E4389" s="40">
        <v>148.29</v>
      </c>
      <c r="F4389" s="40">
        <v>0.0</v>
      </c>
      <c r="G4389" s="33" t="s">
        <v>450</v>
      </c>
    </row>
    <row r="4390" ht="15.75" customHeight="1">
      <c r="A4390" s="33" t="s">
        <v>8376</v>
      </c>
      <c r="B4390" s="33" t="s">
        <v>1297</v>
      </c>
      <c r="C4390" s="39">
        <v>46210.0</v>
      </c>
      <c r="D4390" s="33" t="s">
        <v>428</v>
      </c>
      <c r="E4390" s="40">
        <v>6.04</v>
      </c>
      <c r="F4390" s="40">
        <v>0.0</v>
      </c>
      <c r="G4390" s="33" t="s">
        <v>450</v>
      </c>
    </row>
    <row r="4391" ht="15.75" customHeight="1">
      <c r="A4391" s="33" t="s">
        <v>8377</v>
      </c>
      <c r="B4391" s="33" t="s">
        <v>2669</v>
      </c>
      <c r="C4391" s="39">
        <v>46028.0</v>
      </c>
      <c r="D4391" s="33" t="s">
        <v>428</v>
      </c>
      <c r="E4391" s="40">
        <v>80.78</v>
      </c>
      <c r="F4391" s="40">
        <v>0.0</v>
      </c>
      <c r="G4391" s="33" t="s">
        <v>450</v>
      </c>
    </row>
    <row r="4392" ht="15.75" customHeight="1">
      <c r="A4392" s="33" t="s">
        <v>8378</v>
      </c>
      <c r="B4392" s="33" t="s">
        <v>817</v>
      </c>
      <c r="C4392" s="39">
        <v>45997.0</v>
      </c>
      <c r="D4392" s="33" t="s">
        <v>440</v>
      </c>
      <c r="E4392" s="40">
        <v>187.54</v>
      </c>
      <c r="F4392" s="40">
        <v>0.0</v>
      </c>
      <c r="G4392" s="33" t="s">
        <v>450</v>
      </c>
    </row>
    <row r="4393" ht="15.75" customHeight="1">
      <c r="A4393" s="33" t="s">
        <v>8379</v>
      </c>
      <c r="B4393" s="33" t="s">
        <v>1528</v>
      </c>
      <c r="C4393" s="39">
        <v>46146.0</v>
      </c>
      <c r="D4393" s="33" t="s">
        <v>440</v>
      </c>
      <c r="E4393" s="40">
        <v>15.37</v>
      </c>
      <c r="F4393" s="40">
        <v>0.0</v>
      </c>
      <c r="G4393" s="33" t="s">
        <v>450</v>
      </c>
    </row>
    <row r="4394" ht="15.75" customHeight="1">
      <c r="A4394" s="33" t="s">
        <v>8380</v>
      </c>
      <c r="B4394" s="33" t="s">
        <v>426</v>
      </c>
      <c r="C4394" s="39">
        <v>46126.0</v>
      </c>
      <c r="D4394" s="33" t="s">
        <v>435</v>
      </c>
      <c r="E4394" s="40">
        <v>143.88</v>
      </c>
      <c r="F4394" s="40">
        <v>0.0</v>
      </c>
      <c r="G4394" s="33" t="s">
        <v>431</v>
      </c>
    </row>
    <row r="4395" ht="15.75" customHeight="1">
      <c r="A4395" s="33" t="s">
        <v>8381</v>
      </c>
      <c r="B4395" s="33" t="s">
        <v>587</v>
      </c>
      <c r="C4395" s="39">
        <v>46196.0</v>
      </c>
      <c r="D4395" s="33" t="s">
        <v>428</v>
      </c>
      <c r="E4395" s="40">
        <v>70.53</v>
      </c>
      <c r="F4395" s="40">
        <v>0.0</v>
      </c>
      <c r="G4395" s="33" t="s">
        <v>450</v>
      </c>
    </row>
    <row r="4396" ht="15.75" customHeight="1">
      <c r="A4396" s="33" t="s">
        <v>8382</v>
      </c>
      <c r="B4396" s="33" t="s">
        <v>1656</v>
      </c>
      <c r="C4396" s="39">
        <v>46061.0</v>
      </c>
      <c r="D4396" s="33" t="s">
        <v>461</v>
      </c>
      <c r="E4396" s="40">
        <v>8.88</v>
      </c>
      <c r="F4396" s="40">
        <v>0.1</v>
      </c>
      <c r="G4396" s="33" t="s">
        <v>450</v>
      </c>
    </row>
    <row r="4397" ht="15.75" customHeight="1">
      <c r="A4397" s="33" t="s">
        <v>8383</v>
      </c>
      <c r="B4397" s="33" t="s">
        <v>1541</v>
      </c>
      <c r="C4397" s="39">
        <v>45930.0</v>
      </c>
      <c r="D4397" s="33" t="s">
        <v>428</v>
      </c>
      <c r="E4397" s="40">
        <v>158.14</v>
      </c>
      <c r="F4397" s="40">
        <v>0.0</v>
      </c>
      <c r="G4397" s="33" t="s">
        <v>450</v>
      </c>
    </row>
    <row r="4398" ht="15.75" customHeight="1">
      <c r="A4398" s="33" t="s">
        <v>8384</v>
      </c>
      <c r="B4398" s="33" t="s">
        <v>234</v>
      </c>
      <c r="C4398" s="39">
        <v>45737.0</v>
      </c>
      <c r="D4398" s="33" t="s">
        <v>461</v>
      </c>
      <c r="E4398" s="40">
        <v>119.29</v>
      </c>
      <c r="F4398" s="40">
        <v>2.09</v>
      </c>
      <c r="G4398" s="33" t="s">
        <v>450</v>
      </c>
    </row>
    <row r="4399" ht="15.75" customHeight="1">
      <c r="A4399" s="33" t="s">
        <v>8385</v>
      </c>
      <c r="B4399" s="33" t="s">
        <v>2826</v>
      </c>
      <c r="C4399" s="39">
        <v>45882.0</v>
      </c>
      <c r="D4399" s="33" t="s">
        <v>479</v>
      </c>
      <c r="E4399" s="40">
        <v>38.05</v>
      </c>
      <c r="F4399" s="40">
        <v>0.3</v>
      </c>
      <c r="G4399" s="33" t="s">
        <v>431</v>
      </c>
    </row>
    <row r="4400" ht="15.75" customHeight="1">
      <c r="A4400" s="33" t="s">
        <v>8386</v>
      </c>
      <c r="B4400" s="33" t="s">
        <v>2757</v>
      </c>
      <c r="C4400" s="39">
        <v>46086.0</v>
      </c>
      <c r="D4400" s="33" t="s">
        <v>435</v>
      </c>
      <c r="E4400" s="40">
        <v>124.43</v>
      </c>
      <c r="F4400" s="40">
        <v>0.0</v>
      </c>
      <c r="G4400" s="33" t="s">
        <v>450</v>
      </c>
    </row>
    <row r="4401" ht="15.75" customHeight="1">
      <c r="A4401" s="33" t="s">
        <v>8387</v>
      </c>
      <c r="B4401" s="33" t="s">
        <v>1147</v>
      </c>
      <c r="C4401" s="39">
        <v>45811.0</v>
      </c>
      <c r="D4401" s="33" t="s">
        <v>435</v>
      </c>
      <c r="E4401" s="40">
        <v>16.72</v>
      </c>
      <c r="F4401" s="40">
        <v>0.0</v>
      </c>
      <c r="G4401" s="33" t="s">
        <v>442</v>
      </c>
    </row>
    <row r="4402" ht="15.75" customHeight="1">
      <c r="A4402" s="33" t="s">
        <v>8388</v>
      </c>
      <c r="B4402" s="33" t="s">
        <v>290</v>
      </c>
      <c r="C4402" s="39">
        <v>46065.0</v>
      </c>
      <c r="D4402" s="33" t="s">
        <v>461</v>
      </c>
      <c r="E4402" s="40">
        <v>48.97</v>
      </c>
      <c r="F4402" s="40">
        <v>0.38</v>
      </c>
      <c r="G4402" s="33" t="s">
        <v>450</v>
      </c>
    </row>
    <row r="4403" ht="15.75" customHeight="1">
      <c r="A4403" s="33" t="s">
        <v>8389</v>
      </c>
      <c r="B4403" s="33" t="s">
        <v>1135</v>
      </c>
      <c r="C4403" s="39">
        <v>45738.0</v>
      </c>
      <c r="D4403" s="33" t="s">
        <v>440</v>
      </c>
      <c r="E4403" s="40">
        <v>79.25</v>
      </c>
      <c r="F4403" s="40">
        <v>0.0</v>
      </c>
      <c r="G4403" s="33" t="s">
        <v>431</v>
      </c>
    </row>
    <row r="4404" ht="15.75" customHeight="1">
      <c r="A4404" s="33" t="s">
        <v>8390</v>
      </c>
      <c r="B4404" s="33" t="s">
        <v>2314</v>
      </c>
      <c r="C4404" s="39">
        <v>45694.0</v>
      </c>
      <c r="D4404" s="33" t="s">
        <v>440</v>
      </c>
      <c r="E4404" s="40">
        <v>76.18</v>
      </c>
      <c r="F4404" s="40">
        <v>0.0</v>
      </c>
      <c r="G4404" s="33" t="s">
        <v>442</v>
      </c>
    </row>
    <row r="4405" ht="15.75" customHeight="1">
      <c r="A4405" s="33" t="s">
        <v>8391</v>
      </c>
      <c r="B4405" s="33" t="s">
        <v>3344</v>
      </c>
      <c r="C4405" s="39">
        <v>45879.0</v>
      </c>
      <c r="D4405" s="33" t="s">
        <v>428</v>
      </c>
      <c r="E4405" s="40">
        <v>106.62</v>
      </c>
      <c r="F4405" s="40">
        <v>0.0</v>
      </c>
      <c r="G4405" s="33" t="s">
        <v>450</v>
      </c>
    </row>
    <row r="4406" ht="15.75" customHeight="1">
      <c r="A4406" s="33" t="s">
        <v>8392</v>
      </c>
      <c r="B4406" s="33" t="s">
        <v>2327</v>
      </c>
      <c r="C4406" s="39">
        <v>45797.0</v>
      </c>
      <c r="D4406" s="33" t="s">
        <v>479</v>
      </c>
      <c r="E4406" s="40">
        <v>291.02</v>
      </c>
      <c r="F4406" s="40">
        <v>1.76</v>
      </c>
      <c r="G4406" s="33" t="s">
        <v>450</v>
      </c>
    </row>
    <row r="4407" ht="15.75" customHeight="1">
      <c r="A4407" s="33" t="s">
        <v>8393</v>
      </c>
      <c r="B4407" s="33" t="s">
        <v>1239</v>
      </c>
      <c r="C4407" s="39">
        <v>46187.0</v>
      </c>
      <c r="D4407" s="33" t="s">
        <v>428</v>
      </c>
      <c r="E4407" s="40">
        <v>90.91</v>
      </c>
      <c r="F4407" s="40">
        <v>0.0</v>
      </c>
      <c r="G4407" s="33" t="s">
        <v>431</v>
      </c>
    </row>
    <row r="4408" ht="15.75" customHeight="1">
      <c r="A4408" s="33" t="s">
        <v>8394</v>
      </c>
      <c r="B4408" s="33" t="s">
        <v>3344</v>
      </c>
      <c r="C4408" s="39">
        <v>45887.0</v>
      </c>
      <c r="D4408" s="33" t="s">
        <v>479</v>
      </c>
      <c r="E4408" s="40">
        <v>92.72</v>
      </c>
      <c r="F4408" s="40">
        <v>0.88</v>
      </c>
      <c r="G4408" s="33" t="s">
        <v>450</v>
      </c>
    </row>
    <row r="4409" ht="15.75" customHeight="1">
      <c r="A4409" s="33" t="s">
        <v>8395</v>
      </c>
      <c r="B4409" s="33" t="s">
        <v>861</v>
      </c>
      <c r="C4409" s="39">
        <v>45912.0</v>
      </c>
      <c r="D4409" s="33" t="s">
        <v>428</v>
      </c>
      <c r="E4409" s="40">
        <v>168.13</v>
      </c>
      <c r="F4409" s="40">
        <v>0.0</v>
      </c>
      <c r="G4409" s="33" t="s">
        <v>450</v>
      </c>
    </row>
    <row r="4410" ht="15.75" customHeight="1">
      <c r="A4410" s="33" t="s">
        <v>8396</v>
      </c>
      <c r="B4410" s="33" t="s">
        <v>2911</v>
      </c>
      <c r="C4410" s="39">
        <v>45902.0</v>
      </c>
      <c r="D4410" s="33" t="s">
        <v>435</v>
      </c>
      <c r="E4410" s="40">
        <v>75.8</v>
      </c>
      <c r="F4410" s="40">
        <v>0.0</v>
      </c>
      <c r="G4410" s="33" t="s">
        <v>450</v>
      </c>
    </row>
    <row r="4411" ht="15.75" customHeight="1">
      <c r="A4411" s="33" t="s">
        <v>8397</v>
      </c>
      <c r="B4411" s="33" t="s">
        <v>514</v>
      </c>
      <c r="C4411" s="39">
        <v>45850.0</v>
      </c>
      <c r="D4411" s="33" t="s">
        <v>440</v>
      </c>
      <c r="E4411" s="40">
        <v>12.71</v>
      </c>
      <c r="F4411" s="40">
        <v>0.0</v>
      </c>
      <c r="G4411" s="33" t="s">
        <v>450</v>
      </c>
    </row>
    <row r="4412" ht="15.75" customHeight="1">
      <c r="A4412" s="33" t="s">
        <v>8398</v>
      </c>
      <c r="B4412" s="33" t="s">
        <v>206</v>
      </c>
      <c r="C4412" s="39">
        <v>46215.0</v>
      </c>
      <c r="D4412" s="33" t="s">
        <v>435</v>
      </c>
      <c r="E4412" s="40">
        <v>84.35</v>
      </c>
      <c r="F4412" s="40">
        <v>0.0</v>
      </c>
      <c r="G4412" s="33" t="s">
        <v>450</v>
      </c>
    </row>
    <row r="4413" ht="15.75" customHeight="1">
      <c r="A4413" s="33" t="s">
        <v>8399</v>
      </c>
      <c r="B4413" s="33" t="s">
        <v>788</v>
      </c>
      <c r="C4413" s="39">
        <v>46106.0</v>
      </c>
      <c r="D4413" s="33" t="s">
        <v>435</v>
      </c>
      <c r="E4413" s="40">
        <v>10.87</v>
      </c>
      <c r="F4413" s="40">
        <v>0.0</v>
      </c>
      <c r="G4413" s="33" t="s">
        <v>450</v>
      </c>
    </row>
    <row r="4414" ht="15.75" customHeight="1">
      <c r="A4414" s="33" t="s">
        <v>8400</v>
      </c>
      <c r="B4414" s="33" t="s">
        <v>294</v>
      </c>
      <c r="C4414" s="39">
        <v>45754.0</v>
      </c>
      <c r="D4414" s="33" t="s">
        <v>428</v>
      </c>
      <c r="E4414" s="40">
        <v>157.53</v>
      </c>
      <c r="F4414" s="40">
        <v>0.0</v>
      </c>
      <c r="G4414" s="33" t="s">
        <v>450</v>
      </c>
    </row>
    <row r="4415" ht="15.75" customHeight="1">
      <c r="A4415" s="33" t="s">
        <v>8401</v>
      </c>
      <c r="B4415" s="33" t="s">
        <v>2075</v>
      </c>
      <c r="C4415" s="39">
        <v>45788.0</v>
      </c>
      <c r="D4415" s="33" t="s">
        <v>479</v>
      </c>
      <c r="E4415" s="40">
        <v>78.53</v>
      </c>
      <c r="F4415" s="40">
        <v>0.63</v>
      </c>
      <c r="G4415" s="33" t="s">
        <v>450</v>
      </c>
    </row>
    <row r="4416" ht="15.75" customHeight="1">
      <c r="A4416" s="33" t="s">
        <v>8402</v>
      </c>
      <c r="B4416" s="33" t="s">
        <v>2362</v>
      </c>
      <c r="C4416" s="39">
        <v>45707.0</v>
      </c>
      <c r="D4416" s="33" t="s">
        <v>440</v>
      </c>
      <c r="E4416" s="40">
        <v>103.51</v>
      </c>
      <c r="F4416" s="40">
        <v>0.0</v>
      </c>
      <c r="G4416" s="33" t="s">
        <v>450</v>
      </c>
    </row>
    <row r="4417" ht="15.75" customHeight="1">
      <c r="A4417" s="33" t="s">
        <v>8403</v>
      </c>
      <c r="B4417" s="33" t="s">
        <v>2023</v>
      </c>
      <c r="C4417" s="39">
        <v>45813.0</v>
      </c>
      <c r="D4417" s="33" t="s">
        <v>440</v>
      </c>
      <c r="E4417" s="40">
        <v>33.75</v>
      </c>
      <c r="F4417" s="40">
        <v>0.0</v>
      </c>
      <c r="G4417" s="33" t="s">
        <v>450</v>
      </c>
    </row>
    <row r="4418" ht="15.75" customHeight="1">
      <c r="A4418" s="33" t="s">
        <v>8404</v>
      </c>
      <c r="B4418" s="33" t="s">
        <v>1192</v>
      </c>
      <c r="C4418" s="39">
        <v>46056.0</v>
      </c>
      <c r="D4418" s="33" t="s">
        <v>440</v>
      </c>
      <c r="E4418" s="40">
        <v>35.28</v>
      </c>
      <c r="F4418" s="40">
        <v>0.0</v>
      </c>
      <c r="G4418" s="33" t="s">
        <v>442</v>
      </c>
    </row>
    <row r="4419" ht="15.75" customHeight="1">
      <c r="A4419" s="33" t="s">
        <v>8405</v>
      </c>
      <c r="B4419" s="33" t="s">
        <v>3190</v>
      </c>
      <c r="C4419" s="39">
        <v>46226.0</v>
      </c>
      <c r="D4419" s="33" t="s">
        <v>435</v>
      </c>
      <c r="E4419" s="40">
        <v>118.23</v>
      </c>
      <c r="F4419" s="40">
        <v>0.0</v>
      </c>
      <c r="G4419" s="33" t="s">
        <v>442</v>
      </c>
    </row>
    <row r="4420" ht="15.75" customHeight="1">
      <c r="A4420" s="33" t="s">
        <v>8406</v>
      </c>
      <c r="B4420" s="33" t="s">
        <v>1130</v>
      </c>
      <c r="C4420" s="39">
        <v>45950.0</v>
      </c>
      <c r="D4420" s="33" t="s">
        <v>428</v>
      </c>
      <c r="E4420" s="40">
        <v>63.22</v>
      </c>
      <c r="F4420" s="40">
        <v>0.0</v>
      </c>
      <c r="G4420" s="33" t="s">
        <v>450</v>
      </c>
    </row>
    <row r="4421" ht="15.75" customHeight="1">
      <c r="A4421" s="33" t="s">
        <v>8407</v>
      </c>
      <c r="B4421" s="33" t="s">
        <v>895</v>
      </c>
      <c r="C4421" s="39">
        <v>45707.0</v>
      </c>
      <c r="D4421" s="33" t="s">
        <v>435</v>
      </c>
      <c r="E4421" s="40">
        <v>43.37</v>
      </c>
      <c r="F4421" s="40">
        <v>0.0</v>
      </c>
      <c r="G4421" s="33" t="s">
        <v>450</v>
      </c>
    </row>
    <row r="4422" ht="15.75" customHeight="1">
      <c r="A4422" s="33" t="s">
        <v>8408</v>
      </c>
      <c r="B4422" s="33" t="s">
        <v>605</v>
      </c>
      <c r="C4422" s="39">
        <v>45686.0</v>
      </c>
      <c r="D4422" s="33" t="s">
        <v>440</v>
      </c>
      <c r="E4422" s="40">
        <v>187.47</v>
      </c>
      <c r="F4422" s="40">
        <v>0.0</v>
      </c>
      <c r="G4422" s="33" t="s">
        <v>442</v>
      </c>
    </row>
    <row r="4423" ht="15.75" customHeight="1">
      <c r="A4423" s="33" t="s">
        <v>8409</v>
      </c>
      <c r="B4423" s="33" t="s">
        <v>548</v>
      </c>
      <c r="C4423" s="39">
        <v>45909.0</v>
      </c>
      <c r="D4423" s="33" t="s">
        <v>435</v>
      </c>
      <c r="E4423" s="40">
        <v>85.98</v>
      </c>
      <c r="F4423" s="40">
        <v>0.0</v>
      </c>
      <c r="G4423" s="33" t="s">
        <v>431</v>
      </c>
    </row>
    <row r="4424" ht="15.75" customHeight="1">
      <c r="A4424" s="33" t="s">
        <v>8410</v>
      </c>
      <c r="B4424" s="33" t="s">
        <v>1179</v>
      </c>
      <c r="C4424" s="39">
        <v>45818.0</v>
      </c>
      <c r="D4424" s="33" t="s">
        <v>428</v>
      </c>
      <c r="E4424" s="40">
        <v>48.57</v>
      </c>
      <c r="F4424" s="40">
        <v>0.0</v>
      </c>
      <c r="G4424" s="33" t="s">
        <v>450</v>
      </c>
    </row>
    <row r="4425" ht="15.75" customHeight="1">
      <c r="A4425" s="33" t="s">
        <v>8411</v>
      </c>
      <c r="B4425" s="33" t="s">
        <v>1656</v>
      </c>
      <c r="C4425" s="39">
        <v>46008.0</v>
      </c>
      <c r="D4425" s="33" t="s">
        <v>440</v>
      </c>
      <c r="E4425" s="40">
        <v>89.88</v>
      </c>
      <c r="F4425" s="40">
        <v>0.0</v>
      </c>
      <c r="G4425" s="33" t="s">
        <v>450</v>
      </c>
    </row>
    <row r="4426" ht="15.75" customHeight="1">
      <c r="A4426" s="33" t="s">
        <v>8412</v>
      </c>
      <c r="B4426" s="33" t="s">
        <v>1408</v>
      </c>
      <c r="C4426" s="39">
        <v>45729.0</v>
      </c>
      <c r="D4426" s="33" t="s">
        <v>440</v>
      </c>
      <c r="E4426" s="40">
        <v>55.87</v>
      </c>
      <c r="F4426" s="40">
        <v>0.0</v>
      </c>
      <c r="G4426" s="33" t="s">
        <v>450</v>
      </c>
    </row>
    <row r="4427" ht="15.75" customHeight="1">
      <c r="A4427" s="33" t="s">
        <v>8413</v>
      </c>
      <c r="B4427" s="33" t="s">
        <v>1920</v>
      </c>
      <c r="C4427" s="39">
        <v>45797.0</v>
      </c>
      <c r="D4427" s="33" t="s">
        <v>461</v>
      </c>
      <c r="E4427" s="40">
        <v>111.21</v>
      </c>
      <c r="F4427" s="40">
        <v>1.75</v>
      </c>
      <c r="G4427" s="33" t="s">
        <v>442</v>
      </c>
    </row>
    <row r="4428" ht="15.75" customHeight="1">
      <c r="A4428" s="33" t="s">
        <v>8414</v>
      </c>
      <c r="B4428" s="33" t="s">
        <v>3342</v>
      </c>
      <c r="C4428" s="39">
        <v>45995.0</v>
      </c>
      <c r="D4428" s="33" t="s">
        <v>479</v>
      </c>
      <c r="E4428" s="40">
        <v>31.96</v>
      </c>
      <c r="F4428" s="40">
        <v>0.18</v>
      </c>
      <c r="G4428" s="33" t="s">
        <v>431</v>
      </c>
    </row>
    <row r="4429" ht="15.75" customHeight="1">
      <c r="A4429" s="33" t="s">
        <v>8415</v>
      </c>
      <c r="B4429" s="33" t="s">
        <v>1424</v>
      </c>
      <c r="C4429" s="39">
        <v>45828.0</v>
      </c>
      <c r="D4429" s="33" t="s">
        <v>440</v>
      </c>
      <c r="E4429" s="40">
        <v>159.28</v>
      </c>
      <c r="F4429" s="40">
        <v>0.0</v>
      </c>
      <c r="G4429" s="33" t="s">
        <v>431</v>
      </c>
    </row>
    <row r="4430" ht="15.75" customHeight="1">
      <c r="A4430" s="33" t="s">
        <v>8416</v>
      </c>
      <c r="B4430" s="33" t="s">
        <v>2515</v>
      </c>
      <c r="C4430" s="39">
        <v>45879.0</v>
      </c>
      <c r="D4430" s="33" t="s">
        <v>479</v>
      </c>
      <c r="E4430" s="40">
        <v>55.83</v>
      </c>
      <c r="F4430" s="40">
        <v>0.52</v>
      </c>
      <c r="G4430" s="33" t="s">
        <v>442</v>
      </c>
    </row>
    <row r="4431" ht="15.75" customHeight="1">
      <c r="A4431" s="33" t="s">
        <v>8417</v>
      </c>
      <c r="B4431" s="33" t="s">
        <v>2658</v>
      </c>
      <c r="C4431" s="39">
        <v>45792.0</v>
      </c>
      <c r="D4431" s="33" t="s">
        <v>479</v>
      </c>
      <c r="E4431" s="40">
        <v>23.78</v>
      </c>
      <c r="F4431" s="40">
        <v>0.28</v>
      </c>
      <c r="G4431" s="33" t="s">
        <v>450</v>
      </c>
    </row>
    <row r="4432" ht="15.75" customHeight="1">
      <c r="A4432" s="33" t="s">
        <v>8418</v>
      </c>
      <c r="B4432" s="33" t="s">
        <v>1991</v>
      </c>
      <c r="C4432" s="39">
        <v>45689.0</v>
      </c>
      <c r="D4432" s="33" t="s">
        <v>440</v>
      </c>
      <c r="E4432" s="40">
        <v>26.71</v>
      </c>
      <c r="F4432" s="40">
        <v>0.0</v>
      </c>
      <c r="G4432" s="33" t="s">
        <v>450</v>
      </c>
    </row>
    <row r="4433" ht="15.75" customHeight="1">
      <c r="A4433" s="33" t="s">
        <v>8419</v>
      </c>
      <c r="B4433" s="33" t="s">
        <v>1179</v>
      </c>
      <c r="C4433" s="39">
        <v>45867.0</v>
      </c>
      <c r="D4433" s="33" t="s">
        <v>479</v>
      </c>
      <c r="E4433" s="40">
        <v>66.77</v>
      </c>
      <c r="F4433" s="40">
        <v>1.03</v>
      </c>
      <c r="G4433" s="33" t="s">
        <v>431</v>
      </c>
    </row>
    <row r="4434" ht="15.75" customHeight="1">
      <c r="A4434" s="33" t="s">
        <v>8420</v>
      </c>
      <c r="B4434" s="33" t="s">
        <v>300</v>
      </c>
      <c r="C4434" s="39">
        <v>45858.0</v>
      </c>
      <c r="D4434" s="33" t="s">
        <v>440</v>
      </c>
      <c r="E4434" s="40">
        <v>43.62</v>
      </c>
      <c r="F4434" s="40">
        <v>0.0</v>
      </c>
      <c r="G4434" s="33" t="s">
        <v>450</v>
      </c>
    </row>
    <row r="4435" ht="15.75" customHeight="1">
      <c r="A4435" s="33" t="s">
        <v>8421</v>
      </c>
      <c r="B4435" s="33" t="s">
        <v>594</v>
      </c>
      <c r="C4435" s="39">
        <v>46203.0</v>
      </c>
      <c r="D4435" s="33" t="s">
        <v>428</v>
      </c>
      <c r="E4435" s="40">
        <v>19.48</v>
      </c>
      <c r="F4435" s="40">
        <v>0.0</v>
      </c>
      <c r="G4435" s="33" t="s">
        <v>442</v>
      </c>
    </row>
    <row r="4436" ht="15.75" customHeight="1">
      <c r="A4436" s="33" t="s">
        <v>8422</v>
      </c>
      <c r="B4436" s="33" t="s">
        <v>2511</v>
      </c>
      <c r="C4436" s="39">
        <v>46199.0</v>
      </c>
      <c r="D4436" s="33" t="s">
        <v>479</v>
      </c>
      <c r="E4436" s="40">
        <v>20.62</v>
      </c>
      <c r="F4436" s="40">
        <v>0.12</v>
      </c>
      <c r="G4436" s="33" t="s">
        <v>442</v>
      </c>
    </row>
    <row r="4437" ht="15.75" customHeight="1">
      <c r="A4437" s="33" t="s">
        <v>8423</v>
      </c>
      <c r="B4437" s="33" t="s">
        <v>2231</v>
      </c>
      <c r="C4437" s="39">
        <v>45919.0</v>
      </c>
      <c r="D4437" s="33" t="s">
        <v>461</v>
      </c>
      <c r="E4437" s="40">
        <v>79.13</v>
      </c>
      <c r="F4437" s="40">
        <v>1.42</v>
      </c>
      <c r="G4437" s="33" t="s">
        <v>450</v>
      </c>
    </row>
    <row r="4438" ht="15.75" customHeight="1">
      <c r="A4438" s="33" t="s">
        <v>8424</v>
      </c>
      <c r="B4438" s="33" t="s">
        <v>3985</v>
      </c>
      <c r="C4438" s="39">
        <v>45832.0</v>
      </c>
      <c r="D4438" s="33" t="s">
        <v>440</v>
      </c>
      <c r="E4438" s="40">
        <v>93.63</v>
      </c>
      <c r="F4438" s="40">
        <v>0.0</v>
      </c>
      <c r="G4438" s="33" t="s">
        <v>450</v>
      </c>
    </row>
    <row r="4439" ht="15.75" customHeight="1">
      <c r="A4439" s="33" t="s">
        <v>8425</v>
      </c>
      <c r="B4439" s="33" t="s">
        <v>769</v>
      </c>
      <c r="C4439" s="39">
        <v>45911.0</v>
      </c>
      <c r="D4439" s="33" t="s">
        <v>461</v>
      </c>
      <c r="E4439" s="40">
        <v>83.3</v>
      </c>
      <c r="F4439" s="40">
        <v>0.5</v>
      </c>
      <c r="G4439" s="33" t="s">
        <v>442</v>
      </c>
    </row>
    <row r="4440" ht="15.75" customHeight="1">
      <c r="A4440" s="33" t="s">
        <v>8426</v>
      </c>
      <c r="B4440" s="33" t="s">
        <v>1834</v>
      </c>
      <c r="C4440" s="39">
        <v>46026.0</v>
      </c>
      <c r="D4440" s="33" t="s">
        <v>479</v>
      </c>
      <c r="E4440" s="40">
        <v>183.82</v>
      </c>
      <c r="F4440" s="40">
        <v>1.15</v>
      </c>
      <c r="G4440" s="33" t="s">
        <v>450</v>
      </c>
    </row>
    <row r="4441" ht="15.75" customHeight="1">
      <c r="A4441" s="33" t="s">
        <v>8427</v>
      </c>
      <c r="B4441" s="33" t="s">
        <v>2283</v>
      </c>
      <c r="C4441" s="39">
        <v>45892.0</v>
      </c>
      <c r="D4441" s="33" t="s">
        <v>461</v>
      </c>
      <c r="E4441" s="40">
        <v>103.5</v>
      </c>
      <c r="F4441" s="40">
        <v>1.26</v>
      </c>
      <c r="G4441" s="33" t="s">
        <v>442</v>
      </c>
    </row>
    <row r="4442" ht="15.75" customHeight="1">
      <c r="A4442" s="33" t="s">
        <v>8428</v>
      </c>
      <c r="B4442" s="33" t="s">
        <v>282</v>
      </c>
      <c r="C4442" s="39">
        <v>46116.0</v>
      </c>
      <c r="D4442" s="33" t="s">
        <v>479</v>
      </c>
      <c r="E4442" s="40">
        <v>48.09</v>
      </c>
      <c r="F4442" s="40">
        <v>0.49</v>
      </c>
      <c r="G4442" s="33" t="s">
        <v>450</v>
      </c>
    </row>
    <row r="4443" ht="15.75" customHeight="1">
      <c r="A4443" s="33" t="s">
        <v>8429</v>
      </c>
      <c r="B4443" s="33" t="s">
        <v>2048</v>
      </c>
      <c r="C4443" s="39">
        <v>46243.0</v>
      </c>
      <c r="D4443" s="33" t="s">
        <v>461</v>
      </c>
      <c r="E4443" s="40">
        <v>415.74</v>
      </c>
      <c r="F4443" s="40">
        <v>5.8</v>
      </c>
      <c r="G4443" s="33" t="s">
        <v>450</v>
      </c>
    </row>
    <row r="4444" ht="15.75" customHeight="1">
      <c r="A4444" s="33" t="s">
        <v>8430</v>
      </c>
      <c r="B4444" s="33" t="s">
        <v>1482</v>
      </c>
      <c r="C4444" s="39">
        <v>45902.0</v>
      </c>
      <c r="D4444" s="33" t="s">
        <v>435</v>
      </c>
      <c r="E4444" s="40">
        <v>36.68</v>
      </c>
      <c r="F4444" s="40">
        <v>0.0</v>
      </c>
      <c r="G4444" s="33" t="s">
        <v>450</v>
      </c>
    </row>
    <row r="4445" ht="15.75" customHeight="1">
      <c r="A4445" s="33" t="s">
        <v>8431</v>
      </c>
      <c r="B4445" s="33" t="s">
        <v>999</v>
      </c>
      <c r="C4445" s="39">
        <v>45729.0</v>
      </c>
      <c r="D4445" s="33" t="s">
        <v>461</v>
      </c>
      <c r="E4445" s="40">
        <v>17.15</v>
      </c>
      <c r="F4445" s="40">
        <v>0.33</v>
      </c>
      <c r="G4445" s="33" t="s">
        <v>450</v>
      </c>
    </row>
    <row r="4446" ht="15.75" customHeight="1">
      <c r="A4446" s="33" t="s">
        <v>8432</v>
      </c>
      <c r="B4446" s="33" t="s">
        <v>2752</v>
      </c>
      <c r="C4446" s="39">
        <v>45731.0</v>
      </c>
      <c r="D4446" s="33" t="s">
        <v>461</v>
      </c>
      <c r="E4446" s="40">
        <v>122.68</v>
      </c>
      <c r="F4446" s="40">
        <v>1.56</v>
      </c>
      <c r="G4446" s="33" t="s">
        <v>450</v>
      </c>
    </row>
    <row r="4447" ht="15.75" customHeight="1">
      <c r="A4447" s="33" t="s">
        <v>8433</v>
      </c>
      <c r="B4447" s="33" t="s">
        <v>362</v>
      </c>
      <c r="C4447" s="39">
        <v>46187.0</v>
      </c>
      <c r="D4447" s="33" t="s">
        <v>479</v>
      </c>
      <c r="E4447" s="40">
        <v>242.12</v>
      </c>
      <c r="F4447" s="40">
        <v>3.94</v>
      </c>
      <c r="G4447" s="33" t="s">
        <v>450</v>
      </c>
    </row>
    <row r="4448" ht="15.75" customHeight="1">
      <c r="A4448" s="33" t="s">
        <v>8434</v>
      </c>
      <c r="B4448" s="33" t="s">
        <v>575</v>
      </c>
      <c r="C4448" s="39">
        <v>45910.0</v>
      </c>
      <c r="D4448" s="33" t="s">
        <v>435</v>
      </c>
      <c r="E4448" s="40">
        <v>140.68</v>
      </c>
      <c r="F4448" s="40">
        <v>0.0</v>
      </c>
      <c r="G4448" s="33" t="s">
        <v>450</v>
      </c>
    </row>
    <row r="4449" ht="15.75" customHeight="1">
      <c r="A4449" s="33" t="s">
        <v>8435</v>
      </c>
      <c r="B4449" s="33" t="s">
        <v>801</v>
      </c>
      <c r="C4449" s="39">
        <v>45856.0</v>
      </c>
      <c r="D4449" s="33" t="s">
        <v>479</v>
      </c>
      <c r="E4449" s="40">
        <v>63.8</v>
      </c>
      <c r="F4449" s="40">
        <v>0.91</v>
      </c>
      <c r="G4449" s="33" t="s">
        <v>450</v>
      </c>
    </row>
    <row r="4450" ht="15.75" customHeight="1">
      <c r="A4450" s="33" t="s">
        <v>8436</v>
      </c>
      <c r="B4450" s="33" t="s">
        <v>870</v>
      </c>
      <c r="C4450" s="39">
        <v>46033.0</v>
      </c>
      <c r="D4450" s="33" t="s">
        <v>461</v>
      </c>
      <c r="E4450" s="40">
        <v>40.26</v>
      </c>
      <c r="F4450" s="40">
        <v>0.72</v>
      </c>
      <c r="G4450" s="33" t="s">
        <v>431</v>
      </c>
    </row>
    <row r="4451" ht="15.75" customHeight="1">
      <c r="A4451" s="33" t="s">
        <v>8437</v>
      </c>
      <c r="B4451" s="33" t="s">
        <v>2317</v>
      </c>
      <c r="C4451" s="39">
        <v>46238.0</v>
      </c>
      <c r="D4451" s="33" t="s">
        <v>479</v>
      </c>
      <c r="E4451" s="40">
        <v>116.74</v>
      </c>
      <c r="F4451" s="40">
        <v>0.62</v>
      </c>
      <c r="G4451" s="33" t="s">
        <v>431</v>
      </c>
    </row>
    <row r="4452" ht="15.75" customHeight="1">
      <c r="A4452" s="33" t="s">
        <v>8438</v>
      </c>
      <c r="B4452" s="33" t="s">
        <v>597</v>
      </c>
      <c r="C4452" s="39">
        <v>45915.0</v>
      </c>
      <c r="D4452" s="33" t="s">
        <v>435</v>
      </c>
      <c r="E4452" s="40">
        <v>66.56</v>
      </c>
      <c r="F4452" s="40">
        <v>0.0</v>
      </c>
      <c r="G4452" s="33" t="s">
        <v>431</v>
      </c>
    </row>
    <row r="4453" ht="15.75" customHeight="1">
      <c r="A4453" s="33" t="s">
        <v>8439</v>
      </c>
      <c r="B4453" s="33" t="s">
        <v>2732</v>
      </c>
      <c r="C4453" s="39">
        <v>45849.0</v>
      </c>
      <c r="D4453" s="33" t="s">
        <v>440</v>
      </c>
      <c r="E4453" s="40">
        <v>61.01</v>
      </c>
      <c r="F4453" s="40">
        <v>0.0</v>
      </c>
      <c r="G4453" s="33" t="s">
        <v>431</v>
      </c>
    </row>
    <row r="4454" ht="15.75" customHeight="1">
      <c r="A4454" s="33" t="s">
        <v>8440</v>
      </c>
      <c r="B4454" s="33" t="s">
        <v>3344</v>
      </c>
      <c r="C4454" s="39">
        <v>46181.0</v>
      </c>
      <c r="D4454" s="33" t="s">
        <v>428</v>
      </c>
      <c r="E4454" s="40">
        <v>193.78</v>
      </c>
      <c r="F4454" s="40">
        <v>0.0</v>
      </c>
      <c r="G4454" s="33" t="s">
        <v>431</v>
      </c>
    </row>
    <row r="4455" ht="15.75" customHeight="1">
      <c r="A4455" s="33" t="s">
        <v>8441</v>
      </c>
      <c r="B4455" s="33" t="s">
        <v>204</v>
      </c>
      <c r="C4455" s="39">
        <v>45708.0</v>
      </c>
      <c r="D4455" s="33" t="s">
        <v>440</v>
      </c>
      <c r="E4455" s="40">
        <v>13.19</v>
      </c>
      <c r="F4455" s="40">
        <v>0.0</v>
      </c>
      <c r="G4455" s="33" t="s">
        <v>442</v>
      </c>
    </row>
    <row r="4456" ht="15.75" customHeight="1">
      <c r="A4456" s="33" t="s">
        <v>8442</v>
      </c>
      <c r="B4456" s="33" t="s">
        <v>3850</v>
      </c>
      <c r="C4456" s="39">
        <v>46170.0</v>
      </c>
      <c r="D4456" s="33" t="s">
        <v>479</v>
      </c>
      <c r="E4456" s="40">
        <v>99.82</v>
      </c>
      <c r="F4456" s="40">
        <v>1.53</v>
      </c>
      <c r="G4456" s="33" t="s">
        <v>450</v>
      </c>
    </row>
    <row r="4457" ht="15.75" customHeight="1">
      <c r="A4457" s="33" t="s">
        <v>8443</v>
      </c>
      <c r="B4457" s="33" t="s">
        <v>992</v>
      </c>
      <c r="C4457" s="39">
        <v>45973.0</v>
      </c>
      <c r="D4457" s="33" t="s">
        <v>440</v>
      </c>
      <c r="E4457" s="40">
        <v>42.8</v>
      </c>
      <c r="F4457" s="40">
        <v>0.0</v>
      </c>
      <c r="G4457" s="33" t="s">
        <v>450</v>
      </c>
    </row>
    <row r="4458" ht="15.75" customHeight="1">
      <c r="A4458" s="33" t="s">
        <v>8444</v>
      </c>
      <c r="B4458" s="33" t="s">
        <v>1716</v>
      </c>
      <c r="C4458" s="39">
        <v>45670.0</v>
      </c>
      <c r="D4458" s="33" t="s">
        <v>461</v>
      </c>
      <c r="E4458" s="40">
        <v>76.59</v>
      </c>
      <c r="F4458" s="40">
        <v>0.63</v>
      </c>
      <c r="G4458" s="33" t="s">
        <v>442</v>
      </c>
    </row>
    <row r="4459" ht="15.75" customHeight="1">
      <c r="A4459" s="33" t="s">
        <v>8445</v>
      </c>
      <c r="B4459" s="33" t="s">
        <v>1541</v>
      </c>
      <c r="C4459" s="39">
        <v>45796.0</v>
      </c>
      <c r="D4459" s="33" t="s">
        <v>479</v>
      </c>
      <c r="E4459" s="40">
        <v>35.67</v>
      </c>
      <c r="F4459" s="40">
        <v>0.62</v>
      </c>
      <c r="G4459" s="33" t="s">
        <v>450</v>
      </c>
    </row>
    <row r="4460" ht="15.75" customHeight="1">
      <c r="A4460" s="33" t="s">
        <v>8446</v>
      </c>
      <c r="B4460" s="33" t="s">
        <v>905</v>
      </c>
      <c r="C4460" s="39">
        <v>46070.0</v>
      </c>
      <c r="D4460" s="33" t="s">
        <v>440</v>
      </c>
      <c r="E4460" s="40">
        <v>66.6</v>
      </c>
      <c r="F4460" s="40">
        <v>0.0</v>
      </c>
      <c r="G4460" s="33" t="s">
        <v>450</v>
      </c>
    </row>
    <row r="4461" ht="15.75" customHeight="1">
      <c r="A4461" s="33" t="s">
        <v>8447</v>
      </c>
      <c r="B4461" s="33" t="s">
        <v>2957</v>
      </c>
      <c r="C4461" s="39">
        <v>46115.0</v>
      </c>
      <c r="D4461" s="33" t="s">
        <v>479</v>
      </c>
      <c r="E4461" s="40">
        <v>327.54</v>
      </c>
      <c r="F4461" s="40">
        <v>1.98</v>
      </c>
      <c r="G4461" s="33" t="s">
        <v>450</v>
      </c>
    </row>
    <row r="4462" ht="15.75" customHeight="1">
      <c r="A4462" s="33" t="s">
        <v>8448</v>
      </c>
      <c r="B4462" s="33" t="s">
        <v>2715</v>
      </c>
      <c r="C4462" s="39">
        <v>45776.0</v>
      </c>
      <c r="D4462" s="33" t="s">
        <v>479</v>
      </c>
      <c r="E4462" s="40">
        <v>131.64</v>
      </c>
      <c r="F4462" s="40">
        <v>2.36</v>
      </c>
      <c r="G4462" s="33" t="s">
        <v>450</v>
      </c>
    </row>
    <row r="4463" ht="15.75" customHeight="1">
      <c r="A4463" s="33" t="s">
        <v>8449</v>
      </c>
      <c r="B4463" s="33" t="s">
        <v>1528</v>
      </c>
      <c r="C4463" s="39">
        <v>46056.0</v>
      </c>
      <c r="D4463" s="33" t="s">
        <v>479</v>
      </c>
      <c r="E4463" s="40">
        <v>116.66</v>
      </c>
      <c r="F4463" s="40">
        <v>0.68</v>
      </c>
      <c r="G4463" s="33" t="s">
        <v>450</v>
      </c>
    </row>
    <row r="4464" ht="15.75" customHeight="1">
      <c r="A4464" s="33" t="s">
        <v>8450</v>
      </c>
      <c r="B4464" s="33" t="s">
        <v>553</v>
      </c>
      <c r="C4464" s="39">
        <v>46258.0</v>
      </c>
      <c r="D4464" s="33" t="s">
        <v>440</v>
      </c>
      <c r="E4464" s="40">
        <v>78.2</v>
      </c>
      <c r="F4464" s="40">
        <v>0.0</v>
      </c>
      <c r="G4464" s="33" t="s">
        <v>431</v>
      </c>
    </row>
    <row r="4465" ht="15.75" customHeight="1">
      <c r="A4465" s="33" t="s">
        <v>8451</v>
      </c>
      <c r="B4465" s="33" t="s">
        <v>2188</v>
      </c>
      <c r="C4465" s="39">
        <v>46074.0</v>
      </c>
      <c r="D4465" s="33" t="s">
        <v>435</v>
      </c>
      <c r="E4465" s="40">
        <v>73.03</v>
      </c>
      <c r="F4465" s="40">
        <v>0.0</v>
      </c>
      <c r="G4465" s="33" t="s">
        <v>442</v>
      </c>
    </row>
    <row r="4466" ht="15.75" customHeight="1">
      <c r="A4466" s="33" t="s">
        <v>8452</v>
      </c>
      <c r="B4466" s="33" t="s">
        <v>447</v>
      </c>
      <c r="C4466" s="39">
        <v>46084.0</v>
      </c>
      <c r="D4466" s="33" t="s">
        <v>461</v>
      </c>
      <c r="E4466" s="40">
        <v>82.17</v>
      </c>
      <c r="F4466" s="40">
        <v>0.43</v>
      </c>
      <c r="G4466" s="33" t="s">
        <v>450</v>
      </c>
    </row>
    <row r="4467" ht="15.75" customHeight="1">
      <c r="A4467" s="33" t="s">
        <v>8453</v>
      </c>
      <c r="B4467" s="33" t="s">
        <v>513</v>
      </c>
      <c r="C4467" s="39">
        <v>45775.0</v>
      </c>
      <c r="D4467" s="33" t="s">
        <v>440</v>
      </c>
      <c r="E4467" s="40">
        <v>108.28</v>
      </c>
      <c r="F4467" s="40">
        <v>0.0</v>
      </c>
      <c r="G4467" s="33" t="s">
        <v>450</v>
      </c>
    </row>
    <row r="4468" ht="15.75" customHeight="1">
      <c r="A4468" s="33" t="s">
        <v>8454</v>
      </c>
      <c r="B4468" s="33" t="s">
        <v>2469</v>
      </c>
      <c r="C4468" s="39">
        <v>46044.0</v>
      </c>
      <c r="D4468" s="33" t="s">
        <v>461</v>
      </c>
      <c r="E4468" s="40">
        <v>133.34</v>
      </c>
      <c r="F4468" s="40">
        <v>0.7</v>
      </c>
      <c r="G4468" s="33" t="s">
        <v>431</v>
      </c>
    </row>
    <row r="4469" ht="15.75" customHeight="1">
      <c r="A4469" s="33" t="s">
        <v>8455</v>
      </c>
      <c r="B4469" s="33" t="s">
        <v>2075</v>
      </c>
      <c r="C4469" s="39">
        <v>46088.0</v>
      </c>
      <c r="D4469" s="33" t="s">
        <v>440</v>
      </c>
      <c r="E4469" s="40">
        <v>261.52</v>
      </c>
      <c r="F4469" s="40">
        <v>0.0</v>
      </c>
      <c r="G4469" s="33" t="s">
        <v>450</v>
      </c>
    </row>
    <row r="4470" ht="15.75" customHeight="1">
      <c r="A4470" s="33" t="s">
        <v>8456</v>
      </c>
      <c r="B4470" s="33" t="s">
        <v>1152</v>
      </c>
      <c r="C4470" s="39">
        <v>45725.0</v>
      </c>
      <c r="D4470" s="33" t="s">
        <v>428</v>
      </c>
      <c r="E4470" s="40">
        <v>63.59</v>
      </c>
      <c r="F4470" s="40">
        <v>0.0</v>
      </c>
      <c r="G4470" s="33" t="s">
        <v>431</v>
      </c>
    </row>
    <row r="4471" ht="15.75" customHeight="1">
      <c r="A4471" s="33" t="s">
        <v>8457</v>
      </c>
      <c r="B4471" s="33" t="s">
        <v>769</v>
      </c>
      <c r="C4471" s="39">
        <v>45846.0</v>
      </c>
      <c r="D4471" s="33" t="s">
        <v>461</v>
      </c>
      <c r="E4471" s="40">
        <v>190.65</v>
      </c>
      <c r="F4471" s="40">
        <v>2.02</v>
      </c>
      <c r="G4471" s="33" t="s">
        <v>450</v>
      </c>
    </row>
    <row r="4472" ht="15.75" customHeight="1">
      <c r="A4472" s="33" t="s">
        <v>8458</v>
      </c>
      <c r="B4472" s="33" t="s">
        <v>819</v>
      </c>
      <c r="C4472" s="39">
        <v>46193.0</v>
      </c>
      <c r="D4472" s="33" t="s">
        <v>479</v>
      </c>
      <c r="E4472" s="40">
        <v>263.42</v>
      </c>
      <c r="F4472" s="40">
        <v>2.17</v>
      </c>
      <c r="G4472" s="33" t="s">
        <v>450</v>
      </c>
    </row>
    <row r="4473" ht="15.75" customHeight="1">
      <c r="A4473" s="33" t="s">
        <v>8459</v>
      </c>
      <c r="B4473" s="33" t="s">
        <v>777</v>
      </c>
      <c r="C4473" s="39">
        <v>46264.0</v>
      </c>
      <c r="D4473" s="33" t="s">
        <v>440</v>
      </c>
      <c r="E4473" s="40">
        <v>140.4</v>
      </c>
      <c r="F4473" s="40">
        <v>0.0</v>
      </c>
      <c r="G4473" s="33" t="s">
        <v>431</v>
      </c>
    </row>
    <row r="4474" ht="15.75" customHeight="1">
      <c r="A4474" s="33" t="s">
        <v>8460</v>
      </c>
      <c r="B4474" s="33" t="s">
        <v>1192</v>
      </c>
      <c r="C4474" s="39">
        <v>45763.0</v>
      </c>
      <c r="D4474" s="33" t="s">
        <v>461</v>
      </c>
      <c r="E4474" s="40">
        <v>72.08</v>
      </c>
      <c r="F4474" s="40">
        <v>0.67</v>
      </c>
      <c r="G4474" s="33" t="s">
        <v>442</v>
      </c>
    </row>
    <row r="4475" ht="15.75" customHeight="1">
      <c r="A4475" s="33" t="s">
        <v>8461</v>
      </c>
      <c r="B4475" s="33" t="s">
        <v>2658</v>
      </c>
      <c r="C4475" s="39">
        <v>46102.0</v>
      </c>
      <c r="D4475" s="33" t="s">
        <v>435</v>
      </c>
      <c r="E4475" s="40">
        <v>141.04</v>
      </c>
      <c r="F4475" s="40">
        <v>0.0</v>
      </c>
      <c r="G4475" s="33" t="s">
        <v>450</v>
      </c>
    </row>
    <row r="4476" ht="15.75" customHeight="1">
      <c r="A4476" s="33" t="s">
        <v>8462</v>
      </c>
      <c r="B4476" s="33" t="s">
        <v>1280</v>
      </c>
      <c r="C4476" s="39">
        <v>45962.0</v>
      </c>
      <c r="D4476" s="33" t="s">
        <v>435</v>
      </c>
      <c r="E4476" s="40">
        <v>18.53</v>
      </c>
      <c r="F4476" s="40">
        <v>0.0</v>
      </c>
      <c r="G4476" s="33" t="s">
        <v>431</v>
      </c>
    </row>
    <row r="4477" ht="15.75" customHeight="1">
      <c r="A4477" s="33" t="s">
        <v>8463</v>
      </c>
      <c r="B4477" s="33" t="s">
        <v>1344</v>
      </c>
      <c r="C4477" s="39">
        <v>46016.0</v>
      </c>
      <c r="D4477" s="33" t="s">
        <v>435</v>
      </c>
      <c r="E4477" s="40">
        <v>234.41</v>
      </c>
      <c r="F4477" s="40">
        <v>0.0</v>
      </c>
      <c r="G4477" s="33" t="s">
        <v>450</v>
      </c>
    </row>
    <row r="4478" ht="15.75" customHeight="1">
      <c r="A4478" s="33" t="s">
        <v>8464</v>
      </c>
      <c r="B4478" s="33" t="s">
        <v>630</v>
      </c>
      <c r="C4478" s="39">
        <v>45968.0</v>
      </c>
      <c r="D4478" s="33" t="s">
        <v>440</v>
      </c>
      <c r="E4478" s="40">
        <v>149.67</v>
      </c>
      <c r="F4478" s="40">
        <v>0.0</v>
      </c>
      <c r="G4478" s="33" t="s">
        <v>442</v>
      </c>
    </row>
    <row r="4479" ht="15.75" customHeight="1">
      <c r="A4479" s="33" t="s">
        <v>8465</v>
      </c>
      <c r="B4479" s="33" t="s">
        <v>1816</v>
      </c>
      <c r="C4479" s="39">
        <v>46184.0</v>
      </c>
      <c r="D4479" s="33" t="s">
        <v>479</v>
      </c>
      <c r="E4479" s="40">
        <v>69.81</v>
      </c>
      <c r="F4479" s="40">
        <v>0.69</v>
      </c>
      <c r="G4479" s="33" t="s">
        <v>450</v>
      </c>
    </row>
    <row r="4480" ht="15.75" customHeight="1">
      <c r="A4480" s="33" t="s">
        <v>8466</v>
      </c>
      <c r="B4480" s="33" t="s">
        <v>1656</v>
      </c>
      <c r="C4480" s="39">
        <v>45928.0</v>
      </c>
      <c r="D4480" s="33" t="s">
        <v>440</v>
      </c>
      <c r="E4480" s="40">
        <v>65.89</v>
      </c>
      <c r="F4480" s="40">
        <v>0.0</v>
      </c>
      <c r="G4480" s="33" t="s">
        <v>450</v>
      </c>
    </row>
    <row r="4481" ht="15.75" customHeight="1">
      <c r="A4481" s="33" t="s">
        <v>8467</v>
      </c>
      <c r="B4481" s="33" t="s">
        <v>658</v>
      </c>
      <c r="C4481" s="39">
        <v>46015.0</v>
      </c>
      <c r="D4481" s="33" t="s">
        <v>435</v>
      </c>
      <c r="E4481" s="40">
        <v>23.2</v>
      </c>
      <c r="F4481" s="40">
        <v>0.0</v>
      </c>
      <c r="G4481" s="33" t="s">
        <v>450</v>
      </c>
    </row>
    <row r="4482" ht="15.75" customHeight="1">
      <c r="A4482" s="33" t="s">
        <v>8468</v>
      </c>
      <c r="B4482" s="33" t="s">
        <v>1014</v>
      </c>
      <c r="C4482" s="39">
        <v>46064.0</v>
      </c>
      <c r="D4482" s="33" t="s">
        <v>440</v>
      </c>
      <c r="E4482" s="40">
        <v>165.48</v>
      </c>
      <c r="F4482" s="40">
        <v>0.0</v>
      </c>
      <c r="G4482" s="33" t="s">
        <v>450</v>
      </c>
    </row>
    <row r="4483" ht="15.75" customHeight="1">
      <c r="A4483" s="33" t="s">
        <v>8469</v>
      </c>
      <c r="B4483" s="33" t="s">
        <v>2066</v>
      </c>
      <c r="C4483" s="39">
        <v>45993.0</v>
      </c>
      <c r="D4483" s="33" t="s">
        <v>479</v>
      </c>
      <c r="E4483" s="40">
        <v>67.02</v>
      </c>
      <c r="F4483" s="40">
        <v>0.98</v>
      </c>
      <c r="G4483" s="33" t="s">
        <v>450</v>
      </c>
    </row>
    <row r="4484" ht="15.75" customHeight="1">
      <c r="A4484" s="33" t="s">
        <v>8470</v>
      </c>
      <c r="B4484" s="33" t="s">
        <v>1828</v>
      </c>
      <c r="C4484" s="39">
        <v>46191.0</v>
      </c>
      <c r="D4484" s="33" t="s">
        <v>440</v>
      </c>
      <c r="E4484" s="40">
        <v>248.04</v>
      </c>
      <c r="F4484" s="40">
        <v>0.0</v>
      </c>
      <c r="G4484" s="33" t="s">
        <v>431</v>
      </c>
    </row>
    <row r="4485" ht="15.75" customHeight="1">
      <c r="A4485" s="33" t="s">
        <v>8471</v>
      </c>
      <c r="B4485" s="33" t="s">
        <v>349</v>
      </c>
      <c r="C4485" s="39">
        <v>45802.0</v>
      </c>
      <c r="D4485" s="33" t="s">
        <v>479</v>
      </c>
      <c r="E4485" s="40">
        <v>18.24</v>
      </c>
      <c r="F4485" s="40">
        <v>0.29</v>
      </c>
      <c r="G4485" s="33" t="s">
        <v>442</v>
      </c>
    </row>
    <row r="4486" ht="15.75" customHeight="1">
      <c r="A4486" s="33" t="s">
        <v>8472</v>
      </c>
      <c r="B4486" s="33" t="s">
        <v>668</v>
      </c>
      <c r="C4486" s="39">
        <v>46233.0</v>
      </c>
      <c r="D4486" s="33" t="s">
        <v>440</v>
      </c>
      <c r="E4486" s="40">
        <v>36.28</v>
      </c>
      <c r="F4486" s="40">
        <v>0.0</v>
      </c>
      <c r="G4486" s="33" t="s">
        <v>450</v>
      </c>
    </row>
    <row r="4487" ht="15.75" customHeight="1">
      <c r="A4487" s="33" t="s">
        <v>8473</v>
      </c>
      <c r="B4487" s="33" t="s">
        <v>959</v>
      </c>
      <c r="C4487" s="39">
        <v>46069.0</v>
      </c>
      <c r="D4487" s="33" t="s">
        <v>428</v>
      </c>
      <c r="E4487" s="40">
        <v>32.7</v>
      </c>
      <c r="F4487" s="40">
        <v>0.0</v>
      </c>
      <c r="G4487" s="33" t="s">
        <v>450</v>
      </c>
    </row>
    <row r="4488" ht="15.75" customHeight="1">
      <c r="A4488" s="33" t="s">
        <v>8474</v>
      </c>
      <c r="B4488" s="33" t="s">
        <v>1530</v>
      </c>
      <c r="C4488" s="39">
        <v>46240.0</v>
      </c>
      <c r="D4488" s="33" t="s">
        <v>428</v>
      </c>
      <c r="E4488" s="40">
        <v>5.39</v>
      </c>
      <c r="F4488" s="40">
        <v>0.0</v>
      </c>
      <c r="G4488" s="33" t="s">
        <v>450</v>
      </c>
    </row>
    <row r="4489" ht="15.75" customHeight="1">
      <c r="A4489" s="33" t="s">
        <v>8475</v>
      </c>
      <c r="B4489" s="33" t="s">
        <v>2957</v>
      </c>
      <c r="C4489" s="39">
        <v>45885.0</v>
      </c>
      <c r="D4489" s="33" t="s">
        <v>461</v>
      </c>
      <c r="E4489" s="40">
        <v>123.01</v>
      </c>
      <c r="F4489" s="40">
        <v>1.01</v>
      </c>
      <c r="G4489" s="33" t="s">
        <v>450</v>
      </c>
    </row>
    <row r="4490" ht="15.75" customHeight="1">
      <c r="A4490" s="33" t="s">
        <v>8476</v>
      </c>
      <c r="B4490" s="33" t="s">
        <v>672</v>
      </c>
      <c r="C4490" s="39">
        <v>45948.0</v>
      </c>
      <c r="D4490" s="33" t="s">
        <v>479</v>
      </c>
      <c r="E4490" s="40">
        <v>27.98</v>
      </c>
      <c r="F4490" s="40">
        <v>0.19</v>
      </c>
      <c r="G4490" s="33" t="s">
        <v>450</v>
      </c>
    </row>
    <row r="4491" ht="15.75" customHeight="1">
      <c r="A4491" s="33" t="s">
        <v>8477</v>
      </c>
      <c r="B4491" s="33" t="s">
        <v>318</v>
      </c>
      <c r="C4491" s="39">
        <v>45684.0</v>
      </c>
      <c r="D4491" s="33" t="s">
        <v>435</v>
      </c>
      <c r="E4491" s="40">
        <v>36.43</v>
      </c>
      <c r="F4491" s="40">
        <v>0.0</v>
      </c>
      <c r="G4491" s="33" t="s">
        <v>431</v>
      </c>
    </row>
    <row r="4492" ht="15.75" customHeight="1">
      <c r="A4492" s="33" t="s">
        <v>8478</v>
      </c>
      <c r="B4492" s="33" t="s">
        <v>213</v>
      </c>
      <c r="C4492" s="39">
        <v>46218.0</v>
      </c>
      <c r="D4492" s="33" t="s">
        <v>461</v>
      </c>
      <c r="E4492" s="40">
        <v>29.58</v>
      </c>
      <c r="F4492" s="40">
        <v>0.3</v>
      </c>
      <c r="G4492" s="33" t="s">
        <v>450</v>
      </c>
    </row>
    <row r="4493" ht="15.75" customHeight="1">
      <c r="A4493" s="33" t="s">
        <v>8479</v>
      </c>
      <c r="B4493" s="33" t="s">
        <v>1314</v>
      </c>
      <c r="C4493" s="39">
        <v>46153.0</v>
      </c>
      <c r="D4493" s="33" t="s">
        <v>440</v>
      </c>
      <c r="E4493" s="40">
        <v>56.62</v>
      </c>
      <c r="F4493" s="40">
        <v>0.0</v>
      </c>
      <c r="G4493" s="33" t="s">
        <v>442</v>
      </c>
    </row>
    <row r="4494" ht="15.75" customHeight="1">
      <c r="A4494" s="33" t="s">
        <v>8480</v>
      </c>
      <c r="B4494" s="33" t="s">
        <v>2511</v>
      </c>
      <c r="C4494" s="39">
        <v>45837.0</v>
      </c>
      <c r="D4494" s="33" t="s">
        <v>440</v>
      </c>
      <c r="E4494" s="40">
        <v>215.74</v>
      </c>
      <c r="F4494" s="40">
        <v>0.0</v>
      </c>
      <c r="G4494" s="33" t="s">
        <v>450</v>
      </c>
    </row>
    <row r="4495" ht="15.75" customHeight="1">
      <c r="A4495" s="33" t="s">
        <v>8481</v>
      </c>
      <c r="B4495" s="33" t="s">
        <v>513</v>
      </c>
      <c r="C4495" s="39">
        <v>45689.0</v>
      </c>
      <c r="D4495" s="33" t="s">
        <v>461</v>
      </c>
      <c r="E4495" s="40">
        <v>108.29</v>
      </c>
      <c r="F4495" s="40">
        <v>1.95</v>
      </c>
      <c r="G4495" s="33" t="s">
        <v>431</v>
      </c>
    </row>
    <row r="4496" ht="15.75" customHeight="1">
      <c r="A4496" s="33" t="s">
        <v>8482</v>
      </c>
      <c r="B4496" s="33" t="s">
        <v>850</v>
      </c>
      <c r="C4496" s="39">
        <v>46080.0</v>
      </c>
      <c r="D4496" s="33" t="s">
        <v>435</v>
      </c>
      <c r="E4496" s="40">
        <v>88.73</v>
      </c>
      <c r="F4496" s="40">
        <v>0.0</v>
      </c>
      <c r="G4496" s="33" t="s">
        <v>431</v>
      </c>
    </row>
    <row r="4497" ht="15.75" customHeight="1">
      <c r="A4497" s="33" t="s">
        <v>8483</v>
      </c>
      <c r="B4497" s="33" t="s">
        <v>838</v>
      </c>
      <c r="C4497" s="39">
        <v>46066.0</v>
      </c>
      <c r="D4497" s="33" t="s">
        <v>440</v>
      </c>
      <c r="E4497" s="40">
        <v>76.74</v>
      </c>
      <c r="F4497" s="40">
        <v>0.0</v>
      </c>
      <c r="G4497" s="33" t="s">
        <v>450</v>
      </c>
    </row>
    <row r="4498" ht="15.75" customHeight="1">
      <c r="A4498" s="33" t="s">
        <v>8484</v>
      </c>
      <c r="B4498" s="33" t="s">
        <v>2187</v>
      </c>
      <c r="C4498" s="39">
        <v>45978.0</v>
      </c>
      <c r="D4498" s="33" t="s">
        <v>461</v>
      </c>
      <c r="E4498" s="40">
        <v>49.53</v>
      </c>
      <c r="F4498" s="40">
        <v>0.46</v>
      </c>
      <c r="G4498" s="33" t="s">
        <v>442</v>
      </c>
    </row>
    <row r="4499" ht="15.75" customHeight="1">
      <c r="A4499" s="33" t="s">
        <v>8485</v>
      </c>
      <c r="B4499" s="33" t="s">
        <v>2169</v>
      </c>
      <c r="C4499" s="39">
        <v>45753.0</v>
      </c>
      <c r="D4499" s="33" t="s">
        <v>428</v>
      </c>
      <c r="E4499" s="40">
        <v>50.14</v>
      </c>
      <c r="F4499" s="40">
        <v>0.0</v>
      </c>
      <c r="G4499" s="33" t="s">
        <v>431</v>
      </c>
    </row>
    <row r="4500" ht="15.75" customHeight="1">
      <c r="A4500" s="33" t="s">
        <v>8486</v>
      </c>
      <c r="B4500" s="33" t="s">
        <v>1610</v>
      </c>
      <c r="C4500" s="39">
        <v>46215.0</v>
      </c>
      <c r="D4500" s="33" t="s">
        <v>479</v>
      </c>
      <c r="E4500" s="40">
        <v>85.52</v>
      </c>
      <c r="F4500" s="40">
        <v>1.12</v>
      </c>
      <c r="G4500" s="33" t="s">
        <v>431</v>
      </c>
    </row>
    <row r="4501" ht="15.75" customHeight="1">
      <c r="A4501" s="33" t="s">
        <v>8487</v>
      </c>
      <c r="B4501" s="33" t="s">
        <v>2669</v>
      </c>
      <c r="C4501" s="39">
        <v>45920.0</v>
      </c>
      <c r="D4501" s="33" t="s">
        <v>479</v>
      </c>
      <c r="E4501" s="40">
        <v>200.02</v>
      </c>
      <c r="F4501" s="40">
        <v>1.49</v>
      </c>
      <c r="G4501" s="33" t="s">
        <v>442</v>
      </c>
    </row>
    <row r="4502" ht="15.75" customHeight="1">
      <c r="A4502" s="33" t="s">
        <v>8488</v>
      </c>
      <c r="B4502" s="33" t="s">
        <v>1721</v>
      </c>
      <c r="C4502" s="39">
        <v>46097.0</v>
      </c>
      <c r="D4502" s="33" t="s">
        <v>428</v>
      </c>
      <c r="E4502" s="40">
        <v>46.61</v>
      </c>
      <c r="F4502" s="40">
        <v>0.0</v>
      </c>
      <c r="G4502" s="33" t="s">
        <v>442</v>
      </c>
    </row>
    <row r="4503" ht="15.75" customHeight="1">
      <c r="A4503" s="33" t="s">
        <v>8489</v>
      </c>
      <c r="B4503" s="33" t="s">
        <v>1482</v>
      </c>
      <c r="C4503" s="39">
        <v>46179.0</v>
      </c>
      <c r="D4503" s="33" t="s">
        <v>435</v>
      </c>
      <c r="E4503" s="40">
        <v>152.91</v>
      </c>
      <c r="F4503" s="40">
        <v>0.0</v>
      </c>
      <c r="G4503" s="33" t="s">
        <v>450</v>
      </c>
    </row>
    <row r="4504" ht="15.75" customHeight="1">
      <c r="A4504" s="33" t="s">
        <v>8490</v>
      </c>
      <c r="B4504" s="33" t="s">
        <v>558</v>
      </c>
      <c r="C4504" s="39">
        <v>45990.0</v>
      </c>
      <c r="D4504" s="33" t="s">
        <v>479</v>
      </c>
      <c r="E4504" s="40">
        <v>30.79</v>
      </c>
      <c r="F4504" s="40">
        <v>0.23</v>
      </c>
      <c r="G4504" s="33" t="s">
        <v>450</v>
      </c>
    </row>
    <row r="4505" ht="15.75" customHeight="1">
      <c r="A4505" s="33" t="s">
        <v>8491</v>
      </c>
      <c r="B4505" s="33" t="s">
        <v>1383</v>
      </c>
      <c r="C4505" s="39">
        <v>45715.0</v>
      </c>
      <c r="D4505" s="33" t="s">
        <v>440</v>
      </c>
      <c r="E4505" s="40">
        <v>122.34</v>
      </c>
      <c r="F4505" s="40">
        <v>0.0</v>
      </c>
      <c r="G4505" s="33" t="s">
        <v>450</v>
      </c>
    </row>
    <row r="4506" ht="15.75" customHeight="1">
      <c r="A4506" s="33" t="s">
        <v>8492</v>
      </c>
      <c r="B4506" s="33" t="s">
        <v>1850</v>
      </c>
      <c r="C4506" s="39">
        <v>46196.0</v>
      </c>
      <c r="D4506" s="33" t="s">
        <v>479</v>
      </c>
      <c r="E4506" s="40">
        <v>194.77</v>
      </c>
      <c r="F4506" s="40">
        <v>1.66</v>
      </c>
      <c r="G4506" s="33" t="s">
        <v>450</v>
      </c>
    </row>
    <row r="4507" ht="15.75" customHeight="1">
      <c r="A4507" s="33" t="s">
        <v>8493</v>
      </c>
      <c r="B4507" s="33" t="s">
        <v>3687</v>
      </c>
      <c r="C4507" s="39">
        <v>46062.0</v>
      </c>
      <c r="D4507" s="33" t="s">
        <v>428</v>
      </c>
      <c r="E4507" s="40">
        <v>72.25</v>
      </c>
      <c r="F4507" s="40">
        <v>0.0</v>
      </c>
      <c r="G4507" s="33" t="s">
        <v>450</v>
      </c>
    </row>
    <row r="4508" ht="15.75" customHeight="1">
      <c r="A4508" s="33" t="s">
        <v>8494</v>
      </c>
      <c r="B4508" s="33" t="s">
        <v>297</v>
      </c>
      <c r="C4508" s="39">
        <v>46200.0</v>
      </c>
      <c r="D4508" s="33" t="s">
        <v>479</v>
      </c>
      <c r="E4508" s="40">
        <v>49.84</v>
      </c>
      <c r="F4508" s="40">
        <v>0.45</v>
      </c>
      <c r="G4508" s="33" t="s">
        <v>431</v>
      </c>
    </row>
    <row r="4509" ht="15.75" customHeight="1">
      <c r="A4509" s="33" t="s">
        <v>8495</v>
      </c>
      <c r="B4509" s="33" t="s">
        <v>1981</v>
      </c>
      <c r="C4509" s="39">
        <v>46029.0</v>
      </c>
      <c r="D4509" s="33" t="s">
        <v>428</v>
      </c>
      <c r="E4509" s="40">
        <v>122.01</v>
      </c>
      <c r="F4509" s="40">
        <v>0.0</v>
      </c>
      <c r="G4509" s="33" t="s">
        <v>431</v>
      </c>
    </row>
    <row r="4510" ht="15.75" customHeight="1">
      <c r="A4510" s="33" t="s">
        <v>8496</v>
      </c>
      <c r="B4510" s="33" t="s">
        <v>1610</v>
      </c>
      <c r="C4510" s="39">
        <v>46208.0</v>
      </c>
      <c r="D4510" s="33" t="s">
        <v>479</v>
      </c>
      <c r="E4510" s="40">
        <v>231.56</v>
      </c>
      <c r="F4510" s="40">
        <v>2.17</v>
      </c>
      <c r="G4510" s="33" t="s">
        <v>450</v>
      </c>
    </row>
    <row r="4511" ht="15.75" customHeight="1">
      <c r="A4511" s="33" t="s">
        <v>8497</v>
      </c>
      <c r="B4511" s="33" t="s">
        <v>815</v>
      </c>
      <c r="C4511" s="39">
        <v>46184.0</v>
      </c>
      <c r="D4511" s="33" t="s">
        <v>428</v>
      </c>
      <c r="E4511" s="40">
        <v>148.24</v>
      </c>
      <c r="F4511" s="40">
        <v>0.0</v>
      </c>
      <c r="G4511" s="33" t="s">
        <v>450</v>
      </c>
    </row>
    <row r="4512" ht="15.75" customHeight="1">
      <c r="A4512" s="33" t="s">
        <v>8498</v>
      </c>
      <c r="B4512" s="33" t="s">
        <v>1615</v>
      </c>
      <c r="C4512" s="39">
        <v>45788.0</v>
      </c>
      <c r="D4512" s="33" t="s">
        <v>435</v>
      </c>
      <c r="E4512" s="40">
        <v>252.66</v>
      </c>
      <c r="F4512" s="40">
        <v>0.0</v>
      </c>
      <c r="G4512" s="33" t="s">
        <v>442</v>
      </c>
    </row>
    <row r="4513" ht="15.75" customHeight="1">
      <c r="A4513" s="33" t="s">
        <v>8499</v>
      </c>
      <c r="B4513" s="33" t="s">
        <v>268</v>
      </c>
      <c r="C4513" s="39">
        <v>45762.0</v>
      </c>
      <c r="D4513" s="33" t="s">
        <v>440</v>
      </c>
      <c r="E4513" s="40">
        <v>77.71</v>
      </c>
      <c r="F4513" s="40">
        <v>0.0</v>
      </c>
      <c r="G4513" s="33" t="s">
        <v>442</v>
      </c>
    </row>
    <row r="4514" ht="15.75" customHeight="1">
      <c r="A4514" s="33" t="s">
        <v>8500</v>
      </c>
      <c r="B4514" s="33" t="s">
        <v>1034</v>
      </c>
      <c r="C4514" s="39">
        <v>45755.0</v>
      </c>
      <c r="D4514" s="33" t="s">
        <v>440</v>
      </c>
      <c r="E4514" s="40">
        <v>74.11</v>
      </c>
      <c r="F4514" s="40">
        <v>0.0</v>
      </c>
      <c r="G4514" s="33" t="s">
        <v>431</v>
      </c>
    </row>
    <row r="4515" ht="15.75" customHeight="1">
      <c r="A4515" s="33" t="s">
        <v>8501</v>
      </c>
      <c r="B4515" s="33" t="s">
        <v>753</v>
      </c>
      <c r="C4515" s="39">
        <v>46143.0</v>
      </c>
      <c r="D4515" s="33" t="s">
        <v>461</v>
      </c>
      <c r="E4515" s="40">
        <v>20.32</v>
      </c>
      <c r="F4515" s="40">
        <v>0.24</v>
      </c>
      <c r="G4515" s="33" t="s">
        <v>442</v>
      </c>
    </row>
    <row r="4516" ht="15.75" customHeight="1">
      <c r="A4516" s="33" t="s">
        <v>8502</v>
      </c>
      <c r="B4516" s="33" t="s">
        <v>2327</v>
      </c>
      <c r="C4516" s="39">
        <v>45803.0</v>
      </c>
      <c r="D4516" s="33" t="s">
        <v>479</v>
      </c>
      <c r="E4516" s="40">
        <v>48.08</v>
      </c>
      <c r="F4516" s="40">
        <v>0.3</v>
      </c>
      <c r="G4516" s="33" t="s">
        <v>442</v>
      </c>
    </row>
    <row r="4517" ht="15.75" customHeight="1">
      <c r="A4517" s="33" t="s">
        <v>8503</v>
      </c>
      <c r="B4517" s="33" t="s">
        <v>1742</v>
      </c>
      <c r="C4517" s="39">
        <v>45931.0</v>
      </c>
      <c r="D4517" s="33" t="s">
        <v>440</v>
      </c>
      <c r="E4517" s="40">
        <v>69.96</v>
      </c>
      <c r="F4517" s="40">
        <v>0.0</v>
      </c>
      <c r="G4517" s="33" t="s">
        <v>442</v>
      </c>
    </row>
    <row r="4518" ht="15.75" customHeight="1">
      <c r="A4518" s="33" t="s">
        <v>8504</v>
      </c>
      <c r="B4518" s="33" t="s">
        <v>1452</v>
      </c>
      <c r="C4518" s="39">
        <v>46136.0</v>
      </c>
      <c r="D4518" s="33" t="s">
        <v>435</v>
      </c>
      <c r="E4518" s="40">
        <v>75.43</v>
      </c>
      <c r="F4518" s="40">
        <v>0.0</v>
      </c>
      <c r="G4518" s="33" t="s">
        <v>431</v>
      </c>
    </row>
    <row r="4519" ht="15.75" customHeight="1">
      <c r="A4519" s="33" t="s">
        <v>8505</v>
      </c>
      <c r="B4519" s="33" t="s">
        <v>526</v>
      </c>
      <c r="C4519" s="39">
        <v>45918.0</v>
      </c>
      <c r="D4519" s="33" t="s">
        <v>440</v>
      </c>
      <c r="E4519" s="40">
        <v>120.44</v>
      </c>
      <c r="F4519" s="40">
        <v>0.0</v>
      </c>
      <c r="G4519" s="33" t="s">
        <v>450</v>
      </c>
    </row>
    <row r="4520" ht="15.75" customHeight="1">
      <c r="A4520" s="33" t="s">
        <v>8506</v>
      </c>
      <c r="B4520" s="33" t="s">
        <v>783</v>
      </c>
      <c r="C4520" s="39">
        <v>45695.0</v>
      </c>
      <c r="D4520" s="33" t="s">
        <v>435</v>
      </c>
      <c r="E4520" s="40">
        <v>52.28</v>
      </c>
      <c r="F4520" s="40">
        <v>0.0</v>
      </c>
      <c r="G4520" s="33" t="s">
        <v>450</v>
      </c>
    </row>
    <row r="4521" ht="15.75" customHeight="1">
      <c r="A4521" s="33" t="s">
        <v>8507</v>
      </c>
      <c r="B4521" s="33" t="s">
        <v>526</v>
      </c>
      <c r="C4521" s="39">
        <v>45877.0</v>
      </c>
      <c r="D4521" s="33" t="s">
        <v>461</v>
      </c>
      <c r="E4521" s="40">
        <v>54.86</v>
      </c>
      <c r="F4521" s="40">
        <v>0.45</v>
      </c>
      <c r="G4521" s="33" t="s">
        <v>431</v>
      </c>
    </row>
    <row r="4522" ht="15.75" customHeight="1">
      <c r="A4522" s="33" t="s">
        <v>8508</v>
      </c>
      <c r="B4522" s="33" t="s">
        <v>2211</v>
      </c>
      <c r="C4522" s="39">
        <v>45715.0</v>
      </c>
      <c r="D4522" s="33" t="s">
        <v>428</v>
      </c>
      <c r="E4522" s="40">
        <v>281.45</v>
      </c>
      <c r="F4522" s="40">
        <v>0.0</v>
      </c>
      <c r="G4522" s="33" t="s">
        <v>450</v>
      </c>
    </row>
    <row r="4523" ht="15.75" customHeight="1">
      <c r="A4523" s="33" t="s">
        <v>8509</v>
      </c>
      <c r="B4523" s="33" t="s">
        <v>1977</v>
      </c>
      <c r="C4523" s="39">
        <v>45892.0</v>
      </c>
      <c r="D4523" s="33" t="s">
        <v>428</v>
      </c>
      <c r="E4523" s="40">
        <v>5.71</v>
      </c>
      <c r="F4523" s="40">
        <v>0.0</v>
      </c>
      <c r="G4523" s="33" t="s">
        <v>450</v>
      </c>
    </row>
    <row r="4524" ht="15.75" customHeight="1">
      <c r="A4524" s="33" t="s">
        <v>8510</v>
      </c>
      <c r="B4524" s="33" t="s">
        <v>1237</v>
      </c>
      <c r="C4524" s="39">
        <v>46105.0</v>
      </c>
      <c r="D4524" s="33" t="s">
        <v>440</v>
      </c>
      <c r="E4524" s="40">
        <v>8.37</v>
      </c>
      <c r="F4524" s="40">
        <v>0.0</v>
      </c>
      <c r="G4524" s="33" t="s">
        <v>450</v>
      </c>
    </row>
    <row r="4525" ht="15.75" customHeight="1">
      <c r="A4525" s="33" t="s">
        <v>8511</v>
      </c>
      <c r="B4525" s="33" t="s">
        <v>753</v>
      </c>
      <c r="C4525" s="39">
        <v>45973.0</v>
      </c>
      <c r="D4525" s="33" t="s">
        <v>479</v>
      </c>
      <c r="E4525" s="40">
        <v>35.36</v>
      </c>
      <c r="F4525" s="40">
        <v>0.35</v>
      </c>
      <c r="G4525" s="33" t="s">
        <v>431</v>
      </c>
    </row>
    <row r="4526" ht="15.75" customHeight="1">
      <c r="A4526" s="33" t="s">
        <v>8512</v>
      </c>
      <c r="B4526" s="33" t="s">
        <v>1247</v>
      </c>
      <c r="C4526" s="39">
        <v>46067.0</v>
      </c>
      <c r="D4526" s="33" t="s">
        <v>479</v>
      </c>
      <c r="E4526" s="40">
        <v>7.83</v>
      </c>
      <c r="F4526" s="40">
        <v>0.12</v>
      </c>
      <c r="G4526" s="33" t="s">
        <v>431</v>
      </c>
    </row>
    <row r="4527" ht="15.75" customHeight="1">
      <c r="A4527" s="33" t="s">
        <v>8513</v>
      </c>
      <c r="B4527" s="33" t="s">
        <v>1576</v>
      </c>
      <c r="C4527" s="39">
        <v>45722.0</v>
      </c>
      <c r="D4527" s="33" t="s">
        <v>479</v>
      </c>
      <c r="E4527" s="40">
        <v>10.28</v>
      </c>
      <c r="F4527" s="40">
        <v>0.16</v>
      </c>
      <c r="G4527" s="33" t="s">
        <v>450</v>
      </c>
    </row>
    <row r="4528" ht="15.75" customHeight="1">
      <c r="A4528" s="33" t="s">
        <v>8514</v>
      </c>
      <c r="B4528" s="33" t="s">
        <v>649</v>
      </c>
      <c r="C4528" s="39">
        <v>46113.0</v>
      </c>
      <c r="D4528" s="33" t="s">
        <v>479</v>
      </c>
      <c r="E4528" s="40">
        <v>57.7</v>
      </c>
      <c r="F4528" s="40">
        <v>0.33</v>
      </c>
      <c r="G4528" s="33" t="s">
        <v>450</v>
      </c>
    </row>
    <row r="4529" ht="15.75" customHeight="1">
      <c r="A4529" s="33" t="s">
        <v>8515</v>
      </c>
      <c r="B4529" s="33" t="s">
        <v>2816</v>
      </c>
      <c r="C4529" s="39">
        <v>45916.0</v>
      </c>
      <c r="D4529" s="33" t="s">
        <v>440</v>
      </c>
      <c r="E4529" s="40">
        <v>97.33</v>
      </c>
      <c r="F4529" s="40">
        <v>0.0</v>
      </c>
      <c r="G4529" s="33" t="s">
        <v>450</v>
      </c>
    </row>
    <row r="4530" ht="15.75" customHeight="1">
      <c r="A4530" s="33" t="s">
        <v>8516</v>
      </c>
      <c r="B4530" s="33" t="s">
        <v>367</v>
      </c>
      <c r="C4530" s="39">
        <v>45832.0</v>
      </c>
      <c r="D4530" s="33" t="s">
        <v>435</v>
      </c>
      <c r="E4530" s="40">
        <v>55.9</v>
      </c>
      <c r="F4530" s="40">
        <v>0.0</v>
      </c>
      <c r="G4530" s="33" t="s">
        <v>450</v>
      </c>
    </row>
    <row r="4531" ht="15.75" customHeight="1">
      <c r="A4531" s="33" t="s">
        <v>8517</v>
      </c>
      <c r="B4531" s="33" t="s">
        <v>594</v>
      </c>
      <c r="C4531" s="39">
        <v>46053.0</v>
      </c>
      <c r="D4531" s="33" t="s">
        <v>479</v>
      </c>
      <c r="E4531" s="40">
        <v>101.63</v>
      </c>
      <c r="F4531" s="40">
        <v>0.93</v>
      </c>
      <c r="G4531" s="33" t="s">
        <v>450</v>
      </c>
    </row>
    <row r="4532" ht="15.75" customHeight="1">
      <c r="A4532" s="33" t="s">
        <v>8518</v>
      </c>
      <c r="B4532" s="33" t="s">
        <v>1828</v>
      </c>
      <c r="C4532" s="39">
        <v>45739.0</v>
      </c>
      <c r="D4532" s="33" t="s">
        <v>435</v>
      </c>
      <c r="E4532" s="40">
        <v>133.87</v>
      </c>
      <c r="F4532" s="40">
        <v>0.0</v>
      </c>
      <c r="G4532" s="33" t="s">
        <v>442</v>
      </c>
    </row>
    <row r="4533" ht="15.75" customHeight="1">
      <c r="A4533" s="33" t="s">
        <v>8519</v>
      </c>
      <c r="B4533" s="33" t="s">
        <v>2299</v>
      </c>
      <c r="C4533" s="39">
        <v>45960.0</v>
      </c>
      <c r="D4533" s="33" t="s">
        <v>435</v>
      </c>
      <c r="E4533" s="40">
        <v>89.34</v>
      </c>
      <c r="F4533" s="40">
        <v>0.0</v>
      </c>
      <c r="G4533" s="33" t="s">
        <v>442</v>
      </c>
    </row>
    <row r="4534" ht="15.75" customHeight="1">
      <c r="A4534" s="33" t="s">
        <v>8520</v>
      </c>
      <c r="B4534" s="33" t="s">
        <v>1610</v>
      </c>
      <c r="C4534" s="39">
        <v>45914.0</v>
      </c>
      <c r="D4534" s="33" t="s">
        <v>479</v>
      </c>
      <c r="E4534" s="40">
        <v>101.42</v>
      </c>
      <c r="F4534" s="40">
        <v>0.9</v>
      </c>
      <c r="G4534" s="33" t="s">
        <v>450</v>
      </c>
    </row>
    <row r="4535" ht="15.75" customHeight="1">
      <c r="A4535" s="33" t="s">
        <v>8521</v>
      </c>
      <c r="B4535" s="33" t="s">
        <v>1476</v>
      </c>
      <c r="C4535" s="39">
        <v>45758.0</v>
      </c>
      <c r="D4535" s="33" t="s">
        <v>428</v>
      </c>
      <c r="E4535" s="40">
        <v>61.77</v>
      </c>
      <c r="F4535" s="40">
        <v>0.0</v>
      </c>
      <c r="G4535" s="33" t="s">
        <v>442</v>
      </c>
    </row>
    <row r="4536" ht="15.75" customHeight="1">
      <c r="A4536" s="33" t="s">
        <v>8522</v>
      </c>
      <c r="B4536" s="33" t="s">
        <v>870</v>
      </c>
      <c r="C4536" s="39">
        <v>46235.0</v>
      </c>
      <c r="D4536" s="33" t="s">
        <v>479</v>
      </c>
      <c r="E4536" s="40">
        <v>52.18</v>
      </c>
      <c r="F4536" s="40">
        <v>0.26</v>
      </c>
      <c r="G4536" s="33" t="s">
        <v>450</v>
      </c>
    </row>
    <row r="4537" ht="15.75" customHeight="1">
      <c r="A4537" s="33" t="s">
        <v>8523</v>
      </c>
      <c r="B4537" s="33" t="s">
        <v>1705</v>
      </c>
      <c r="C4537" s="39">
        <v>45878.0</v>
      </c>
      <c r="D4537" s="33" t="s">
        <v>435</v>
      </c>
      <c r="E4537" s="40">
        <v>6.93</v>
      </c>
      <c r="F4537" s="40">
        <v>0.0</v>
      </c>
      <c r="G4537" s="33" t="s">
        <v>450</v>
      </c>
    </row>
    <row r="4538" ht="15.75" customHeight="1">
      <c r="A4538" s="33" t="s">
        <v>8524</v>
      </c>
      <c r="B4538" s="33" t="s">
        <v>1251</v>
      </c>
      <c r="C4538" s="39">
        <v>45682.0</v>
      </c>
      <c r="D4538" s="33" t="s">
        <v>428</v>
      </c>
      <c r="E4538" s="40">
        <v>138.68</v>
      </c>
      <c r="F4538" s="40">
        <v>0.0</v>
      </c>
      <c r="G4538" s="33" t="s">
        <v>450</v>
      </c>
    </row>
    <row r="4539" ht="15.75" customHeight="1">
      <c r="A4539" s="33" t="s">
        <v>8525</v>
      </c>
      <c r="B4539" s="33" t="s">
        <v>2366</v>
      </c>
      <c r="C4539" s="39">
        <v>45926.0</v>
      </c>
      <c r="D4539" s="33" t="s">
        <v>461</v>
      </c>
      <c r="E4539" s="40">
        <v>86.38</v>
      </c>
      <c r="F4539" s="40">
        <v>1.62</v>
      </c>
      <c r="G4539" s="33" t="s">
        <v>450</v>
      </c>
    </row>
    <row r="4540" ht="15.75" customHeight="1">
      <c r="A4540" s="33" t="s">
        <v>8526</v>
      </c>
      <c r="B4540" s="33" t="s">
        <v>2132</v>
      </c>
      <c r="C4540" s="39">
        <v>46244.0</v>
      </c>
      <c r="D4540" s="33" t="s">
        <v>440</v>
      </c>
      <c r="E4540" s="40">
        <v>95.96</v>
      </c>
      <c r="F4540" s="40">
        <v>0.0</v>
      </c>
      <c r="G4540" s="33" t="s">
        <v>450</v>
      </c>
    </row>
    <row r="4541" ht="15.75" customHeight="1">
      <c r="A4541" s="33" t="s">
        <v>8527</v>
      </c>
      <c r="B4541" s="33" t="s">
        <v>1981</v>
      </c>
      <c r="C4541" s="39">
        <v>46064.0</v>
      </c>
      <c r="D4541" s="33" t="s">
        <v>440</v>
      </c>
      <c r="E4541" s="40">
        <v>19.29</v>
      </c>
      <c r="F4541" s="40">
        <v>0.0</v>
      </c>
      <c r="G4541" s="33" t="s">
        <v>442</v>
      </c>
    </row>
    <row r="4542" ht="15.75" customHeight="1">
      <c r="A4542" s="33" t="s">
        <v>8528</v>
      </c>
      <c r="B4542" s="33" t="s">
        <v>2277</v>
      </c>
      <c r="C4542" s="39">
        <v>46044.0</v>
      </c>
      <c r="D4542" s="33" t="s">
        <v>428</v>
      </c>
      <c r="E4542" s="40">
        <v>37.32</v>
      </c>
      <c r="F4542" s="40">
        <v>0.0</v>
      </c>
      <c r="G4542" s="33" t="s">
        <v>450</v>
      </c>
    </row>
    <row r="4543" ht="15.75" customHeight="1">
      <c r="A4543" s="33" t="s">
        <v>8529</v>
      </c>
      <c r="B4543" s="33" t="s">
        <v>701</v>
      </c>
      <c r="C4543" s="39">
        <v>46204.0</v>
      </c>
      <c r="D4543" s="33" t="s">
        <v>479</v>
      </c>
      <c r="E4543" s="40">
        <v>59.16</v>
      </c>
      <c r="F4543" s="40">
        <v>0.85</v>
      </c>
      <c r="G4543" s="33" t="s">
        <v>450</v>
      </c>
    </row>
    <row r="4544" ht="15.75" customHeight="1">
      <c r="A4544" s="33" t="s">
        <v>8530</v>
      </c>
      <c r="B4544" s="33" t="s">
        <v>1505</v>
      </c>
      <c r="C4544" s="39">
        <v>45708.0</v>
      </c>
      <c r="D4544" s="33" t="s">
        <v>435</v>
      </c>
      <c r="E4544" s="40">
        <v>27.79</v>
      </c>
      <c r="F4544" s="40">
        <v>0.0</v>
      </c>
      <c r="G4544" s="33" t="s">
        <v>442</v>
      </c>
    </row>
    <row r="4545" ht="15.75" customHeight="1">
      <c r="A4545" s="33" t="s">
        <v>8531</v>
      </c>
      <c r="B4545" s="33" t="s">
        <v>569</v>
      </c>
      <c r="C4545" s="39">
        <v>45992.0</v>
      </c>
      <c r="D4545" s="33" t="s">
        <v>440</v>
      </c>
      <c r="E4545" s="40">
        <v>88.34</v>
      </c>
      <c r="F4545" s="40">
        <v>0.0</v>
      </c>
      <c r="G4545" s="33" t="s">
        <v>450</v>
      </c>
    </row>
    <row r="4546" ht="15.75" customHeight="1">
      <c r="A4546" s="33" t="s">
        <v>8532</v>
      </c>
      <c r="B4546" s="33" t="s">
        <v>367</v>
      </c>
      <c r="C4546" s="39">
        <v>45852.0</v>
      </c>
      <c r="D4546" s="33" t="s">
        <v>440</v>
      </c>
      <c r="E4546" s="40">
        <v>83.86</v>
      </c>
      <c r="F4546" s="40">
        <v>0.0</v>
      </c>
      <c r="G4546" s="33" t="s">
        <v>450</v>
      </c>
    </row>
    <row r="4547" ht="15.75" customHeight="1">
      <c r="A4547" s="33" t="s">
        <v>8533</v>
      </c>
      <c r="B4547" s="33" t="s">
        <v>3434</v>
      </c>
      <c r="C4547" s="39">
        <v>46068.0</v>
      </c>
      <c r="D4547" s="33" t="s">
        <v>479</v>
      </c>
      <c r="E4547" s="40">
        <v>79.94</v>
      </c>
      <c r="F4547" s="40">
        <v>1.22</v>
      </c>
      <c r="G4547" s="33" t="s">
        <v>442</v>
      </c>
    </row>
    <row r="4548" ht="15.75" customHeight="1">
      <c r="A4548" s="33" t="s">
        <v>8534</v>
      </c>
      <c r="B4548" s="33" t="s">
        <v>2729</v>
      </c>
      <c r="C4548" s="39">
        <v>46175.0</v>
      </c>
      <c r="D4548" s="33" t="s">
        <v>440</v>
      </c>
      <c r="E4548" s="40">
        <v>137.23</v>
      </c>
      <c r="F4548" s="40">
        <v>0.0</v>
      </c>
      <c r="G4548" s="33" t="s">
        <v>450</v>
      </c>
    </row>
    <row r="4549" ht="15.75" customHeight="1">
      <c r="A4549" s="33" t="s">
        <v>8535</v>
      </c>
      <c r="B4549" s="33" t="s">
        <v>606</v>
      </c>
      <c r="C4549" s="39">
        <v>45704.0</v>
      </c>
      <c r="D4549" s="33" t="s">
        <v>479</v>
      </c>
      <c r="E4549" s="40">
        <v>89.88</v>
      </c>
      <c r="F4549" s="40">
        <v>1.79</v>
      </c>
      <c r="G4549" s="33" t="s">
        <v>450</v>
      </c>
    </row>
    <row r="4550" ht="15.75" customHeight="1">
      <c r="A4550" s="33" t="s">
        <v>8536</v>
      </c>
      <c r="B4550" s="33" t="s">
        <v>2299</v>
      </c>
      <c r="C4550" s="39">
        <v>45754.0</v>
      </c>
      <c r="D4550" s="33" t="s">
        <v>440</v>
      </c>
      <c r="E4550" s="40">
        <v>184.19</v>
      </c>
      <c r="F4550" s="40">
        <v>0.0</v>
      </c>
      <c r="G4550" s="33" t="s">
        <v>450</v>
      </c>
    </row>
    <row r="4551" ht="15.75" customHeight="1">
      <c r="A4551" s="33" t="s">
        <v>8537</v>
      </c>
      <c r="B4551" s="33" t="s">
        <v>1505</v>
      </c>
      <c r="C4551" s="39">
        <v>46237.0</v>
      </c>
      <c r="D4551" s="33" t="s">
        <v>461</v>
      </c>
      <c r="E4551" s="40">
        <v>92.16</v>
      </c>
      <c r="F4551" s="40">
        <v>1.41</v>
      </c>
      <c r="G4551" s="33" t="s">
        <v>450</v>
      </c>
    </row>
    <row r="4552" ht="15.75" customHeight="1">
      <c r="A4552" s="33" t="s">
        <v>8538</v>
      </c>
      <c r="B4552" s="33" t="s">
        <v>306</v>
      </c>
      <c r="C4552" s="39">
        <v>45956.0</v>
      </c>
      <c r="D4552" s="33" t="s">
        <v>479</v>
      </c>
      <c r="E4552" s="40">
        <v>44.1</v>
      </c>
      <c r="F4552" s="40">
        <v>0.67</v>
      </c>
      <c r="G4552" s="33" t="s">
        <v>442</v>
      </c>
    </row>
    <row r="4553" ht="15.75" customHeight="1">
      <c r="A4553" s="33" t="s">
        <v>8539</v>
      </c>
      <c r="B4553" s="33" t="s">
        <v>1266</v>
      </c>
      <c r="C4553" s="39">
        <v>45849.0</v>
      </c>
      <c r="D4553" s="33" t="s">
        <v>428</v>
      </c>
      <c r="E4553" s="40">
        <v>74.37</v>
      </c>
      <c r="F4553" s="40">
        <v>0.0</v>
      </c>
      <c r="G4553" s="33" t="s">
        <v>450</v>
      </c>
    </row>
    <row r="4554" ht="15.75" customHeight="1">
      <c r="A4554" s="33" t="s">
        <v>8540</v>
      </c>
      <c r="B4554" s="33" t="s">
        <v>2231</v>
      </c>
      <c r="C4554" s="39">
        <v>45750.0</v>
      </c>
      <c r="D4554" s="33" t="s">
        <v>428</v>
      </c>
      <c r="E4554" s="40">
        <v>3.6</v>
      </c>
      <c r="F4554" s="40">
        <v>0.0</v>
      </c>
      <c r="G4554" s="33" t="s">
        <v>450</v>
      </c>
    </row>
    <row r="4555" ht="15.75" customHeight="1">
      <c r="A4555" s="33" t="s">
        <v>8541</v>
      </c>
      <c r="B4555" s="33" t="s">
        <v>2429</v>
      </c>
      <c r="C4555" s="39">
        <v>45873.0</v>
      </c>
      <c r="D4555" s="33" t="s">
        <v>440</v>
      </c>
      <c r="E4555" s="40">
        <v>96.78</v>
      </c>
      <c r="F4555" s="40">
        <v>0.0</v>
      </c>
      <c r="G4555" s="33" t="s">
        <v>450</v>
      </c>
    </row>
    <row r="4556" ht="15.75" customHeight="1">
      <c r="A4556" s="33" t="s">
        <v>8542</v>
      </c>
      <c r="B4556" s="33" t="s">
        <v>530</v>
      </c>
      <c r="C4556" s="39">
        <v>45661.0</v>
      </c>
      <c r="D4556" s="33" t="s">
        <v>435</v>
      </c>
      <c r="E4556" s="40">
        <v>38.33</v>
      </c>
      <c r="F4556" s="40">
        <v>0.0</v>
      </c>
      <c r="G4556" s="33" t="s">
        <v>450</v>
      </c>
    </row>
    <row r="4557" ht="15.75" customHeight="1">
      <c r="A4557" s="33" t="s">
        <v>8543</v>
      </c>
      <c r="B4557" s="33" t="s">
        <v>1309</v>
      </c>
      <c r="C4557" s="39">
        <v>45793.0</v>
      </c>
      <c r="D4557" s="33" t="s">
        <v>479</v>
      </c>
      <c r="E4557" s="40">
        <v>82.38</v>
      </c>
      <c r="F4557" s="40">
        <v>0.95</v>
      </c>
      <c r="G4557" s="33" t="s">
        <v>442</v>
      </c>
    </row>
    <row r="4558" ht="15.75" customHeight="1">
      <c r="A4558" s="33" t="s">
        <v>8544</v>
      </c>
      <c r="B4558" s="33" t="s">
        <v>1547</v>
      </c>
      <c r="C4558" s="39">
        <v>45769.0</v>
      </c>
      <c r="D4558" s="33" t="s">
        <v>440</v>
      </c>
      <c r="E4558" s="40">
        <v>43.56</v>
      </c>
      <c r="F4558" s="40">
        <v>0.0</v>
      </c>
      <c r="G4558" s="33" t="s">
        <v>450</v>
      </c>
    </row>
    <row r="4559" ht="15.75" customHeight="1">
      <c r="A4559" s="33" t="s">
        <v>8545</v>
      </c>
      <c r="B4559" s="33" t="s">
        <v>1876</v>
      </c>
      <c r="C4559" s="39">
        <v>45709.0</v>
      </c>
      <c r="D4559" s="33" t="s">
        <v>428</v>
      </c>
      <c r="E4559" s="40">
        <v>27.81</v>
      </c>
      <c r="F4559" s="40">
        <v>0.0</v>
      </c>
      <c r="G4559" s="33" t="s">
        <v>450</v>
      </c>
    </row>
    <row r="4560" ht="15.75" customHeight="1">
      <c r="A4560" s="33" t="s">
        <v>8546</v>
      </c>
      <c r="B4560" s="33" t="s">
        <v>2752</v>
      </c>
      <c r="C4560" s="39">
        <v>46246.0</v>
      </c>
      <c r="D4560" s="33" t="s">
        <v>479</v>
      </c>
      <c r="E4560" s="40">
        <v>223.33</v>
      </c>
      <c r="F4560" s="40">
        <v>1.87</v>
      </c>
      <c r="G4560" s="33" t="s">
        <v>442</v>
      </c>
    </row>
    <row r="4561" ht="15.75" customHeight="1">
      <c r="A4561" s="33" t="s">
        <v>8547</v>
      </c>
      <c r="B4561" s="33" t="s">
        <v>672</v>
      </c>
      <c r="C4561" s="39">
        <v>46137.0</v>
      </c>
      <c r="D4561" s="33" t="s">
        <v>440</v>
      </c>
      <c r="E4561" s="40">
        <v>42.87</v>
      </c>
      <c r="F4561" s="40">
        <v>0.0</v>
      </c>
      <c r="G4561" s="33" t="s">
        <v>450</v>
      </c>
    </row>
    <row r="4562" ht="15.75" customHeight="1">
      <c r="A4562" s="33" t="s">
        <v>8548</v>
      </c>
      <c r="B4562" s="33" t="s">
        <v>2508</v>
      </c>
      <c r="C4562" s="39">
        <v>46228.0</v>
      </c>
      <c r="D4562" s="33" t="s">
        <v>440</v>
      </c>
      <c r="E4562" s="40">
        <v>36.47</v>
      </c>
      <c r="F4562" s="40">
        <v>0.0</v>
      </c>
      <c r="G4562" s="33" t="s">
        <v>450</v>
      </c>
    </row>
    <row r="4563" ht="15.75" customHeight="1">
      <c r="A4563" s="33" t="s">
        <v>8549</v>
      </c>
      <c r="B4563" s="33" t="s">
        <v>2469</v>
      </c>
      <c r="C4563" s="39">
        <v>45803.0</v>
      </c>
      <c r="D4563" s="33" t="s">
        <v>428</v>
      </c>
      <c r="E4563" s="40">
        <v>123.99</v>
      </c>
      <c r="F4563" s="40">
        <v>0.0</v>
      </c>
      <c r="G4563" s="33" t="s">
        <v>450</v>
      </c>
    </row>
    <row r="4564" ht="15.75" customHeight="1">
      <c r="A4564" s="33" t="s">
        <v>8550</v>
      </c>
      <c r="B4564" s="33" t="s">
        <v>1994</v>
      </c>
      <c r="C4564" s="39">
        <v>45833.0</v>
      </c>
      <c r="D4564" s="33" t="s">
        <v>435</v>
      </c>
      <c r="E4564" s="40">
        <v>57.67</v>
      </c>
      <c r="F4564" s="40">
        <v>0.0</v>
      </c>
      <c r="G4564" s="33" t="s">
        <v>442</v>
      </c>
    </row>
    <row r="4565" ht="15.75" customHeight="1">
      <c r="A4565" s="33" t="s">
        <v>8551</v>
      </c>
      <c r="B4565" s="33" t="s">
        <v>3059</v>
      </c>
      <c r="C4565" s="39">
        <v>45829.0</v>
      </c>
      <c r="D4565" s="33" t="s">
        <v>428</v>
      </c>
      <c r="E4565" s="40">
        <v>40.19</v>
      </c>
      <c r="F4565" s="40">
        <v>0.0</v>
      </c>
      <c r="G4565" s="33" t="s">
        <v>450</v>
      </c>
    </row>
    <row r="4566" ht="15.75" customHeight="1">
      <c r="A4566" s="33" t="s">
        <v>8552</v>
      </c>
      <c r="B4566" s="33" t="s">
        <v>236</v>
      </c>
      <c r="C4566" s="39">
        <v>45997.0</v>
      </c>
      <c r="D4566" s="33" t="s">
        <v>440</v>
      </c>
      <c r="E4566" s="40">
        <v>126.44</v>
      </c>
      <c r="F4566" s="40">
        <v>0.0</v>
      </c>
      <c r="G4566" s="33" t="s">
        <v>450</v>
      </c>
    </row>
    <row r="4567" ht="15.75" customHeight="1">
      <c r="A4567" s="33" t="s">
        <v>8553</v>
      </c>
      <c r="B4567" s="33" t="s">
        <v>1174</v>
      </c>
      <c r="C4567" s="39">
        <v>45768.0</v>
      </c>
      <c r="D4567" s="33" t="s">
        <v>428</v>
      </c>
      <c r="E4567" s="40">
        <v>72.67</v>
      </c>
      <c r="F4567" s="40">
        <v>0.0</v>
      </c>
      <c r="G4567" s="33" t="s">
        <v>450</v>
      </c>
    </row>
    <row r="4568" ht="15.75" customHeight="1">
      <c r="A4568" s="33" t="s">
        <v>8554</v>
      </c>
      <c r="B4568" s="33" t="s">
        <v>852</v>
      </c>
      <c r="C4568" s="39">
        <v>45800.0</v>
      </c>
      <c r="D4568" s="33" t="s">
        <v>479</v>
      </c>
      <c r="E4568" s="40">
        <v>138.29</v>
      </c>
      <c r="F4568" s="40">
        <v>2.12</v>
      </c>
      <c r="G4568" s="33" t="s">
        <v>450</v>
      </c>
    </row>
    <row r="4569" ht="15.75" customHeight="1">
      <c r="A4569" s="33" t="s">
        <v>8555</v>
      </c>
      <c r="B4569" s="33" t="s">
        <v>875</v>
      </c>
      <c r="C4569" s="39">
        <v>46249.0</v>
      </c>
      <c r="D4569" s="33" t="s">
        <v>479</v>
      </c>
      <c r="E4569" s="40">
        <v>188.59</v>
      </c>
      <c r="F4569" s="40">
        <v>1.21</v>
      </c>
      <c r="G4569" s="33" t="s">
        <v>450</v>
      </c>
    </row>
    <row r="4570" ht="15.75" customHeight="1">
      <c r="A4570" s="33" t="s">
        <v>8556</v>
      </c>
      <c r="B4570" s="33" t="s">
        <v>1966</v>
      </c>
      <c r="C4570" s="39">
        <v>45871.0</v>
      </c>
      <c r="D4570" s="33" t="s">
        <v>440</v>
      </c>
      <c r="E4570" s="40">
        <v>56.51</v>
      </c>
      <c r="F4570" s="40">
        <v>0.0</v>
      </c>
      <c r="G4570" s="33" t="s">
        <v>450</v>
      </c>
    </row>
    <row r="4571" ht="15.75" customHeight="1">
      <c r="A4571" s="33" t="s">
        <v>8557</v>
      </c>
      <c r="B4571" s="33" t="s">
        <v>1789</v>
      </c>
      <c r="C4571" s="39">
        <v>46132.0</v>
      </c>
      <c r="D4571" s="33" t="s">
        <v>461</v>
      </c>
      <c r="E4571" s="40">
        <v>119.23</v>
      </c>
      <c r="F4571" s="40">
        <v>1.94</v>
      </c>
      <c r="G4571" s="33" t="s">
        <v>442</v>
      </c>
    </row>
    <row r="4572" ht="15.75" customHeight="1">
      <c r="A4572" s="33" t="s">
        <v>8558</v>
      </c>
      <c r="B4572" s="33" t="s">
        <v>349</v>
      </c>
      <c r="C4572" s="39">
        <v>45796.0</v>
      </c>
      <c r="D4572" s="33" t="s">
        <v>461</v>
      </c>
      <c r="E4572" s="40">
        <v>194.49</v>
      </c>
      <c r="F4572" s="40">
        <v>3.62</v>
      </c>
      <c r="G4572" s="33" t="s">
        <v>450</v>
      </c>
    </row>
    <row r="4573" ht="15.75" customHeight="1">
      <c r="A4573" s="33" t="s">
        <v>8559</v>
      </c>
      <c r="B4573" s="33" t="s">
        <v>2429</v>
      </c>
      <c r="C4573" s="39">
        <v>46222.0</v>
      </c>
      <c r="D4573" s="33" t="s">
        <v>479</v>
      </c>
      <c r="E4573" s="40">
        <v>229.56</v>
      </c>
      <c r="F4573" s="40">
        <v>3.33</v>
      </c>
      <c r="G4573" s="33" t="s">
        <v>450</v>
      </c>
    </row>
    <row r="4574" ht="15.75" customHeight="1">
      <c r="A4574" s="33" t="s">
        <v>8560</v>
      </c>
      <c r="B4574" s="33" t="s">
        <v>2019</v>
      </c>
      <c r="C4574" s="39">
        <v>46079.0</v>
      </c>
      <c r="D4574" s="33" t="s">
        <v>479</v>
      </c>
      <c r="E4574" s="40">
        <v>47.36</v>
      </c>
      <c r="F4574" s="40">
        <v>0.66</v>
      </c>
      <c r="G4574" s="33" t="s">
        <v>442</v>
      </c>
    </row>
    <row r="4575" ht="15.75" customHeight="1">
      <c r="A4575" s="33" t="s">
        <v>8561</v>
      </c>
      <c r="B4575" s="33" t="s">
        <v>510</v>
      </c>
      <c r="C4575" s="39">
        <v>46181.0</v>
      </c>
      <c r="D4575" s="33" t="s">
        <v>479</v>
      </c>
      <c r="E4575" s="40">
        <v>152.21</v>
      </c>
      <c r="F4575" s="40">
        <v>1.63</v>
      </c>
      <c r="G4575" s="33" t="s">
        <v>431</v>
      </c>
    </row>
    <row r="4576" ht="15.75" customHeight="1">
      <c r="A4576" s="33" t="s">
        <v>8562</v>
      </c>
      <c r="B4576" s="33" t="s">
        <v>540</v>
      </c>
      <c r="C4576" s="39">
        <v>45971.0</v>
      </c>
      <c r="D4576" s="33" t="s">
        <v>479</v>
      </c>
      <c r="E4576" s="40">
        <v>8.52</v>
      </c>
      <c r="F4576" s="40">
        <v>0.1</v>
      </c>
      <c r="G4576" s="33" t="s">
        <v>431</v>
      </c>
    </row>
    <row r="4577" ht="15.75" customHeight="1">
      <c r="A4577" s="33" t="s">
        <v>8563</v>
      </c>
      <c r="B4577" s="33" t="s">
        <v>312</v>
      </c>
      <c r="C4577" s="39">
        <v>46208.0</v>
      </c>
      <c r="D4577" s="33" t="s">
        <v>428</v>
      </c>
      <c r="E4577" s="40">
        <v>91.23</v>
      </c>
      <c r="F4577" s="40">
        <v>0.0</v>
      </c>
      <c r="G4577" s="33" t="s">
        <v>431</v>
      </c>
    </row>
    <row r="4578" ht="15.75" customHeight="1">
      <c r="A4578" s="33" t="s">
        <v>8564</v>
      </c>
      <c r="B4578" s="33" t="s">
        <v>2497</v>
      </c>
      <c r="C4578" s="39">
        <v>45878.0</v>
      </c>
      <c r="D4578" s="33" t="s">
        <v>435</v>
      </c>
      <c r="E4578" s="40">
        <v>21.97</v>
      </c>
      <c r="F4578" s="40">
        <v>0.0</v>
      </c>
      <c r="G4578" s="33" t="s">
        <v>450</v>
      </c>
    </row>
    <row r="4579" ht="15.75" customHeight="1">
      <c r="A4579" s="33" t="s">
        <v>8565</v>
      </c>
      <c r="B4579" s="33" t="s">
        <v>2911</v>
      </c>
      <c r="C4579" s="39">
        <v>45948.0</v>
      </c>
      <c r="D4579" s="33" t="s">
        <v>440</v>
      </c>
      <c r="E4579" s="40">
        <v>56.52</v>
      </c>
      <c r="F4579" s="40">
        <v>0.0</v>
      </c>
      <c r="G4579" s="33" t="s">
        <v>450</v>
      </c>
    </row>
    <row r="4580" ht="15.75" customHeight="1">
      <c r="A4580" s="33" t="s">
        <v>8566</v>
      </c>
      <c r="B4580" s="33" t="s">
        <v>919</v>
      </c>
      <c r="C4580" s="39">
        <v>45695.0</v>
      </c>
      <c r="D4580" s="33" t="s">
        <v>428</v>
      </c>
      <c r="E4580" s="40">
        <v>297.62</v>
      </c>
      <c r="F4580" s="40">
        <v>0.0</v>
      </c>
      <c r="G4580" s="33" t="s">
        <v>450</v>
      </c>
    </row>
    <row r="4581" ht="15.75" customHeight="1">
      <c r="A4581" s="33" t="s">
        <v>8567</v>
      </c>
      <c r="B4581" s="33" t="s">
        <v>375</v>
      </c>
      <c r="C4581" s="39">
        <v>45761.0</v>
      </c>
      <c r="D4581" s="33" t="s">
        <v>461</v>
      </c>
      <c r="E4581" s="40">
        <v>140.2</v>
      </c>
      <c r="F4581" s="40">
        <v>1.77</v>
      </c>
      <c r="G4581" s="33" t="s">
        <v>442</v>
      </c>
    </row>
    <row r="4582" ht="15.75" customHeight="1">
      <c r="A4582" s="33" t="s">
        <v>8568</v>
      </c>
      <c r="B4582" s="33" t="s">
        <v>1249</v>
      </c>
      <c r="C4582" s="39">
        <v>46126.0</v>
      </c>
      <c r="D4582" s="33" t="s">
        <v>440</v>
      </c>
      <c r="E4582" s="40">
        <v>22.5</v>
      </c>
      <c r="F4582" s="40">
        <v>0.0</v>
      </c>
      <c r="G4582" s="33" t="s">
        <v>450</v>
      </c>
    </row>
    <row r="4583" ht="15.75" customHeight="1">
      <c r="A4583" s="33" t="s">
        <v>8569</v>
      </c>
      <c r="B4583" s="33" t="s">
        <v>1711</v>
      </c>
      <c r="C4583" s="39">
        <v>45856.0</v>
      </c>
      <c r="D4583" s="33" t="s">
        <v>479</v>
      </c>
      <c r="E4583" s="40">
        <v>29.99</v>
      </c>
      <c r="F4583" s="40">
        <v>0.55</v>
      </c>
      <c r="G4583" s="33" t="s">
        <v>442</v>
      </c>
    </row>
    <row r="4584" ht="15.75" customHeight="1">
      <c r="A4584" s="33" t="s">
        <v>8570</v>
      </c>
      <c r="B4584" s="33" t="s">
        <v>822</v>
      </c>
      <c r="C4584" s="39">
        <v>45719.0</v>
      </c>
      <c r="D4584" s="33" t="s">
        <v>435</v>
      </c>
      <c r="E4584" s="40">
        <v>162.61</v>
      </c>
      <c r="F4584" s="40">
        <v>0.0</v>
      </c>
      <c r="G4584" s="33" t="s">
        <v>450</v>
      </c>
    </row>
    <row r="4585" ht="15.75" customHeight="1">
      <c r="A4585" s="33" t="s">
        <v>8571</v>
      </c>
      <c r="B4585" s="33" t="s">
        <v>1789</v>
      </c>
      <c r="C4585" s="39">
        <v>45835.0</v>
      </c>
      <c r="D4585" s="33" t="s">
        <v>435</v>
      </c>
      <c r="E4585" s="40">
        <v>159.01</v>
      </c>
      <c r="F4585" s="40">
        <v>0.0</v>
      </c>
      <c r="G4585" s="33" t="s">
        <v>450</v>
      </c>
    </row>
    <row r="4586" ht="15.75" customHeight="1">
      <c r="A4586" s="33" t="s">
        <v>8572</v>
      </c>
      <c r="B4586" s="33" t="s">
        <v>2158</v>
      </c>
      <c r="C4586" s="39">
        <v>45872.0</v>
      </c>
      <c r="D4586" s="33" t="s">
        <v>428</v>
      </c>
      <c r="E4586" s="40">
        <v>164.79</v>
      </c>
      <c r="F4586" s="40">
        <v>0.0</v>
      </c>
      <c r="G4586" s="33" t="s">
        <v>442</v>
      </c>
    </row>
    <row r="4587" ht="15.75" customHeight="1">
      <c r="A4587" s="33" t="s">
        <v>8573</v>
      </c>
      <c r="B4587" s="33" t="s">
        <v>1711</v>
      </c>
      <c r="C4587" s="39">
        <v>46093.0</v>
      </c>
      <c r="D4587" s="33" t="s">
        <v>461</v>
      </c>
      <c r="E4587" s="40">
        <v>90.92</v>
      </c>
      <c r="F4587" s="40">
        <v>1.6</v>
      </c>
      <c r="G4587" s="33" t="s">
        <v>450</v>
      </c>
    </row>
    <row r="4588" ht="15.75" customHeight="1">
      <c r="A4588" s="33" t="s">
        <v>8574</v>
      </c>
      <c r="B4588" s="33" t="s">
        <v>426</v>
      </c>
      <c r="C4588" s="39">
        <v>45712.0</v>
      </c>
      <c r="D4588" s="33" t="s">
        <v>435</v>
      </c>
      <c r="E4588" s="40">
        <v>139.76</v>
      </c>
      <c r="F4588" s="40">
        <v>0.0</v>
      </c>
      <c r="G4588" s="33" t="s">
        <v>450</v>
      </c>
    </row>
    <row r="4589" ht="15.75" customHeight="1">
      <c r="A4589" s="33" t="s">
        <v>8575</v>
      </c>
      <c r="B4589" s="33" t="s">
        <v>2066</v>
      </c>
      <c r="C4589" s="39">
        <v>45673.0</v>
      </c>
      <c r="D4589" s="33" t="s">
        <v>461</v>
      </c>
      <c r="E4589" s="40">
        <v>58.68</v>
      </c>
      <c r="F4589" s="40">
        <v>0.99</v>
      </c>
      <c r="G4589" s="33" t="s">
        <v>431</v>
      </c>
    </row>
    <row r="4590" ht="15.75" customHeight="1">
      <c r="A4590" s="33" t="s">
        <v>8576</v>
      </c>
      <c r="B4590" s="33" t="s">
        <v>1424</v>
      </c>
      <c r="C4590" s="39">
        <v>46097.0</v>
      </c>
      <c r="D4590" s="33" t="s">
        <v>479</v>
      </c>
      <c r="E4590" s="40">
        <v>56.62</v>
      </c>
      <c r="F4590" s="40">
        <v>0.67</v>
      </c>
      <c r="G4590" s="33" t="s">
        <v>450</v>
      </c>
    </row>
    <row r="4591" ht="15.75" customHeight="1">
      <c r="A4591" s="33" t="s">
        <v>8577</v>
      </c>
      <c r="B4591" s="33" t="s">
        <v>1389</v>
      </c>
      <c r="C4591" s="39">
        <v>45744.0</v>
      </c>
      <c r="D4591" s="33" t="s">
        <v>479</v>
      </c>
      <c r="E4591" s="40">
        <v>87.23</v>
      </c>
      <c r="F4591" s="40">
        <v>1.25</v>
      </c>
      <c r="G4591" s="33" t="s">
        <v>450</v>
      </c>
    </row>
    <row r="4592" ht="15.75" customHeight="1">
      <c r="A4592" s="33" t="s">
        <v>8578</v>
      </c>
      <c r="B4592" s="33" t="s">
        <v>1080</v>
      </c>
      <c r="C4592" s="39">
        <v>45912.0</v>
      </c>
      <c r="D4592" s="33" t="s">
        <v>428</v>
      </c>
      <c r="E4592" s="40">
        <v>39.59</v>
      </c>
      <c r="F4592" s="40">
        <v>0.0</v>
      </c>
      <c r="G4592" s="33" t="s">
        <v>442</v>
      </c>
    </row>
    <row r="4593" ht="15.75" customHeight="1">
      <c r="A4593" s="33" t="s">
        <v>8579</v>
      </c>
      <c r="B4593" s="33" t="s">
        <v>2723</v>
      </c>
      <c r="C4593" s="39">
        <v>46072.0</v>
      </c>
      <c r="D4593" s="33" t="s">
        <v>428</v>
      </c>
      <c r="E4593" s="40">
        <v>34.2</v>
      </c>
      <c r="F4593" s="40">
        <v>0.0</v>
      </c>
      <c r="G4593" s="33" t="s">
        <v>450</v>
      </c>
    </row>
    <row r="4594" ht="15.75" customHeight="1">
      <c r="A4594" s="33" t="s">
        <v>8580</v>
      </c>
      <c r="B4594" s="33" t="s">
        <v>1067</v>
      </c>
      <c r="C4594" s="39">
        <v>45970.0</v>
      </c>
      <c r="D4594" s="33" t="s">
        <v>435</v>
      </c>
      <c r="E4594" s="40">
        <v>113.98</v>
      </c>
      <c r="F4594" s="40">
        <v>0.0</v>
      </c>
      <c r="G4594" s="33" t="s">
        <v>450</v>
      </c>
    </row>
    <row r="4595" ht="15.75" customHeight="1">
      <c r="A4595" s="33" t="s">
        <v>8581</v>
      </c>
      <c r="B4595" s="33" t="s">
        <v>1805</v>
      </c>
      <c r="C4595" s="39">
        <v>45732.0</v>
      </c>
      <c r="D4595" s="33" t="s">
        <v>440</v>
      </c>
      <c r="E4595" s="40">
        <v>121.16</v>
      </c>
      <c r="F4595" s="40">
        <v>0.0</v>
      </c>
      <c r="G4595" s="33" t="s">
        <v>450</v>
      </c>
    </row>
    <row r="4596" ht="15.75" customHeight="1">
      <c r="A4596" s="33" t="s">
        <v>8582</v>
      </c>
      <c r="B4596" s="33" t="s">
        <v>1311</v>
      </c>
      <c r="C4596" s="39">
        <v>46096.0</v>
      </c>
      <c r="D4596" s="33" t="s">
        <v>440</v>
      </c>
      <c r="E4596" s="40">
        <v>34.95</v>
      </c>
      <c r="F4596" s="40">
        <v>0.0</v>
      </c>
      <c r="G4596" s="33" t="s">
        <v>431</v>
      </c>
    </row>
    <row r="4597" ht="15.75" customHeight="1">
      <c r="A4597" s="33" t="s">
        <v>8583</v>
      </c>
      <c r="B4597" s="33" t="s">
        <v>1517</v>
      </c>
      <c r="C4597" s="39">
        <v>45687.0</v>
      </c>
      <c r="D4597" s="33" t="s">
        <v>428</v>
      </c>
      <c r="E4597" s="40">
        <v>47.6</v>
      </c>
      <c r="F4597" s="40">
        <v>0.0</v>
      </c>
      <c r="G4597" s="33" t="s">
        <v>450</v>
      </c>
    </row>
    <row r="4598" ht="15.75" customHeight="1">
      <c r="A4598" s="33" t="s">
        <v>8584</v>
      </c>
      <c r="B4598" s="33" t="s">
        <v>863</v>
      </c>
      <c r="C4598" s="39">
        <v>45799.0</v>
      </c>
      <c r="D4598" s="33" t="s">
        <v>461</v>
      </c>
      <c r="E4598" s="40">
        <v>102.79</v>
      </c>
      <c r="F4598" s="40">
        <v>1.53</v>
      </c>
      <c r="G4598" s="33" t="s">
        <v>442</v>
      </c>
    </row>
    <row r="4599" ht="15.75" customHeight="1">
      <c r="A4599" s="33" t="s">
        <v>8585</v>
      </c>
      <c r="B4599" s="33" t="s">
        <v>579</v>
      </c>
      <c r="C4599" s="39">
        <v>45724.0</v>
      </c>
      <c r="D4599" s="33" t="s">
        <v>461</v>
      </c>
      <c r="E4599" s="40">
        <v>96.69</v>
      </c>
      <c r="F4599" s="40">
        <v>1.03</v>
      </c>
      <c r="G4599" s="33" t="s">
        <v>450</v>
      </c>
    </row>
    <row r="4600" ht="15.75" customHeight="1">
      <c r="A4600" s="33" t="s">
        <v>8586</v>
      </c>
      <c r="B4600" s="33" t="s">
        <v>3633</v>
      </c>
      <c r="C4600" s="39">
        <v>45969.0</v>
      </c>
      <c r="D4600" s="33" t="s">
        <v>435</v>
      </c>
      <c r="E4600" s="40">
        <v>90.99</v>
      </c>
      <c r="F4600" s="40">
        <v>0.0</v>
      </c>
      <c r="G4600" s="33" t="s">
        <v>431</v>
      </c>
    </row>
    <row r="4601" ht="15.75" customHeight="1">
      <c r="A4601" s="33" t="s">
        <v>8587</v>
      </c>
      <c r="B4601" s="33" t="s">
        <v>583</v>
      </c>
      <c r="C4601" s="39">
        <v>46077.0</v>
      </c>
      <c r="D4601" s="33" t="s">
        <v>428</v>
      </c>
      <c r="E4601" s="40">
        <v>36.49</v>
      </c>
      <c r="F4601" s="40">
        <v>0.0</v>
      </c>
      <c r="G4601" s="33" t="s">
        <v>431</v>
      </c>
    </row>
    <row r="4602" ht="15.75" customHeight="1">
      <c r="A4602" s="33" t="s">
        <v>8588</v>
      </c>
      <c r="B4602" s="33" t="s">
        <v>308</v>
      </c>
      <c r="C4602" s="39">
        <v>46052.0</v>
      </c>
      <c r="D4602" s="33" t="s">
        <v>479</v>
      </c>
      <c r="E4602" s="40">
        <v>324.03</v>
      </c>
      <c r="F4602" s="40">
        <v>5.03</v>
      </c>
      <c r="G4602" s="33" t="s">
        <v>450</v>
      </c>
    </row>
    <row r="4603" ht="15.75" customHeight="1">
      <c r="A4603" s="33" t="s">
        <v>8589</v>
      </c>
      <c r="B4603" s="33" t="s">
        <v>2860</v>
      </c>
      <c r="C4603" s="39">
        <v>45742.0</v>
      </c>
      <c r="D4603" s="33" t="s">
        <v>440</v>
      </c>
      <c r="E4603" s="40">
        <v>52.61</v>
      </c>
      <c r="F4603" s="40">
        <v>0.0</v>
      </c>
      <c r="G4603" s="33" t="s">
        <v>450</v>
      </c>
    </row>
    <row r="4604" ht="15.75" customHeight="1">
      <c r="A4604" s="33" t="s">
        <v>8590</v>
      </c>
      <c r="B4604" s="33" t="s">
        <v>1162</v>
      </c>
      <c r="C4604" s="39">
        <v>45866.0</v>
      </c>
      <c r="D4604" s="33" t="s">
        <v>479</v>
      </c>
      <c r="E4604" s="40">
        <v>105.84</v>
      </c>
      <c r="F4604" s="40">
        <v>0.55</v>
      </c>
      <c r="G4604" s="33" t="s">
        <v>450</v>
      </c>
    </row>
    <row r="4605" ht="15.75" customHeight="1">
      <c r="A4605" s="33" t="s">
        <v>8591</v>
      </c>
      <c r="B4605" s="33" t="s">
        <v>2139</v>
      </c>
      <c r="C4605" s="39">
        <v>45746.0</v>
      </c>
      <c r="D4605" s="33" t="s">
        <v>479</v>
      </c>
      <c r="E4605" s="40">
        <v>27.69</v>
      </c>
      <c r="F4605" s="40">
        <v>0.21</v>
      </c>
      <c r="G4605" s="33" t="s">
        <v>450</v>
      </c>
    </row>
    <row r="4606" ht="15.75" customHeight="1">
      <c r="A4606" s="33" t="s">
        <v>8592</v>
      </c>
      <c r="B4606" s="33" t="s">
        <v>2836</v>
      </c>
      <c r="C4606" s="39">
        <v>45866.0</v>
      </c>
      <c r="D4606" s="33" t="s">
        <v>440</v>
      </c>
      <c r="E4606" s="40">
        <v>72.7</v>
      </c>
      <c r="F4606" s="40">
        <v>0.0</v>
      </c>
      <c r="G4606" s="33" t="s">
        <v>450</v>
      </c>
    </row>
    <row r="4607" ht="15.75" customHeight="1">
      <c r="A4607" s="33" t="s">
        <v>8593</v>
      </c>
      <c r="B4607" s="33" t="s">
        <v>3140</v>
      </c>
      <c r="C4607" s="39">
        <v>45797.0</v>
      </c>
      <c r="D4607" s="33" t="s">
        <v>428</v>
      </c>
      <c r="E4607" s="40">
        <v>34.22</v>
      </c>
      <c r="F4607" s="40">
        <v>0.0</v>
      </c>
      <c r="G4607" s="33" t="s">
        <v>450</v>
      </c>
    </row>
    <row r="4608" ht="15.75" customHeight="1">
      <c r="A4608" s="33" t="s">
        <v>8594</v>
      </c>
      <c r="B4608" s="33" t="s">
        <v>1716</v>
      </c>
      <c r="C4608" s="39">
        <v>46107.0</v>
      </c>
      <c r="D4608" s="33" t="s">
        <v>428</v>
      </c>
      <c r="E4608" s="40">
        <v>50.89</v>
      </c>
      <c r="F4608" s="40">
        <v>0.0</v>
      </c>
      <c r="G4608" s="33" t="s">
        <v>431</v>
      </c>
    </row>
    <row r="4609" ht="15.75" customHeight="1">
      <c r="A4609" s="33" t="s">
        <v>8595</v>
      </c>
      <c r="B4609" s="33" t="s">
        <v>2729</v>
      </c>
      <c r="C4609" s="39">
        <v>46113.0</v>
      </c>
      <c r="D4609" s="33" t="s">
        <v>435</v>
      </c>
      <c r="E4609" s="40">
        <v>92.24</v>
      </c>
      <c r="F4609" s="40">
        <v>0.0</v>
      </c>
      <c r="G4609" s="33" t="s">
        <v>442</v>
      </c>
    </row>
    <row r="4610" ht="15.75" customHeight="1">
      <c r="A4610" s="33" t="s">
        <v>8596</v>
      </c>
      <c r="B4610" s="33" t="s">
        <v>1610</v>
      </c>
      <c r="C4610" s="39">
        <v>46154.0</v>
      </c>
      <c r="D4610" s="33" t="s">
        <v>428</v>
      </c>
      <c r="E4610" s="40">
        <v>182.02</v>
      </c>
      <c r="F4610" s="40">
        <v>0.0</v>
      </c>
      <c r="G4610" s="33" t="s">
        <v>450</v>
      </c>
    </row>
    <row r="4611" ht="15.75" customHeight="1">
      <c r="A4611" s="33" t="s">
        <v>8597</v>
      </c>
      <c r="B4611" s="33" t="s">
        <v>478</v>
      </c>
      <c r="C4611" s="39">
        <v>45779.0</v>
      </c>
      <c r="D4611" s="33" t="s">
        <v>479</v>
      </c>
      <c r="E4611" s="40">
        <v>46.62</v>
      </c>
      <c r="F4611" s="40">
        <v>0.41</v>
      </c>
      <c r="G4611" s="33" t="s">
        <v>450</v>
      </c>
    </row>
    <row r="4612" ht="15.75" customHeight="1">
      <c r="A4612" s="33" t="s">
        <v>8598</v>
      </c>
      <c r="B4612" s="33" t="s">
        <v>2053</v>
      </c>
      <c r="C4612" s="39">
        <v>45666.0</v>
      </c>
      <c r="D4612" s="33" t="s">
        <v>461</v>
      </c>
      <c r="E4612" s="40">
        <v>88.99</v>
      </c>
      <c r="F4612" s="40">
        <v>1.09</v>
      </c>
      <c r="G4612" s="33" t="s">
        <v>450</v>
      </c>
    </row>
    <row r="4613" ht="15.75" customHeight="1">
      <c r="A4613" s="33" t="s">
        <v>8599</v>
      </c>
      <c r="B4613" s="33" t="s">
        <v>2752</v>
      </c>
      <c r="C4613" s="39">
        <v>45679.0</v>
      </c>
      <c r="D4613" s="33" t="s">
        <v>461</v>
      </c>
      <c r="E4613" s="40">
        <v>104.86</v>
      </c>
      <c r="F4613" s="40">
        <v>0.56</v>
      </c>
      <c r="G4613" s="33" t="s">
        <v>450</v>
      </c>
    </row>
    <row r="4614" ht="15.75" customHeight="1">
      <c r="A4614" s="33" t="s">
        <v>8600</v>
      </c>
      <c r="B4614" s="33" t="s">
        <v>464</v>
      </c>
      <c r="C4614" s="39">
        <v>46169.0</v>
      </c>
      <c r="D4614" s="33" t="s">
        <v>479</v>
      </c>
      <c r="E4614" s="40">
        <v>125.05</v>
      </c>
      <c r="F4614" s="40">
        <v>2.4</v>
      </c>
      <c r="G4614" s="33" t="s">
        <v>450</v>
      </c>
    </row>
    <row r="4615" ht="15.75" customHeight="1">
      <c r="A4615" s="33" t="s">
        <v>8601</v>
      </c>
      <c r="B4615" s="33" t="s">
        <v>1749</v>
      </c>
      <c r="C4615" s="39">
        <v>46207.0</v>
      </c>
      <c r="D4615" s="33" t="s">
        <v>461</v>
      </c>
      <c r="E4615" s="40">
        <v>12.04</v>
      </c>
      <c r="F4615" s="40">
        <v>0.2</v>
      </c>
      <c r="G4615" s="33" t="s">
        <v>442</v>
      </c>
    </row>
    <row r="4616" ht="15.75" customHeight="1">
      <c r="A4616" s="33" t="s">
        <v>8602</v>
      </c>
      <c r="B4616" s="33" t="s">
        <v>2610</v>
      </c>
      <c r="C4616" s="39">
        <v>45786.0</v>
      </c>
      <c r="D4616" s="33" t="s">
        <v>461</v>
      </c>
      <c r="E4616" s="40">
        <v>137.96</v>
      </c>
      <c r="F4616" s="40">
        <v>1.74</v>
      </c>
      <c r="G4616" s="33" t="s">
        <v>450</v>
      </c>
    </row>
    <row r="4617" ht="15.75" customHeight="1">
      <c r="A4617" s="33" t="s">
        <v>8603</v>
      </c>
      <c r="B4617" s="33" t="s">
        <v>600</v>
      </c>
      <c r="C4617" s="39">
        <v>46189.0</v>
      </c>
      <c r="D4617" s="33" t="s">
        <v>428</v>
      </c>
      <c r="E4617" s="40">
        <v>105.71</v>
      </c>
      <c r="F4617" s="40">
        <v>0.0</v>
      </c>
      <c r="G4617" s="33" t="s">
        <v>431</v>
      </c>
    </row>
    <row r="4618" ht="15.75" customHeight="1">
      <c r="A4618" s="33" t="s">
        <v>8604</v>
      </c>
      <c r="B4618" s="33" t="s">
        <v>378</v>
      </c>
      <c r="C4618" s="39">
        <v>45979.0</v>
      </c>
      <c r="D4618" s="33" t="s">
        <v>479</v>
      </c>
      <c r="E4618" s="40">
        <v>90.89</v>
      </c>
      <c r="F4618" s="40">
        <v>0.75</v>
      </c>
      <c r="G4618" s="33" t="s">
        <v>431</v>
      </c>
    </row>
    <row r="4619" ht="15.75" customHeight="1">
      <c r="A4619" s="33" t="s">
        <v>8605</v>
      </c>
      <c r="B4619" s="33" t="s">
        <v>1200</v>
      </c>
      <c r="C4619" s="39">
        <v>45770.0</v>
      </c>
      <c r="D4619" s="33" t="s">
        <v>461</v>
      </c>
      <c r="E4619" s="40">
        <v>42.06</v>
      </c>
      <c r="F4619" s="40">
        <v>0.68</v>
      </c>
      <c r="G4619" s="33" t="s">
        <v>450</v>
      </c>
    </row>
    <row r="4620" ht="15.75" customHeight="1">
      <c r="A4620" s="33" t="s">
        <v>8606</v>
      </c>
      <c r="B4620" s="33" t="s">
        <v>1834</v>
      </c>
      <c r="C4620" s="39">
        <v>45847.0</v>
      </c>
      <c r="D4620" s="33" t="s">
        <v>428</v>
      </c>
      <c r="E4620" s="40">
        <v>96.91</v>
      </c>
      <c r="F4620" s="40">
        <v>0.0</v>
      </c>
      <c r="G4620" s="33" t="s">
        <v>450</v>
      </c>
    </row>
    <row r="4621" ht="15.75" customHeight="1">
      <c r="A4621" s="33" t="s">
        <v>8607</v>
      </c>
      <c r="B4621" s="33" t="s">
        <v>250</v>
      </c>
      <c r="C4621" s="39">
        <v>45819.0</v>
      </c>
      <c r="D4621" s="33" t="s">
        <v>428</v>
      </c>
      <c r="E4621" s="40">
        <v>268.36</v>
      </c>
      <c r="F4621" s="40">
        <v>0.0</v>
      </c>
      <c r="G4621" s="33" t="s">
        <v>431</v>
      </c>
    </row>
    <row r="4622" ht="15.75" customHeight="1">
      <c r="A4622" s="33" t="s">
        <v>8608</v>
      </c>
      <c r="B4622" s="33" t="s">
        <v>1524</v>
      </c>
      <c r="C4622" s="39">
        <v>46121.0</v>
      </c>
      <c r="D4622" s="33" t="s">
        <v>435</v>
      </c>
      <c r="E4622" s="40">
        <v>168.59</v>
      </c>
      <c r="F4622" s="40">
        <v>0.0</v>
      </c>
      <c r="G4622" s="33" t="s">
        <v>431</v>
      </c>
    </row>
    <row r="4623" ht="15.75" customHeight="1">
      <c r="A4623" s="33" t="s">
        <v>8609</v>
      </c>
      <c r="B4623" s="33" t="s">
        <v>1881</v>
      </c>
      <c r="C4623" s="39">
        <v>45772.0</v>
      </c>
      <c r="D4623" s="33" t="s">
        <v>479</v>
      </c>
      <c r="E4623" s="40">
        <v>56.3</v>
      </c>
      <c r="F4623" s="40">
        <v>0.44</v>
      </c>
      <c r="G4623" s="33" t="s">
        <v>450</v>
      </c>
    </row>
    <row r="4624" ht="15.75" customHeight="1">
      <c r="A4624" s="33" t="s">
        <v>8610</v>
      </c>
      <c r="B4624" s="33" t="s">
        <v>533</v>
      </c>
      <c r="C4624" s="39">
        <v>45769.0</v>
      </c>
      <c r="D4624" s="33" t="s">
        <v>479</v>
      </c>
      <c r="E4624" s="40">
        <v>89.92</v>
      </c>
      <c r="F4624" s="40">
        <v>0.57</v>
      </c>
      <c r="G4624" s="33" t="s">
        <v>450</v>
      </c>
    </row>
    <row r="4625" ht="15.75" customHeight="1">
      <c r="A4625" s="33" t="s">
        <v>8611</v>
      </c>
      <c r="B4625" s="33" t="s">
        <v>945</v>
      </c>
      <c r="C4625" s="39">
        <v>46094.0</v>
      </c>
      <c r="D4625" s="33" t="s">
        <v>461</v>
      </c>
      <c r="E4625" s="40">
        <v>91.97</v>
      </c>
      <c r="F4625" s="40">
        <v>0.71</v>
      </c>
      <c r="G4625" s="33" t="s">
        <v>450</v>
      </c>
    </row>
    <row r="4626" ht="15.75" customHeight="1">
      <c r="A4626" s="33" t="s">
        <v>8612</v>
      </c>
      <c r="B4626" s="33" t="s">
        <v>1475</v>
      </c>
      <c r="C4626" s="39">
        <v>45841.0</v>
      </c>
      <c r="D4626" s="33" t="s">
        <v>461</v>
      </c>
      <c r="E4626" s="40">
        <v>63.06</v>
      </c>
      <c r="F4626" s="40">
        <v>1.13</v>
      </c>
      <c r="G4626" s="33" t="s">
        <v>450</v>
      </c>
    </row>
    <row r="4627" ht="15.75" customHeight="1">
      <c r="A4627" s="33" t="s">
        <v>8613</v>
      </c>
      <c r="B4627" s="33" t="s">
        <v>1649</v>
      </c>
      <c r="C4627" s="39">
        <v>45809.0</v>
      </c>
      <c r="D4627" s="33" t="s">
        <v>428</v>
      </c>
      <c r="E4627" s="40">
        <v>23.27</v>
      </c>
      <c r="F4627" s="40">
        <v>0.0</v>
      </c>
      <c r="G4627" s="33" t="s">
        <v>450</v>
      </c>
    </row>
    <row r="4628" ht="15.75" customHeight="1">
      <c r="A4628" s="33" t="s">
        <v>8614</v>
      </c>
      <c r="B4628" s="33" t="s">
        <v>326</v>
      </c>
      <c r="C4628" s="39">
        <v>46148.0</v>
      </c>
      <c r="D4628" s="33" t="s">
        <v>479</v>
      </c>
      <c r="E4628" s="40">
        <v>57.06</v>
      </c>
      <c r="F4628" s="40">
        <v>0.75</v>
      </c>
      <c r="G4628" s="33" t="s">
        <v>450</v>
      </c>
    </row>
    <row r="4629" ht="15.75" customHeight="1">
      <c r="A4629" s="33" t="s">
        <v>8615</v>
      </c>
      <c r="B4629" s="33" t="s">
        <v>880</v>
      </c>
      <c r="C4629" s="39">
        <v>46223.0</v>
      </c>
      <c r="D4629" s="33" t="s">
        <v>461</v>
      </c>
      <c r="E4629" s="40">
        <v>111.3</v>
      </c>
      <c r="F4629" s="40">
        <v>0.6</v>
      </c>
      <c r="G4629" s="33" t="s">
        <v>450</v>
      </c>
    </row>
    <row r="4630" ht="15.75" customHeight="1">
      <c r="A4630" s="33" t="s">
        <v>8616</v>
      </c>
      <c r="B4630" s="33" t="s">
        <v>2040</v>
      </c>
      <c r="C4630" s="39">
        <v>45995.0</v>
      </c>
      <c r="D4630" s="33" t="s">
        <v>428</v>
      </c>
      <c r="E4630" s="40">
        <v>56.05</v>
      </c>
      <c r="F4630" s="40">
        <v>0.0</v>
      </c>
      <c r="G4630" s="33" t="s">
        <v>442</v>
      </c>
    </row>
    <row r="4631" ht="15.75" customHeight="1">
      <c r="A4631" s="33" t="s">
        <v>8617</v>
      </c>
      <c r="B4631" s="33" t="s">
        <v>2308</v>
      </c>
      <c r="C4631" s="39">
        <v>46160.0</v>
      </c>
      <c r="D4631" s="33" t="s">
        <v>435</v>
      </c>
      <c r="E4631" s="40">
        <v>72.67</v>
      </c>
      <c r="F4631" s="40">
        <v>0.0</v>
      </c>
      <c r="G4631" s="33" t="s">
        <v>431</v>
      </c>
    </row>
    <row r="4632" ht="15.75" customHeight="1">
      <c r="A4632" s="33" t="s">
        <v>8618</v>
      </c>
      <c r="B4632" s="33" t="s">
        <v>2394</v>
      </c>
      <c r="C4632" s="39">
        <v>46168.0</v>
      </c>
      <c r="D4632" s="33" t="s">
        <v>461</v>
      </c>
      <c r="E4632" s="40">
        <v>183.5</v>
      </c>
      <c r="F4632" s="40">
        <v>2.39</v>
      </c>
      <c r="G4632" s="33" t="s">
        <v>450</v>
      </c>
    </row>
    <row r="4633" ht="15.75" customHeight="1">
      <c r="A4633" s="33" t="s">
        <v>8619</v>
      </c>
      <c r="B4633" s="33" t="s">
        <v>565</v>
      </c>
      <c r="C4633" s="39">
        <v>46015.0</v>
      </c>
      <c r="D4633" s="33" t="s">
        <v>440</v>
      </c>
      <c r="E4633" s="40">
        <v>73.02</v>
      </c>
      <c r="F4633" s="40">
        <v>0.0</v>
      </c>
      <c r="G4633" s="33" t="s">
        <v>450</v>
      </c>
    </row>
    <row r="4634" ht="15.75" customHeight="1">
      <c r="A4634" s="33" t="s">
        <v>8620</v>
      </c>
      <c r="B4634" s="33" t="s">
        <v>1721</v>
      </c>
      <c r="C4634" s="39">
        <v>46161.0</v>
      </c>
      <c r="D4634" s="33" t="s">
        <v>428</v>
      </c>
      <c r="E4634" s="40">
        <v>76.61</v>
      </c>
      <c r="F4634" s="40">
        <v>0.0</v>
      </c>
      <c r="G4634" s="33" t="s">
        <v>442</v>
      </c>
    </row>
    <row r="4635" ht="15.75" customHeight="1">
      <c r="A4635" s="33" t="s">
        <v>8621</v>
      </c>
      <c r="B4635" s="33" t="s">
        <v>320</v>
      </c>
      <c r="C4635" s="39">
        <v>45663.0</v>
      </c>
      <c r="D4635" s="33" t="s">
        <v>479</v>
      </c>
      <c r="E4635" s="40">
        <v>84.13</v>
      </c>
      <c r="F4635" s="40">
        <v>0.48</v>
      </c>
      <c r="G4635" s="33" t="s">
        <v>442</v>
      </c>
    </row>
    <row r="4636" ht="15.75" customHeight="1">
      <c r="A4636" s="33" t="s">
        <v>8622</v>
      </c>
      <c r="B4636" s="33" t="s">
        <v>3048</v>
      </c>
      <c r="C4636" s="39">
        <v>45679.0</v>
      </c>
      <c r="D4636" s="33" t="s">
        <v>461</v>
      </c>
      <c r="E4636" s="40">
        <v>52.04</v>
      </c>
      <c r="F4636" s="40">
        <v>1.0</v>
      </c>
      <c r="G4636" s="33" t="s">
        <v>450</v>
      </c>
    </row>
    <row r="4637" ht="15.75" customHeight="1">
      <c r="A4637" s="33" t="s">
        <v>8623</v>
      </c>
      <c r="B4637" s="33" t="s">
        <v>969</v>
      </c>
      <c r="C4637" s="39">
        <v>46194.0</v>
      </c>
      <c r="D4637" s="33" t="s">
        <v>461</v>
      </c>
      <c r="E4637" s="40">
        <v>140.98</v>
      </c>
      <c r="F4637" s="40">
        <v>1.98</v>
      </c>
      <c r="G4637" s="33" t="s">
        <v>450</v>
      </c>
    </row>
    <row r="4638" ht="15.75" customHeight="1">
      <c r="A4638" s="33" t="s">
        <v>8624</v>
      </c>
      <c r="B4638" s="33" t="s">
        <v>1883</v>
      </c>
      <c r="C4638" s="39">
        <v>45743.0</v>
      </c>
      <c r="D4638" s="33" t="s">
        <v>440</v>
      </c>
      <c r="E4638" s="40">
        <v>27.77</v>
      </c>
      <c r="F4638" s="40">
        <v>0.0</v>
      </c>
      <c r="G4638" s="33" t="s">
        <v>450</v>
      </c>
    </row>
    <row r="4639" ht="15.75" customHeight="1">
      <c r="A4639" s="33" t="s">
        <v>8625</v>
      </c>
      <c r="B4639" s="33" t="s">
        <v>1300</v>
      </c>
      <c r="C4639" s="39">
        <v>46099.0</v>
      </c>
      <c r="D4639" s="33" t="s">
        <v>479</v>
      </c>
      <c r="E4639" s="40">
        <v>51.83</v>
      </c>
      <c r="F4639" s="40">
        <v>0.97</v>
      </c>
      <c r="G4639" s="33" t="s">
        <v>450</v>
      </c>
    </row>
    <row r="4640" ht="15.75" customHeight="1">
      <c r="A4640" s="33" t="s">
        <v>8626</v>
      </c>
      <c r="B4640" s="33" t="s">
        <v>1207</v>
      </c>
      <c r="C4640" s="39">
        <v>45913.0</v>
      </c>
      <c r="D4640" s="33" t="s">
        <v>461</v>
      </c>
      <c r="E4640" s="40">
        <v>90.26</v>
      </c>
      <c r="F4640" s="40">
        <v>1.2</v>
      </c>
      <c r="G4640" s="33" t="s">
        <v>442</v>
      </c>
    </row>
    <row r="4641" ht="15.75" customHeight="1">
      <c r="A4641" s="33" t="s">
        <v>8627</v>
      </c>
      <c r="B4641" s="33" t="s">
        <v>1881</v>
      </c>
      <c r="C4641" s="39">
        <v>46136.0</v>
      </c>
      <c r="D4641" s="33" t="s">
        <v>461</v>
      </c>
      <c r="E4641" s="40">
        <v>58.82</v>
      </c>
      <c r="F4641" s="40">
        <v>0.84</v>
      </c>
      <c r="G4641" s="33" t="s">
        <v>431</v>
      </c>
    </row>
    <row r="4642" ht="15.75" customHeight="1">
      <c r="A4642" s="33" t="s">
        <v>8628</v>
      </c>
      <c r="B4642" s="33" t="s">
        <v>902</v>
      </c>
      <c r="C4642" s="39">
        <v>46061.0</v>
      </c>
      <c r="D4642" s="33" t="s">
        <v>440</v>
      </c>
      <c r="E4642" s="40">
        <v>215.68</v>
      </c>
      <c r="F4642" s="40">
        <v>0.0</v>
      </c>
      <c r="G4642" s="33" t="s">
        <v>442</v>
      </c>
    </row>
    <row r="4643" ht="15.75" customHeight="1">
      <c r="A4643" s="33" t="s">
        <v>8629</v>
      </c>
      <c r="B4643" s="33" t="s">
        <v>2953</v>
      </c>
      <c r="C4643" s="39">
        <v>45701.0</v>
      </c>
      <c r="D4643" s="33" t="s">
        <v>428</v>
      </c>
      <c r="E4643" s="40">
        <v>77.18</v>
      </c>
      <c r="F4643" s="40">
        <v>0.0</v>
      </c>
      <c r="G4643" s="33" t="s">
        <v>431</v>
      </c>
    </row>
    <row r="4644" ht="15.75" customHeight="1">
      <c r="A4644" s="33" t="s">
        <v>8630</v>
      </c>
      <c r="B4644" s="33" t="s">
        <v>861</v>
      </c>
      <c r="C4644" s="39">
        <v>45862.0</v>
      </c>
      <c r="D4644" s="33" t="s">
        <v>435</v>
      </c>
      <c r="E4644" s="40">
        <v>75.59</v>
      </c>
      <c r="F4644" s="40">
        <v>0.0</v>
      </c>
      <c r="G4644" s="33" t="s">
        <v>450</v>
      </c>
    </row>
    <row r="4645" ht="15.75" customHeight="1">
      <c r="A4645" s="33" t="s">
        <v>8631</v>
      </c>
      <c r="B4645" s="33" t="s">
        <v>3177</v>
      </c>
      <c r="C4645" s="39">
        <v>46088.0</v>
      </c>
      <c r="D4645" s="33" t="s">
        <v>440</v>
      </c>
      <c r="E4645" s="40">
        <v>34.87</v>
      </c>
      <c r="F4645" s="40">
        <v>0.0</v>
      </c>
      <c r="G4645" s="33" t="s">
        <v>450</v>
      </c>
    </row>
    <row r="4646" ht="15.75" customHeight="1">
      <c r="A4646" s="33" t="s">
        <v>8632</v>
      </c>
      <c r="B4646" s="33" t="s">
        <v>1656</v>
      </c>
      <c r="C4646" s="39">
        <v>46217.0</v>
      </c>
      <c r="D4646" s="33" t="s">
        <v>428</v>
      </c>
      <c r="E4646" s="40">
        <v>59.77</v>
      </c>
      <c r="F4646" s="40">
        <v>0.0</v>
      </c>
      <c r="G4646" s="33" t="s">
        <v>450</v>
      </c>
    </row>
    <row r="4647" ht="15.75" customHeight="1">
      <c r="A4647" s="33" t="s">
        <v>8633</v>
      </c>
      <c r="B4647" s="33" t="s">
        <v>1137</v>
      </c>
      <c r="C4647" s="39">
        <v>46146.0</v>
      </c>
      <c r="D4647" s="33" t="s">
        <v>461</v>
      </c>
      <c r="E4647" s="40">
        <v>136.78</v>
      </c>
      <c r="F4647" s="40">
        <v>1.1</v>
      </c>
      <c r="G4647" s="33" t="s">
        <v>450</v>
      </c>
    </row>
    <row r="4648" ht="15.75" customHeight="1">
      <c r="A4648" s="33" t="s">
        <v>8634</v>
      </c>
      <c r="B4648" s="33" t="s">
        <v>1408</v>
      </c>
      <c r="C4648" s="39">
        <v>46199.0</v>
      </c>
      <c r="D4648" s="33" t="s">
        <v>479</v>
      </c>
      <c r="E4648" s="40">
        <v>43.86</v>
      </c>
      <c r="F4648" s="40">
        <v>0.76</v>
      </c>
      <c r="G4648" s="33" t="s">
        <v>431</v>
      </c>
    </row>
    <row r="4649" ht="15.75" customHeight="1">
      <c r="A4649" s="33" t="s">
        <v>8635</v>
      </c>
      <c r="B4649" s="33" t="s">
        <v>855</v>
      </c>
      <c r="C4649" s="39">
        <v>46238.0</v>
      </c>
      <c r="D4649" s="33" t="s">
        <v>479</v>
      </c>
      <c r="E4649" s="40">
        <v>15.49</v>
      </c>
      <c r="F4649" s="40">
        <v>0.1</v>
      </c>
      <c r="G4649" s="33" t="s">
        <v>450</v>
      </c>
    </row>
    <row r="4650" ht="15.75" customHeight="1">
      <c r="A4650" s="33" t="s">
        <v>8636</v>
      </c>
      <c r="B4650" s="33" t="s">
        <v>551</v>
      </c>
      <c r="C4650" s="39">
        <v>46200.0</v>
      </c>
      <c r="D4650" s="33" t="s">
        <v>428</v>
      </c>
      <c r="E4650" s="40">
        <v>67.9</v>
      </c>
      <c r="F4650" s="40">
        <v>0.0</v>
      </c>
      <c r="G4650" s="33" t="s">
        <v>431</v>
      </c>
    </row>
    <row r="4651" ht="15.75" customHeight="1">
      <c r="A4651" s="33" t="s">
        <v>8637</v>
      </c>
      <c r="B4651" s="33" t="s">
        <v>492</v>
      </c>
      <c r="C4651" s="39">
        <v>46010.0</v>
      </c>
      <c r="D4651" s="33" t="s">
        <v>440</v>
      </c>
      <c r="E4651" s="40">
        <v>79.9</v>
      </c>
      <c r="F4651" s="40">
        <v>0.0</v>
      </c>
      <c r="G4651" s="33" t="s">
        <v>431</v>
      </c>
    </row>
    <row r="4652" ht="15.75" customHeight="1">
      <c r="A4652" s="33" t="s">
        <v>8638</v>
      </c>
      <c r="B4652" s="33" t="s">
        <v>2276</v>
      </c>
      <c r="C4652" s="39">
        <v>45862.0</v>
      </c>
      <c r="D4652" s="33" t="s">
        <v>440</v>
      </c>
      <c r="E4652" s="40">
        <v>54.65</v>
      </c>
      <c r="F4652" s="40">
        <v>0.0</v>
      </c>
      <c r="G4652" s="33" t="s">
        <v>431</v>
      </c>
    </row>
    <row r="4653" ht="15.75" customHeight="1">
      <c r="A4653" s="33" t="s">
        <v>8639</v>
      </c>
      <c r="B4653" s="33" t="s">
        <v>1722</v>
      </c>
      <c r="C4653" s="39">
        <v>45966.0</v>
      </c>
      <c r="D4653" s="33" t="s">
        <v>479</v>
      </c>
      <c r="E4653" s="40">
        <v>185.34</v>
      </c>
      <c r="F4653" s="40">
        <v>1.39</v>
      </c>
      <c r="G4653" s="33" t="s">
        <v>450</v>
      </c>
    </row>
    <row r="4654" ht="15.75" customHeight="1">
      <c r="A4654" s="33" t="s">
        <v>8640</v>
      </c>
      <c r="B4654" s="33" t="s">
        <v>2836</v>
      </c>
      <c r="C4654" s="39">
        <v>46140.0</v>
      </c>
      <c r="D4654" s="33" t="s">
        <v>428</v>
      </c>
      <c r="E4654" s="40">
        <v>297.13</v>
      </c>
      <c r="F4654" s="40">
        <v>0.0</v>
      </c>
      <c r="G4654" s="33" t="s">
        <v>431</v>
      </c>
    </row>
    <row r="4655" ht="15.75" customHeight="1">
      <c r="A4655" s="33" t="s">
        <v>8641</v>
      </c>
      <c r="B4655" s="33" t="s">
        <v>1473</v>
      </c>
      <c r="C4655" s="39">
        <v>45916.0</v>
      </c>
      <c r="D4655" s="33" t="s">
        <v>479</v>
      </c>
      <c r="E4655" s="40">
        <v>89.83</v>
      </c>
      <c r="F4655" s="40">
        <v>1.47</v>
      </c>
      <c r="G4655" s="33" t="s">
        <v>450</v>
      </c>
    </row>
    <row r="4656" ht="15.75" customHeight="1">
      <c r="A4656" s="33" t="s">
        <v>8642</v>
      </c>
      <c r="B4656" s="33" t="s">
        <v>1127</v>
      </c>
      <c r="C4656" s="39">
        <v>46162.0</v>
      </c>
      <c r="D4656" s="33" t="s">
        <v>461</v>
      </c>
      <c r="E4656" s="40">
        <v>59.3</v>
      </c>
      <c r="F4656" s="40">
        <v>1.09</v>
      </c>
      <c r="G4656" s="33" t="s">
        <v>450</v>
      </c>
    </row>
    <row r="4657" ht="15.75" customHeight="1">
      <c r="A4657" s="33" t="s">
        <v>8643</v>
      </c>
      <c r="B4657" s="33" t="s">
        <v>1488</v>
      </c>
      <c r="C4657" s="39">
        <v>46083.0</v>
      </c>
      <c r="D4657" s="33" t="s">
        <v>428</v>
      </c>
      <c r="E4657" s="40">
        <v>111.34</v>
      </c>
      <c r="F4657" s="40">
        <v>0.0</v>
      </c>
      <c r="G4657" s="33" t="s">
        <v>442</v>
      </c>
    </row>
    <row r="4658" ht="15.75" customHeight="1">
      <c r="A4658" s="33" t="s">
        <v>8644</v>
      </c>
      <c r="B4658" s="33" t="s">
        <v>3687</v>
      </c>
      <c r="C4658" s="39">
        <v>45785.0</v>
      </c>
      <c r="D4658" s="33" t="s">
        <v>428</v>
      </c>
      <c r="E4658" s="40">
        <v>186.2</v>
      </c>
      <c r="F4658" s="40">
        <v>0.0</v>
      </c>
      <c r="G4658" s="33" t="s">
        <v>450</v>
      </c>
    </row>
    <row r="4659" ht="15.75" customHeight="1">
      <c r="A4659" s="33" t="s">
        <v>8645</v>
      </c>
      <c r="B4659" s="33" t="s">
        <v>855</v>
      </c>
      <c r="C4659" s="39">
        <v>46216.0</v>
      </c>
      <c r="D4659" s="33" t="s">
        <v>479</v>
      </c>
      <c r="E4659" s="40">
        <v>46.71</v>
      </c>
      <c r="F4659" s="40">
        <v>0.39</v>
      </c>
      <c r="G4659" s="33" t="s">
        <v>431</v>
      </c>
    </row>
    <row r="4660" ht="15.75" customHeight="1">
      <c r="A4660" s="33" t="s">
        <v>8646</v>
      </c>
      <c r="B4660" s="33" t="s">
        <v>696</v>
      </c>
      <c r="C4660" s="39">
        <v>46171.0</v>
      </c>
      <c r="D4660" s="33" t="s">
        <v>479</v>
      </c>
      <c r="E4660" s="40">
        <v>131.86</v>
      </c>
      <c r="F4660" s="40">
        <v>1.88</v>
      </c>
      <c r="G4660" s="33" t="s">
        <v>450</v>
      </c>
    </row>
    <row r="4661" ht="15.75" customHeight="1">
      <c r="A4661" s="33" t="s">
        <v>8647</v>
      </c>
      <c r="B4661" s="33" t="s">
        <v>1881</v>
      </c>
      <c r="C4661" s="39">
        <v>46022.0</v>
      </c>
      <c r="D4661" s="33" t="s">
        <v>435</v>
      </c>
      <c r="E4661" s="40">
        <v>67.85</v>
      </c>
      <c r="F4661" s="40">
        <v>0.0</v>
      </c>
      <c r="G4661" s="33" t="s">
        <v>450</v>
      </c>
    </row>
    <row r="4662" ht="15.75" customHeight="1">
      <c r="A4662" s="33" t="s">
        <v>8648</v>
      </c>
      <c r="B4662" s="33" t="s">
        <v>496</v>
      </c>
      <c r="C4662" s="39">
        <v>45775.0</v>
      </c>
      <c r="D4662" s="33" t="s">
        <v>435</v>
      </c>
      <c r="E4662" s="40">
        <v>161.8</v>
      </c>
      <c r="F4662" s="40">
        <v>0.0</v>
      </c>
      <c r="G4662" s="33" t="s">
        <v>450</v>
      </c>
    </row>
    <row r="4663" ht="15.75" customHeight="1">
      <c r="A4663" s="33" t="s">
        <v>8649</v>
      </c>
      <c r="B4663" s="33" t="s">
        <v>1799</v>
      </c>
      <c r="C4663" s="39">
        <v>45795.0</v>
      </c>
      <c r="D4663" s="33" t="s">
        <v>479</v>
      </c>
      <c r="E4663" s="40">
        <v>34.88</v>
      </c>
      <c r="F4663" s="40">
        <v>0.25</v>
      </c>
      <c r="G4663" s="33" t="s">
        <v>442</v>
      </c>
    </row>
    <row r="4664" ht="15.75" customHeight="1">
      <c r="A4664" s="33" t="s">
        <v>8650</v>
      </c>
      <c r="B4664" s="33" t="s">
        <v>458</v>
      </c>
      <c r="C4664" s="39">
        <v>46167.0</v>
      </c>
      <c r="D4664" s="33" t="s">
        <v>461</v>
      </c>
      <c r="E4664" s="40">
        <v>201.76</v>
      </c>
      <c r="F4664" s="40">
        <v>1.29</v>
      </c>
      <c r="G4664" s="33" t="s">
        <v>450</v>
      </c>
    </row>
    <row r="4665" ht="15.75" customHeight="1">
      <c r="A4665" s="33" t="s">
        <v>8651</v>
      </c>
      <c r="B4665" s="33" t="s">
        <v>1424</v>
      </c>
      <c r="C4665" s="39">
        <v>45668.0</v>
      </c>
      <c r="D4665" s="33" t="s">
        <v>428</v>
      </c>
      <c r="E4665" s="40">
        <v>91.99</v>
      </c>
      <c r="F4665" s="40">
        <v>0.0</v>
      </c>
      <c r="G4665" s="33" t="s">
        <v>450</v>
      </c>
    </row>
    <row r="4666" ht="15.75" customHeight="1">
      <c r="A4666" s="33" t="s">
        <v>8652</v>
      </c>
      <c r="B4666" s="33" t="s">
        <v>692</v>
      </c>
      <c r="C4666" s="39">
        <v>45951.0</v>
      </c>
      <c r="D4666" s="33" t="s">
        <v>479</v>
      </c>
      <c r="E4666" s="40">
        <v>111.11</v>
      </c>
      <c r="F4666" s="40">
        <v>1.69</v>
      </c>
      <c r="G4666" s="33" t="s">
        <v>450</v>
      </c>
    </row>
    <row r="4667" ht="15.75" customHeight="1">
      <c r="A4667" s="33" t="s">
        <v>8653</v>
      </c>
      <c r="B4667" s="33" t="s">
        <v>866</v>
      </c>
      <c r="C4667" s="39">
        <v>46033.0</v>
      </c>
      <c r="D4667" s="33" t="s">
        <v>479</v>
      </c>
      <c r="E4667" s="40">
        <v>30.12</v>
      </c>
      <c r="F4667" s="40">
        <v>0.58</v>
      </c>
      <c r="G4667" s="33" t="s">
        <v>442</v>
      </c>
    </row>
    <row r="4668" ht="15.75" customHeight="1">
      <c r="A4668" s="33" t="s">
        <v>8654</v>
      </c>
      <c r="B4668" s="33" t="s">
        <v>711</v>
      </c>
      <c r="C4668" s="39">
        <v>45799.0</v>
      </c>
      <c r="D4668" s="33" t="s">
        <v>428</v>
      </c>
      <c r="E4668" s="40">
        <v>29.32</v>
      </c>
      <c r="F4668" s="40">
        <v>0.0</v>
      </c>
      <c r="G4668" s="33" t="s">
        <v>450</v>
      </c>
    </row>
    <row r="4669" ht="15.75" customHeight="1">
      <c r="A4669" s="33" t="s">
        <v>8655</v>
      </c>
      <c r="B4669" s="33" t="s">
        <v>294</v>
      </c>
      <c r="C4669" s="39">
        <v>46182.0</v>
      </c>
      <c r="D4669" s="33" t="s">
        <v>440</v>
      </c>
      <c r="E4669" s="40">
        <v>98.79</v>
      </c>
      <c r="F4669" s="40">
        <v>0.0</v>
      </c>
      <c r="G4669" s="33" t="s">
        <v>450</v>
      </c>
    </row>
    <row r="4670" ht="15.75" customHeight="1">
      <c r="A4670" s="33" t="s">
        <v>8656</v>
      </c>
      <c r="B4670" s="33" t="s">
        <v>539</v>
      </c>
      <c r="C4670" s="39">
        <v>45975.0</v>
      </c>
      <c r="D4670" s="33" t="s">
        <v>435</v>
      </c>
      <c r="E4670" s="40">
        <v>113.52</v>
      </c>
      <c r="F4670" s="40">
        <v>0.0</v>
      </c>
      <c r="G4670" s="33" t="s">
        <v>450</v>
      </c>
    </row>
    <row r="4671" ht="15.75" customHeight="1">
      <c r="A4671" s="33" t="s">
        <v>8657</v>
      </c>
      <c r="B4671" s="33" t="s">
        <v>2375</v>
      </c>
      <c r="C4671" s="39">
        <v>45698.0</v>
      </c>
      <c r="D4671" s="33" t="s">
        <v>428</v>
      </c>
      <c r="E4671" s="40">
        <v>63.43</v>
      </c>
      <c r="F4671" s="40">
        <v>0.0</v>
      </c>
      <c r="G4671" s="33" t="s">
        <v>431</v>
      </c>
    </row>
    <row r="4672" ht="15.75" customHeight="1">
      <c r="A4672" s="33" t="s">
        <v>8658</v>
      </c>
      <c r="B4672" s="33" t="s">
        <v>671</v>
      </c>
      <c r="C4672" s="39">
        <v>45852.0</v>
      </c>
      <c r="D4672" s="33" t="s">
        <v>479</v>
      </c>
      <c r="E4672" s="40">
        <v>121.93</v>
      </c>
      <c r="F4672" s="40">
        <v>0.73</v>
      </c>
      <c r="G4672" s="33" t="s">
        <v>450</v>
      </c>
    </row>
    <row r="4673" ht="15.75" customHeight="1">
      <c r="A4673" s="33" t="s">
        <v>8659</v>
      </c>
      <c r="B4673" s="33" t="s">
        <v>2508</v>
      </c>
      <c r="C4673" s="39">
        <v>45899.0</v>
      </c>
      <c r="D4673" s="33" t="s">
        <v>435</v>
      </c>
      <c r="E4673" s="40">
        <v>29.93</v>
      </c>
      <c r="F4673" s="40">
        <v>0.0</v>
      </c>
      <c r="G4673" s="33" t="s">
        <v>442</v>
      </c>
    </row>
    <row r="4674" ht="15.75" customHeight="1">
      <c r="A4674" s="33" t="s">
        <v>8660</v>
      </c>
      <c r="B4674" s="33" t="s">
        <v>1651</v>
      </c>
      <c r="C4674" s="39">
        <v>45793.0</v>
      </c>
      <c r="D4674" s="33" t="s">
        <v>440</v>
      </c>
      <c r="E4674" s="40">
        <v>21.67</v>
      </c>
      <c r="F4674" s="40">
        <v>0.0</v>
      </c>
      <c r="G4674" s="33" t="s">
        <v>450</v>
      </c>
    </row>
    <row r="4675" ht="15.75" customHeight="1">
      <c r="A4675" s="33" t="s">
        <v>8661</v>
      </c>
      <c r="B4675" s="33" t="s">
        <v>1991</v>
      </c>
      <c r="C4675" s="39">
        <v>46228.0</v>
      </c>
      <c r="D4675" s="33" t="s">
        <v>440</v>
      </c>
      <c r="E4675" s="40">
        <v>84.52</v>
      </c>
      <c r="F4675" s="40">
        <v>0.0</v>
      </c>
      <c r="G4675" s="33" t="s">
        <v>431</v>
      </c>
    </row>
    <row r="4676" ht="15.75" customHeight="1">
      <c r="A4676" s="33" t="s">
        <v>8662</v>
      </c>
      <c r="B4676" s="33" t="s">
        <v>1216</v>
      </c>
      <c r="C4676" s="39">
        <v>45876.0</v>
      </c>
      <c r="D4676" s="33" t="s">
        <v>440</v>
      </c>
      <c r="E4676" s="40">
        <v>28.9</v>
      </c>
      <c r="F4676" s="40">
        <v>0.0</v>
      </c>
      <c r="G4676" s="33" t="s">
        <v>442</v>
      </c>
    </row>
    <row r="4677" ht="15.75" customHeight="1">
      <c r="A4677" s="33" t="s">
        <v>8663</v>
      </c>
      <c r="B4677" s="33" t="s">
        <v>2231</v>
      </c>
      <c r="C4677" s="39">
        <v>45962.0</v>
      </c>
      <c r="D4677" s="33" t="s">
        <v>479</v>
      </c>
      <c r="E4677" s="40">
        <v>15.94</v>
      </c>
      <c r="F4677" s="40">
        <v>0.23</v>
      </c>
      <c r="G4677" s="33" t="s">
        <v>450</v>
      </c>
    </row>
    <row r="4678" ht="15.75" customHeight="1">
      <c r="A4678" s="33" t="s">
        <v>8664</v>
      </c>
      <c r="B4678" s="33" t="s">
        <v>1331</v>
      </c>
      <c r="C4678" s="39">
        <v>45982.0</v>
      </c>
      <c r="D4678" s="33" t="s">
        <v>428</v>
      </c>
      <c r="E4678" s="40">
        <v>37.36</v>
      </c>
      <c r="F4678" s="40">
        <v>0.0</v>
      </c>
      <c r="G4678" s="33" t="s">
        <v>450</v>
      </c>
    </row>
    <row r="4679" ht="15.75" customHeight="1">
      <c r="A4679" s="33" t="s">
        <v>8665</v>
      </c>
      <c r="B4679" s="33" t="s">
        <v>478</v>
      </c>
      <c r="C4679" s="39">
        <v>45791.0</v>
      </c>
      <c r="D4679" s="33" t="s">
        <v>461</v>
      </c>
      <c r="E4679" s="40">
        <v>110.76</v>
      </c>
      <c r="F4679" s="40">
        <v>1.12</v>
      </c>
      <c r="G4679" s="33" t="s">
        <v>431</v>
      </c>
    </row>
    <row r="4680" ht="15.75" customHeight="1">
      <c r="A4680" s="33" t="s">
        <v>8666</v>
      </c>
      <c r="B4680" s="33" t="s">
        <v>1010</v>
      </c>
      <c r="C4680" s="39">
        <v>46002.0</v>
      </c>
      <c r="D4680" s="33" t="s">
        <v>428</v>
      </c>
      <c r="E4680" s="40">
        <v>90.6</v>
      </c>
      <c r="F4680" s="40">
        <v>0.0</v>
      </c>
      <c r="G4680" s="33" t="s">
        <v>450</v>
      </c>
    </row>
    <row r="4681" ht="15.75" customHeight="1">
      <c r="A4681" s="33" t="s">
        <v>8667</v>
      </c>
      <c r="B4681" s="33" t="s">
        <v>1285</v>
      </c>
      <c r="C4681" s="39">
        <v>45872.0</v>
      </c>
      <c r="D4681" s="33" t="s">
        <v>428</v>
      </c>
      <c r="E4681" s="40">
        <v>187.78</v>
      </c>
      <c r="F4681" s="40">
        <v>0.0</v>
      </c>
      <c r="G4681" s="33" t="s">
        <v>450</v>
      </c>
    </row>
    <row r="4682" ht="15.75" customHeight="1">
      <c r="A4682" s="33" t="s">
        <v>8668</v>
      </c>
      <c r="B4682" s="33" t="s">
        <v>852</v>
      </c>
      <c r="C4682" s="39">
        <v>45664.0</v>
      </c>
      <c r="D4682" s="33" t="s">
        <v>440</v>
      </c>
      <c r="E4682" s="40">
        <v>95.07</v>
      </c>
      <c r="F4682" s="40">
        <v>0.0</v>
      </c>
      <c r="G4682" s="33" t="s">
        <v>450</v>
      </c>
    </row>
    <row r="4683" ht="15.75" customHeight="1">
      <c r="A4683" s="33" t="s">
        <v>8669</v>
      </c>
      <c r="B4683" s="33" t="s">
        <v>1216</v>
      </c>
      <c r="C4683" s="39">
        <v>45905.0</v>
      </c>
      <c r="D4683" s="33" t="s">
        <v>435</v>
      </c>
      <c r="E4683" s="40">
        <v>31.01</v>
      </c>
      <c r="F4683" s="40">
        <v>0.0</v>
      </c>
      <c r="G4683" s="33" t="s">
        <v>450</v>
      </c>
    </row>
    <row r="4684" ht="15.75" customHeight="1">
      <c r="A4684" s="33" t="s">
        <v>8670</v>
      </c>
      <c r="B4684" s="33" t="s">
        <v>689</v>
      </c>
      <c r="C4684" s="39">
        <v>46012.0</v>
      </c>
      <c r="D4684" s="33" t="s">
        <v>435</v>
      </c>
      <c r="E4684" s="40">
        <v>115.98</v>
      </c>
      <c r="F4684" s="40">
        <v>0.0</v>
      </c>
      <c r="G4684" s="33" t="s">
        <v>431</v>
      </c>
    </row>
    <row r="4685" ht="15.75" customHeight="1">
      <c r="A4685" s="33" t="s">
        <v>8671</v>
      </c>
      <c r="B4685" s="33" t="s">
        <v>2153</v>
      </c>
      <c r="C4685" s="39">
        <v>45729.0</v>
      </c>
      <c r="D4685" s="33" t="s">
        <v>461</v>
      </c>
      <c r="E4685" s="40">
        <v>45.65</v>
      </c>
      <c r="F4685" s="40">
        <v>0.89</v>
      </c>
      <c r="G4685" s="33" t="s">
        <v>450</v>
      </c>
    </row>
    <row r="4686" ht="15.75" customHeight="1">
      <c r="A4686" s="33" t="s">
        <v>8672</v>
      </c>
      <c r="B4686" s="33" t="s">
        <v>318</v>
      </c>
      <c r="C4686" s="39">
        <v>46131.0</v>
      </c>
      <c r="D4686" s="33" t="s">
        <v>440</v>
      </c>
      <c r="E4686" s="40">
        <v>62.49</v>
      </c>
      <c r="F4686" s="40">
        <v>0.0</v>
      </c>
      <c r="G4686" s="33" t="s">
        <v>450</v>
      </c>
    </row>
    <row r="4687" ht="15.75" customHeight="1">
      <c r="A4687" s="33" t="s">
        <v>8673</v>
      </c>
      <c r="B4687" s="33" t="s">
        <v>671</v>
      </c>
      <c r="C4687" s="39">
        <v>46059.0</v>
      </c>
      <c r="D4687" s="33" t="s">
        <v>461</v>
      </c>
      <c r="E4687" s="40">
        <v>46.37</v>
      </c>
      <c r="F4687" s="40">
        <v>0.66</v>
      </c>
      <c r="G4687" s="33" t="s">
        <v>431</v>
      </c>
    </row>
    <row r="4688" ht="15.75" customHeight="1">
      <c r="A4688" s="33" t="s">
        <v>8674</v>
      </c>
      <c r="B4688" s="33" t="s">
        <v>3342</v>
      </c>
      <c r="C4688" s="39">
        <v>45846.0</v>
      </c>
      <c r="D4688" s="33" t="s">
        <v>479</v>
      </c>
      <c r="E4688" s="40">
        <v>27.2</v>
      </c>
      <c r="F4688" s="40">
        <v>0.41</v>
      </c>
      <c r="G4688" s="33" t="s">
        <v>442</v>
      </c>
    </row>
    <row r="4689" ht="15.75" customHeight="1">
      <c r="A4689" s="33" t="s">
        <v>8675</v>
      </c>
      <c r="B4689" s="33" t="s">
        <v>1994</v>
      </c>
      <c r="C4689" s="39">
        <v>46017.0</v>
      </c>
      <c r="D4689" s="33" t="s">
        <v>428</v>
      </c>
      <c r="E4689" s="40">
        <v>400.85</v>
      </c>
      <c r="F4689" s="40">
        <v>0.0</v>
      </c>
      <c r="G4689" s="33" t="s">
        <v>450</v>
      </c>
    </row>
    <row r="4690" ht="15.75" customHeight="1">
      <c r="A4690" s="33" t="s">
        <v>8676</v>
      </c>
      <c r="B4690" s="33" t="s">
        <v>2625</v>
      </c>
      <c r="C4690" s="39">
        <v>45842.0</v>
      </c>
      <c r="D4690" s="33" t="s">
        <v>479</v>
      </c>
      <c r="E4690" s="40">
        <v>39.97</v>
      </c>
      <c r="F4690" s="40">
        <v>0.59</v>
      </c>
      <c r="G4690" s="33" t="s">
        <v>450</v>
      </c>
    </row>
    <row r="4691" ht="15.75" customHeight="1">
      <c r="A4691" s="33" t="s">
        <v>8677</v>
      </c>
      <c r="B4691" s="33" t="s">
        <v>4175</v>
      </c>
      <c r="C4691" s="39">
        <v>46051.0</v>
      </c>
      <c r="D4691" s="33" t="s">
        <v>428</v>
      </c>
      <c r="E4691" s="40">
        <v>13.75</v>
      </c>
      <c r="F4691" s="40">
        <v>0.0</v>
      </c>
      <c r="G4691" s="33" t="s">
        <v>442</v>
      </c>
    </row>
    <row r="4692" ht="15.75" customHeight="1">
      <c r="A4692" s="33" t="s">
        <v>8678</v>
      </c>
      <c r="B4692" s="33" t="s">
        <v>1118</v>
      </c>
      <c r="C4692" s="39">
        <v>45751.0</v>
      </c>
      <c r="D4692" s="33" t="s">
        <v>440</v>
      </c>
      <c r="E4692" s="40">
        <v>125.74</v>
      </c>
      <c r="F4692" s="40">
        <v>0.0</v>
      </c>
      <c r="G4692" s="33" t="s">
        <v>450</v>
      </c>
    </row>
    <row r="4693" ht="15.75" customHeight="1">
      <c r="A4693" s="33" t="s">
        <v>8679</v>
      </c>
      <c r="B4693" s="33" t="s">
        <v>1716</v>
      </c>
      <c r="C4693" s="39">
        <v>46028.0</v>
      </c>
      <c r="D4693" s="33" t="s">
        <v>461</v>
      </c>
      <c r="E4693" s="40">
        <v>10.01</v>
      </c>
      <c r="F4693" s="40">
        <v>0.16</v>
      </c>
      <c r="G4693" s="33" t="s">
        <v>442</v>
      </c>
    </row>
    <row r="4694" ht="15.75" customHeight="1">
      <c r="A4694" s="33" t="s">
        <v>8680</v>
      </c>
      <c r="B4694" s="33" t="s">
        <v>1758</v>
      </c>
      <c r="C4694" s="39">
        <v>45691.0</v>
      </c>
      <c r="D4694" s="33" t="s">
        <v>479</v>
      </c>
      <c r="E4694" s="40">
        <v>68.27</v>
      </c>
      <c r="F4694" s="40">
        <v>0.58</v>
      </c>
      <c r="G4694" s="33" t="s">
        <v>450</v>
      </c>
    </row>
    <row r="4695" ht="15.75" customHeight="1">
      <c r="A4695" s="33" t="s">
        <v>8681</v>
      </c>
      <c r="B4695" s="33" t="s">
        <v>1473</v>
      </c>
      <c r="C4695" s="39">
        <v>45668.0</v>
      </c>
      <c r="D4695" s="33" t="s">
        <v>435</v>
      </c>
      <c r="E4695" s="40">
        <v>139.14</v>
      </c>
      <c r="F4695" s="40">
        <v>0.0</v>
      </c>
      <c r="G4695" s="33" t="s">
        <v>442</v>
      </c>
    </row>
    <row r="4696" ht="15.75" customHeight="1">
      <c r="A4696" s="33" t="s">
        <v>8682</v>
      </c>
      <c r="B4696" s="33" t="s">
        <v>817</v>
      </c>
      <c r="C4696" s="39">
        <v>45812.0</v>
      </c>
      <c r="D4696" s="33" t="s">
        <v>440</v>
      </c>
      <c r="E4696" s="40">
        <v>23.97</v>
      </c>
      <c r="F4696" s="40">
        <v>0.0</v>
      </c>
      <c r="G4696" s="33" t="s">
        <v>442</v>
      </c>
    </row>
    <row r="4697" ht="15.75" customHeight="1">
      <c r="A4697" s="33" t="s">
        <v>8683</v>
      </c>
      <c r="B4697" s="33" t="s">
        <v>1547</v>
      </c>
      <c r="C4697" s="39">
        <v>45763.0</v>
      </c>
      <c r="D4697" s="33" t="s">
        <v>440</v>
      </c>
      <c r="E4697" s="40">
        <v>77.28</v>
      </c>
      <c r="F4697" s="40">
        <v>0.0</v>
      </c>
      <c r="G4697" s="33" t="s">
        <v>450</v>
      </c>
    </row>
    <row r="4698" ht="15.75" customHeight="1">
      <c r="A4698" s="33" t="s">
        <v>8684</v>
      </c>
      <c r="B4698" s="33" t="s">
        <v>948</v>
      </c>
      <c r="C4698" s="39">
        <v>45955.0</v>
      </c>
      <c r="D4698" s="33" t="s">
        <v>435</v>
      </c>
      <c r="E4698" s="40">
        <v>60.49</v>
      </c>
      <c r="F4698" s="40">
        <v>0.0</v>
      </c>
      <c r="G4698" s="33" t="s">
        <v>450</v>
      </c>
    </row>
    <row r="4699" ht="15.75" customHeight="1">
      <c r="A4699" s="33" t="s">
        <v>8685</v>
      </c>
      <c r="B4699" s="33" t="s">
        <v>833</v>
      </c>
      <c r="C4699" s="39">
        <v>45758.0</v>
      </c>
      <c r="D4699" s="33" t="s">
        <v>428</v>
      </c>
      <c r="E4699" s="40">
        <v>39.38</v>
      </c>
      <c r="F4699" s="40">
        <v>0.0</v>
      </c>
      <c r="G4699" s="33" t="s">
        <v>442</v>
      </c>
    </row>
    <row r="4700" ht="15.75" customHeight="1">
      <c r="A4700" s="33" t="s">
        <v>8686</v>
      </c>
      <c r="B4700" s="33" t="s">
        <v>3075</v>
      </c>
      <c r="C4700" s="39">
        <v>45806.0</v>
      </c>
      <c r="D4700" s="33" t="s">
        <v>440</v>
      </c>
      <c r="E4700" s="40">
        <v>188.15</v>
      </c>
      <c r="F4700" s="40">
        <v>0.0</v>
      </c>
      <c r="G4700" s="33" t="s">
        <v>442</v>
      </c>
    </row>
    <row r="4701" ht="15.75" customHeight="1">
      <c r="A4701" s="33" t="s">
        <v>8687</v>
      </c>
      <c r="B4701" s="33" t="s">
        <v>1300</v>
      </c>
      <c r="C4701" s="39">
        <v>45717.0</v>
      </c>
      <c r="D4701" s="33" t="s">
        <v>479</v>
      </c>
      <c r="E4701" s="40">
        <v>60.07</v>
      </c>
      <c r="F4701" s="40">
        <v>0.64</v>
      </c>
      <c r="G4701" s="33" t="s">
        <v>450</v>
      </c>
    </row>
    <row r="4702" ht="15.75" customHeight="1">
      <c r="A4702" s="33" t="s">
        <v>8688</v>
      </c>
      <c r="B4702" s="33" t="s">
        <v>2104</v>
      </c>
      <c r="C4702" s="39">
        <v>46196.0</v>
      </c>
      <c r="D4702" s="33" t="s">
        <v>479</v>
      </c>
      <c r="E4702" s="40">
        <v>123.97</v>
      </c>
      <c r="F4702" s="40">
        <v>1.04</v>
      </c>
      <c r="G4702" s="33" t="s">
        <v>450</v>
      </c>
    </row>
    <row r="4703" ht="15.75" customHeight="1">
      <c r="A4703" s="33" t="s">
        <v>8689</v>
      </c>
      <c r="B4703" s="33" t="s">
        <v>255</v>
      </c>
      <c r="C4703" s="39">
        <v>46104.0</v>
      </c>
      <c r="D4703" s="33" t="s">
        <v>479</v>
      </c>
      <c r="E4703" s="40">
        <v>147.38</v>
      </c>
      <c r="F4703" s="40">
        <v>0.8</v>
      </c>
      <c r="G4703" s="33" t="s">
        <v>442</v>
      </c>
    </row>
    <row r="4704" ht="15.75" customHeight="1">
      <c r="A4704" s="33" t="s">
        <v>8690</v>
      </c>
      <c r="B4704" s="33" t="s">
        <v>754</v>
      </c>
      <c r="C4704" s="39">
        <v>45790.0</v>
      </c>
      <c r="D4704" s="33" t="s">
        <v>461</v>
      </c>
      <c r="E4704" s="40">
        <v>65.98</v>
      </c>
      <c r="F4704" s="40">
        <v>0.74</v>
      </c>
      <c r="G4704" s="33" t="s">
        <v>450</v>
      </c>
    </row>
    <row r="4705" ht="15.75" customHeight="1">
      <c r="A4705" s="33" t="s">
        <v>8691</v>
      </c>
      <c r="B4705" s="33" t="s">
        <v>2283</v>
      </c>
      <c r="C4705" s="39">
        <v>45730.0</v>
      </c>
      <c r="D4705" s="33" t="s">
        <v>428</v>
      </c>
      <c r="E4705" s="40">
        <v>31.61</v>
      </c>
      <c r="F4705" s="40">
        <v>0.0</v>
      </c>
      <c r="G4705" s="33" t="s">
        <v>450</v>
      </c>
    </row>
    <row r="4706" ht="15.75" customHeight="1">
      <c r="A4706" s="33" t="s">
        <v>8692</v>
      </c>
      <c r="B4706" s="33" t="s">
        <v>284</v>
      </c>
      <c r="C4706" s="39">
        <v>46174.0</v>
      </c>
      <c r="D4706" s="33" t="s">
        <v>428</v>
      </c>
      <c r="E4706" s="40">
        <v>149.81</v>
      </c>
      <c r="F4706" s="40">
        <v>0.0</v>
      </c>
      <c r="G4706" s="33" t="s">
        <v>450</v>
      </c>
    </row>
    <row r="4707" ht="15.75" customHeight="1">
      <c r="A4707" s="33" t="s">
        <v>8693</v>
      </c>
      <c r="B4707" s="33" t="s">
        <v>1789</v>
      </c>
      <c r="C4707" s="39">
        <v>46063.0</v>
      </c>
      <c r="D4707" s="33" t="s">
        <v>428</v>
      </c>
      <c r="E4707" s="40">
        <v>68.38</v>
      </c>
      <c r="F4707" s="40">
        <v>0.0</v>
      </c>
      <c r="G4707" s="33" t="s">
        <v>442</v>
      </c>
    </row>
    <row r="4708" ht="15.75" customHeight="1">
      <c r="A4708" s="33" t="s">
        <v>8694</v>
      </c>
      <c r="B4708" s="33" t="s">
        <v>861</v>
      </c>
      <c r="C4708" s="39">
        <v>46195.0</v>
      </c>
      <c r="D4708" s="33" t="s">
        <v>479</v>
      </c>
      <c r="E4708" s="40">
        <v>74.2</v>
      </c>
      <c r="F4708" s="40">
        <v>0.73</v>
      </c>
      <c r="G4708" s="33" t="s">
        <v>450</v>
      </c>
    </row>
    <row r="4709" ht="15.75" customHeight="1">
      <c r="A4709" s="33" t="s">
        <v>8695</v>
      </c>
      <c r="B4709" s="33" t="s">
        <v>1549</v>
      </c>
      <c r="C4709" s="39">
        <v>45766.0</v>
      </c>
      <c r="D4709" s="33" t="s">
        <v>461</v>
      </c>
      <c r="E4709" s="40">
        <v>57.1</v>
      </c>
      <c r="F4709" s="40">
        <v>0.68</v>
      </c>
      <c r="G4709" s="33" t="s">
        <v>431</v>
      </c>
    </row>
    <row r="4710" ht="15.75" customHeight="1">
      <c r="A4710" s="33" t="s">
        <v>8696</v>
      </c>
      <c r="B4710" s="33" t="s">
        <v>1247</v>
      </c>
      <c r="C4710" s="39">
        <v>45875.0</v>
      </c>
      <c r="D4710" s="33" t="s">
        <v>435</v>
      </c>
      <c r="E4710" s="40">
        <v>146.11</v>
      </c>
      <c r="F4710" s="40">
        <v>0.0</v>
      </c>
      <c r="G4710" s="33" t="s">
        <v>442</v>
      </c>
    </row>
    <row r="4711" ht="15.75" customHeight="1">
      <c r="A4711" s="33" t="s">
        <v>8697</v>
      </c>
      <c r="B4711" s="33" t="s">
        <v>1995</v>
      </c>
      <c r="C4711" s="39">
        <v>45729.0</v>
      </c>
      <c r="D4711" s="33" t="s">
        <v>428</v>
      </c>
      <c r="E4711" s="40">
        <v>28.18</v>
      </c>
      <c r="F4711" s="40">
        <v>0.0</v>
      </c>
      <c r="G4711" s="33" t="s">
        <v>450</v>
      </c>
    </row>
    <row r="4712" ht="15.75" customHeight="1">
      <c r="A4712" s="33" t="s">
        <v>8698</v>
      </c>
      <c r="B4712" s="33" t="s">
        <v>434</v>
      </c>
      <c r="C4712" s="39">
        <v>45914.0</v>
      </c>
      <c r="D4712" s="33" t="s">
        <v>435</v>
      </c>
      <c r="E4712" s="40">
        <v>74.92</v>
      </c>
      <c r="F4712" s="40">
        <v>0.0</v>
      </c>
      <c r="G4712" s="33" t="s">
        <v>450</v>
      </c>
    </row>
    <row r="4713" ht="15.75" customHeight="1">
      <c r="A4713" s="33" t="s">
        <v>8699</v>
      </c>
      <c r="B4713" s="33" t="s">
        <v>575</v>
      </c>
      <c r="C4713" s="39">
        <v>45756.0</v>
      </c>
      <c r="D4713" s="33" t="s">
        <v>435</v>
      </c>
      <c r="E4713" s="40">
        <v>32.3</v>
      </c>
      <c r="F4713" s="40">
        <v>0.0</v>
      </c>
      <c r="G4713" s="33" t="s">
        <v>450</v>
      </c>
    </row>
    <row r="4714" ht="15.75" customHeight="1">
      <c r="A4714" s="33" t="s">
        <v>8700</v>
      </c>
      <c r="B4714" s="33" t="s">
        <v>1908</v>
      </c>
      <c r="C4714" s="39">
        <v>45660.0</v>
      </c>
      <c r="D4714" s="33" t="s">
        <v>428</v>
      </c>
      <c r="E4714" s="40">
        <v>56.93</v>
      </c>
      <c r="F4714" s="40">
        <v>0.0</v>
      </c>
      <c r="G4714" s="33" t="s">
        <v>442</v>
      </c>
    </row>
    <row r="4715" ht="15.75" customHeight="1">
      <c r="A4715" s="33" t="s">
        <v>8701</v>
      </c>
      <c r="B4715" s="33" t="s">
        <v>2366</v>
      </c>
      <c r="C4715" s="39">
        <v>45966.0</v>
      </c>
      <c r="D4715" s="33" t="s">
        <v>461</v>
      </c>
      <c r="E4715" s="40">
        <v>159.87</v>
      </c>
      <c r="F4715" s="40">
        <v>3.03</v>
      </c>
      <c r="G4715" s="33" t="s">
        <v>450</v>
      </c>
    </row>
    <row r="4716" ht="15.75" customHeight="1">
      <c r="A4716" s="33" t="s">
        <v>8702</v>
      </c>
      <c r="B4716" s="33" t="s">
        <v>1056</v>
      </c>
      <c r="C4716" s="39">
        <v>46252.0</v>
      </c>
      <c r="D4716" s="33" t="s">
        <v>435</v>
      </c>
      <c r="E4716" s="40">
        <v>158.52</v>
      </c>
      <c r="F4716" s="40">
        <v>0.0</v>
      </c>
      <c r="G4716" s="33" t="s">
        <v>442</v>
      </c>
    </row>
    <row r="4717" ht="15.75" customHeight="1">
      <c r="A4717" s="33" t="s">
        <v>8703</v>
      </c>
      <c r="B4717" s="33" t="s">
        <v>2132</v>
      </c>
      <c r="C4717" s="39">
        <v>46049.0</v>
      </c>
      <c r="D4717" s="33" t="s">
        <v>428</v>
      </c>
      <c r="E4717" s="40">
        <v>64.03</v>
      </c>
      <c r="F4717" s="40">
        <v>0.0</v>
      </c>
      <c r="G4717" s="33" t="s">
        <v>431</v>
      </c>
    </row>
    <row r="4718" ht="15.75" customHeight="1">
      <c r="A4718" s="33" t="s">
        <v>8704</v>
      </c>
      <c r="B4718" s="33" t="s">
        <v>2625</v>
      </c>
      <c r="C4718" s="39">
        <v>46117.0</v>
      </c>
      <c r="D4718" s="33" t="s">
        <v>435</v>
      </c>
      <c r="E4718" s="40">
        <v>95.01</v>
      </c>
      <c r="F4718" s="40">
        <v>0.0</v>
      </c>
      <c r="G4718" s="33" t="s">
        <v>431</v>
      </c>
    </row>
    <row r="4719" ht="15.75" customHeight="1">
      <c r="A4719" s="33" t="s">
        <v>8705</v>
      </c>
      <c r="B4719" s="33" t="s">
        <v>615</v>
      </c>
      <c r="C4719" s="39">
        <v>46150.0</v>
      </c>
      <c r="D4719" s="33" t="s">
        <v>435</v>
      </c>
      <c r="E4719" s="40">
        <v>93.69</v>
      </c>
      <c r="F4719" s="40">
        <v>0.0</v>
      </c>
      <c r="G4719" s="33" t="s">
        <v>431</v>
      </c>
    </row>
    <row r="4720" ht="15.75" customHeight="1">
      <c r="A4720" s="33" t="s">
        <v>8706</v>
      </c>
      <c r="B4720" s="33" t="s">
        <v>627</v>
      </c>
      <c r="C4720" s="39">
        <v>46248.0</v>
      </c>
      <c r="D4720" s="33" t="s">
        <v>428</v>
      </c>
      <c r="E4720" s="40">
        <v>32.42</v>
      </c>
      <c r="F4720" s="40">
        <v>0.0</v>
      </c>
      <c r="G4720" s="33" t="s">
        <v>442</v>
      </c>
    </row>
    <row r="4721" ht="15.75" customHeight="1">
      <c r="A4721" s="33" t="s">
        <v>8707</v>
      </c>
      <c r="B4721" s="33" t="s">
        <v>458</v>
      </c>
      <c r="C4721" s="39">
        <v>45736.0</v>
      </c>
      <c r="D4721" s="33" t="s">
        <v>440</v>
      </c>
      <c r="E4721" s="40">
        <v>112.81</v>
      </c>
      <c r="F4721" s="40">
        <v>0.0</v>
      </c>
      <c r="G4721" s="33" t="s">
        <v>450</v>
      </c>
    </row>
    <row r="4722" ht="15.75" customHeight="1">
      <c r="A4722" s="33" t="s">
        <v>8708</v>
      </c>
      <c r="B4722" s="33" t="s">
        <v>3190</v>
      </c>
      <c r="C4722" s="39">
        <v>45810.0</v>
      </c>
      <c r="D4722" s="33" t="s">
        <v>440</v>
      </c>
      <c r="E4722" s="40">
        <v>35.54</v>
      </c>
      <c r="F4722" s="40">
        <v>0.0</v>
      </c>
      <c r="G4722" s="33" t="s">
        <v>450</v>
      </c>
    </row>
    <row r="4723" ht="15.75" customHeight="1">
      <c r="A4723" s="33" t="s">
        <v>8709</v>
      </c>
      <c r="B4723" s="33" t="s">
        <v>2212</v>
      </c>
      <c r="C4723" s="39">
        <v>46032.0</v>
      </c>
      <c r="D4723" s="33" t="s">
        <v>461</v>
      </c>
      <c r="E4723" s="40">
        <v>54.27</v>
      </c>
      <c r="F4723" s="40">
        <v>0.5</v>
      </c>
      <c r="G4723" s="33" t="s">
        <v>431</v>
      </c>
    </row>
    <row r="4724" ht="15.75" customHeight="1">
      <c r="A4724" s="33" t="s">
        <v>8710</v>
      </c>
      <c r="B4724" s="33" t="s">
        <v>913</v>
      </c>
      <c r="C4724" s="39">
        <v>46156.0</v>
      </c>
      <c r="D4724" s="33" t="s">
        <v>461</v>
      </c>
      <c r="E4724" s="40">
        <v>14.39</v>
      </c>
      <c r="F4724" s="40">
        <v>0.14</v>
      </c>
      <c r="G4724" s="33" t="s">
        <v>431</v>
      </c>
    </row>
    <row r="4725" ht="15.75" customHeight="1">
      <c r="A4725" s="33" t="s">
        <v>8711</v>
      </c>
      <c r="B4725" s="33" t="s">
        <v>2752</v>
      </c>
      <c r="C4725" s="39">
        <v>46127.0</v>
      </c>
      <c r="D4725" s="33" t="s">
        <v>479</v>
      </c>
      <c r="E4725" s="40">
        <v>126.63</v>
      </c>
      <c r="F4725" s="40">
        <v>2.47</v>
      </c>
      <c r="G4725" s="33" t="s">
        <v>450</v>
      </c>
    </row>
    <row r="4726" ht="15.75" customHeight="1">
      <c r="A4726" s="33" t="s">
        <v>8712</v>
      </c>
      <c r="B4726" s="33" t="s">
        <v>1424</v>
      </c>
      <c r="C4726" s="39">
        <v>46099.0</v>
      </c>
      <c r="D4726" s="33" t="s">
        <v>428</v>
      </c>
      <c r="E4726" s="40">
        <v>146.6</v>
      </c>
      <c r="F4726" s="40">
        <v>0.0</v>
      </c>
      <c r="G4726" s="33" t="s">
        <v>442</v>
      </c>
    </row>
    <row r="4727" ht="15.75" customHeight="1">
      <c r="A4727" s="33" t="s">
        <v>8713</v>
      </c>
      <c r="B4727" s="33" t="s">
        <v>1216</v>
      </c>
      <c r="C4727" s="39">
        <v>45847.0</v>
      </c>
      <c r="D4727" s="33" t="s">
        <v>435</v>
      </c>
      <c r="E4727" s="40">
        <v>97.57</v>
      </c>
      <c r="F4727" s="40">
        <v>0.0</v>
      </c>
      <c r="G4727" s="33" t="s">
        <v>431</v>
      </c>
    </row>
    <row r="4728" ht="15.75" customHeight="1">
      <c r="A4728" s="33" t="s">
        <v>8714</v>
      </c>
      <c r="B4728" s="33" t="s">
        <v>850</v>
      </c>
      <c r="C4728" s="39">
        <v>45879.0</v>
      </c>
      <c r="D4728" s="33" t="s">
        <v>428</v>
      </c>
      <c r="E4728" s="40">
        <v>77.61</v>
      </c>
      <c r="F4728" s="40">
        <v>0.0</v>
      </c>
      <c r="G4728" s="33" t="s">
        <v>431</v>
      </c>
    </row>
    <row r="4729" ht="15.75" customHeight="1">
      <c r="A4729" s="33" t="s">
        <v>8715</v>
      </c>
      <c r="B4729" s="33" t="s">
        <v>608</v>
      </c>
      <c r="C4729" s="39">
        <v>45706.0</v>
      </c>
      <c r="D4729" s="33" t="s">
        <v>440</v>
      </c>
      <c r="E4729" s="40">
        <v>51.97</v>
      </c>
      <c r="F4729" s="40">
        <v>0.0</v>
      </c>
      <c r="G4729" s="33" t="s">
        <v>431</v>
      </c>
    </row>
    <row r="4730" ht="15.75" customHeight="1">
      <c r="A4730" s="33" t="s">
        <v>8716</v>
      </c>
      <c r="B4730" s="33" t="s">
        <v>1649</v>
      </c>
      <c r="C4730" s="39">
        <v>45848.0</v>
      </c>
      <c r="D4730" s="33" t="s">
        <v>461</v>
      </c>
      <c r="E4730" s="40">
        <v>128.89</v>
      </c>
      <c r="F4730" s="40">
        <v>2.5</v>
      </c>
      <c r="G4730" s="33" t="s">
        <v>450</v>
      </c>
    </row>
    <row r="4731" ht="15.75" customHeight="1">
      <c r="A4731" s="33" t="s">
        <v>8717</v>
      </c>
      <c r="B4731" s="33" t="s">
        <v>1235</v>
      </c>
      <c r="C4731" s="39">
        <v>45752.0</v>
      </c>
      <c r="D4731" s="33" t="s">
        <v>440</v>
      </c>
      <c r="E4731" s="40">
        <v>218.58</v>
      </c>
      <c r="F4731" s="40">
        <v>0.0</v>
      </c>
      <c r="G4731" s="33" t="s">
        <v>450</v>
      </c>
    </row>
    <row r="4732" ht="15.75" customHeight="1">
      <c r="A4732" s="33" t="s">
        <v>8718</v>
      </c>
      <c r="B4732" s="33" t="s">
        <v>527</v>
      </c>
      <c r="C4732" s="39">
        <v>46227.0</v>
      </c>
      <c r="D4732" s="33" t="s">
        <v>440</v>
      </c>
      <c r="E4732" s="40">
        <v>39.96</v>
      </c>
      <c r="F4732" s="40">
        <v>0.0</v>
      </c>
      <c r="G4732" s="33" t="s">
        <v>450</v>
      </c>
    </row>
    <row r="4733" ht="15.75" customHeight="1">
      <c r="A4733" s="33" t="s">
        <v>8719</v>
      </c>
      <c r="B4733" s="33" t="s">
        <v>408</v>
      </c>
      <c r="C4733" s="39">
        <v>45713.0</v>
      </c>
      <c r="D4733" s="33" t="s">
        <v>440</v>
      </c>
      <c r="E4733" s="40">
        <v>65.24</v>
      </c>
      <c r="F4733" s="40">
        <v>0.0</v>
      </c>
      <c r="G4733" s="33" t="s">
        <v>431</v>
      </c>
    </row>
    <row r="4734" ht="15.75" customHeight="1">
      <c r="A4734" s="33" t="s">
        <v>8720</v>
      </c>
      <c r="B4734" s="33" t="s">
        <v>2816</v>
      </c>
      <c r="C4734" s="39">
        <v>45878.0</v>
      </c>
      <c r="D4734" s="33" t="s">
        <v>479</v>
      </c>
      <c r="E4734" s="40">
        <v>30.68</v>
      </c>
      <c r="F4734" s="40">
        <v>0.42</v>
      </c>
      <c r="G4734" s="33" t="s">
        <v>431</v>
      </c>
    </row>
    <row r="4735" ht="15.75" customHeight="1">
      <c r="A4735" s="33" t="s">
        <v>8721</v>
      </c>
      <c r="B4735" s="33" t="s">
        <v>3978</v>
      </c>
      <c r="C4735" s="39">
        <v>46196.0</v>
      </c>
      <c r="D4735" s="33" t="s">
        <v>428</v>
      </c>
      <c r="E4735" s="40">
        <v>77.94</v>
      </c>
      <c r="F4735" s="40">
        <v>0.0</v>
      </c>
      <c r="G4735" s="33" t="s">
        <v>450</v>
      </c>
    </row>
    <row r="4736" ht="15.75" customHeight="1">
      <c r="A4736" s="33" t="s">
        <v>8722</v>
      </c>
      <c r="B4736" s="33" t="s">
        <v>1249</v>
      </c>
      <c r="C4736" s="39">
        <v>46238.0</v>
      </c>
      <c r="D4736" s="33" t="s">
        <v>435</v>
      </c>
      <c r="E4736" s="40">
        <v>56.44</v>
      </c>
      <c r="F4736" s="40">
        <v>0.0</v>
      </c>
      <c r="G4736" s="33" t="s">
        <v>431</v>
      </c>
    </row>
    <row r="4737" ht="15.75" customHeight="1">
      <c r="A4737" s="33" t="s">
        <v>8723</v>
      </c>
      <c r="B4737" s="33" t="s">
        <v>3140</v>
      </c>
      <c r="C4737" s="39">
        <v>45886.0</v>
      </c>
      <c r="D4737" s="33" t="s">
        <v>461</v>
      </c>
      <c r="E4737" s="40">
        <v>68.96</v>
      </c>
      <c r="F4737" s="40">
        <v>1.37</v>
      </c>
      <c r="G4737" s="33" t="s">
        <v>450</v>
      </c>
    </row>
    <row r="4738" ht="15.75" customHeight="1">
      <c r="A4738" s="33" t="s">
        <v>8724</v>
      </c>
      <c r="B4738" s="33" t="s">
        <v>590</v>
      </c>
      <c r="C4738" s="39">
        <v>45940.0</v>
      </c>
      <c r="D4738" s="33" t="s">
        <v>428</v>
      </c>
      <c r="E4738" s="40">
        <v>130.07</v>
      </c>
      <c r="F4738" s="40">
        <v>0.0</v>
      </c>
      <c r="G4738" s="33" t="s">
        <v>442</v>
      </c>
    </row>
    <row r="4739" ht="15.75" customHeight="1">
      <c r="A4739" s="33" t="s">
        <v>8725</v>
      </c>
      <c r="B4739" s="33" t="s">
        <v>489</v>
      </c>
      <c r="C4739" s="39">
        <v>45975.0</v>
      </c>
      <c r="D4739" s="33" t="s">
        <v>461</v>
      </c>
      <c r="E4739" s="40">
        <v>156.03</v>
      </c>
      <c r="F4739" s="40">
        <v>1.82</v>
      </c>
      <c r="G4739" s="33" t="s">
        <v>431</v>
      </c>
    </row>
    <row r="4740" ht="15.75" customHeight="1">
      <c r="A4740" s="33" t="s">
        <v>8726</v>
      </c>
      <c r="B4740" s="33" t="s">
        <v>275</v>
      </c>
      <c r="C4740" s="39">
        <v>46157.0</v>
      </c>
      <c r="D4740" s="33" t="s">
        <v>428</v>
      </c>
      <c r="E4740" s="40">
        <v>26.49</v>
      </c>
      <c r="F4740" s="40">
        <v>0.0</v>
      </c>
      <c r="G4740" s="33" t="s">
        <v>431</v>
      </c>
    </row>
    <row r="4741" ht="15.75" customHeight="1">
      <c r="A4741" s="33" t="s">
        <v>8727</v>
      </c>
      <c r="B4741" s="33" t="s">
        <v>317</v>
      </c>
      <c r="C4741" s="39">
        <v>46124.0</v>
      </c>
      <c r="D4741" s="33" t="s">
        <v>435</v>
      </c>
      <c r="E4741" s="40">
        <v>92.98</v>
      </c>
      <c r="F4741" s="40">
        <v>0.0</v>
      </c>
      <c r="G4741" s="33" t="s">
        <v>450</v>
      </c>
    </row>
    <row r="4742" ht="15.75" customHeight="1">
      <c r="A4742" s="33" t="s">
        <v>8728</v>
      </c>
      <c r="B4742" s="33" t="s">
        <v>1581</v>
      </c>
      <c r="C4742" s="39">
        <v>45976.0</v>
      </c>
      <c r="D4742" s="33" t="s">
        <v>440</v>
      </c>
      <c r="E4742" s="40">
        <v>188.58</v>
      </c>
      <c r="F4742" s="40">
        <v>0.0</v>
      </c>
      <c r="G4742" s="33" t="s">
        <v>450</v>
      </c>
    </row>
    <row r="4743" ht="15.75" customHeight="1">
      <c r="A4743" s="33" t="s">
        <v>8729</v>
      </c>
      <c r="B4743" s="33" t="s">
        <v>1099</v>
      </c>
      <c r="C4743" s="39">
        <v>45883.0</v>
      </c>
      <c r="D4743" s="33" t="s">
        <v>479</v>
      </c>
      <c r="E4743" s="40">
        <v>107.97</v>
      </c>
      <c r="F4743" s="40">
        <v>1.45</v>
      </c>
      <c r="G4743" s="33" t="s">
        <v>450</v>
      </c>
    </row>
    <row r="4744" ht="15.75" customHeight="1">
      <c r="A4744" s="33" t="s">
        <v>8730</v>
      </c>
      <c r="B4744" s="33" t="s">
        <v>1581</v>
      </c>
      <c r="C4744" s="39">
        <v>45884.0</v>
      </c>
      <c r="D4744" s="33" t="s">
        <v>479</v>
      </c>
      <c r="E4744" s="40">
        <v>33.04</v>
      </c>
      <c r="F4744" s="40">
        <v>0.51</v>
      </c>
      <c r="G4744" s="33" t="s">
        <v>450</v>
      </c>
    </row>
    <row r="4745" ht="15.75" customHeight="1">
      <c r="A4745" s="33" t="s">
        <v>8731</v>
      </c>
      <c r="B4745" s="33" t="s">
        <v>2622</v>
      </c>
      <c r="C4745" s="39">
        <v>46052.0</v>
      </c>
      <c r="D4745" s="33" t="s">
        <v>440</v>
      </c>
      <c r="E4745" s="40">
        <v>151.34</v>
      </c>
      <c r="F4745" s="40">
        <v>0.0</v>
      </c>
      <c r="G4745" s="33" t="s">
        <v>450</v>
      </c>
    </row>
    <row r="4746" ht="15.75" customHeight="1">
      <c r="A4746" s="33" t="s">
        <v>8732</v>
      </c>
      <c r="B4746" s="33" t="s">
        <v>2066</v>
      </c>
      <c r="C4746" s="39">
        <v>46165.0</v>
      </c>
      <c r="D4746" s="33" t="s">
        <v>440</v>
      </c>
      <c r="E4746" s="40">
        <v>113.33</v>
      </c>
      <c r="F4746" s="40">
        <v>0.0</v>
      </c>
      <c r="G4746" s="33" t="s">
        <v>431</v>
      </c>
    </row>
    <row r="4747" ht="15.75" customHeight="1">
      <c r="A4747" s="33" t="s">
        <v>8733</v>
      </c>
      <c r="B4747" s="33" t="s">
        <v>2110</v>
      </c>
      <c r="C4747" s="39">
        <v>45704.0</v>
      </c>
      <c r="D4747" s="33" t="s">
        <v>428</v>
      </c>
      <c r="E4747" s="40">
        <v>105.64</v>
      </c>
      <c r="F4747" s="40">
        <v>0.0</v>
      </c>
      <c r="G4747" s="33" t="s">
        <v>442</v>
      </c>
    </row>
    <row r="4748" ht="15.75" customHeight="1">
      <c r="A4748" s="33" t="s">
        <v>8734</v>
      </c>
      <c r="B4748" s="33" t="s">
        <v>676</v>
      </c>
      <c r="C4748" s="39">
        <v>46124.0</v>
      </c>
      <c r="D4748" s="33" t="s">
        <v>440</v>
      </c>
      <c r="E4748" s="40">
        <v>63.79</v>
      </c>
      <c r="F4748" s="40">
        <v>0.0</v>
      </c>
      <c r="G4748" s="33" t="s">
        <v>450</v>
      </c>
    </row>
    <row r="4749" ht="15.75" customHeight="1">
      <c r="A4749" s="33" t="s">
        <v>8735</v>
      </c>
      <c r="B4749" s="33" t="s">
        <v>260</v>
      </c>
      <c r="C4749" s="39">
        <v>45949.0</v>
      </c>
      <c r="D4749" s="33" t="s">
        <v>428</v>
      </c>
      <c r="E4749" s="40">
        <v>101.12</v>
      </c>
      <c r="F4749" s="40">
        <v>0.0</v>
      </c>
      <c r="G4749" s="33" t="s">
        <v>442</v>
      </c>
    </row>
    <row r="4750" ht="15.75" customHeight="1">
      <c r="A4750" s="33" t="s">
        <v>8736</v>
      </c>
      <c r="B4750" s="33" t="s">
        <v>1500</v>
      </c>
      <c r="C4750" s="39">
        <v>45746.0</v>
      </c>
      <c r="D4750" s="33" t="s">
        <v>435</v>
      </c>
      <c r="E4750" s="40">
        <v>385.58</v>
      </c>
      <c r="F4750" s="40">
        <v>0.0</v>
      </c>
      <c r="G4750" s="33" t="s">
        <v>431</v>
      </c>
    </row>
    <row r="4751" ht="15.75" customHeight="1">
      <c r="A4751" s="33" t="s">
        <v>8737</v>
      </c>
      <c r="B4751" s="33" t="s">
        <v>389</v>
      </c>
      <c r="C4751" s="39">
        <v>45716.0</v>
      </c>
      <c r="D4751" s="33" t="s">
        <v>479</v>
      </c>
      <c r="E4751" s="40">
        <v>11.86</v>
      </c>
      <c r="F4751" s="40">
        <v>0.08</v>
      </c>
      <c r="G4751" s="33" t="s">
        <v>431</v>
      </c>
    </row>
    <row r="4752" ht="15.75" customHeight="1">
      <c r="A4752" s="33" t="s">
        <v>8738</v>
      </c>
      <c r="B4752" s="33" t="s">
        <v>2231</v>
      </c>
      <c r="C4752" s="39">
        <v>45862.0</v>
      </c>
      <c r="D4752" s="33" t="s">
        <v>461</v>
      </c>
      <c r="E4752" s="40">
        <v>53.8</v>
      </c>
      <c r="F4752" s="40">
        <v>0.64</v>
      </c>
      <c r="G4752" s="33" t="s">
        <v>431</v>
      </c>
    </row>
    <row r="4753" ht="15.75" customHeight="1">
      <c r="A4753" s="33" t="s">
        <v>8739</v>
      </c>
      <c r="B4753" s="33" t="s">
        <v>790</v>
      </c>
      <c r="C4753" s="39">
        <v>45808.0</v>
      </c>
      <c r="D4753" s="33" t="s">
        <v>428</v>
      </c>
      <c r="E4753" s="40">
        <v>58.11</v>
      </c>
      <c r="F4753" s="40">
        <v>0.0</v>
      </c>
      <c r="G4753" s="33" t="s">
        <v>431</v>
      </c>
    </row>
    <row r="4754" ht="15.75" customHeight="1">
      <c r="A4754" s="33" t="s">
        <v>8740</v>
      </c>
      <c r="B4754" s="33" t="s">
        <v>3850</v>
      </c>
      <c r="C4754" s="39">
        <v>45721.0</v>
      </c>
      <c r="D4754" s="33" t="s">
        <v>461</v>
      </c>
      <c r="E4754" s="40">
        <v>4.68</v>
      </c>
      <c r="F4754" s="40">
        <v>0.06</v>
      </c>
      <c r="G4754" s="33" t="s">
        <v>442</v>
      </c>
    </row>
    <row r="4755" ht="15.75" customHeight="1">
      <c r="A4755" s="33" t="s">
        <v>8741</v>
      </c>
      <c r="B4755" s="33" t="s">
        <v>1309</v>
      </c>
      <c r="C4755" s="39">
        <v>45836.0</v>
      </c>
      <c r="D4755" s="33" t="s">
        <v>435</v>
      </c>
      <c r="E4755" s="40">
        <v>274.04</v>
      </c>
      <c r="F4755" s="40">
        <v>0.0</v>
      </c>
      <c r="G4755" s="33" t="s">
        <v>431</v>
      </c>
    </row>
    <row r="4756" ht="15.75" customHeight="1">
      <c r="A4756" s="33" t="s">
        <v>8742</v>
      </c>
      <c r="B4756" s="33" t="s">
        <v>1179</v>
      </c>
      <c r="C4756" s="39">
        <v>46164.0</v>
      </c>
      <c r="D4756" s="33" t="s">
        <v>461</v>
      </c>
      <c r="E4756" s="40">
        <v>30.66</v>
      </c>
      <c r="F4756" s="40">
        <v>0.45</v>
      </c>
      <c r="G4756" s="33" t="s">
        <v>442</v>
      </c>
    </row>
    <row r="4757" ht="15.75" customHeight="1">
      <c r="A4757" s="33" t="s">
        <v>8743</v>
      </c>
      <c r="B4757" s="33" t="s">
        <v>633</v>
      </c>
      <c r="C4757" s="39">
        <v>46093.0</v>
      </c>
      <c r="D4757" s="33" t="s">
        <v>440</v>
      </c>
      <c r="E4757" s="40">
        <v>28.95</v>
      </c>
      <c r="F4757" s="40">
        <v>0.0</v>
      </c>
      <c r="G4757" s="33" t="s">
        <v>442</v>
      </c>
    </row>
    <row r="4758" ht="15.75" customHeight="1">
      <c r="A4758" s="33" t="s">
        <v>8744</v>
      </c>
      <c r="B4758" s="33" t="s">
        <v>255</v>
      </c>
      <c r="C4758" s="39">
        <v>45784.0</v>
      </c>
      <c r="D4758" s="33" t="s">
        <v>428</v>
      </c>
      <c r="E4758" s="40">
        <v>18.3</v>
      </c>
      <c r="F4758" s="40">
        <v>0.0</v>
      </c>
      <c r="G4758" s="33" t="s">
        <v>450</v>
      </c>
    </row>
    <row r="4759" ht="15.75" customHeight="1">
      <c r="A4759" s="33" t="s">
        <v>8745</v>
      </c>
      <c r="B4759" s="33" t="s">
        <v>1503</v>
      </c>
      <c r="C4759" s="39">
        <v>46067.0</v>
      </c>
      <c r="D4759" s="33" t="s">
        <v>461</v>
      </c>
      <c r="E4759" s="40">
        <v>53.32</v>
      </c>
      <c r="F4759" s="40">
        <v>0.55</v>
      </c>
      <c r="G4759" s="33" t="s">
        <v>431</v>
      </c>
    </row>
    <row r="4760" ht="15.75" customHeight="1">
      <c r="A4760" s="33" t="s">
        <v>8746</v>
      </c>
      <c r="B4760" s="33" t="s">
        <v>964</v>
      </c>
      <c r="C4760" s="39">
        <v>45932.0</v>
      </c>
      <c r="D4760" s="33" t="s">
        <v>435</v>
      </c>
      <c r="E4760" s="40">
        <v>105.32</v>
      </c>
      <c r="F4760" s="40">
        <v>0.0</v>
      </c>
      <c r="G4760" s="33" t="s">
        <v>450</v>
      </c>
    </row>
    <row r="4761" ht="15.75" customHeight="1">
      <c r="A4761" s="33" t="s">
        <v>8747</v>
      </c>
      <c r="B4761" s="33" t="s">
        <v>1145</v>
      </c>
      <c r="C4761" s="39">
        <v>46111.0</v>
      </c>
      <c r="D4761" s="33" t="s">
        <v>440</v>
      </c>
      <c r="E4761" s="40">
        <v>73.51</v>
      </c>
      <c r="F4761" s="40">
        <v>0.0</v>
      </c>
      <c r="G4761" s="33" t="s">
        <v>450</v>
      </c>
    </row>
    <row r="4762" ht="15.75" customHeight="1">
      <c r="A4762" s="33" t="s">
        <v>8748</v>
      </c>
      <c r="B4762" s="33" t="s">
        <v>1118</v>
      </c>
      <c r="C4762" s="39">
        <v>45808.0</v>
      </c>
      <c r="D4762" s="33" t="s">
        <v>428</v>
      </c>
      <c r="E4762" s="40">
        <v>34.84</v>
      </c>
      <c r="F4762" s="40">
        <v>0.0</v>
      </c>
      <c r="G4762" s="33" t="s">
        <v>442</v>
      </c>
    </row>
    <row r="4763" ht="15.75" customHeight="1">
      <c r="A4763" s="33" t="s">
        <v>8749</v>
      </c>
      <c r="B4763" s="33" t="s">
        <v>1640</v>
      </c>
      <c r="C4763" s="39">
        <v>45695.0</v>
      </c>
      <c r="D4763" s="33" t="s">
        <v>428</v>
      </c>
      <c r="E4763" s="40">
        <v>101.26</v>
      </c>
      <c r="F4763" s="40">
        <v>0.0</v>
      </c>
      <c r="G4763" s="33" t="s">
        <v>442</v>
      </c>
    </row>
    <row r="4764" ht="15.75" customHeight="1">
      <c r="A4764" s="33" t="s">
        <v>8750</v>
      </c>
      <c r="B4764" s="33" t="s">
        <v>1444</v>
      </c>
      <c r="C4764" s="39">
        <v>45847.0</v>
      </c>
      <c r="D4764" s="33" t="s">
        <v>461</v>
      </c>
      <c r="E4764" s="40">
        <v>74.2</v>
      </c>
      <c r="F4764" s="40">
        <v>0.61</v>
      </c>
      <c r="G4764" s="33" t="s">
        <v>431</v>
      </c>
    </row>
    <row r="4765" ht="15.75" customHeight="1">
      <c r="A4765" s="33" t="s">
        <v>8751</v>
      </c>
      <c r="B4765" s="33" t="s">
        <v>323</v>
      </c>
      <c r="C4765" s="39">
        <v>46261.0</v>
      </c>
      <c r="D4765" s="33" t="s">
        <v>440</v>
      </c>
      <c r="E4765" s="40">
        <v>173.93</v>
      </c>
      <c r="F4765" s="40">
        <v>0.0</v>
      </c>
      <c r="G4765" s="33" t="s">
        <v>450</v>
      </c>
    </row>
    <row r="4766" ht="15.75" customHeight="1">
      <c r="A4766" s="33" t="s">
        <v>8752</v>
      </c>
      <c r="B4766" s="33" t="s">
        <v>1467</v>
      </c>
      <c r="C4766" s="39">
        <v>45995.0</v>
      </c>
      <c r="D4766" s="33" t="s">
        <v>440</v>
      </c>
      <c r="E4766" s="40">
        <v>44.19</v>
      </c>
      <c r="F4766" s="40">
        <v>0.0</v>
      </c>
      <c r="G4766" s="33" t="s">
        <v>442</v>
      </c>
    </row>
    <row r="4767" ht="15.75" customHeight="1">
      <c r="A4767" s="33" t="s">
        <v>8753</v>
      </c>
      <c r="B4767" s="33" t="s">
        <v>1067</v>
      </c>
      <c r="C4767" s="39">
        <v>45691.0</v>
      </c>
      <c r="D4767" s="33" t="s">
        <v>461</v>
      </c>
      <c r="E4767" s="40">
        <v>40.79</v>
      </c>
      <c r="F4767" s="40">
        <v>0.54</v>
      </c>
      <c r="G4767" s="33" t="s">
        <v>450</v>
      </c>
    </row>
    <row r="4768" ht="15.75" customHeight="1">
      <c r="A4768" s="33" t="s">
        <v>8754</v>
      </c>
      <c r="B4768" s="33" t="s">
        <v>2023</v>
      </c>
      <c r="C4768" s="39">
        <v>46250.0</v>
      </c>
      <c r="D4768" s="33" t="s">
        <v>479</v>
      </c>
      <c r="E4768" s="40">
        <v>134.44</v>
      </c>
      <c r="F4768" s="40">
        <v>2.67</v>
      </c>
      <c r="G4768" s="33" t="s">
        <v>442</v>
      </c>
    </row>
    <row r="4769" ht="15.75" customHeight="1">
      <c r="A4769" s="33" t="s">
        <v>8755</v>
      </c>
      <c r="B4769" s="33" t="s">
        <v>608</v>
      </c>
      <c r="C4769" s="39">
        <v>46159.0</v>
      </c>
      <c r="D4769" s="33" t="s">
        <v>440</v>
      </c>
      <c r="E4769" s="40">
        <v>29.63</v>
      </c>
      <c r="F4769" s="40">
        <v>0.0</v>
      </c>
      <c r="G4769" s="33" t="s">
        <v>450</v>
      </c>
    </row>
    <row r="4770" ht="15.75" customHeight="1">
      <c r="A4770" s="33" t="s">
        <v>8756</v>
      </c>
      <c r="B4770" s="33" t="s">
        <v>1802</v>
      </c>
      <c r="C4770" s="39">
        <v>45988.0</v>
      </c>
      <c r="D4770" s="33" t="s">
        <v>440</v>
      </c>
      <c r="E4770" s="40">
        <v>17.71</v>
      </c>
      <c r="F4770" s="40">
        <v>0.0</v>
      </c>
      <c r="G4770" s="33" t="s">
        <v>450</v>
      </c>
    </row>
    <row r="4771" ht="15.75" customHeight="1">
      <c r="A4771" s="33" t="s">
        <v>8757</v>
      </c>
      <c r="B4771" s="33" t="s">
        <v>1722</v>
      </c>
      <c r="C4771" s="39">
        <v>46107.0</v>
      </c>
      <c r="D4771" s="33" t="s">
        <v>435</v>
      </c>
      <c r="E4771" s="40">
        <v>72.42</v>
      </c>
      <c r="F4771" s="40">
        <v>0.0</v>
      </c>
      <c r="G4771" s="33" t="s">
        <v>450</v>
      </c>
    </row>
    <row r="4772" ht="15.75" customHeight="1">
      <c r="A4772" s="33" t="s">
        <v>8758</v>
      </c>
      <c r="B4772" s="33" t="s">
        <v>201</v>
      </c>
      <c r="C4772" s="39">
        <v>45770.0</v>
      </c>
      <c r="D4772" s="33" t="s">
        <v>479</v>
      </c>
      <c r="E4772" s="40">
        <v>107.75</v>
      </c>
      <c r="F4772" s="40">
        <v>1.95</v>
      </c>
      <c r="G4772" s="33" t="s">
        <v>450</v>
      </c>
    </row>
    <row r="4773" ht="15.75" customHeight="1">
      <c r="A4773" s="33" t="s">
        <v>8759</v>
      </c>
      <c r="B4773" s="33" t="s">
        <v>705</v>
      </c>
      <c r="C4773" s="39">
        <v>46017.0</v>
      </c>
      <c r="D4773" s="33" t="s">
        <v>479</v>
      </c>
      <c r="E4773" s="40">
        <v>16.35</v>
      </c>
      <c r="F4773" s="40">
        <v>0.14</v>
      </c>
      <c r="G4773" s="33" t="s">
        <v>431</v>
      </c>
    </row>
    <row r="4774" ht="15.75" customHeight="1">
      <c r="A4774" s="33" t="s">
        <v>8760</v>
      </c>
      <c r="B4774" s="33" t="s">
        <v>3440</v>
      </c>
      <c r="C4774" s="39">
        <v>46212.0</v>
      </c>
      <c r="D4774" s="33" t="s">
        <v>479</v>
      </c>
      <c r="E4774" s="40">
        <v>144.74</v>
      </c>
      <c r="F4774" s="40">
        <v>2.28</v>
      </c>
      <c r="G4774" s="33" t="s">
        <v>450</v>
      </c>
    </row>
    <row r="4775" ht="15.75" customHeight="1">
      <c r="A4775" s="33" t="s">
        <v>8761</v>
      </c>
      <c r="B4775" s="33" t="s">
        <v>1994</v>
      </c>
      <c r="C4775" s="39">
        <v>45924.0</v>
      </c>
      <c r="D4775" s="33" t="s">
        <v>428</v>
      </c>
      <c r="E4775" s="40">
        <v>14.62</v>
      </c>
      <c r="F4775" s="40">
        <v>0.0</v>
      </c>
      <c r="G4775" s="33" t="s">
        <v>450</v>
      </c>
    </row>
    <row r="4776" ht="15.75" customHeight="1">
      <c r="A4776" s="33" t="s">
        <v>8762</v>
      </c>
      <c r="B4776" s="33" t="s">
        <v>2098</v>
      </c>
      <c r="C4776" s="39">
        <v>45681.0</v>
      </c>
      <c r="D4776" s="33" t="s">
        <v>461</v>
      </c>
      <c r="E4776" s="40">
        <v>46.21</v>
      </c>
      <c r="F4776" s="40">
        <v>0.74</v>
      </c>
      <c r="G4776" s="33" t="s">
        <v>450</v>
      </c>
    </row>
    <row r="4777" ht="15.75" customHeight="1">
      <c r="A4777" s="33" t="s">
        <v>8763</v>
      </c>
      <c r="B4777" s="33" t="s">
        <v>2139</v>
      </c>
      <c r="C4777" s="39">
        <v>46117.0</v>
      </c>
      <c r="D4777" s="33" t="s">
        <v>479</v>
      </c>
      <c r="E4777" s="40">
        <v>73.94</v>
      </c>
      <c r="F4777" s="40">
        <v>0.46</v>
      </c>
      <c r="G4777" s="33" t="s">
        <v>431</v>
      </c>
    </row>
    <row r="4778" ht="15.75" customHeight="1">
      <c r="A4778" s="33" t="s">
        <v>8764</v>
      </c>
      <c r="B4778" s="33" t="s">
        <v>1887</v>
      </c>
      <c r="C4778" s="39">
        <v>46101.0</v>
      </c>
      <c r="D4778" s="33" t="s">
        <v>440</v>
      </c>
      <c r="E4778" s="40">
        <v>185.34</v>
      </c>
      <c r="F4778" s="40">
        <v>0.0</v>
      </c>
      <c r="G4778" s="33" t="s">
        <v>442</v>
      </c>
    </row>
    <row r="4779" ht="15.75" customHeight="1">
      <c r="A4779" s="33" t="s">
        <v>8765</v>
      </c>
      <c r="B4779" s="33" t="s">
        <v>1216</v>
      </c>
      <c r="C4779" s="39">
        <v>46107.0</v>
      </c>
      <c r="D4779" s="33" t="s">
        <v>461</v>
      </c>
      <c r="E4779" s="40">
        <v>192.98</v>
      </c>
      <c r="F4779" s="40">
        <v>3.25</v>
      </c>
      <c r="G4779" s="33" t="s">
        <v>450</v>
      </c>
    </row>
    <row r="4780" ht="15.75" customHeight="1">
      <c r="A4780" s="33" t="s">
        <v>8766</v>
      </c>
      <c r="B4780" s="33" t="s">
        <v>1856</v>
      </c>
      <c r="C4780" s="39">
        <v>46051.0</v>
      </c>
      <c r="D4780" s="33" t="s">
        <v>428</v>
      </c>
      <c r="E4780" s="40">
        <v>84.83</v>
      </c>
      <c r="F4780" s="40">
        <v>0.0</v>
      </c>
      <c r="G4780" s="33" t="s">
        <v>450</v>
      </c>
    </row>
    <row r="4781" ht="15.75" customHeight="1">
      <c r="A4781" s="33" t="s">
        <v>8767</v>
      </c>
      <c r="B4781" s="33" t="s">
        <v>1991</v>
      </c>
      <c r="C4781" s="39">
        <v>45741.0</v>
      </c>
      <c r="D4781" s="33" t="s">
        <v>435</v>
      </c>
      <c r="E4781" s="40">
        <v>52.82</v>
      </c>
      <c r="F4781" s="40">
        <v>0.0</v>
      </c>
      <c r="G4781" s="33" t="s">
        <v>442</v>
      </c>
    </row>
    <row r="4782" ht="15.75" customHeight="1">
      <c r="A4782" s="33" t="s">
        <v>8768</v>
      </c>
      <c r="B4782" s="33" t="s">
        <v>692</v>
      </c>
      <c r="C4782" s="39">
        <v>45727.0</v>
      </c>
      <c r="D4782" s="33" t="s">
        <v>440</v>
      </c>
      <c r="E4782" s="40">
        <v>55.5</v>
      </c>
      <c r="F4782" s="40">
        <v>0.0</v>
      </c>
      <c r="G4782" s="33" t="s">
        <v>450</v>
      </c>
    </row>
    <row r="4783" ht="15.75" customHeight="1">
      <c r="A4783" s="33" t="s">
        <v>8769</v>
      </c>
      <c r="B4783" s="33" t="s">
        <v>382</v>
      </c>
      <c r="C4783" s="39">
        <v>46139.0</v>
      </c>
      <c r="D4783" s="33" t="s">
        <v>435</v>
      </c>
      <c r="E4783" s="40">
        <v>256.47</v>
      </c>
      <c r="F4783" s="40">
        <v>0.0</v>
      </c>
      <c r="G4783" s="33" t="s">
        <v>450</v>
      </c>
    </row>
    <row r="4784" ht="15.75" customHeight="1">
      <c r="A4784" s="33" t="s">
        <v>8770</v>
      </c>
      <c r="B4784" s="33" t="s">
        <v>291</v>
      </c>
      <c r="C4784" s="39">
        <v>46177.0</v>
      </c>
      <c r="D4784" s="33" t="s">
        <v>440</v>
      </c>
      <c r="E4784" s="40">
        <v>164.49</v>
      </c>
      <c r="F4784" s="40">
        <v>0.0</v>
      </c>
      <c r="G4784" s="33" t="s">
        <v>442</v>
      </c>
    </row>
    <row r="4785" ht="15.75" customHeight="1">
      <c r="A4785" s="33" t="s">
        <v>8771</v>
      </c>
      <c r="B4785" s="33" t="s">
        <v>3934</v>
      </c>
      <c r="C4785" s="39">
        <v>45705.0</v>
      </c>
      <c r="D4785" s="33" t="s">
        <v>435</v>
      </c>
      <c r="E4785" s="40">
        <v>98.12</v>
      </c>
      <c r="F4785" s="40">
        <v>0.0</v>
      </c>
      <c r="G4785" s="33" t="s">
        <v>431</v>
      </c>
    </row>
    <row r="4786" ht="15.75" customHeight="1">
      <c r="A4786" s="33" t="s">
        <v>8772</v>
      </c>
      <c r="B4786" s="33" t="s">
        <v>675</v>
      </c>
      <c r="C4786" s="39">
        <v>46010.0</v>
      </c>
      <c r="D4786" s="33" t="s">
        <v>479</v>
      </c>
      <c r="E4786" s="40">
        <v>86.83</v>
      </c>
      <c r="F4786" s="40">
        <v>1.03</v>
      </c>
      <c r="G4786" s="33" t="s">
        <v>450</v>
      </c>
    </row>
    <row r="4787" ht="15.75" customHeight="1">
      <c r="A4787" s="33" t="s">
        <v>8773</v>
      </c>
      <c r="B4787" s="33" t="s">
        <v>434</v>
      </c>
      <c r="C4787" s="39">
        <v>45961.0</v>
      </c>
      <c r="D4787" s="33" t="s">
        <v>428</v>
      </c>
      <c r="E4787" s="40">
        <v>80.99</v>
      </c>
      <c r="F4787" s="40">
        <v>0.0</v>
      </c>
      <c r="G4787" s="33" t="s">
        <v>450</v>
      </c>
    </row>
    <row r="4788" ht="15.75" customHeight="1">
      <c r="A4788" s="33" t="s">
        <v>8774</v>
      </c>
      <c r="B4788" s="33" t="s">
        <v>812</v>
      </c>
      <c r="C4788" s="39">
        <v>45870.0</v>
      </c>
      <c r="D4788" s="33" t="s">
        <v>428</v>
      </c>
      <c r="E4788" s="40">
        <v>11.2</v>
      </c>
      <c r="F4788" s="40">
        <v>0.0</v>
      </c>
      <c r="G4788" s="33" t="s">
        <v>450</v>
      </c>
    </row>
    <row r="4789" ht="15.75" customHeight="1">
      <c r="A4789" s="33" t="s">
        <v>8775</v>
      </c>
      <c r="B4789" s="33" t="s">
        <v>2255</v>
      </c>
      <c r="C4789" s="39">
        <v>46049.0</v>
      </c>
      <c r="D4789" s="33" t="s">
        <v>440</v>
      </c>
      <c r="E4789" s="40">
        <v>2.45</v>
      </c>
      <c r="F4789" s="40">
        <v>0.0</v>
      </c>
      <c r="G4789" s="33" t="s">
        <v>442</v>
      </c>
    </row>
    <row r="4790" ht="15.75" customHeight="1">
      <c r="A4790" s="33" t="s">
        <v>8776</v>
      </c>
      <c r="B4790" s="33" t="s">
        <v>273</v>
      </c>
      <c r="C4790" s="39">
        <v>46212.0</v>
      </c>
      <c r="D4790" s="33" t="s">
        <v>461</v>
      </c>
      <c r="E4790" s="40">
        <v>62.16</v>
      </c>
      <c r="F4790" s="40">
        <v>0.8</v>
      </c>
      <c r="G4790" s="33" t="s">
        <v>442</v>
      </c>
    </row>
    <row r="4791" ht="15.75" customHeight="1">
      <c r="A4791" s="33" t="s">
        <v>8777</v>
      </c>
      <c r="B4791" s="33" t="s">
        <v>1505</v>
      </c>
      <c r="C4791" s="39">
        <v>46156.0</v>
      </c>
      <c r="D4791" s="33" t="s">
        <v>440</v>
      </c>
      <c r="E4791" s="40">
        <v>26.35</v>
      </c>
      <c r="F4791" s="40">
        <v>0.0</v>
      </c>
      <c r="G4791" s="33" t="s">
        <v>431</v>
      </c>
    </row>
    <row r="4792" ht="15.75" customHeight="1">
      <c r="A4792" s="33" t="s">
        <v>8778</v>
      </c>
      <c r="B4792" s="33" t="s">
        <v>2221</v>
      </c>
      <c r="C4792" s="39">
        <v>45750.0</v>
      </c>
      <c r="D4792" s="33" t="s">
        <v>440</v>
      </c>
      <c r="E4792" s="40">
        <v>87.62</v>
      </c>
      <c r="F4792" s="40">
        <v>0.0</v>
      </c>
      <c r="G4792" s="33" t="s">
        <v>450</v>
      </c>
    </row>
    <row r="4793" ht="15.75" customHeight="1">
      <c r="A4793" s="33" t="s">
        <v>8779</v>
      </c>
      <c r="B4793" s="33" t="s">
        <v>1095</v>
      </c>
      <c r="C4793" s="39">
        <v>45939.0</v>
      </c>
      <c r="D4793" s="33" t="s">
        <v>461</v>
      </c>
      <c r="E4793" s="40">
        <v>82.81</v>
      </c>
      <c r="F4793" s="40">
        <v>0.68</v>
      </c>
      <c r="G4793" s="33" t="s">
        <v>442</v>
      </c>
    </row>
    <row r="4794" ht="15.75" customHeight="1">
      <c r="A4794" s="33" t="s">
        <v>8780</v>
      </c>
      <c r="B4794" s="33" t="s">
        <v>1510</v>
      </c>
      <c r="C4794" s="39">
        <v>46225.0</v>
      </c>
      <c r="D4794" s="33" t="s">
        <v>461</v>
      </c>
      <c r="E4794" s="40">
        <v>17.28</v>
      </c>
      <c r="F4794" s="40">
        <v>0.12</v>
      </c>
      <c r="G4794" s="33" t="s">
        <v>442</v>
      </c>
    </row>
    <row r="4795" ht="15.75" customHeight="1">
      <c r="A4795" s="33" t="s">
        <v>8781</v>
      </c>
      <c r="B4795" s="33" t="s">
        <v>642</v>
      </c>
      <c r="C4795" s="39">
        <v>45801.0</v>
      </c>
      <c r="D4795" s="33" t="s">
        <v>479</v>
      </c>
      <c r="E4795" s="40">
        <v>88.93</v>
      </c>
      <c r="F4795" s="40">
        <v>0.83</v>
      </c>
      <c r="G4795" s="33" t="s">
        <v>431</v>
      </c>
    </row>
    <row r="4796" ht="15.75" customHeight="1">
      <c r="A4796" s="33" t="s">
        <v>8782</v>
      </c>
      <c r="B4796" s="33" t="s">
        <v>275</v>
      </c>
      <c r="C4796" s="39">
        <v>46176.0</v>
      </c>
      <c r="D4796" s="33" t="s">
        <v>435</v>
      </c>
      <c r="E4796" s="40">
        <v>92.71</v>
      </c>
      <c r="F4796" s="40">
        <v>0.0</v>
      </c>
      <c r="G4796" s="33" t="s">
        <v>431</v>
      </c>
    </row>
    <row r="4797" ht="15.75" customHeight="1">
      <c r="A4797" s="33" t="s">
        <v>8783</v>
      </c>
      <c r="B4797" s="33" t="s">
        <v>470</v>
      </c>
      <c r="C4797" s="39">
        <v>45955.0</v>
      </c>
      <c r="D4797" s="33" t="s">
        <v>479</v>
      </c>
      <c r="E4797" s="40">
        <v>90.82</v>
      </c>
      <c r="F4797" s="40">
        <v>0.81</v>
      </c>
      <c r="G4797" s="33" t="s">
        <v>450</v>
      </c>
    </row>
    <row r="4798" ht="15.75" customHeight="1">
      <c r="A4798" s="33" t="s">
        <v>8784</v>
      </c>
      <c r="B4798" s="33" t="s">
        <v>1043</v>
      </c>
      <c r="C4798" s="39">
        <v>45974.0</v>
      </c>
      <c r="D4798" s="33" t="s">
        <v>440</v>
      </c>
      <c r="E4798" s="40">
        <v>44.61</v>
      </c>
      <c r="F4798" s="40">
        <v>0.0</v>
      </c>
      <c r="G4798" s="33" t="s">
        <v>450</v>
      </c>
    </row>
    <row r="4799" ht="15.75" customHeight="1">
      <c r="A4799" s="33" t="s">
        <v>8785</v>
      </c>
      <c r="B4799" s="33" t="s">
        <v>684</v>
      </c>
      <c r="C4799" s="39">
        <v>45809.0</v>
      </c>
      <c r="D4799" s="33" t="s">
        <v>435</v>
      </c>
      <c r="E4799" s="40">
        <v>104.11</v>
      </c>
      <c r="F4799" s="40">
        <v>0.0</v>
      </c>
      <c r="G4799" s="33" t="s">
        <v>450</v>
      </c>
    </row>
    <row r="4800" ht="15.75" customHeight="1">
      <c r="A4800" s="33" t="s">
        <v>8786</v>
      </c>
      <c r="B4800" s="33" t="s">
        <v>300</v>
      </c>
      <c r="C4800" s="39">
        <v>46216.0</v>
      </c>
      <c r="D4800" s="33" t="s">
        <v>435</v>
      </c>
      <c r="E4800" s="40">
        <v>109.05</v>
      </c>
      <c r="F4800" s="40">
        <v>0.0</v>
      </c>
      <c r="G4800" s="33" t="s">
        <v>450</v>
      </c>
    </row>
    <row r="4801" ht="15.75" customHeight="1">
      <c r="A4801" s="33" t="s">
        <v>8787</v>
      </c>
      <c r="B4801" s="33" t="s">
        <v>352</v>
      </c>
      <c r="C4801" s="39">
        <v>45978.0</v>
      </c>
      <c r="D4801" s="33" t="s">
        <v>479</v>
      </c>
      <c r="E4801" s="40">
        <v>103.45</v>
      </c>
      <c r="F4801" s="40">
        <v>1.34</v>
      </c>
      <c r="G4801" s="33" t="s">
        <v>450</v>
      </c>
    </row>
    <row r="4802" ht="15.75" customHeight="1">
      <c r="A4802" s="33" t="s">
        <v>8788</v>
      </c>
      <c r="B4802" s="33" t="s">
        <v>1716</v>
      </c>
      <c r="C4802" s="39">
        <v>46006.0</v>
      </c>
      <c r="D4802" s="33" t="s">
        <v>435</v>
      </c>
      <c r="E4802" s="40">
        <v>59.81</v>
      </c>
      <c r="F4802" s="40">
        <v>0.0</v>
      </c>
      <c r="G4802" s="33" t="s">
        <v>450</v>
      </c>
    </row>
    <row r="4803" ht="15.75" customHeight="1">
      <c r="A4803" s="33" t="s">
        <v>8789</v>
      </c>
      <c r="B4803" s="33" t="s">
        <v>2362</v>
      </c>
      <c r="C4803" s="39">
        <v>45938.0</v>
      </c>
      <c r="D4803" s="33" t="s">
        <v>461</v>
      </c>
      <c r="E4803" s="40">
        <v>202.37</v>
      </c>
      <c r="F4803" s="40">
        <v>2.7</v>
      </c>
      <c r="G4803" s="33" t="s">
        <v>450</v>
      </c>
    </row>
    <row r="4804" ht="15.75" customHeight="1">
      <c r="A4804" s="33" t="s">
        <v>8790</v>
      </c>
      <c r="B4804" s="33" t="s">
        <v>848</v>
      </c>
      <c r="C4804" s="39">
        <v>45712.0</v>
      </c>
      <c r="D4804" s="33" t="s">
        <v>435</v>
      </c>
      <c r="E4804" s="40">
        <v>174.71</v>
      </c>
      <c r="F4804" s="40">
        <v>0.0</v>
      </c>
      <c r="G4804" s="33" t="s">
        <v>442</v>
      </c>
    </row>
    <row r="4805" ht="15.75" customHeight="1">
      <c r="A4805" s="33" t="s">
        <v>8791</v>
      </c>
      <c r="B4805" s="33" t="s">
        <v>863</v>
      </c>
      <c r="C4805" s="39">
        <v>46131.0</v>
      </c>
      <c r="D4805" s="33" t="s">
        <v>440</v>
      </c>
      <c r="E4805" s="40">
        <v>77.75</v>
      </c>
      <c r="F4805" s="40">
        <v>0.0</v>
      </c>
      <c r="G4805" s="33" t="s">
        <v>450</v>
      </c>
    </row>
    <row r="4806" ht="15.75" customHeight="1">
      <c r="A4806" s="33" t="s">
        <v>8792</v>
      </c>
      <c r="B4806" s="33" t="s">
        <v>2252</v>
      </c>
      <c r="C4806" s="39">
        <v>45857.0</v>
      </c>
      <c r="D4806" s="33" t="s">
        <v>428</v>
      </c>
      <c r="E4806" s="40">
        <v>41.26</v>
      </c>
      <c r="F4806" s="40">
        <v>0.0</v>
      </c>
      <c r="G4806" s="33" t="s">
        <v>442</v>
      </c>
    </row>
    <row r="4807" ht="15.75" customHeight="1">
      <c r="A4807" s="33" t="s">
        <v>8793</v>
      </c>
      <c r="B4807" s="33" t="s">
        <v>1051</v>
      </c>
      <c r="C4807" s="39">
        <v>45803.0</v>
      </c>
      <c r="D4807" s="33" t="s">
        <v>461</v>
      </c>
      <c r="E4807" s="40">
        <v>37.19</v>
      </c>
      <c r="F4807" s="40">
        <v>0.49</v>
      </c>
      <c r="G4807" s="33" t="s">
        <v>442</v>
      </c>
    </row>
    <row r="4808" ht="15.75" customHeight="1">
      <c r="A4808" s="33" t="s">
        <v>8794</v>
      </c>
      <c r="B4808" s="33" t="s">
        <v>608</v>
      </c>
      <c r="C4808" s="39">
        <v>46132.0</v>
      </c>
      <c r="D4808" s="33" t="s">
        <v>479</v>
      </c>
      <c r="E4808" s="40">
        <v>110.71</v>
      </c>
      <c r="F4808" s="40">
        <v>0.8</v>
      </c>
      <c r="G4808" s="33" t="s">
        <v>450</v>
      </c>
    </row>
    <row r="4809" ht="15.75" customHeight="1">
      <c r="A4809" s="33" t="s">
        <v>8795</v>
      </c>
      <c r="B4809" s="33" t="s">
        <v>850</v>
      </c>
      <c r="C4809" s="39">
        <v>45779.0</v>
      </c>
      <c r="D4809" s="33" t="s">
        <v>435</v>
      </c>
      <c r="E4809" s="40">
        <v>22.7</v>
      </c>
      <c r="F4809" s="40">
        <v>0.0</v>
      </c>
      <c r="G4809" s="33" t="s">
        <v>431</v>
      </c>
    </row>
    <row r="4810" ht="15.75" customHeight="1">
      <c r="A4810" s="33" t="s">
        <v>8796</v>
      </c>
      <c r="B4810" s="33" t="s">
        <v>441</v>
      </c>
      <c r="C4810" s="39">
        <v>46072.0</v>
      </c>
      <c r="D4810" s="33" t="s">
        <v>435</v>
      </c>
      <c r="E4810" s="40">
        <v>116.43</v>
      </c>
      <c r="F4810" s="40">
        <v>0.0</v>
      </c>
      <c r="G4810" s="33" t="s">
        <v>442</v>
      </c>
    </row>
    <row r="4811" ht="15.75" customHeight="1">
      <c r="A4811" s="33" t="s">
        <v>8797</v>
      </c>
      <c r="B4811" s="33" t="s">
        <v>320</v>
      </c>
      <c r="C4811" s="39">
        <v>45945.0</v>
      </c>
      <c r="D4811" s="33" t="s">
        <v>428</v>
      </c>
      <c r="E4811" s="40">
        <v>19.59</v>
      </c>
      <c r="F4811" s="40">
        <v>0.0</v>
      </c>
      <c r="G4811" s="33" t="s">
        <v>442</v>
      </c>
    </row>
    <row r="4812" ht="15.75" customHeight="1">
      <c r="A4812" s="33" t="s">
        <v>8798</v>
      </c>
      <c r="B4812" s="33" t="s">
        <v>3344</v>
      </c>
      <c r="C4812" s="39">
        <v>46143.0</v>
      </c>
      <c r="D4812" s="33" t="s">
        <v>461</v>
      </c>
      <c r="E4812" s="40">
        <v>68.3</v>
      </c>
      <c r="F4812" s="40">
        <v>0.99</v>
      </c>
      <c r="G4812" s="33" t="s">
        <v>442</v>
      </c>
    </row>
    <row r="4813" ht="15.75" customHeight="1">
      <c r="A4813" s="33" t="s">
        <v>8799</v>
      </c>
      <c r="B4813" s="33" t="s">
        <v>1490</v>
      </c>
      <c r="C4813" s="39">
        <v>45688.0</v>
      </c>
      <c r="D4813" s="33" t="s">
        <v>428</v>
      </c>
      <c r="E4813" s="40">
        <v>110.14</v>
      </c>
      <c r="F4813" s="40">
        <v>0.0</v>
      </c>
      <c r="G4813" s="33" t="s">
        <v>431</v>
      </c>
    </row>
    <row r="4814" ht="15.75" customHeight="1">
      <c r="A4814" s="33" t="s">
        <v>8800</v>
      </c>
      <c r="B4814" s="33" t="s">
        <v>2239</v>
      </c>
      <c r="C4814" s="39">
        <v>46128.0</v>
      </c>
      <c r="D4814" s="33" t="s">
        <v>428</v>
      </c>
      <c r="E4814" s="40">
        <v>38.64</v>
      </c>
      <c r="F4814" s="40">
        <v>0.0</v>
      </c>
      <c r="G4814" s="33" t="s">
        <v>450</v>
      </c>
    </row>
    <row r="4815" ht="15.75" customHeight="1">
      <c r="A4815" s="33" t="s">
        <v>8801</v>
      </c>
      <c r="B4815" s="33" t="s">
        <v>923</v>
      </c>
      <c r="C4815" s="39">
        <v>45797.0</v>
      </c>
      <c r="D4815" s="33" t="s">
        <v>435</v>
      </c>
      <c r="E4815" s="40">
        <v>142.84</v>
      </c>
      <c r="F4815" s="40">
        <v>0.0</v>
      </c>
      <c r="G4815" s="33" t="s">
        <v>450</v>
      </c>
    </row>
    <row r="4816" ht="15.75" customHeight="1">
      <c r="A4816" s="33" t="s">
        <v>8802</v>
      </c>
      <c r="B4816" s="33" t="s">
        <v>2715</v>
      </c>
      <c r="C4816" s="39">
        <v>46186.0</v>
      </c>
      <c r="D4816" s="33" t="s">
        <v>428</v>
      </c>
      <c r="E4816" s="40">
        <v>54.31</v>
      </c>
      <c r="F4816" s="40">
        <v>0.0</v>
      </c>
      <c r="G4816" s="33" t="s">
        <v>442</v>
      </c>
    </row>
    <row r="4817" ht="15.75" customHeight="1">
      <c r="A4817" s="33" t="s">
        <v>8803</v>
      </c>
      <c r="B4817" s="33" t="s">
        <v>1065</v>
      </c>
      <c r="C4817" s="39">
        <v>45872.0</v>
      </c>
      <c r="D4817" s="33" t="s">
        <v>479</v>
      </c>
      <c r="E4817" s="40">
        <v>73.35</v>
      </c>
      <c r="F4817" s="40">
        <v>1.25</v>
      </c>
      <c r="G4817" s="33" t="s">
        <v>450</v>
      </c>
    </row>
    <row r="4818" ht="15.75" customHeight="1">
      <c r="A4818" s="33" t="s">
        <v>8804</v>
      </c>
      <c r="B4818" s="33" t="s">
        <v>2161</v>
      </c>
      <c r="C4818" s="39">
        <v>45662.0</v>
      </c>
      <c r="D4818" s="33" t="s">
        <v>461</v>
      </c>
      <c r="E4818" s="40">
        <v>8.82</v>
      </c>
      <c r="F4818" s="40">
        <v>0.12</v>
      </c>
      <c r="G4818" s="33" t="s">
        <v>450</v>
      </c>
    </row>
    <row r="4819" ht="15.75" customHeight="1">
      <c r="A4819" s="33" t="s">
        <v>8805</v>
      </c>
      <c r="B4819" s="33" t="s">
        <v>1645</v>
      </c>
      <c r="C4819" s="39">
        <v>45953.0</v>
      </c>
      <c r="D4819" s="33" t="s">
        <v>479</v>
      </c>
      <c r="E4819" s="40">
        <v>19.01</v>
      </c>
      <c r="F4819" s="40">
        <v>0.21</v>
      </c>
      <c r="G4819" s="33" t="s">
        <v>442</v>
      </c>
    </row>
    <row r="4820" ht="15.75" customHeight="1">
      <c r="A4820" s="33" t="s">
        <v>8806</v>
      </c>
      <c r="B4820" s="33" t="s">
        <v>206</v>
      </c>
      <c r="C4820" s="39">
        <v>45691.0</v>
      </c>
      <c r="D4820" s="33" t="s">
        <v>461</v>
      </c>
      <c r="E4820" s="40">
        <v>9.73</v>
      </c>
      <c r="F4820" s="40">
        <v>0.08</v>
      </c>
      <c r="G4820" s="33" t="s">
        <v>450</v>
      </c>
    </row>
    <row r="4821" ht="15.75" customHeight="1">
      <c r="A4821" s="33" t="s">
        <v>8807</v>
      </c>
      <c r="B4821" s="33" t="s">
        <v>1130</v>
      </c>
      <c r="C4821" s="39">
        <v>45821.0</v>
      </c>
      <c r="D4821" s="33" t="s">
        <v>428</v>
      </c>
      <c r="E4821" s="40">
        <v>124.91</v>
      </c>
      <c r="F4821" s="40">
        <v>0.0</v>
      </c>
      <c r="G4821" s="33" t="s">
        <v>450</v>
      </c>
    </row>
    <row r="4822" ht="15.75" customHeight="1">
      <c r="A4822" s="33" t="s">
        <v>8808</v>
      </c>
      <c r="B4822" s="33" t="s">
        <v>2821</v>
      </c>
      <c r="C4822" s="39">
        <v>46093.0</v>
      </c>
      <c r="D4822" s="33" t="s">
        <v>428</v>
      </c>
      <c r="E4822" s="40">
        <v>52.23</v>
      </c>
      <c r="F4822" s="40">
        <v>0.0</v>
      </c>
      <c r="G4822" s="33" t="s">
        <v>450</v>
      </c>
    </row>
    <row r="4823" ht="15.75" customHeight="1">
      <c r="A4823" s="33" t="s">
        <v>8809</v>
      </c>
      <c r="B4823" s="33" t="s">
        <v>1485</v>
      </c>
      <c r="C4823" s="39">
        <v>45998.0</v>
      </c>
      <c r="D4823" s="33" t="s">
        <v>479</v>
      </c>
      <c r="E4823" s="40">
        <v>152.81</v>
      </c>
      <c r="F4823" s="40">
        <v>2.61</v>
      </c>
      <c r="G4823" s="33" t="s">
        <v>450</v>
      </c>
    </row>
    <row r="4824" ht="15.75" customHeight="1">
      <c r="A4824" s="33" t="s">
        <v>8810</v>
      </c>
      <c r="B4824" s="33" t="s">
        <v>312</v>
      </c>
      <c r="C4824" s="39">
        <v>46088.0</v>
      </c>
      <c r="D4824" s="33" t="s">
        <v>440</v>
      </c>
      <c r="E4824" s="40">
        <v>5.63</v>
      </c>
      <c r="F4824" s="40">
        <v>0.0</v>
      </c>
      <c r="G4824" s="33" t="s">
        <v>450</v>
      </c>
    </row>
    <row r="4825" ht="15.75" customHeight="1">
      <c r="A4825" s="33" t="s">
        <v>8811</v>
      </c>
      <c r="B4825" s="33" t="s">
        <v>546</v>
      </c>
      <c r="C4825" s="39">
        <v>46191.0</v>
      </c>
      <c r="D4825" s="33" t="s">
        <v>461</v>
      </c>
      <c r="E4825" s="40">
        <v>100.74</v>
      </c>
      <c r="F4825" s="40">
        <v>1.21</v>
      </c>
      <c r="G4825" s="33" t="s">
        <v>431</v>
      </c>
    </row>
    <row r="4826" ht="15.75" customHeight="1">
      <c r="A4826" s="33" t="s">
        <v>8812</v>
      </c>
      <c r="B4826" s="33" t="s">
        <v>1856</v>
      </c>
      <c r="C4826" s="39">
        <v>45942.0</v>
      </c>
      <c r="D4826" s="33" t="s">
        <v>479</v>
      </c>
      <c r="E4826" s="40">
        <v>8.75</v>
      </c>
      <c r="F4826" s="40">
        <v>0.17</v>
      </c>
      <c r="G4826" s="33" t="s">
        <v>450</v>
      </c>
    </row>
    <row r="4827" ht="15.75" customHeight="1">
      <c r="A4827" s="33" t="s">
        <v>8813</v>
      </c>
      <c r="B4827" s="33" t="s">
        <v>1463</v>
      </c>
      <c r="C4827" s="39">
        <v>45988.0</v>
      </c>
      <c r="D4827" s="33" t="s">
        <v>440</v>
      </c>
      <c r="E4827" s="40">
        <v>34.77</v>
      </c>
      <c r="F4827" s="40">
        <v>0.0</v>
      </c>
      <c r="G4827" s="33" t="s">
        <v>450</v>
      </c>
    </row>
    <row r="4828" ht="15.75" customHeight="1">
      <c r="A4828" s="33" t="s">
        <v>8814</v>
      </c>
      <c r="B4828" s="33" t="s">
        <v>2429</v>
      </c>
      <c r="C4828" s="39">
        <v>45693.0</v>
      </c>
      <c r="D4828" s="33" t="s">
        <v>461</v>
      </c>
      <c r="E4828" s="40">
        <v>67.35</v>
      </c>
      <c r="F4828" s="40">
        <v>1.14</v>
      </c>
      <c r="G4828" s="33" t="s">
        <v>442</v>
      </c>
    </row>
    <row r="4829" ht="15.75" customHeight="1">
      <c r="A4829" s="33" t="s">
        <v>8815</v>
      </c>
      <c r="B4829" s="33" t="s">
        <v>2658</v>
      </c>
      <c r="C4829" s="39">
        <v>45832.0</v>
      </c>
      <c r="D4829" s="33" t="s">
        <v>435</v>
      </c>
      <c r="E4829" s="40">
        <v>50.87</v>
      </c>
      <c r="F4829" s="40">
        <v>0.0</v>
      </c>
      <c r="G4829" s="33" t="s">
        <v>450</v>
      </c>
    </row>
    <row r="4830" ht="15.75" customHeight="1">
      <c r="A4830" s="33" t="s">
        <v>8816</v>
      </c>
      <c r="B4830" s="33" t="s">
        <v>2508</v>
      </c>
      <c r="C4830" s="39">
        <v>46097.0</v>
      </c>
      <c r="D4830" s="33" t="s">
        <v>479</v>
      </c>
      <c r="E4830" s="40">
        <v>90.85</v>
      </c>
      <c r="F4830" s="40">
        <v>1.74</v>
      </c>
      <c r="G4830" s="33" t="s">
        <v>450</v>
      </c>
    </row>
    <row r="4831" ht="15.75" customHeight="1">
      <c r="A4831" s="33" t="s">
        <v>8817</v>
      </c>
      <c r="B4831" s="33" t="s">
        <v>931</v>
      </c>
      <c r="C4831" s="39">
        <v>45695.0</v>
      </c>
      <c r="D4831" s="33" t="s">
        <v>461</v>
      </c>
      <c r="E4831" s="40">
        <v>44.34</v>
      </c>
      <c r="F4831" s="40">
        <v>0.75</v>
      </c>
      <c r="G4831" s="33" t="s">
        <v>450</v>
      </c>
    </row>
    <row r="4832" ht="15.75" customHeight="1">
      <c r="A4832" s="33" t="s">
        <v>8818</v>
      </c>
      <c r="B4832" s="33" t="s">
        <v>493</v>
      </c>
      <c r="C4832" s="39">
        <v>45876.0</v>
      </c>
      <c r="D4832" s="33" t="s">
        <v>428</v>
      </c>
      <c r="E4832" s="40">
        <v>61.52</v>
      </c>
      <c r="F4832" s="40">
        <v>0.0</v>
      </c>
      <c r="G4832" s="33" t="s">
        <v>431</v>
      </c>
    </row>
    <row r="4833" ht="15.75" customHeight="1">
      <c r="A4833" s="33" t="s">
        <v>8819</v>
      </c>
      <c r="B4833" s="33" t="s">
        <v>2953</v>
      </c>
      <c r="C4833" s="39">
        <v>45740.0</v>
      </c>
      <c r="D4833" s="33" t="s">
        <v>461</v>
      </c>
      <c r="E4833" s="40">
        <v>29.27</v>
      </c>
      <c r="F4833" s="40">
        <v>0.17</v>
      </c>
      <c r="G4833" s="33" t="s">
        <v>442</v>
      </c>
    </row>
    <row r="4834" ht="15.75" customHeight="1">
      <c r="A4834" s="33" t="s">
        <v>8820</v>
      </c>
      <c r="B4834" s="33" t="s">
        <v>1876</v>
      </c>
      <c r="C4834" s="39">
        <v>46178.0</v>
      </c>
      <c r="D4834" s="33" t="s">
        <v>428</v>
      </c>
      <c r="E4834" s="40">
        <v>114.36</v>
      </c>
      <c r="F4834" s="40">
        <v>0.0</v>
      </c>
      <c r="G4834" s="33" t="s">
        <v>450</v>
      </c>
    </row>
    <row r="4835" ht="15.75" customHeight="1">
      <c r="A4835" s="33" t="s">
        <v>8821</v>
      </c>
      <c r="B4835" s="33" t="s">
        <v>1987</v>
      </c>
      <c r="C4835" s="39">
        <v>45998.0</v>
      </c>
      <c r="D4835" s="33" t="s">
        <v>428</v>
      </c>
      <c r="E4835" s="40">
        <v>80.07</v>
      </c>
      <c r="F4835" s="40">
        <v>0.0</v>
      </c>
      <c r="G4835" s="33" t="s">
        <v>450</v>
      </c>
    </row>
    <row r="4836" ht="15.75" customHeight="1">
      <c r="A4836" s="33" t="s">
        <v>8822</v>
      </c>
      <c r="B4836" s="33" t="s">
        <v>1541</v>
      </c>
      <c r="C4836" s="39">
        <v>46049.0</v>
      </c>
      <c r="D4836" s="33" t="s">
        <v>440</v>
      </c>
      <c r="E4836" s="40">
        <v>99.92</v>
      </c>
      <c r="F4836" s="40">
        <v>0.0</v>
      </c>
      <c r="G4836" s="33" t="s">
        <v>431</v>
      </c>
    </row>
    <row r="4837" ht="15.75" customHeight="1">
      <c r="A4837" s="33" t="s">
        <v>8823</v>
      </c>
      <c r="B4837" s="33" t="s">
        <v>551</v>
      </c>
      <c r="C4837" s="39">
        <v>46073.0</v>
      </c>
      <c r="D4837" s="33" t="s">
        <v>428</v>
      </c>
      <c r="E4837" s="40">
        <v>71.51</v>
      </c>
      <c r="F4837" s="40">
        <v>0.0</v>
      </c>
      <c r="G4837" s="33" t="s">
        <v>442</v>
      </c>
    </row>
    <row r="4838" ht="15.75" customHeight="1">
      <c r="A4838" s="33" t="s">
        <v>8824</v>
      </c>
      <c r="B4838" s="33" t="s">
        <v>1957</v>
      </c>
      <c r="C4838" s="39">
        <v>45794.0</v>
      </c>
      <c r="D4838" s="33" t="s">
        <v>440</v>
      </c>
      <c r="E4838" s="40">
        <v>129.18</v>
      </c>
      <c r="F4838" s="40">
        <v>0.0</v>
      </c>
      <c r="G4838" s="33" t="s">
        <v>450</v>
      </c>
    </row>
    <row r="4839" ht="15.75" customHeight="1">
      <c r="A4839" s="33" t="s">
        <v>8825</v>
      </c>
      <c r="B4839" s="33" t="s">
        <v>1737</v>
      </c>
      <c r="C4839" s="39">
        <v>45688.0</v>
      </c>
      <c r="D4839" s="33" t="s">
        <v>461</v>
      </c>
      <c r="E4839" s="40">
        <v>45.06</v>
      </c>
      <c r="F4839" s="40">
        <v>0.6</v>
      </c>
      <c r="G4839" s="33" t="s">
        <v>450</v>
      </c>
    </row>
    <row r="4840" ht="15.75" customHeight="1">
      <c r="A4840" s="33" t="s">
        <v>8826</v>
      </c>
      <c r="B4840" s="33" t="s">
        <v>483</v>
      </c>
      <c r="C4840" s="39">
        <v>45899.0</v>
      </c>
      <c r="D4840" s="33" t="s">
        <v>440</v>
      </c>
      <c r="E4840" s="40">
        <v>76.93</v>
      </c>
      <c r="F4840" s="40">
        <v>0.0</v>
      </c>
      <c r="G4840" s="33" t="s">
        <v>450</v>
      </c>
    </row>
    <row r="4841" ht="15.75" customHeight="1">
      <c r="A4841" s="33" t="s">
        <v>8827</v>
      </c>
      <c r="B4841" s="33" t="s">
        <v>2187</v>
      </c>
      <c r="C4841" s="39">
        <v>45770.0</v>
      </c>
      <c r="D4841" s="33" t="s">
        <v>479</v>
      </c>
      <c r="E4841" s="40">
        <v>416.51</v>
      </c>
      <c r="F4841" s="40">
        <v>3.7</v>
      </c>
      <c r="G4841" s="33" t="s">
        <v>442</v>
      </c>
    </row>
    <row r="4842" ht="15.75" customHeight="1">
      <c r="A4842" s="33" t="s">
        <v>8828</v>
      </c>
      <c r="B4842" s="33" t="s">
        <v>1571</v>
      </c>
      <c r="C4842" s="39">
        <v>45853.0</v>
      </c>
      <c r="D4842" s="33" t="s">
        <v>461</v>
      </c>
      <c r="E4842" s="40">
        <v>24.73</v>
      </c>
      <c r="F4842" s="40">
        <v>0.35</v>
      </c>
      <c r="G4842" s="33" t="s">
        <v>450</v>
      </c>
    </row>
    <row r="4843" ht="15.75" customHeight="1">
      <c r="A4843" s="33" t="s">
        <v>8829</v>
      </c>
      <c r="B4843" s="33" t="s">
        <v>2018</v>
      </c>
      <c r="C4843" s="39">
        <v>45851.0</v>
      </c>
      <c r="D4843" s="33" t="s">
        <v>428</v>
      </c>
      <c r="E4843" s="40">
        <v>158.68</v>
      </c>
      <c r="F4843" s="40">
        <v>0.0</v>
      </c>
      <c r="G4843" s="33" t="s">
        <v>431</v>
      </c>
    </row>
    <row r="4844" ht="15.75" customHeight="1">
      <c r="A4844" s="33" t="s">
        <v>8830</v>
      </c>
      <c r="B4844" s="33" t="s">
        <v>1045</v>
      </c>
      <c r="C4844" s="39">
        <v>46132.0</v>
      </c>
      <c r="D4844" s="33" t="s">
        <v>428</v>
      </c>
      <c r="E4844" s="40">
        <v>299.56</v>
      </c>
      <c r="F4844" s="40">
        <v>0.0</v>
      </c>
      <c r="G4844" s="33" t="s">
        <v>450</v>
      </c>
    </row>
    <row r="4845" ht="15.75" customHeight="1">
      <c r="A4845" s="33" t="s">
        <v>8831</v>
      </c>
      <c r="B4845" s="33" t="s">
        <v>763</v>
      </c>
      <c r="C4845" s="39">
        <v>45852.0</v>
      </c>
      <c r="D4845" s="33" t="s">
        <v>428</v>
      </c>
      <c r="E4845" s="40">
        <v>107.08</v>
      </c>
      <c r="F4845" s="40">
        <v>0.0</v>
      </c>
      <c r="G4845" s="33" t="s">
        <v>450</v>
      </c>
    </row>
    <row r="4846" ht="15.75" customHeight="1">
      <c r="A4846" s="33" t="s">
        <v>8832</v>
      </c>
      <c r="B4846" s="33" t="s">
        <v>793</v>
      </c>
      <c r="C4846" s="39">
        <v>45749.0</v>
      </c>
      <c r="D4846" s="33" t="s">
        <v>479</v>
      </c>
      <c r="E4846" s="40">
        <v>3.29</v>
      </c>
      <c r="F4846" s="40">
        <v>0.05</v>
      </c>
      <c r="G4846" s="33" t="s">
        <v>450</v>
      </c>
    </row>
    <row r="4847" ht="15.75" customHeight="1">
      <c r="A4847" s="33" t="s">
        <v>8833</v>
      </c>
      <c r="B4847" s="33" t="s">
        <v>969</v>
      </c>
      <c r="C4847" s="39">
        <v>46239.0</v>
      </c>
      <c r="D4847" s="33" t="s">
        <v>428</v>
      </c>
      <c r="E4847" s="40">
        <v>25.96</v>
      </c>
      <c r="F4847" s="40">
        <v>0.0</v>
      </c>
      <c r="G4847" s="33" t="s">
        <v>442</v>
      </c>
    </row>
    <row r="4848" ht="15.75" customHeight="1">
      <c r="A4848" s="33" t="s">
        <v>8834</v>
      </c>
      <c r="B4848" s="33" t="s">
        <v>587</v>
      </c>
      <c r="C4848" s="39">
        <v>45687.0</v>
      </c>
      <c r="D4848" s="33" t="s">
        <v>435</v>
      </c>
      <c r="E4848" s="40">
        <v>91.65</v>
      </c>
      <c r="F4848" s="40">
        <v>0.0</v>
      </c>
      <c r="G4848" s="33" t="s">
        <v>450</v>
      </c>
    </row>
    <row r="4849" ht="15.75" customHeight="1">
      <c r="A4849" s="33" t="s">
        <v>8835</v>
      </c>
      <c r="B4849" s="33" t="s">
        <v>1758</v>
      </c>
      <c r="C4849" s="39">
        <v>45781.0</v>
      </c>
      <c r="D4849" s="33" t="s">
        <v>428</v>
      </c>
      <c r="E4849" s="40">
        <v>72.28</v>
      </c>
      <c r="F4849" s="40">
        <v>0.0</v>
      </c>
      <c r="G4849" s="33" t="s">
        <v>450</v>
      </c>
    </row>
    <row r="4850" ht="15.75" customHeight="1">
      <c r="A4850" s="33" t="s">
        <v>8836</v>
      </c>
      <c r="B4850" s="33" t="s">
        <v>3633</v>
      </c>
      <c r="C4850" s="39">
        <v>45868.0</v>
      </c>
      <c r="D4850" s="33" t="s">
        <v>440</v>
      </c>
      <c r="E4850" s="40">
        <v>208.12</v>
      </c>
      <c r="F4850" s="40">
        <v>0.0</v>
      </c>
      <c r="G4850" s="33" t="s">
        <v>450</v>
      </c>
    </row>
    <row r="4851" ht="15.75" customHeight="1">
      <c r="A4851" s="33" t="s">
        <v>8837</v>
      </c>
      <c r="B4851" s="33" t="s">
        <v>887</v>
      </c>
      <c r="C4851" s="39">
        <v>45695.0</v>
      </c>
      <c r="D4851" s="33" t="s">
        <v>479</v>
      </c>
      <c r="E4851" s="40">
        <v>212.73</v>
      </c>
      <c r="F4851" s="40">
        <v>4.14</v>
      </c>
      <c r="G4851" s="33" t="s">
        <v>450</v>
      </c>
    </row>
    <row r="4852" ht="15.75" customHeight="1">
      <c r="A4852" s="33" t="s">
        <v>8838</v>
      </c>
      <c r="B4852" s="33" t="s">
        <v>497</v>
      </c>
      <c r="C4852" s="39">
        <v>46203.0</v>
      </c>
      <c r="D4852" s="33" t="s">
        <v>428</v>
      </c>
      <c r="E4852" s="40">
        <v>68.03</v>
      </c>
      <c r="F4852" s="40">
        <v>0.0</v>
      </c>
      <c r="G4852" s="33" t="s">
        <v>450</v>
      </c>
    </row>
    <row r="4853" ht="15.75" customHeight="1">
      <c r="A4853" s="33" t="s">
        <v>8839</v>
      </c>
      <c r="B4853" s="33" t="s">
        <v>2277</v>
      </c>
      <c r="C4853" s="39">
        <v>45872.0</v>
      </c>
      <c r="D4853" s="33" t="s">
        <v>461</v>
      </c>
      <c r="E4853" s="40">
        <v>72.09</v>
      </c>
      <c r="F4853" s="40">
        <v>0.96</v>
      </c>
      <c r="G4853" s="33" t="s">
        <v>450</v>
      </c>
    </row>
    <row r="4854" ht="15.75" customHeight="1">
      <c r="A4854" s="33" t="s">
        <v>8840</v>
      </c>
      <c r="B4854" s="33" t="s">
        <v>786</v>
      </c>
      <c r="C4854" s="39">
        <v>46132.0</v>
      </c>
      <c r="D4854" s="33" t="s">
        <v>428</v>
      </c>
      <c r="E4854" s="40">
        <v>47.56</v>
      </c>
      <c r="F4854" s="40">
        <v>0.0</v>
      </c>
      <c r="G4854" s="33" t="s">
        <v>442</v>
      </c>
    </row>
    <row r="4855" ht="15.75" customHeight="1">
      <c r="A4855" s="33" t="s">
        <v>8841</v>
      </c>
      <c r="B4855" s="33" t="s">
        <v>1297</v>
      </c>
      <c r="C4855" s="39">
        <v>45739.0</v>
      </c>
      <c r="D4855" s="33" t="s">
        <v>461</v>
      </c>
      <c r="E4855" s="40">
        <v>103.39</v>
      </c>
      <c r="F4855" s="40">
        <v>0.63</v>
      </c>
      <c r="G4855" s="33" t="s">
        <v>450</v>
      </c>
    </row>
    <row r="4856" ht="15.75" customHeight="1">
      <c r="A4856" s="33" t="s">
        <v>8842</v>
      </c>
      <c r="B4856" s="33" t="s">
        <v>3985</v>
      </c>
      <c r="C4856" s="39">
        <v>45974.0</v>
      </c>
      <c r="D4856" s="33" t="s">
        <v>461</v>
      </c>
      <c r="E4856" s="40">
        <v>33.04</v>
      </c>
      <c r="F4856" s="40">
        <v>0.26</v>
      </c>
      <c r="G4856" s="33" t="s">
        <v>450</v>
      </c>
    </row>
    <row r="4857" ht="15.75" customHeight="1">
      <c r="A4857" s="33" t="s">
        <v>8843</v>
      </c>
      <c r="B4857" s="33" t="s">
        <v>1016</v>
      </c>
      <c r="C4857" s="39">
        <v>45734.0</v>
      </c>
      <c r="D4857" s="33" t="s">
        <v>435</v>
      </c>
      <c r="E4857" s="40">
        <v>65.88</v>
      </c>
      <c r="F4857" s="40">
        <v>0.0</v>
      </c>
      <c r="G4857" s="33" t="s">
        <v>431</v>
      </c>
    </row>
    <row r="4858" ht="15.75" customHeight="1">
      <c r="A4858" s="33" t="s">
        <v>8844</v>
      </c>
      <c r="B4858" s="33" t="s">
        <v>1359</v>
      </c>
      <c r="C4858" s="39">
        <v>45798.0</v>
      </c>
      <c r="D4858" s="33" t="s">
        <v>428</v>
      </c>
      <c r="E4858" s="40">
        <v>35.31</v>
      </c>
      <c r="F4858" s="40">
        <v>0.0</v>
      </c>
      <c r="G4858" s="33" t="s">
        <v>450</v>
      </c>
    </row>
    <row r="4859" ht="15.75" customHeight="1">
      <c r="A4859" s="33" t="s">
        <v>8845</v>
      </c>
      <c r="B4859" s="33" t="s">
        <v>4287</v>
      </c>
      <c r="C4859" s="39">
        <v>45905.0</v>
      </c>
      <c r="D4859" s="33" t="s">
        <v>461</v>
      </c>
      <c r="E4859" s="40">
        <v>87.03</v>
      </c>
      <c r="F4859" s="40">
        <v>0.66</v>
      </c>
      <c r="G4859" s="33" t="s">
        <v>431</v>
      </c>
    </row>
    <row r="4860" ht="15.75" customHeight="1">
      <c r="A4860" s="33" t="s">
        <v>8846</v>
      </c>
      <c r="B4860" s="33" t="s">
        <v>275</v>
      </c>
      <c r="C4860" s="39">
        <v>46181.0</v>
      </c>
      <c r="D4860" s="33" t="s">
        <v>461</v>
      </c>
      <c r="E4860" s="40">
        <v>151.77</v>
      </c>
      <c r="F4860" s="40">
        <v>1.99</v>
      </c>
      <c r="G4860" s="33" t="s">
        <v>450</v>
      </c>
    </row>
    <row r="4861" ht="15.75" customHeight="1">
      <c r="A4861" s="33" t="s">
        <v>8847</v>
      </c>
      <c r="B4861" s="33" t="s">
        <v>793</v>
      </c>
      <c r="C4861" s="39">
        <v>45843.0</v>
      </c>
      <c r="D4861" s="33" t="s">
        <v>479</v>
      </c>
      <c r="E4861" s="40">
        <v>19.42</v>
      </c>
      <c r="F4861" s="40">
        <v>0.39</v>
      </c>
      <c r="G4861" s="33" t="s">
        <v>431</v>
      </c>
    </row>
    <row r="4862" ht="15.75" customHeight="1">
      <c r="A4862" s="33" t="s">
        <v>8848</v>
      </c>
      <c r="B4862" s="33" t="s">
        <v>2917</v>
      </c>
      <c r="C4862" s="39">
        <v>46116.0</v>
      </c>
      <c r="D4862" s="33" t="s">
        <v>428</v>
      </c>
      <c r="E4862" s="40">
        <v>62.44</v>
      </c>
      <c r="F4862" s="40">
        <v>0.0</v>
      </c>
      <c r="G4862" s="33" t="s">
        <v>450</v>
      </c>
    </row>
    <row r="4863" ht="15.75" customHeight="1">
      <c r="A4863" s="33" t="s">
        <v>8849</v>
      </c>
      <c r="B4863" s="33" t="s">
        <v>637</v>
      </c>
      <c r="C4863" s="39">
        <v>45713.0</v>
      </c>
      <c r="D4863" s="33" t="s">
        <v>479</v>
      </c>
      <c r="E4863" s="40">
        <v>185.49</v>
      </c>
      <c r="F4863" s="40">
        <v>1.06</v>
      </c>
      <c r="G4863" s="33" t="s">
        <v>450</v>
      </c>
    </row>
    <row r="4864" ht="15.75" customHeight="1">
      <c r="A4864" s="33" t="s">
        <v>8850</v>
      </c>
      <c r="B4864" s="33" t="s">
        <v>411</v>
      </c>
      <c r="C4864" s="39">
        <v>45810.0</v>
      </c>
      <c r="D4864" s="33" t="s">
        <v>435</v>
      </c>
      <c r="E4864" s="40">
        <v>223.9</v>
      </c>
      <c r="F4864" s="40">
        <v>0.0</v>
      </c>
      <c r="G4864" s="33" t="s">
        <v>431</v>
      </c>
    </row>
    <row r="4865" ht="15.75" customHeight="1">
      <c r="A4865" s="33" t="s">
        <v>8851</v>
      </c>
      <c r="B4865" s="33" t="s">
        <v>1549</v>
      </c>
      <c r="C4865" s="39">
        <v>46024.0</v>
      </c>
      <c r="D4865" s="33" t="s">
        <v>435</v>
      </c>
      <c r="E4865" s="40">
        <v>47.9</v>
      </c>
      <c r="F4865" s="40">
        <v>0.0</v>
      </c>
      <c r="G4865" s="33" t="s">
        <v>442</v>
      </c>
    </row>
    <row r="4866" ht="15.75" customHeight="1">
      <c r="A4866" s="33" t="s">
        <v>8852</v>
      </c>
      <c r="B4866" s="33" t="s">
        <v>1329</v>
      </c>
      <c r="C4866" s="39">
        <v>45942.0</v>
      </c>
      <c r="D4866" s="33" t="s">
        <v>461</v>
      </c>
      <c r="E4866" s="40">
        <v>36.84</v>
      </c>
      <c r="F4866" s="40">
        <v>0.46</v>
      </c>
      <c r="G4866" s="33" t="s">
        <v>450</v>
      </c>
    </row>
    <row r="4867" ht="15.75" customHeight="1">
      <c r="A4867" s="33" t="s">
        <v>8853</v>
      </c>
      <c r="B4867" s="33" t="s">
        <v>1135</v>
      </c>
      <c r="C4867" s="39">
        <v>45962.0</v>
      </c>
      <c r="D4867" s="33" t="s">
        <v>461</v>
      </c>
      <c r="E4867" s="40">
        <v>1.73</v>
      </c>
      <c r="F4867" s="40">
        <v>0.02</v>
      </c>
      <c r="G4867" s="33" t="s">
        <v>442</v>
      </c>
    </row>
    <row r="4868" ht="15.75" customHeight="1">
      <c r="A4868" s="33" t="s">
        <v>8854</v>
      </c>
      <c r="B4868" s="33" t="s">
        <v>705</v>
      </c>
      <c r="C4868" s="39">
        <v>46069.0</v>
      </c>
      <c r="D4868" s="33" t="s">
        <v>440</v>
      </c>
      <c r="E4868" s="40">
        <v>163.43</v>
      </c>
      <c r="F4868" s="40">
        <v>0.0</v>
      </c>
      <c r="G4868" s="33" t="s">
        <v>431</v>
      </c>
    </row>
    <row r="4869" ht="15.75" customHeight="1">
      <c r="A4869" s="33" t="s">
        <v>8855</v>
      </c>
      <c r="B4869" s="33" t="s">
        <v>2821</v>
      </c>
      <c r="C4869" s="39">
        <v>45704.0</v>
      </c>
      <c r="D4869" s="33" t="s">
        <v>461</v>
      </c>
      <c r="E4869" s="40">
        <v>156.19</v>
      </c>
      <c r="F4869" s="40">
        <v>1.13</v>
      </c>
      <c r="G4869" s="33" t="s">
        <v>450</v>
      </c>
    </row>
    <row r="4870" ht="15.75" customHeight="1">
      <c r="A4870" s="33" t="s">
        <v>8856</v>
      </c>
      <c r="B4870" s="33" t="s">
        <v>569</v>
      </c>
      <c r="C4870" s="39">
        <v>46080.0</v>
      </c>
      <c r="D4870" s="33" t="s">
        <v>428</v>
      </c>
      <c r="E4870" s="40">
        <v>79.77</v>
      </c>
      <c r="F4870" s="40">
        <v>0.0</v>
      </c>
      <c r="G4870" s="33" t="s">
        <v>450</v>
      </c>
    </row>
    <row r="4871" ht="15.75" customHeight="1">
      <c r="A4871" s="33" t="s">
        <v>8857</v>
      </c>
      <c r="B4871" s="33" t="s">
        <v>668</v>
      </c>
      <c r="C4871" s="39">
        <v>46181.0</v>
      </c>
      <c r="D4871" s="33" t="s">
        <v>479</v>
      </c>
      <c r="E4871" s="40">
        <v>321.6</v>
      </c>
      <c r="F4871" s="40">
        <v>2.64</v>
      </c>
      <c r="G4871" s="33" t="s">
        <v>442</v>
      </c>
    </row>
    <row r="4872" ht="15.75" customHeight="1">
      <c r="A4872" s="33" t="s">
        <v>8858</v>
      </c>
      <c r="B4872" s="33" t="s">
        <v>905</v>
      </c>
      <c r="C4872" s="39">
        <v>46123.0</v>
      </c>
      <c r="D4872" s="33" t="s">
        <v>428</v>
      </c>
      <c r="E4872" s="40">
        <v>72.24</v>
      </c>
      <c r="F4872" s="40">
        <v>0.0</v>
      </c>
      <c r="G4872" s="33" t="s">
        <v>450</v>
      </c>
    </row>
    <row r="4873" ht="15.75" customHeight="1">
      <c r="A4873" s="33" t="s">
        <v>8859</v>
      </c>
      <c r="B4873" s="33" t="s">
        <v>1095</v>
      </c>
      <c r="C4873" s="39">
        <v>45830.0</v>
      </c>
      <c r="D4873" s="33" t="s">
        <v>435</v>
      </c>
      <c r="E4873" s="40">
        <v>166.98</v>
      </c>
      <c r="F4873" s="40">
        <v>0.0</v>
      </c>
      <c r="G4873" s="33" t="s">
        <v>431</v>
      </c>
    </row>
    <row r="4874" ht="15.75" customHeight="1">
      <c r="A4874" s="33" t="s">
        <v>8860</v>
      </c>
      <c r="B4874" s="33" t="s">
        <v>1025</v>
      </c>
      <c r="C4874" s="39">
        <v>45871.0</v>
      </c>
      <c r="D4874" s="33" t="s">
        <v>479</v>
      </c>
      <c r="E4874" s="40">
        <v>50.26</v>
      </c>
      <c r="F4874" s="40">
        <v>0.85</v>
      </c>
      <c r="G4874" s="33" t="s">
        <v>442</v>
      </c>
    </row>
    <row r="4875" ht="15.75" customHeight="1">
      <c r="A4875" s="33" t="s">
        <v>8861</v>
      </c>
      <c r="B4875" s="33" t="s">
        <v>1998</v>
      </c>
      <c r="C4875" s="39">
        <v>46241.0</v>
      </c>
      <c r="D4875" s="33" t="s">
        <v>479</v>
      </c>
      <c r="E4875" s="40">
        <v>60.35</v>
      </c>
      <c r="F4875" s="40">
        <v>0.87</v>
      </c>
      <c r="G4875" s="33" t="s">
        <v>431</v>
      </c>
    </row>
    <row r="4876" ht="15.75" customHeight="1">
      <c r="A4876" s="33" t="s">
        <v>8862</v>
      </c>
      <c r="B4876" s="33" t="s">
        <v>749</v>
      </c>
      <c r="C4876" s="39">
        <v>46137.0</v>
      </c>
      <c r="D4876" s="33" t="s">
        <v>440</v>
      </c>
      <c r="E4876" s="40">
        <v>91.33</v>
      </c>
      <c r="F4876" s="40">
        <v>0.0</v>
      </c>
      <c r="G4876" s="33" t="s">
        <v>442</v>
      </c>
    </row>
    <row r="4877" ht="15.75" customHeight="1">
      <c r="A4877" s="33" t="s">
        <v>8863</v>
      </c>
      <c r="B4877" s="33" t="s">
        <v>1802</v>
      </c>
      <c r="C4877" s="39">
        <v>46223.0</v>
      </c>
      <c r="D4877" s="33" t="s">
        <v>435</v>
      </c>
      <c r="E4877" s="40">
        <v>35.7</v>
      </c>
      <c r="F4877" s="40">
        <v>0.0</v>
      </c>
      <c r="G4877" s="33" t="s">
        <v>431</v>
      </c>
    </row>
    <row r="4878" ht="15.75" customHeight="1">
      <c r="A4878" s="33" t="s">
        <v>8864</v>
      </c>
      <c r="B4878" s="33" t="s">
        <v>381</v>
      </c>
      <c r="C4878" s="39">
        <v>46212.0</v>
      </c>
      <c r="D4878" s="33" t="s">
        <v>479</v>
      </c>
      <c r="E4878" s="40">
        <v>136.4</v>
      </c>
      <c r="F4878" s="40">
        <v>1.58</v>
      </c>
      <c r="G4878" s="33" t="s">
        <v>442</v>
      </c>
    </row>
    <row r="4879" ht="15.75" customHeight="1">
      <c r="A4879" s="33" t="s">
        <v>8865</v>
      </c>
      <c r="B4879" s="33" t="s">
        <v>2187</v>
      </c>
      <c r="C4879" s="39">
        <v>45921.0</v>
      </c>
      <c r="D4879" s="33" t="s">
        <v>440</v>
      </c>
      <c r="E4879" s="40">
        <v>81.98</v>
      </c>
      <c r="F4879" s="40">
        <v>0.0</v>
      </c>
      <c r="G4879" s="33" t="s">
        <v>450</v>
      </c>
    </row>
    <row r="4880" ht="15.75" customHeight="1">
      <c r="A4880" s="33" t="s">
        <v>8866</v>
      </c>
      <c r="B4880" s="33" t="s">
        <v>558</v>
      </c>
      <c r="C4880" s="39">
        <v>45736.0</v>
      </c>
      <c r="D4880" s="33" t="s">
        <v>440</v>
      </c>
      <c r="E4880" s="40">
        <v>11.75</v>
      </c>
      <c r="F4880" s="40">
        <v>0.0</v>
      </c>
      <c r="G4880" s="33" t="s">
        <v>450</v>
      </c>
    </row>
    <row r="4881" ht="15.75" customHeight="1">
      <c r="A4881" s="33" t="s">
        <v>8867</v>
      </c>
      <c r="B4881" s="33" t="s">
        <v>1065</v>
      </c>
      <c r="C4881" s="39">
        <v>45796.0</v>
      </c>
      <c r="D4881" s="33" t="s">
        <v>440</v>
      </c>
      <c r="E4881" s="40">
        <v>169.72</v>
      </c>
      <c r="F4881" s="40">
        <v>0.0</v>
      </c>
      <c r="G4881" s="33" t="s">
        <v>431</v>
      </c>
    </row>
    <row r="4882" ht="15.75" customHeight="1">
      <c r="A4882" s="33" t="s">
        <v>8868</v>
      </c>
      <c r="B4882" s="33" t="s">
        <v>1311</v>
      </c>
      <c r="C4882" s="39">
        <v>45836.0</v>
      </c>
      <c r="D4882" s="33" t="s">
        <v>479</v>
      </c>
      <c r="E4882" s="40">
        <v>33.0</v>
      </c>
      <c r="F4882" s="40">
        <v>0.41</v>
      </c>
      <c r="G4882" s="33" t="s">
        <v>450</v>
      </c>
    </row>
    <row r="4883" ht="15.75" customHeight="1">
      <c r="A4883" s="33" t="s">
        <v>8869</v>
      </c>
      <c r="B4883" s="33" t="s">
        <v>1616</v>
      </c>
      <c r="C4883" s="39">
        <v>46164.0</v>
      </c>
      <c r="D4883" s="33" t="s">
        <v>428</v>
      </c>
      <c r="E4883" s="40">
        <v>36.07</v>
      </c>
      <c r="F4883" s="40">
        <v>0.0</v>
      </c>
      <c r="G4883" s="33" t="s">
        <v>431</v>
      </c>
    </row>
    <row r="4884" ht="15.75" customHeight="1">
      <c r="A4884" s="33" t="s">
        <v>8870</v>
      </c>
      <c r="B4884" s="33" t="s">
        <v>4153</v>
      </c>
      <c r="C4884" s="39">
        <v>45825.0</v>
      </c>
      <c r="D4884" s="33" t="s">
        <v>479</v>
      </c>
      <c r="E4884" s="40">
        <v>60.05</v>
      </c>
      <c r="F4884" s="40">
        <v>0.98</v>
      </c>
      <c r="G4884" s="33" t="s">
        <v>431</v>
      </c>
    </row>
    <row r="4885" ht="15.75" customHeight="1">
      <c r="A4885" s="33" t="s">
        <v>8871</v>
      </c>
      <c r="B4885" s="33" t="s">
        <v>1581</v>
      </c>
      <c r="C4885" s="39">
        <v>45877.0</v>
      </c>
      <c r="D4885" s="33" t="s">
        <v>479</v>
      </c>
      <c r="E4885" s="40">
        <v>105.47</v>
      </c>
      <c r="F4885" s="40">
        <v>0.58</v>
      </c>
      <c r="G4885" s="33" t="s">
        <v>442</v>
      </c>
    </row>
    <row r="4886" ht="15.75" customHeight="1">
      <c r="A4886" s="33" t="s">
        <v>8872</v>
      </c>
      <c r="B4886" s="33" t="s">
        <v>697</v>
      </c>
      <c r="C4886" s="39">
        <v>46174.0</v>
      </c>
      <c r="D4886" s="33" t="s">
        <v>440</v>
      </c>
      <c r="E4886" s="40">
        <v>95.7</v>
      </c>
      <c r="F4886" s="40">
        <v>0.0</v>
      </c>
      <c r="G4886" s="33" t="s">
        <v>450</v>
      </c>
    </row>
    <row r="4887" ht="15.75" customHeight="1">
      <c r="A4887" s="33" t="s">
        <v>8873</v>
      </c>
      <c r="B4887" s="33" t="s">
        <v>267</v>
      </c>
      <c r="C4887" s="39">
        <v>45757.0</v>
      </c>
      <c r="D4887" s="33" t="s">
        <v>479</v>
      </c>
      <c r="E4887" s="40">
        <v>209.19</v>
      </c>
      <c r="F4887" s="40">
        <v>3.74</v>
      </c>
      <c r="G4887" s="33" t="s">
        <v>450</v>
      </c>
    </row>
    <row r="4888" ht="15.75" customHeight="1">
      <c r="A4888" s="33" t="s">
        <v>8874</v>
      </c>
      <c r="B4888" s="33" t="s">
        <v>1700</v>
      </c>
      <c r="C4888" s="39">
        <v>46060.0</v>
      </c>
      <c r="D4888" s="33" t="s">
        <v>440</v>
      </c>
      <c r="E4888" s="40">
        <v>92.13</v>
      </c>
      <c r="F4888" s="40">
        <v>0.0</v>
      </c>
      <c r="G4888" s="33" t="s">
        <v>442</v>
      </c>
    </row>
    <row r="4889" ht="15.75" customHeight="1">
      <c r="A4889" s="33" t="s">
        <v>8875</v>
      </c>
      <c r="B4889" s="33" t="s">
        <v>204</v>
      </c>
      <c r="C4889" s="39">
        <v>45992.0</v>
      </c>
      <c r="D4889" s="33" t="s">
        <v>428</v>
      </c>
      <c r="E4889" s="40">
        <v>17.64</v>
      </c>
      <c r="F4889" s="40">
        <v>0.0</v>
      </c>
      <c r="G4889" s="33" t="s">
        <v>450</v>
      </c>
    </row>
    <row r="4890" ht="15.75" customHeight="1">
      <c r="A4890" s="33" t="s">
        <v>8876</v>
      </c>
      <c r="B4890" s="33" t="s">
        <v>2169</v>
      </c>
      <c r="C4890" s="39">
        <v>46255.0</v>
      </c>
      <c r="D4890" s="33" t="s">
        <v>479</v>
      </c>
      <c r="E4890" s="40">
        <v>28.98</v>
      </c>
      <c r="F4890" s="40">
        <v>0.21</v>
      </c>
      <c r="G4890" s="33" t="s">
        <v>450</v>
      </c>
    </row>
    <row r="4891" ht="15.75" customHeight="1">
      <c r="A4891" s="33" t="s">
        <v>8877</v>
      </c>
      <c r="B4891" s="33" t="s">
        <v>320</v>
      </c>
      <c r="C4891" s="39">
        <v>45955.0</v>
      </c>
      <c r="D4891" s="33" t="s">
        <v>479</v>
      </c>
      <c r="E4891" s="40">
        <v>16.06</v>
      </c>
      <c r="F4891" s="40">
        <v>0.3</v>
      </c>
      <c r="G4891" s="33" t="s">
        <v>450</v>
      </c>
    </row>
    <row r="4892" ht="15.75" customHeight="1">
      <c r="A4892" s="33" t="s">
        <v>8878</v>
      </c>
      <c r="B4892" s="33" t="s">
        <v>3807</v>
      </c>
      <c r="C4892" s="39">
        <v>45974.0</v>
      </c>
      <c r="D4892" s="33" t="s">
        <v>435</v>
      </c>
      <c r="E4892" s="40">
        <v>15.75</v>
      </c>
      <c r="F4892" s="40">
        <v>0.0</v>
      </c>
      <c r="G4892" s="33" t="s">
        <v>450</v>
      </c>
    </row>
    <row r="4893" ht="15.75" customHeight="1">
      <c r="A4893" s="33" t="s">
        <v>8879</v>
      </c>
      <c r="B4893" s="33" t="s">
        <v>489</v>
      </c>
      <c r="C4893" s="39">
        <v>46173.0</v>
      </c>
      <c r="D4893" s="33" t="s">
        <v>428</v>
      </c>
      <c r="E4893" s="40">
        <v>54.39</v>
      </c>
      <c r="F4893" s="40">
        <v>0.0</v>
      </c>
      <c r="G4893" s="33" t="s">
        <v>450</v>
      </c>
    </row>
    <row r="4894" ht="15.75" customHeight="1">
      <c r="A4894" s="33" t="s">
        <v>8880</v>
      </c>
      <c r="B4894" s="33" t="s">
        <v>444</v>
      </c>
      <c r="C4894" s="39">
        <v>46259.0</v>
      </c>
      <c r="D4894" s="33" t="s">
        <v>479</v>
      </c>
      <c r="E4894" s="40">
        <v>161.32</v>
      </c>
      <c r="F4894" s="40">
        <v>1.12</v>
      </c>
      <c r="G4894" s="33" t="s">
        <v>450</v>
      </c>
    </row>
    <row r="4895" ht="15.75" customHeight="1">
      <c r="A4895" s="33" t="s">
        <v>8881</v>
      </c>
      <c r="B4895" s="33" t="s">
        <v>1001</v>
      </c>
      <c r="C4895" s="39">
        <v>46100.0</v>
      </c>
      <c r="D4895" s="33" t="s">
        <v>435</v>
      </c>
      <c r="E4895" s="40">
        <v>81.63</v>
      </c>
      <c r="F4895" s="40">
        <v>0.0</v>
      </c>
      <c r="G4895" s="33" t="s">
        <v>431</v>
      </c>
    </row>
    <row r="4896" ht="15.75" customHeight="1">
      <c r="A4896" s="33" t="s">
        <v>8882</v>
      </c>
      <c r="B4896" s="33" t="s">
        <v>318</v>
      </c>
      <c r="C4896" s="39">
        <v>46081.0</v>
      </c>
      <c r="D4896" s="33" t="s">
        <v>435</v>
      </c>
      <c r="E4896" s="40">
        <v>108.51</v>
      </c>
      <c r="F4896" s="40">
        <v>0.0</v>
      </c>
      <c r="G4896" s="33" t="s">
        <v>442</v>
      </c>
    </row>
    <row r="4897" ht="15.75" customHeight="1">
      <c r="A4897" s="33" t="s">
        <v>8883</v>
      </c>
      <c r="B4897" s="33" t="s">
        <v>1878</v>
      </c>
      <c r="C4897" s="39">
        <v>46189.0</v>
      </c>
      <c r="D4897" s="33" t="s">
        <v>440</v>
      </c>
      <c r="E4897" s="40">
        <v>134.77</v>
      </c>
      <c r="F4897" s="40">
        <v>0.0</v>
      </c>
      <c r="G4897" s="33" t="s">
        <v>431</v>
      </c>
    </row>
    <row r="4898" ht="15.75" customHeight="1">
      <c r="A4898" s="33" t="s">
        <v>8884</v>
      </c>
      <c r="B4898" s="33" t="s">
        <v>2299</v>
      </c>
      <c r="C4898" s="39">
        <v>46252.0</v>
      </c>
      <c r="D4898" s="33" t="s">
        <v>461</v>
      </c>
      <c r="E4898" s="40">
        <v>169.45</v>
      </c>
      <c r="F4898" s="40">
        <v>3.22</v>
      </c>
      <c r="G4898" s="33" t="s">
        <v>431</v>
      </c>
    </row>
    <row r="4899" ht="15.75" customHeight="1">
      <c r="A4899" s="33" t="s">
        <v>8885</v>
      </c>
      <c r="B4899" s="33" t="s">
        <v>183</v>
      </c>
      <c r="C4899" s="39">
        <v>46103.0</v>
      </c>
      <c r="D4899" s="33" t="s">
        <v>435</v>
      </c>
      <c r="E4899" s="40">
        <v>39.61</v>
      </c>
      <c r="F4899" s="40">
        <v>0.0</v>
      </c>
      <c r="G4899" s="33" t="s">
        <v>431</v>
      </c>
    </row>
    <row r="4900" ht="15.75" customHeight="1">
      <c r="A4900" s="33" t="s">
        <v>8886</v>
      </c>
      <c r="B4900" s="33" t="s">
        <v>697</v>
      </c>
      <c r="C4900" s="39">
        <v>45835.0</v>
      </c>
      <c r="D4900" s="33" t="s">
        <v>435</v>
      </c>
      <c r="E4900" s="40">
        <v>153.73</v>
      </c>
      <c r="F4900" s="40">
        <v>0.0</v>
      </c>
      <c r="G4900" s="33" t="s">
        <v>450</v>
      </c>
    </row>
    <row r="4901" ht="15.75" customHeight="1">
      <c r="A4901" s="33" t="s">
        <v>8887</v>
      </c>
      <c r="B4901" s="33" t="s">
        <v>250</v>
      </c>
      <c r="C4901" s="39">
        <v>46047.0</v>
      </c>
      <c r="D4901" s="33" t="s">
        <v>479</v>
      </c>
      <c r="E4901" s="40">
        <v>139.63</v>
      </c>
      <c r="F4901" s="40">
        <v>1.32</v>
      </c>
      <c r="G4901" s="33" t="s">
        <v>450</v>
      </c>
    </row>
    <row r="4902" ht="15.75" customHeight="1">
      <c r="A4902" s="33" t="s">
        <v>8888</v>
      </c>
      <c r="B4902" s="33" t="s">
        <v>434</v>
      </c>
      <c r="C4902" s="39">
        <v>45801.0</v>
      </c>
      <c r="D4902" s="33" t="s">
        <v>479</v>
      </c>
      <c r="E4902" s="40">
        <v>52.52</v>
      </c>
      <c r="F4902" s="40">
        <v>0.6</v>
      </c>
      <c r="G4902" s="33" t="s">
        <v>442</v>
      </c>
    </row>
    <row r="4903" ht="15.75" customHeight="1">
      <c r="A4903" s="33" t="s">
        <v>8889</v>
      </c>
      <c r="B4903" s="33" t="s">
        <v>1703</v>
      </c>
      <c r="C4903" s="39">
        <v>45961.0</v>
      </c>
      <c r="D4903" s="33" t="s">
        <v>428</v>
      </c>
      <c r="E4903" s="40">
        <v>37.37</v>
      </c>
      <c r="F4903" s="40">
        <v>0.0</v>
      </c>
      <c r="G4903" s="33" t="s">
        <v>442</v>
      </c>
    </row>
    <row r="4904" ht="15.75" customHeight="1">
      <c r="A4904" s="33" t="s">
        <v>8890</v>
      </c>
      <c r="B4904" s="33" t="s">
        <v>1069</v>
      </c>
      <c r="C4904" s="39">
        <v>45927.0</v>
      </c>
      <c r="D4904" s="33" t="s">
        <v>461</v>
      </c>
      <c r="E4904" s="40">
        <v>65.2</v>
      </c>
      <c r="F4904" s="40">
        <v>0.59</v>
      </c>
      <c r="G4904" s="33" t="s">
        <v>450</v>
      </c>
    </row>
    <row r="4905" ht="15.75" customHeight="1">
      <c r="A4905" s="33" t="s">
        <v>8891</v>
      </c>
      <c r="B4905" s="33" t="s">
        <v>1135</v>
      </c>
      <c r="C4905" s="39">
        <v>46257.0</v>
      </c>
      <c r="D4905" s="33" t="s">
        <v>461</v>
      </c>
      <c r="E4905" s="40">
        <v>205.08</v>
      </c>
      <c r="F4905" s="40">
        <v>1.47</v>
      </c>
      <c r="G4905" s="33" t="s">
        <v>450</v>
      </c>
    </row>
    <row r="4906" ht="15.75" customHeight="1">
      <c r="A4906" s="33" t="s">
        <v>8892</v>
      </c>
      <c r="B4906" s="33" t="s">
        <v>2658</v>
      </c>
      <c r="C4906" s="39">
        <v>45994.0</v>
      </c>
      <c r="D4906" s="33" t="s">
        <v>440</v>
      </c>
      <c r="E4906" s="40">
        <v>167.44</v>
      </c>
      <c r="F4906" s="40">
        <v>0.0</v>
      </c>
      <c r="G4906" s="33" t="s">
        <v>450</v>
      </c>
    </row>
    <row r="4907" ht="15.75" customHeight="1">
      <c r="A4907" s="33" t="s">
        <v>8893</v>
      </c>
      <c r="B4907" s="33" t="s">
        <v>1162</v>
      </c>
      <c r="C4907" s="39">
        <v>46240.0</v>
      </c>
      <c r="D4907" s="33" t="s">
        <v>461</v>
      </c>
      <c r="E4907" s="40">
        <v>52.11</v>
      </c>
      <c r="F4907" s="40">
        <v>0.78</v>
      </c>
      <c r="G4907" s="33" t="s">
        <v>450</v>
      </c>
    </row>
    <row r="4908" ht="15.75" customHeight="1">
      <c r="A4908" s="33" t="s">
        <v>8894</v>
      </c>
      <c r="B4908" s="33" t="s">
        <v>630</v>
      </c>
      <c r="C4908" s="39">
        <v>46148.0</v>
      </c>
      <c r="D4908" s="33" t="s">
        <v>479</v>
      </c>
      <c r="E4908" s="40">
        <v>157.0</v>
      </c>
      <c r="F4908" s="40">
        <v>1.15</v>
      </c>
      <c r="G4908" s="33" t="s">
        <v>431</v>
      </c>
    </row>
    <row r="4909" ht="15.75" customHeight="1">
      <c r="A4909" s="33" t="s">
        <v>8895</v>
      </c>
      <c r="B4909" s="33" t="s">
        <v>329</v>
      </c>
      <c r="C4909" s="39">
        <v>46173.0</v>
      </c>
      <c r="D4909" s="33" t="s">
        <v>440</v>
      </c>
      <c r="E4909" s="40">
        <v>121.53</v>
      </c>
      <c r="F4909" s="40">
        <v>0.0</v>
      </c>
      <c r="G4909" s="33" t="s">
        <v>450</v>
      </c>
    </row>
    <row r="4910" ht="15.75" customHeight="1">
      <c r="A4910" s="33" t="s">
        <v>8896</v>
      </c>
      <c r="B4910" s="33" t="s">
        <v>1645</v>
      </c>
      <c r="C4910" s="39">
        <v>45760.0</v>
      </c>
      <c r="D4910" s="33" t="s">
        <v>440</v>
      </c>
      <c r="E4910" s="40">
        <v>106.12</v>
      </c>
      <c r="F4910" s="40">
        <v>0.0</v>
      </c>
      <c r="G4910" s="33" t="s">
        <v>450</v>
      </c>
    </row>
    <row r="4911" ht="15.75" customHeight="1">
      <c r="A4911" s="33" t="s">
        <v>8897</v>
      </c>
      <c r="B4911" s="33" t="s">
        <v>3344</v>
      </c>
      <c r="C4911" s="39">
        <v>46128.0</v>
      </c>
      <c r="D4911" s="33" t="s">
        <v>428</v>
      </c>
      <c r="E4911" s="40">
        <v>193.86</v>
      </c>
      <c r="F4911" s="40">
        <v>0.0</v>
      </c>
      <c r="G4911" s="33" t="s">
        <v>431</v>
      </c>
    </row>
    <row r="4912" ht="15.75" customHeight="1">
      <c r="A4912" s="33" t="s">
        <v>8898</v>
      </c>
      <c r="B4912" s="33" t="s">
        <v>850</v>
      </c>
      <c r="C4912" s="39">
        <v>45810.0</v>
      </c>
      <c r="D4912" s="33" t="s">
        <v>479</v>
      </c>
      <c r="E4912" s="40">
        <v>94.74</v>
      </c>
      <c r="F4912" s="40">
        <v>1.58</v>
      </c>
      <c r="G4912" s="33" t="s">
        <v>431</v>
      </c>
    </row>
    <row r="4913" ht="15.75" customHeight="1">
      <c r="A4913" s="33" t="s">
        <v>8899</v>
      </c>
      <c r="B4913" s="33" t="s">
        <v>634</v>
      </c>
      <c r="C4913" s="39">
        <v>46008.0</v>
      </c>
      <c r="D4913" s="33" t="s">
        <v>479</v>
      </c>
      <c r="E4913" s="40">
        <v>77.78</v>
      </c>
      <c r="F4913" s="40">
        <v>1.07</v>
      </c>
      <c r="G4913" s="33" t="s">
        <v>442</v>
      </c>
    </row>
    <row r="4914" ht="15.75" customHeight="1">
      <c r="A4914" s="33" t="s">
        <v>8900</v>
      </c>
      <c r="B4914" s="33" t="s">
        <v>1850</v>
      </c>
      <c r="C4914" s="39">
        <v>45953.0</v>
      </c>
      <c r="D4914" s="33" t="s">
        <v>461</v>
      </c>
      <c r="E4914" s="40">
        <v>9.34</v>
      </c>
      <c r="F4914" s="40">
        <v>0.07</v>
      </c>
      <c r="G4914" s="33" t="s">
        <v>450</v>
      </c>
    </row>
    <row r="4915" ht="15.75" customHeight="1">
      <c r="A4915" s="33" t="s">
        <v>8901</v>
      </c>
      <c r="B4915" s="33" t="s">
        <v>1147</v>
      </c>
      <c r="C4915" s="39">
        <v>45815.0</v>
      </c>
      <c r="D4915" s="33" t="s">
        <v>440</v>
      </c>
      <c r="E4915" s="40">
        <v>133.97</v>
      </c>
      <c r="F4915" s="40">
        <v>0.0</v>
      </c>
      <c r="G4915" s="33" t="s">
        <v>431</v>
      </c>
    </row>
    <row r="4916" ht="15.75" customHeight="1">
      <c r="A4916" s="33" t="s">
        <v>8902</v>
      </c>
      <c r="B4916" s="33" t="s">
        <v>2429</v>
      </c>
      <c r="C4916" s="39">
        <v>46255.0</v>
      </c>
      <c r="D4916" s="33" t="s">
        <v>440</v>
      </c>
      <c r="E4916" s="40">
        <v>34.6</v>
      </c>
      <c r="F4916" s="40">
        <v>0.0</v>
      </c>
      <c r="G4916" s="33" t="s">
        <v>450</v>
      </c>
    </row>
    <row r="4917" ht="15.75" customHeight="1">
      <c r="A4917" s="33" t="s">
        <v>8903</v>
      </c>
      <c r="B4917" s="33" t="s">
        <v>1216</v>
      </c>
      <c r="C4917" s="39">
        <v>46189.0</v>
      </c>
      <c r="D4917" s="33" t="s">
        <v>428</v>
      </c>
      <c r="E4917" s="40">
        <v>29.75</v>
      </c>
      <c r="F4917" s="40">
        <v>0.0</v>
      </c>
      <c r="G4917" s="33" t="s">
        <v>450</v>
      </c>
    </row>
    <row r="4918" ht="15.75" customHeight="1">
      <c r="A4918" s="33" t="s">
        <v>8904</v>
      </c>
      <c r="B4918" s="33" t="s">
        <v>1141</v>
      </c>
      <c r="C4918" s="39">
        <v>46006.0</v>
      </c>
      <c r="D4918" s="33" t="s">
        <v>428</v>
      </c>
      <c r="E4918" s="40">
        <v>79.85</v>
      </c>
      <c r="F4918" s="40">
        <v>0.0</v>
      </c>
      <c r="G4918" s="33" t="s">
        <v>450</v>
      </c>
    </row>
    <row r="4919" ht="15.75" customHeight="1">
      <c r="A4919" s="33" t="s">
        <v>8905</v>
      </c>
      <c r="B4919" s="33" t="s">
        <v>575</v>
      </c>
      <c r="C4919" s="39">
        <v>45664.0</v>
      </c>
      <c r="D4919" s="33" t="s">
        <v>479</v>
      </c>
      <c r="E4919" s="40">
        <v>29.13</v>
      </c>
      <c r="F4919" s="40">
        <v>0.55</v>
      </c>
      <c r="G4919" s="33" t="s">
        <v>450</v>
      </c>
    </row>
    <row r="4920" ht="15.75" customHeight="1">
      <c r="A4920" s="33" t="s">
        <v>8906</v>
      </c>
      <c r="B4920" s="33" t="s">
        <v>311</v>
      </c>
      <c r="C4920" s="39">
        <v>45769.0</v>
      </c>
      <c r="D4920" s="33" t="s">
        <v>428</v>
      </c>
      <c r="E4920" s="40">
        <v>100.64</v>
      </c>
      <c r="F4920" s="40">
        <v>0.0</v>
      </c>
      <c r="G4920" s="33" t="s">
        <v>450</v>
      </c>
    </row>
    <row r="4921" ht="15.75" customHeight="1">
      <c r="A4921" s="33" t="s">
        <v>8907</v>
      </c>
      <c r="B4921" s="33" t="s">
        <v>1651</v>
      </c>
      <c r="C4921" s="39">
        <v>45796.0</v>
      </c>
      <c r="D4921" s="33" t="s">
        <v>440</v>
      </c>
      <c r="E4921" s="40">
        <v>88.19</v>
      </c>
      <c r="F4921" s="40">
        <v>0.0</v>
      </c>
      <c r="G4921" s="33" t="s">
        <v>450</v>
      </c>
    </row>
    <row r="4922" ht="15.75" customHeight="1">
      <c r="A4922" s="33" t="s">
        <v>8908</v>
      </c>
      <c r="B4922" s="33" t="s">
        <v>579</v>
      </c>
      <c r="C4922" s="39">
        <v>46247.0</v>
      </c>
      <c r="D4922" s="33" t="s">
        <v>461</v>
      </c>
      <c r="E4922" s="40">
        <v>82.43</v>
      </c>
      <c r="F4922" s="40">
        <v>0.7</v>
      </c>
      <c r="G4922" s="33" t="s">
        <v>431</v>
      </c>
    </row>
    <row r="4923" ht="15.75" customHeight="1">
      <c r="A4923" s="33" t="s">
        <v>8909</v>
      </c>
      <c r="B4923" s="33" t="s">
        <v>4142</v>
      </c>
      <c r="C4923" s="39">
        <v>45903.0</v>
      </c>
      <c r="D4923" s="33" t="s">
        <v>435</v>
      </c>
      <c r="E4923" s="40">
        <v>65.22</v>
      </c>
      <c r="F4923" s="40">
        <v>0.0</v>
      </c>
      <c r="G4923" s="33" t="s">
        <v>442</v>
      </c>
    </row>
    <row r="4924" ht="15.75" customHeight="1">
      <c r="A4924" s="33" t="s">
        <v>8910</v>
      </c>
      <c r="B4924" s="33" t="s">
        <v>1995</v>
      </c>
      <c r="C4924" s="39">
        <v>45686.0</v>
      </c>
      <c r="D4924" s="33" t="s">
        <v>461</v>
      </c>
      <c r="E4924" s="40">
        <v>130.96</v>
      </c>
      <c r="F4924" s="40">
        <v>1.64</v>
      </c>
      <c r="G4924" s="33" t="s">
        <v>431</v>
      </c>
    </row>
    <row r="4925" ht="15.75" customHeight="1">
      <c r="A4925" s="33" t="s">
        <v>8911</v>
      </c>
      <c r="B4925" s="33" t="s">
        <v>2053</v>
      </c>
      <c r="C4925" s="39">
        <v>46013.0</v>
      </c>
      <c r="D4925" s="33" t="s">
        <v>435</v>
      </c>
      <c r="E4925" s="40">
        <v>100.94</v>
      </c>
      <c r="F4925" s="40">
        <v>0.0</v>
      </c>
      <c r="G4925" s="33" t="s">
        <v>431</v>
      </c>
    </row>
    <row r="4926" ht="15.75" customHeight="1">
      <c r="A4926" s="33" t="s">
        <v>8912</v>
      </c>
      <c r="B4926" s="33" t="s">
        <v>375</v>
      </c>
      <c r="C4926" s="39">
        <v>46234.0</v>
      </c>
      <c r="D4926" s="33" t="s">
        <v>440</v>
      </c>
      <c r="E4926" s="40">
        <v>99.67</v>
      </c>
      <c r="F4926" s="40">
        <v>0.0</v>
      </c>
      <c r="G4926" s="33" t="s">
        <v>431</v>
      </c>
    </row>
    <row r="4927" ht="15.75" customHeight="1">
      <c r="A4927" s="33" t="s">
        <v>8913</v>
      </c>
      <c r="B4927" s="33" t="s">
        <v>285</v>
      </c>
      <c r="C4927" s="39">
        <v>45998.0</v>
      </c>
      <c r="D4927" s="33" t="s">
        <v>428</v>
      </c>
      <c r="E4927" s="40">
        <v>37.75</v>
      </c>
      <c r="F4927" s="40">
        <v>0.0</v>
      </c>
      <c r="G4927" s="33" t="s">
        <v>450</v>
      </c>
    </row>
    <row r="4928" ht="15.75" customHeight="1">
      <c r="A4928" s="33" t="s">
        <v>8914</v>
      </c>
      <c r="B4928" s="33" t="s">
        <v>732</v>
      </c>
      <c r="C4928" s="39">
        <v>45927.0</v>
      </c>
      <c r="D4928" s="33" t="s">
        <v>440</v>
      </c>
      <c r="E4928" s="40">
        <v>70.05</v>
      </c>
      <c r="F4928" s="40">
        <v>0.0</v>
      </c>
      <c r="G4928" s="33" t="s">
        <v>442</v>
      </c>
    </row>
    <row r="4929" ht="15.75" customHeight="1">
      <c r="A4929" s="33" t="s">
        <v>8915</v>
      </c>
      <c r="B4929" s="33" t="s">
        <v>511</v>
      </c>
      <c r="C4929" s="39">
        <v>45764.0</v>
      </c>
      <c r="D4929" s="33" t="s">
        <v>479</v>
      </c>
      <c r="E4929" s="40">
        <v>37.21</v>
      </c>
      <c r="F4929" s="40">
        <v>0.38</v>
      </c>
      <c r="G4929" s="33" t="s">
        <v>450</v>
      </c>
    </row>
    <row r="4930" ht="15.75" customHeight="1">
      <c r="A4930" s="33" t="s">
        <v>8916</v>
      </c>
      <c r="B4930" s="33" t="s">
        <v>1557</v>
      </c>
      <c r="C4930" s="39">
        <v>46191.0</v>
      </c>
      <c r="D4930" s="33" t="s">
        <v>428</v>
      </c>
      <c r="E4930" s="40">
        <v>69.2</v>
      </c>
      <c r="F4930" s="40">
        <v>0.0</v>
      </c>
      <c r="G4930" s="33" t="s">
        <v>442</v>
      </c>
    </row>
    <row r="4931" ht="15.75" customHeight="1">
      <c r="A4931" s="33" t="s">
        <v>8917</v>
      </c>
      <c r="B4931" s="33" t="s">
        <v>700</v>
      </c>
      <c r="C4931" s="39">
        <v>45721.0</v>
      </c>
      <c r="D4931" s="33" t="s">
        <v>428</v>
      </c>
      <c r="E4931" s="40">
        <v>42.39</v>
      </c>
      <c r="F4931" s="40">
        <v>0.0</v>
      </c>
      <c r="G4931" s="33" t="s">
        <v>431</v>
      </c>
    </row>
    <row r="4932" ht="15.75" customHeight="1">
      <c r="A4932" s="33" t="s">
        <v>8918</v>
      </c>
      <c r="B4932" s="33" t="s">
        <v>371</v>
      </c>
      <c r="C4932" s="39">
        <v>46224.0</v>
      </c>
      <c r="D4932" s="33" t="s">
        <v>479</v>
      </c>
      <c r="E4932" s="40">
        <v>67.9</v>
      </c>
      <c r="F4932" s="40">
        <v>1.23</v>
      </c>
      <c r="G4932" s="33" t="s">
        <v>450</v>
      </c>
    </row>
    <row r="4933" ht="15.75" customHeight="1">
      <c r="A4933" s="33" t="s">
        <v>8919</v>
      </c>
      <c r="B4933" s="33" t="s">
        <v>264</v>
      </c>
      <c r="C4933" s="39">
        <v>45792.0</v>
      </c>
      <c r="D4933" s="33" t="s">
        <v>435</v>
      </c>
      <c r="E4933" s="40">
        <v>70.06</v>
      </c>
      <c r="F4933" s="40">
        <v>0.0</v>
      </c>
      <c r="G4933" s="33" t="s">
        <v>450</v>
      </c>
    </row>
    <row r="4934" ht="15.75" customHeight="1">
      <c r="A4934" s="33" t="s">
        <v>8920</v>
      </c>
      <c r="B4934" s="33" t="s">
        <v>2123</v>
      </c>
      <c r="C4934" s="39">
        <v>45741.0</v>
      </c>
      <c r="D4934" s="33" t="s">
        <v>440</v>
      </c>
      <c r="E4934" s="40">
        <v>67.9</v>
      </c>
      <c r="F4934" s="40">
        <v>0.0</v>
      </c>
      <c r="G4934" s="33" t="s">
        <v>450</v>
      </c>
    </row>
    <row r="4935" ht="15.75" customHeight="1">
      <c r="A4935" s="33" t="s">
        <v>8921</v>
      </c>
      <c r="B4935" s="33" t="s">
        <v>2040</v>
      </c>
      <c r="C4935" s="39">
        <v>45869.0</v>
      </c>
      <c r="D4935" s="33" t="s">
        <v>461</v>
      </c>
      <c r="E4935" s="40">
        <v>133.03</v>
      </c>
      <c r="F4935" s="40">
        <v>1.63</v>
      </c>
      <c r="G4935" s="33" t="s">
        <v>450</v>
      </c>
    </row>
    <row r="4936" ht="15.75" customHeight="1">
      <c r="A4936" s="33" t="s">
        <v>8922</v>
      </c>
      <c r="B4936" s="33" t="s">
        <v>583</v>
      </c>
      <c r="C4936" s="39">
        <v>45661.0</v>
      </c>
      <c r="D4936" s="33" t="s">
        <v>440</v>
      </c>
      <c r="E4936" s="40">
        <v>110.9</v>
      </c>
      <c r="F4936" s="40">
        <v>0.0</v>
      </c>
      <c r="G4936" s="33" t="s">
        <v>450</v>
      </c>
    </row>
    <row r="4937" ht="15.75" customHeight="1">
      <c r="A4937" s="33" t="s">
        <v>8923</v>
      </c>
      <c r="B4937" s="33" t="s">
        <v>1749</v>
      </c>
      <c r="C4937" s="39">
        <v>45666.0</v>
      </c>
      <c r="D4937" s="33" t="s">
        <v>461</v>
      </c>
      <c r="E4937" s="40">
        <v>22.74</v>
      </c>
      <c r="F4937" s="40">
        <v>0.27</v>
      </c>
      <c r="G4937" s="33" t="s">
        <v>431</v>
      </c>
    </row>
    <row r="4938" ht="15.75" customHeight="1">
      <c r="A4938" s="33" t="s">
        <v>8924</v>
      </c>
      <c r="B4938" s="33" t="s">
        <v>1700</v>
      </c>
      <c r="C4938" s="39">
        <v>45771.0</v>
      </c>
      <c r="D4938" s="33" t="s">
        <v>428</v>
      </c>
      <c r="E4938" s="40">
        <v>62.33</v>
      </c>
      <c r="F4938" s="40">
        <v>0.0</v>
      </c>
      <c r="G4938" s="33" t="s">
        <v>450</v>
      </c>
    </row>
    <row r="4939" ht="15.75" customHeight="1">
      <c r="A4939" s="33" t="s">
        <v>8925</v>
      </c>
      <c r="B4939" s="33" t="s">
        <v>2023</v>
      </c>
      <c r="C4939" s="39">
        <v>46078.0</v>
      </c>
      <c r="D4939" s="33" t="s">
        <v>461</v>
      </c>
      <c r="E4939" s="40">
        <v>82.3</v>
      </c>
      <c r="F4939" s="40">
        <v>0.79</v>
      </c>
      <c r="G4939" s="33" t="s">
        <v>442</v>
      </c>
    </row>
    <row r="4940" ht="15.75" customHeight="1">
      <c r="A4940" s="33" t="s">
        <v>8926</v>
      </c>
      <c r="B4940" s="33" t="s">
        <v>3195</v>
      </c>
      <c r="C4940" s="39">
        <v>46152.0</v>
      </c>
      <c r="D4940" s="33" t="s">
        <v>461</v>
      </c>
      <c r="E4940" s="40">
        <v>40.86</v>
      </c>
      <c r="F4940" s="40">
        <v>0.26</v>
      </c>
      <c r="G4940" s="33" t="s">
        <v>442</v>
      </c>
    </row>
    <row r="4941" ht="15.75" customHeight="1">
      <c r="A4941" s="33" t="s">
        <v>8927</v>
      </c>
      <c r="B4941" s="33" t="s">
        <v>2212</v>
      </c>
      <c r="C4941" s="39">
        <v>45808.0</v>
      </c>
      <c r="D4941" s="33" t="s">
        <v>479</v>
      </c>
      <c r="E4941" s="40">
        <v>88.3</v>
      </c>
      <c r="F4941" s="40">
        <v>0.56</v>
      </c>
      <c r="G4941" s="33" t="s">
        <v>442</v>
      </c>
    </row>
    <row r="4942" ht="15.75" customHeight="1">
      <c r="A4942" s="33" t="s">
        <v>8928</v>
      </c>
      <c r="B4942" s="33" t="s">
        <v>1651</v>
      </c>
      <c r="C4942" s="39">
        <v>46049.0</v>
      </c>
      <c r="D4942" s="33" t="s">
        <v>435</v>
      </c>
      <c r="E4942" s="40">
        <v>45.1</v>
      </c>
      <c r="F4942" s="40">
        <v>0.0</v>
      </c>
      <c r="G4942" s="33" t="s">
        <v>431</v>
      </c>
    </row>
    <row r="4943" ht="15.75" customHeight="1">
      <c r="A4943" s="33" t="s">
        <v>8929</v>
      </c>
      <c r="B4943" s="33" t="s">
        <v>300</v>
      </c>
      <c r="C4943" s="39">
        <v>45871.0</v>
      </c>
      <c r="D4943" s="33" t="s">
        <v>479</v>
      </c>
      <c r="E4943" s="40">
        <v>73.62</v>
      </c>
      <c r="F4943" s="40">
        <v>1.1</v>
      </c>
      <c r="G4943" s="33" t="s">
        <v>450</v>
      </c>
    </row>
    <row r="4944" ht="15.75" customHeight="1">
      <c r="A4944" s="33" t="s">
        <v>8930</v>
      </c>
      <c r="B4944" s="33" t="s">
        <v>282</v>
      </c>
      <c r="C4944" s="39">
        <v>45920.0</v>
      </c>
      <c r="D4944" s="33" t="s">
        <v>428</v>
      </c>
      <c r="E4944" s="40">
        <v>33.82</v>
      </c>
      <c r="F4944" s="40">
        <v>0.0</v>
      </c>
      <c r="G4944" s="33" t="s">
        <v>450</v>
      </c>
    </row>
    <row r="4945" ht="15.75" customHeight="1">
      <c r="A4945" s="33" t="s">
        <v>8931</v>
      </c>
      <c r="B4945" s="33" t="s">
        <v>1920</v>
      </c>
      <c r="C4945" s="39">
        <v>45861.0</v>
      </c>
      <c r="D4945" s="33" t="s">
        <v>461</v>
      </c>
      <c r="E4945" s="40">
        <v>67.6</v>
      </c>
      <c r="F4945" s="40">
        <v>0.91</v>
      </c>
      <c r="G4945" s="33" t="s">
        <v>442</v>
      </c>
    </row>
    <row r="4946" ht="15.75" customHeight="1">
      <c r="A4946" s="33" t="s">
        <v>8932</v>
      </c>
      <c r="B4946" s="33" t="s">
        <v>2669</v>
      </c>
      <c r="C4946" s="39">
        <v>46199.0</v>
      </c>
      <c r="D4946" s="33" t="s">
        <v>461</v>
      </c>
      <c r="E4946" s="40">
        <v>112.9</v>
      </c>
      <c r="F4946" s="40">
        <v>1.83</v>
      </c>
      <c r="G4946" s="33" t="s">
        <v>450</v>
      </c>
    </row>
    <row r="4947" ht="15.75" customHeight="1">
      <c r="A4947" s="33" t="s">
        <v>8933</v>
      </c>
      <c r="B4947" s="33" t="s">
        <v>408</v>
      </c>
      <c r="C4947" s="39">
        <v>45968.0</v>
      </c>
      <c r="D4947" s="33" t="s">
        <v>428</v>
      </c>
      <c r="E4947" s="40">
        <v>124.04</v>
      </c>
      <c r="F4947" s="40">
        <v>0.0</v>
      </c>
      <c r="G4947" s="33" t="s">
        <v>450</v>
      </c>
    </row>
    <row r="4948" ht="15.75" customHeight="1">
      <c r="A4948" s="33" t="s">
        <v>8934</v>
      </c>
      <c r="B4948" s="33" t="s">
        <v>817</v>
      </c>
      <c r="C4948" s="39">
        <v>45965.0</v>
      </c>
      <c r="D4948" s="33" t="s">
        <v>440</v>
      </c>
      <c r="E4948" s="40">
        <v>74.72</v>
      </c>
      <c r="F4948" s="40">
        <v>0.0</v>
      </c>
      <c r="G4948" s="33" t="s">
        <v>450</v>
      </c>
    </row>
    <row r="4949" ht="15.75" customHeight="1">
      <c r="A4949" s="33" t="s">
        <v>8935</v>
      </c>
      <c r="B4949" s="33" t="s">
        <v>2658</v>
      </c>
      <c r="C4949" s="39">
        <v>46179.0</v>
      </c>
      <c r="D4949" s="33" t="s">
        <v>440</v>
      </c>
      <c r="E4949" s="40">
        <v>264.57</v>
      </c>
      <c r="F4949" s="40">
        <v>0.0</v>
      </c>
      <c r="G4949" s="33" t="s">
        <v>442</v>
      </c>
    </row>
    <row r="4950" ht="15.75" customHeight="1">
      <c r="A4950" s="33" t="s">
        <v>8936</v>
      </c>
      <c r="B4950" s="33" t="s">
        <v>2718</v>
      </c>
      <c r="C4950" s="39">
        <v>46056.0</v>
      </c>
      <c r="D4950" s="33" t="s">
        <v>428</v>
      </c>
      <c r="E4950" s="40">
        <v>94.73</v>
      </c>
      <c r="F4950" s="40">
        <v>0.0</v>
      </c>
      <c r="G4950" s="33" t="s">
        <v>450</v>
      </c>
    </row>
    <row r="4951" ht="15.75" customHeight="1">
      <c r="A4951" s="33" t="s">
        <v>8937</v>
      </c>
      <c r="B4951" s="33" t="s">
        <v>278</v>
      </c>
      <c r="C4951" s="39">
        <v>45748.0</v>
      </c>
      <c r="D4951" s="33" t="s">
        <v>479</v>
      </c>
      <c r="E4951" s="40">
        <v>126.63</v>
      </c>
      <c r="F4951" s="40">
        <v>1.74</v>
      </c>
      <c r="G4951" s="33" t="s">
        <v>450</v>
      </c>
    </row>
    <row r="4952" ht="15.75" customHeight="1">
      <c r="A4952" s="33" t="s">
        <v>8938</v>
      </c>
      <c r="B4952" s="33" t="s">
        <v>3598</v>
      </c>
      <c r="C4952" s="39">
        <v>45772.0</v>
      </c>
      <c r="D4952" s="33" t="s">
        <v>461</v>
      </c>
      <c r="E4952" s="40">
        <v>174.04</v>
      </c>
      <c r="F4952" s="40">
        <v>2.83</v>
      </c>
      <c r="G4952" s="33" t="s">
        <v>442</v>
      </c>
    </row>
    <row r="4953" ht="15.75" customHeight="1">
      <c r="A4953" s="33" t="s">
        <v>8939</v>
      </c>
      <c r="B4953" s="33" t="s">
        <v>600</v>
      </c>
      <c r="C4953" s="39">
        <v>45864.0</v>
      </c>
      <c r="D4953" s="33" t="s">
        <v>461</v>
      </c>
      <c r="E4953" s="40">
        <v>41.49</v>
      </c>
      <c r="F4953" s="40">
        <v>0.37</v>
      </c>
      <c r="G4953" s="33" t="s">
        <v>450</v>
      </c>
    </row>
    <row r="4954" ht="15.75" customHeight="1">
      <c r="A4954" s="33" t="s">
        <v>8940</v>
      </c>
      <c r="B4954" s="33" t="s">
        <v>1092</v>
      </c>
      <c r="C4954" s="39">
        <v>45717.0</v>
      </c>
      <c r="D4954" s="33" t="s">
        <v>435</v>
      </c>
      <c r="E4954" s="40">
        <v>112.12</v>
      </c>
      <c r="F4954" s="40">
        <v>0.0</v>
      </c>
      <c r="G4954" s="33" t="s">
        <v>450</v>
      </c>
    </row>
    <row r="4955" ht="15.75" customHeight="1">
      <c r="A4955" s="33" t="s">
        <v>8941</v>
      </c>
      <c r="B4955" s="33" t="s">
        <v>815</v>
      </c>
      <c r="C4955" s="39">
        <v>46078.0</v>
      </c>
      <c r="D4955" s="33" t="s">
        <v>440</v>
      </c>
      <c r="E4955" s="40">
        <v>87.59</v>
      </c>
      <c r="F4955" s="40">
        <v>0.0</v>
      </c>
      <c r="G4955" s="33" t="s">
        <v>450</v>
      </c>
    </row>
    <row r="4956" ht="15.75" customHeight="1">
      <c r="A4956" s="33" t="s">
        <v>8942</v>
      </c>
      <c r="B4956" s="33" t="s">
        <v>213</v>
      </c>
      <c r="C4956" s="39">
        <v>45958.0</v>
      </c>
      <c r="D4956" s="33" t="s">
        <v>440</v>
      </c>
      <c r="E4956" s="40">
        <v>114.98</v>
      </c>
      <c r="F4956" s="40">
        <v>0.0</v>
      </c>
      <c r="G4956" s="33" t="s">
        <v>450</v>
      </c>
    </row>
    <row r="4957" ht="15.75" customHeight="1">
      <c r="A4957" s="33" t="s">
        <v>8943</v>
      </c>
      <c r="B4957" s="33" t="s">
        <v>1130</v>
      </c>
      <c r="C4957" s="39">
        <v>45684.0</v>
      </c>
      <c r="D4957" s="33" t="s">
        <v>435</v>
      </c>
      <c r="E4957" s="40">
        <v>146.32</v>
      </c>
      <c r="F4957" s="40">
        <v>0.0</v>
      </c>
      <c r="G4957" s="33" t="s">
        <v>450</v>
      </c>
    </row>
    <row r="4958" ht="15.75" customHeight="1">
      <c r="A4958" s="33" t="s">
        <v>8944</v>
      </c>
      <c r="B4958" s="33" t="s">
        <v>2080</v>
      </c>
      <c r="C4958" s="39">
        <v>45901.0</v>
      </c>
      <c r="D4958" s="33" t="s">
        <v>461</v>
      </c>
      <c r="E4958" s="40">
        <v>35.75</v>
      </c>
      <c r="F4958" s="40">
        <v>0.57</v>
      </c>
      <c r="G4958" s="33" t="s">
        <v>450</v>
      </c>
    </row>
    <row r="4959" ht="15.75" customHeight="1">
      <c r="A4959" s="33" t="s">
        <v>8945</v>
      </c>
      <c r="B4959" s="33" t="s">
        <v>1285</v>
      </c>
      <c r="C4959" s="39">
        <v>46161.0</v>
      </c>
      <c r="D4959" s="33" t="s">
        <v>428</v>
      </c>
      <c r="E4959" s="40">
        <v>257.38</v>
      </c>
      <c r="F4959" s="40">
        <v>0.0</v>
      </c>
      <c r="G4959" s="33" t="s">
        <v>450</v>
      </c>
    </row>
    <row r="4960" ht="15.75" customHeight="1">
      <c r="A4960" s="33" t="s">
        <v>8946</v>
      </c>
      <c r="B4960" s="33" t="s">
        <v>1232</v>
      </c>
      <c r="C4960" s="39">
        <v>46208.0</v>
      </c>
      <c r="D4960" s="33" t="s">
        <v>428</v>
      </c>
      <c r="E4960" s="40">
        <v>77.27</v>
      </c>
      <c r="F4960" s="40">
        <v>0.0</v>
      </c>
      <c r="G4960" s="33" t="s">
        <v>450</v>
      </c>
    </row>
    <row r="4961" ht="15.75" customHeight="1">
      <c r="A4961" s="33" t="s">
        <v>8947</v>
      </c>
      <c r="B4961" s="33" t="s">
        <v>1399</v>
      </c>
      <c r="C4961" s="39">
        <v>46241.0</v>
      </c>
      <c r="D4961" s="33" t="s">
        <v>435</v>
      </c>
      <c r="E4961" s="40">
        <v>57.72</v>
      </c>
      <c r="F4961" s="40">
        <v>0.0</v>
      </c>
      <c r="G4961" s="33" t="s">
        <v>450</v>
      </c>
    </row>
    <row r="4962" ht="15.75" customHeight="1">
      <c r="A4962" s="33" t="s">
        <v>8948</v>
      </c>
      <c r="B4962" s="33" t="s">
        <v>822</v>
      </c>
      <c r="C4962" s="39">
        <v>46218.0</v>
      </c>
      <c r="D4962" s="33" t="s">
        <v>479</v>
      </c>
      <c r="E4962" s="40">
        <v>6.19</v>
      </c>
      <c r="F4962" s="40">
        <v>0.1</v>
      </c>
      <c r="G4962" s="33" t="s">
        <v>450</v>
      </c>
    </row>
    <row r="4963" ht="15.75" customHeight="1">
      <c r="A4963" s="33" t="s">
        <v>8949</v>
      </c>
      <c r="B4963" s="33" t="s">
        <v>1452</v>
      </c>
      <c r="C4963" s="39">
        <v>46026.0</v>
      </c>
      <c r="D4963" s="33" t="s">
        <v>440</v>
      </c>
      <c r="E4963" s="40">
        <v>166.31</v>
      </c>
      <c r="F4963" s="40">
        <v>0.0</v>
      </c>
      <c r="G4963" s="33" t="s">
        <v>431</v>
      </c>
    </row>
    <row r="4964" ht="15.75" customHeight="1">
      <c r="A4964" s="33" t="s">
        <v>8950</v>
      </c>
      <c r="B4964" s="33" t="s">
        <v>572</v>
      </c>
      <c r="C4964" s="39">
        <v>46220.0</v>
      </c>
      <c r="D4964" s="33" t="s">
        <v>435</v>
      </c>
      <c r="E4964" s="40">
        <v>139.49</v>
      </c>
      <c r="F4964" s="40">
        <v>0.0</v>
      </c>
      <c r="G4964" s="33" t="s">
        <v>442</v>
      </c>
    </row>
    <row r="4965" ht="15.75" customHeight="1">
      <c r="A4965" s="33" t="s">
        <v>8951</v>
      </c>
      <c r="B4965" s="33" t="s">
        <v>1806</v>
      </c>
      <c r="C4965" s="39">
        <v>46238.0</v>
      </c>
      <c r="D4965" s="33" t="s">
        <v>461</v>
      </c>
      <c r="E4965" s="40">
        <v>64.02</v>
      </c>
      <c r="F4965" s="40">
        <v>0.44</v>
      </c>
      <c r="G4965" s="33" t="s">
        <v>450</v>
      </c>
    </row>
    <row r="4966" ht="15.75" customHeight="1">
      <c r="A4966" s="33" t="s">
        <v>8952</v>
      </c>
      <c r="B4966" s="33" t="s">
        <v>728</v>
      </c>
      <c r="C4966" s="39">
        <v>46043.0</v>
      </c>
      <c r="D4966" s="33" t="s">
        <v>428</v>
      </c>
      <c r="E4966" s="40">
        <v>12.48</v>
      </c>
      <c r="F4966" s="40">
        <v>0.0</v>
      </c>
      <c r="G4966" s="33" t="s">
        <v>450</v>
      </c>
    </row>
    <row r="4967" ht="15.75" customHeight="1">
      <c r="A4967" s="33" t="s">
        <v>8953</v>
      </c>
      <c r="B4967" s="33" t="s">
        <v>536</v>
      </c>
      <c r="C4967" s="39">
        <v>45908.0</v>
      </c>
      <c r="D4967" s="33" t="s">
        <v>435</v>
      </c>
      <c r="E4967" s="40">
        <v>79.71</v>
      </c>
      <c r="F4967" s="40">
        <v>0.0</v>
      </c>
      <c r="G4967" s="33" t="s">
        <v>450</v>
      </c>
    </row>
    <row r="4968" ht="15.75" customHeight="1">
      <c r="A4968" s="33" t="s">
        <v>8954</v>
      </c>
      <c r="B4968" s="33" t="s">
        <v>861</v>
      </c>
      <c r="C4968" s="39">
        <v>46244.0</v>
      </c>
      <c r="D4968" s="33" t="s">
        <v>461</v>
      </c>
      <c r="E4968" s="40">
        <v>20.31</v>
      </c>
      <c r="F4968" s="40">
        <v>0.37</v>
      </c>
      <c r="G4968" s="33" t="s">
        <v>450</v>
      </c>
    </row>
    <row r="4969" ht="15.75" customHeight="1">
      <c r="A4969" s="33" t="s">
        <v>8955</v>
      </c>
      <c r="B4969" s="33" t="s">
        <v>2723</v>
      </c>
      <c r="C4969" s="39">
        <v>45909.0</v>
      </c>
      <c r="D4969" s="33" t="s">
        <v>435</v>
      </c>
      <c r="E4969" s="40">
        <v>154.95</v>
      </c>
      <c r="F4969" s="40">
        <v>0.0</v>
      </c>
      <c r="G4969" s="33" t="s">
        <v>442</v>
      </c>
    </row>
    <row r="4970" ht="15.75" customHeight="1">
      <c r="A4970" s="33" t="s">
        <v>8956</v>
      </c>
      <c r="B4970" s="33" t="s">
        <v>1318</v>
      </c>
      <c r="C4970" s="39">
        <v>45758.0</v>
      </c>
      <c r="D4970" s="33" t="s">
        <v>428</v>
      </c>
      <c r="E4970" s="40">
        <v>62.46</v>
      </c>
      <c r="F4970" s="40">
        <v>0.0</v>
      </c>
      <c r="G4970" s="33" t="s">
        <v>450</v>
      </c>
    </row>
    <row r="4971" ht="15.75" customHeight="1">
      <c r="A4971" s="33" t="s">
        <v>8957</v>
      </c>
      <c r="B4971" s="33" t="s">
        <v>1547</v>
      </c>
      <c r="C4971" s="39">
        <v>45722.0</v>
      </c>
      <c r="D4971" s="33" t="s">
        <v>435</v>
      </c>
      <c r="E4971" s="40">
        <v>33.09</v>
      </c>
      <c r="F4971" s="40">
        <v>0.0</v>
      </c>
      <c r="G4971" s="33" t="s">
        <v>442</v>
      </c>
    </row>
    <row r="4972" ht="15.75" customHeight="1">
      <c r="A4972" s="33" t="s">
        <v>8958</v>
      </c>
      <c r="B4972" s="33" t="s">
        <v>1825</v>
      </c>
      <c r="C4972" s="39">
        <v>46002.0</v>
      </c>
      <c r="D4972" s="33" t="s">
        <v>479</v>
      </c>
      <c r="E4972" s="40">
        <v>90.04</v>
      </c>
      <c r="F4972" s="40">
        <v>1.3</v>
      </c>
      <c r="G4972" s="33" t="s">
        <v>450</v>
      </c>
    </row>
    <row r="4973" ht="15.75" customHeight="1">
      <c r="A4973" s="33" t="s">
        <v>8959</v>
      </c>
      <c r="B4973" s="33" t="s">
        <v>2836</v>
      </c>
      <c r="C4973" s="39">
        <v>45679.0</v>
      </c>
      <c r="D4973" s="33" t="s">
        <v>435</v>
      </c>
      <c r="E4973" s="40">
        <v>99.79</v>
      </c>
      <c r="F4973" s="40">
        <v>0.0</v>
      </c>
      <c r="G4973" s="33" t="s">
        <v>450</v>
      </c>
    </row>
    <row r="4974" ht="15.75" customHeight="1">
      <c r="A4974" s="33" t="s">
        <v>8960</v>
      </c>
      <c r="B4974" s="33" t="s">
        <v>822</v>
      </c>
      <c r="C4974" s="39">
        <v>45729.0</v>
      </c>
      <c r="D4974" s="33" t="s">
        <v>479</v>
      </c>
      <c r="E4974" s="40">
        <v>108.38</v>
      </c>
      <c r="F4974" s="40">
        <v>1.11</v>
      </c>
      <c r="G4974" s="33" t="s">
        <v>450</v>
      </c>
    </row>
    <row r="4975" ht="15.75" customHeight="1">
      <c r="A4975" s="33" t="s">
        <v>8961</v>
      </c>
      <c r="B4975" s="33" t="s">
        <v>1463</v>
      </c>
      <c r="C4975" s="39">
        <v>45806.0</v>
      </c>
      <c r="D4975" s="33" t="s">
        <v>479</v>
      </c>
      <c r="E4975" s="40">
        <v>35.0</v>
      </c>
      <c r="F4975" s="40">
        <v>0.44</v>
      </c>
      <c r="G4975" s="33" t="s">
        <v>450</v>
      </c>
    </row>
    <row r="4976" ht="15.75" customHeight="1">
      <c r="A4976" s="33" t="s">
        <v>8962</v>
      </c>
      <c r="B4976" s="33" t="s">
        <v>575</v>
      </c>
      <c r="C4976" s="39">
        <v>45979.0</v>
      </c>
      <c r="D4976" s="33" t="s">
        <v>479</v>
      </c>
      <c r="E4976" s="40">
        <v>145.5</v>
      </c>
      <c r="F4976" s="40">
        <v>2.26</v>
      </c>
      <c r="G4976" s="33" t="s">
        <v>450</v>
      </c>
    </row>
    <row r="4977" ht="15.75" customHeight="1">
      <c r="A4977" s="33" t="s">
        <v>8963</v>
      </c>
      <c r="B4977" s="33" t="s">
        <v>705</v>
      </c>
      <c r="C4977" s="39">
        <v>45948.0</v>
      </c>
      <c r="D4977" s="33" t="s">
        <v>428</v>
      </c>
      <c r="E4977" s="40">
        <v>63.62</v>
      </c>
      <c r="F4977" s="40">
        <v>0.0</v>
      </c>
      <c r="G4977" s="33" t="s">
        <v>450</v>
      </c>
    </row>
    <row r="4978" ht="15.75" customHeight="1">
      <c r="A4978" s="33" t="s">
        <v>8964</v>
      </c>
      <c r="B4978" s="33" t="s">
        <v>597</v>
      </c>
      <c r="C4978" s="39">
        <v>45968.0</v>
      </c>
      <c r="D4978" s="33" t="s">
        <v>428</v>
      </c>
      <c r="E4978" s="40">
        <v>8.72</v>
      </c>
      <c r="F4978" s="40">
        <v>0.0</v>
      </c>
      <c r="G4978" s="33" t="s">
        <v>431</v>
      </c>
    </row>
    <row r="4979" ht="15.75" customHeight="1">
      <c r="A4979" s="33" t="s">
        <v>8965</v>
      </c>
      <c r="B4979" s="33" t="s">
        <v>2002</v>
      </c>
      <c r="C4979" s="39">
        <v>45966.0</v>
      </c>
      <c r="D4979" s="33" t="s">
        <v>440</v>
      </c>
      <c r="E4979" s="40">
        <v>69.52</v>
      </c>
      <c r="F4979" s="40">
        <v>0.0</v>
      </c>
      <c r="G4979" s="33" t="s">
        <v>450</v>
      </c>
    </row>
    <row r="4980" ht="15.75" customHeight="1">
      <c r="A4980" s="33" t="s">
        <v>8966</v>
      </c>
      <c r="B4980" s="33" t="s">
        <v>835</v>
      </c>
      <c r="C4980" s="39">
        <v>46261.0</v>
      </c>
      <c r="D4980" s="33" t="s">
        <v>428</v>
      </c>
      <c r="E4980" s="40">
        <v>68.83</v>
      </c>
      <c r="F4980" s="40">
        <v>0.0</v>
      </c>
      <c r="G4980" s="33" t="s">
        <v>450</v>
      </c>
    </row>
    <row r="4981" ht="15.75" customHeight="1">
      <c r="A4981" s="33" t="s">
        <v>8967</v>
      </c>
      <c r="B4981" s="33" t="s">
        <v>1725</v>
      </c>
      <c r="C4981" s="39">
        <v>45790.0</v>
      </c>
      <c r="D4981" s="33" t="s">
        <v>479</v>
      </c>
      <c r="E4981" s="40">
        <v>67.87</v>
      </c>
      <c r="F4981" s="40">
        <v>0.64</v>
      </c>
      <c r="G4981" s="33" t="s">
        <v>450</v>
      </c>
    </row>
    <row r="4982" ht="15.75" customHeight="1">
      <c r="A4982" s="33" t="s">
        <v>8968</v>
      </c>
      <c r="B4982" s="33" t="s">
        <v>659</v>
      </c>
      <c r="C4982" s="39">
        <v>45945.0</v>
      </c>
      <c r="D4982" s="33" t="s">
        <v>435</v>
      </c>
      <c r="E4982" s="40">
        <v>91.37</v>
      </c>
      <c r="F4982" s="40">
        <v>0.0</v>
      </c>
      <c r="G4982" s="33" t="s">
        <v>450</v>
      </c>
    </row>
    <row r="4983" ht="15.75" customHeight="1">
      <c r="A4983" s="33" t="s">
        <v>8969</v>
      </c>
      <c r="B4983" s="33" t="s">
        <v>1249</v>
      </c>
      <c r="C4983" s="39">
        <v>46029.0</v>
      </c>
      <c r="D4983" s="33" t="s">
        <v>461</v>
      </c>
      <c r="E4983" s="40">
        <v>221.62</v>
      </c>
      <c r="F4983" s="40">
        <v>3.64</v>
      </c>
      <c r="G4983" s="33" t="s">
        <v>442</v>
      </c>
    </row>
    <row r="4984" ht="15.75" customHeight="1">
      <c r="A4984" s="33" t="s">
        <v>8970</v>
      </c>
      <c r="B4984" s="33" t="s">
        <v>1547</v>
      </c>
      <c r="C4984" s="39">
        <v>45824.0</v>
      </c>
      <c r="D4984" s="33" t="s">
        <v>461</v>
      </c>
      <c r="E4984" s="40">
        <v>71.1</v>
      </c>
      <c r="F4984" s="40">
        <v>1.4</v>
      </c>
      <c r="G4984" s="33" t="s">
        <v>450</v>
      </c>
    </row>
    <row r="4985" ht="15.75" customHeight="1">
      <c r="A4985" s="33" t="s">
        <v>8971</v>
      </c>
      <c r="B4985" s="33" t="s">
        <v>872</v>
      </c>
      <c r="C4985" s="39">
        <v>45767.0</v>
      </c>
      <c r="D4985" s="33" t="s">
        <v>440</v>
      </c>
      <c r="E4985" s="40">
        <v>77.84</v>
      </c>
      <c r="F4985" s="40">
        <v>0.0</v>
      </c>
      <c r="G4985" s="33" t="s">
        <v>450</v>
      </c>
    </row>
    <row r="4986" ht="15.75" customHeight="1">
      <c r="A4986" s="33" t="s">
        <v>8972</v>
      </c>
      <c r="B4986" s="33" t="s">
        <v>1705</v>
      </c>
      <c r="C4986" s="39">
        <v>45686.0</v>
      </c>
      <c r="D4986" s="33" t="s">
        <v>479</v>
      </c>
      <c r="E4986" s="40">
        <v>48.03</v>
      </c>
      <c r="F4986" s="40">
        <v>0.38</v>
      </c>
      <c r="G4986" s="33" t="s">
        <v>450</v>
      </c>
    </row>
    <row r="4987" ht="15.75" customHeight="1">
      <c r="A4987" s="33" t="s">
        <v>8973</v>
      </c>
      <c r="B4987" s="33" t="s">
        <v>1056</v>
      </c>
      <c r="C4987" s="39">
        <v>45856.0</v>
      </c>
      <c r="D4987" s="33" t="s">
        <v>479</v>
      </c>
      <c r="E4987" s="40">
        <v>70.97</v>
      </c>
      <c r="F4987" s="40">
        <v>1.38</v>
      </c>
      <c r="G4987" s="33" t="s">
        <v>450</v>
      </c>
    </row>
    <row r="4988" ht="15.75" customHeight="1">
      <c r="A4988" s="33" t="s">
        <v>8974</v>
      </c>
      <c r="B4988" s="33" t="s">
        <v>1067</v>
      </c>
      <c r="C4988" s="39">
        <v>45812.0</v>
      </c>
      <c r="D4988" s="33" t="s">
        <v>435</v>
      </c>
      <c r="E4988" s="40">
        <v>110.07</v>
      </c>
      <c r="F4988" s="40">
        <v>0.0</v>
      </c>
      <c r="G4988" s="33" t="s">
        <v>450</v>
      </c>
    </row>
    <row r="4989" ht="15.75" customHeight="1">
      <c r="A4989" s="33" t="s">
        <v>8975</v>
      </c>
      <c r="B4989" s="33" t="s">
        <v>1253</v>
      </c>
      <c r="C4989" s="39">
        <v>45776.0</v>
      </c>
      <c r="D4989" s="33" t="s">
        <v>440</v>
      </c>
      <c r="E4989" s="40">
        <v>111.91</v>
      </c>
      <c r="F4989" s="40">
        <v>0.0</v>
      </c>
      <c r="G4989" s="33" t="s">
        <v>442</v>
      </c>
    </row>
    <row r="4990" ht="15.75" customHeight="1">
      <c r="A4990" s="33" t="s">
        <v>8976</v>
      </c>
      <c r="B4990" s="33" t="s">
        <v>945</v>
      </c>
      <c r="C4990" s="39">
        <v>45822.0</v>
      </c>
      <c r="D4990" s="33" t="s">
        <v>479</v>
      </c>
      <c r="E4990" s="40">
        <v>183.1</v>
      </c>
      <c r="F4990" s="40">
        <v>2.74</v>
      </c>
      <c r="G4990" s="33" t="s">
        <v>431</v>
      </c>
    </row>
    <row r="4991" ht="15.75" customHeight="1">
      <c r="A4991" s="33" t="s">
        <v>8977</v>
      </c>
      <c r="B4991" s="33" t="s">
        <v>423</v>
      </c>
      <c r="C4991" s="39">
        <v>46080.0</v>
      </c>
      <c r="D4991" s="33" t="s">
        <v>440</v>
      </c>
      <c r="E4991" s="40">
        <v>11.48</v>
      </c>
      <c r="F4991" s="40">
        <v>0.0</v>
      </c>
      <c r="G4991" s="33" t="s">
        <v>450</v>
      </c>
    </row>
    <row r="4992" ht="15.75" customHeight="1">
      <c r="A4992" s="33" t="s">
        <v>8978</v>
      </c>
      <c r="B4992" s="33" t="s">
        <v>1528</v>
      </c>
      <c r="C4992" s="39">
        <v>46160.0</v>
      </c>
      <c r="D4992" s="33" t="s">
        <v>428</v>
      </c>
      <c r="E4992" s="40">
        <v>134.78</v>
      </c>
      <c r="F4992" s="40">
        <v>0.0</v>
      </c>
      <c r="G4992" s="33" t="s">
        <v>431</v>
      </c>
    </row>
    <row r="4993" ht="15.75" customHeight="1">
      <c r="A4993" s="33" t="s">
        <v>8979</v>
      </c>
      <c r="B4993" s="33" t="s">
        <v>2650</v>
      </c>
      <c r="C4993" s="39">
        <v>45971.0</v>
      </c>
      <c r="D4993" s="33" t="s">
        <v>440</v>
      </c>
      <c r="E4993" s="40">
        <v>121.24</v>
      </c>
      <c r="F4993" s="40">
        <v>0.0</v>
      </c>
      <c r="G4993" s="33" t="s">
        <v>431</v>
      </c>
    </row>
    <row r="4994" ht="15.75" customHeight="1">
      <c r="A4994" s="33" t="s">
        <v>8980</v>
      </c>
      <c r="B4994" s="33" t="s">
        <v>2023</v>
      </c>
      <c r="C4994" s="39">
        <v>45698.0</v>
      </c>
      <c r="D4994" s="33" t="s">
        <v>461</v>
      </c>
      <c r="E4994" s="40">
        <v>17.68</v>
      </c>
      <c r="F4994" s="40">
        <v>0.24</v>
      </c>
      <c r="G4994" s="33" t="s">
        <v>442</v>
      </c>
    </row>
    <row r="4995" ht="15.75" customHeight="1">
      <c r="A4995" s="33" t="s">
        <v>8981</v>
      </c>
      <c r="B4995" s="33" t="s">
        <v>955</v>
      </c>
      <c r="C4995" s="39">
        <v>46104.0</v>
      </c>
      <c r="D4995" s="33" t="s">
        <v>435</v>
      </c>
      <c r="E4995" s="40">
        <v>180.45</v>
      </c>
      <c r="F4995" s="40">
        <v>0.0</v>
      </c>
      <c r="G4995" s="33" t="s">
        <v>450</v>
      </c>
    </row>
    <row r="4996" ht="15.75" customHeight="1">
      <c r="A4996" s="33" t="s">
        <v>8982</v>
      </c>
      <c r="B4996" s="33" t="s">
        <v>1616</v>
      </c>
      <c r="C4996" s="39">
        <v>45750.0</v>
      </c>
      <c r="D4996" s="33" t="s">
        <v>440</v>
      </c>
      <c r="E4996" s="40">
        <v>21.74</v>
      </c>
      <c r="F4996" s="40">
        <v>0.0</v>
      </c>
      <c r="G4996" s="33" t="s">
        <v>450</v>
      </c>
    </row>
    <row r="4997" ht="15.75" customHeight="1">
      <c r="A4997" s="33" t="s">
        <v>8983</v>
      </c>
      <c r="B4997" s="33" t="s">
        <v>825</v>
      </c>
      <c r="C4997" s="39">
        <v>45692.0</v>
      </c>
      <c r="D4997" s="33" t="s">
        <v>428</v>
      </c>
      <c r="E4997" s="40">
        <v>112.22</v>
      </c>
      <c r="F4997" s="40">
        <v>0.0</v>
      </c>
      <c r="G4997" s="33" t="s">
        <v>450</v>
      </c>
    </row>
    <row r="4998" ht="15.75" customHeight="1">
      <c r="A4998" s="33" t="s">
        <v>8984</v>
      </c>
      <c r="B4998" s="33" t="s">
        <v>1422</v>
      </c>
      <c r="C4998" s="39">
        <v>46003.0</v>
      </c>
      <c r="D4998" s="33" t="s">
        <v>428</v>
      </c>
      <c r="E4998" s="40">
        <v>9.09</v>
      </c>
      <c r="F4998" s="40">
        <v>0.0</v>
      </c>
      <c r="G4998" s="33" t="s">
        <v>450</v>
      </c>
    </row>
    <row r="4999" ht="15.75" customHeight="1">
      <c r="A4999" s="33" t="s">
        <v>8985</v>
      </c>
      <c r="B4999" s="33" t="s">
        <v>258</v>
      </c>
      <c r="C4999" s="39">
        <v>45916.0</v>
      </c>
      <c r="D4999" s="33" t="s">
        <v>428</v>
      </c>
      <c r="E4999" s="40">
        <v>32.83</v>
      </c>
      <c r="F4999" s="40">
        <v>0.0</v>
      </c>
      <c r="G4999" s="33" t="s">
        <v>450</v>
      </c>
    </row>
    <row r="5000" ht="15.75" customHeight="1">
      <c r="A5000" s="33" t="s">
        <v>8986</v>
      </c>
      <c r="B5000" s="33" t="s">
        <v>213</v>
      </c>
      <c r="C5000" s="39">
        <v>45847.0</v>
      </c>
      <c r="D5000" s="33" t="s">
        <v>435</v>
      </c>
      <c r="E5000" s="40">
        <v>114.6</v>
      </c>
      <c r="F5000" s="40">
        <v>0.0</v>
      </c>
      <c r="G5000" s="33" t="s">
        <v>450</v>
      </c>
    </row>
    <row r="5001" ht="15.75" customHeight="1">
      <c r="A5001" s="33" t="s">
        <v>8987</v>
      </c>
      <c r="B5001" s="33" t="s">
        <v>350</v>
      </c>
      <c r="C5001" s="39">
        <v>46244.0</v>
      </c>
      <c r="D5001" s="33" t="s">
        <v>428</v>
      </c>
      <c r="E5001" s="40">
        <v>118.0</v>
      </c>
      <c r="F5001" s="40">
        <v>0.0</v>
      </c>
      <c r="G5001" s="33" t="s">
        <v>450</v>
      </c>
    </row>
    <row r="5002" ht="15.75" customHeight="1">
      <c r="A5002" s="33" t="s">
        <v>8988</v>
      </c>
      <c r="B5002" s="33" t="s">
        <v>2073</v>
      </c>
      <c r="C5002" s="39">
        <v>45713.0</v>
      </c>
      <c r="D5002" s="33" t="s">
        <v>440</v>
      </c>
      <c r="E5002" s="40">
        <v>65.84</v>
      </c>
      <c r="F5002" s="40">
        <v>0.0</v>
      </c>
      <c r="G5002" s="33" t="s">
        <v>450</v>
      </c>
    </row>
    <row r="5003" ht="15.75" customHeight="1">
      <c r="A5003" s="33" t="s">
        <v>8989</v>
      </c>
      <c r="B5003" s="33" t="s">
        <v>4175</v>
      </c>
      <c r="C5003" s="39">
        <v>45690.0</v>
      </c>
      <c r="D5003" s="33" t="s">
        <v>435</v>
      </c>
      <c r="E5003" s="40">
        <v>192.04</v>
      </c>
      <c r="F5003" s="40">
        <v>0.0</v>
      </c>
      <c r="G5003" s="33" t="s">
        <v>450</v>
      </c>
    </row>
    <row r="5004" ht="15.75" customHeight="1">
      <c r="A5004" s="33" t="s">
        <v>8990</v>
      </c>
      <c r="B5004" s="33" t="s">
        <v>1679</v>
      </c>
      <c r="C5004" s="39">
        <v>46014.0</v>
      </c>
      <c r="D5004" s="33" t="s">
        <v>435</v>
      </c>
      <c r="E5004" s="40">
        <v>112.75</v>
      </c>
      <c r="F5004" s="40">
        <v>0.0</v>
      </c>
      <c r="G5004" s="33" t="s">
        <v>442</v>
      </c>
    </row>
    <row r="5005" ht="15.75" customHeight="1">
      <c r="A5005" s="33" t="s">
        <v>8991</v>
      </c>
      <c r="B5005" s="33" t="s">
        <v>895</v>
      </c>
      <c r="C5005" s="39">
        <v>45911.0</v>
      </c>
      <c r="D5005" s="33" t="s">
        <v>461</v>
      </c>
      <c r="E5005" s="40">
        <v>148.05</v>
      </c>
      <c r="F5005" s="40">
        <v>2.24</v>
      </c>
      <c r="G5005" s="33" t="s">
        <v>431</v>
      </c>
    </row>
    <row r="5006" ht="15.75" customHeight="1">
      <c r="A5006" s="33" t="s">
        <v>8992</v>
      </c>
      <c r="B5006" s="33" t="s">
        <v>1051</v>
      </c>
      <c r="C5006" s="39">
        <v>46144.0</v>
      </c>
      <c r="D5006" s="33" t="s">
        <v>479</v>
      </c>
      <c r="E5006" s="40">
        <v>68.17</v>
      </c>
      <c r="F5006" s="40">
        <v>0.78</v>
      </c>
      <c r="G5006" s="33" t="s">
        <v>431</v>
      </c>
    </row>
    <row r="5007" ht="15.75" customHeight="1">
      <c r="A5007" s="33" t="s">
        <v>8993</v>
      </c>
      <c r="B5007" s="33" t="s">
        <v>1966</v>
      </c>
      <c r="C5007" s="39">
        <v>45682.0</v>
      </c>
      <c r="D5007" s="33" t="s">
        <v>479</v>
      </c>
      <c r="E5007" s="40">
        <v>28.58</v>
      </c>
      <c r="F5007" s="40">
        <v>0.35</v>
      </c>
      <c r="G5007" s="33" t="s">
        <v>450</v>
      </c>
    </row>
    <row r="5008" ht="15.75" customHeight="1">
      <c r="A5008" s="33" t="s">
        <v>8994</v>
      </c>
      <c r="B5008" s="33" t="s">
        <v>1828</v>
      </c>
      <c r="C5008" s="39">
        <v>45912.0</v>
      </c>
      <c r="D5008" s="33" t="s">
        <v>428</v>
      </c>
      <c r="E5008" s="40">
        <v>28.29</v>
      </c>
      <c r="F5008" s="40">
        <v>0.0</v>
      </c>
      <c r="G5008" s="33" t="s">
        <v>450</v>
      </c>
    </row>
    <row r="5009" ht="15.75" customHeight="1">
      <c r="A5009" s="33" t="s">
        <v>8995</v>
      </c>
      <c r="B5009" s="33" t="s">
        <v>1482</v>
      </c>
      <c r="C5009" s="39">
        <v>45747.0</v>
      </c>
      <c r="D5009" s="33" t="s">
        <v>435</v>
      </c>
      <c r="E5009" s="40">
        <v>56.89</v>
      </c>
      <c r="F5009" s="40">
        <v>0.0</v>
      </c>
      <c r="G5009" s="33" t="s">
        <v>450</v>
      </c>
    </row>
    <row r="5010" ht="15.75" customHeight="1">
      <c r="A5010" s="33" t="s">
        <v>8996</v>
      </c>
      <c r="B5010" s="33" t="s">
        <v>401</v>
      </c>
      <c r="C5010" s="39">
        <v>45682.0</v>
      </c>
      <c r="D5010" s="33" t="s">
        <v>435</v>
      </c>
      <c r="E5010" s="40">
        <v>34.2</v>
      </c>
      <c r="F5010" s="40">
        <v>0.0</v>
      </c>
      <c r="G5010" s="33" t="s">
        <v>450</v>
      </c>
    </row>
    <row r="5011" ht="15.75" customHeight="1">
      <c r="A5011" s="33" t="s">
        <v>8997</v>
      </c>
      <c r="B5011" s="33" t="s">
        <v>2934</v>
      </c>
      <c r="C5011" s="39">
        <v>45938.0</v>
      </c>
      <c r="D5011" s="33" t="s">
        <v>428</v>
      </c>
      <c r="E5011" s="40">
        <v>32.12</v>
      </c>
      <c r="F5011" s="40">
        <v>0.0</v>
      </c>
      <c r="G5011" s="33" t="s">
        <v>442</v>
      </c>
    </row>
    <row r="5012" ht="15.75" customHeight="1">
      <c r="A5012" s="33" t="s">
        <v>8998</v>
      </c>
      <c r="B5012" s="33" t="s">
        <v>1080</v>
      </c>
      <c r="C5012" s="39">
        <v>46104.0</v>
      </c>
      <c r="D5012" s="33" t="s">
        <v>461</v>
      </c>
      <c r="E5012" s="40">
        <v>14.52</v>
      </c>
      <c r="F5012" s="40">
        <v>0.21</v>
      </c>
      <c r="G5012" s="33" t="s">
        <v>450</v>
      </c>
    </row>
    <row r="5013" ht="15.75" customHeight="1">
      <c r="A5013" s="33" t="s">
        <v>8999</v>
      </c>
      <c r="B5013" s="33" t="s">
        <v>981</v>
      </c>
      <c r="C5013" s="39">
        <v>45753.0</v>
      </c>
      <c r="D5013" s="33" t="s">
        <v>461</v>
      </c>
      <c r="E5013" s="40">
        <v>59.94</v>
      </c>
      <c r="F5013" s="40">
        <v>0.51</v>
      </c>
      <c r="G5013" s="33" t="s">
        <v>450</v>
      </c>
    </row>
    <row r="5014" ht="15.75" customHeight="1">
      <c r="A5014" s="33" t="s">
        <v>9000</v>
      </c>
      <c r="B5014" s="33" t="s">
        <v>671</v>
      </c>
      <c r="C5014" s="39">
        <v>46169.0</v>
      </c>
      <c r="D5014" s="33" t="s">
        <v>479</v>
      </c>
      <c r="E5014" s="40">
        <v>14.14</v>
      </c>
      <c r="F5014" s="40">
        <v>0.11</v>
      </c>
      <c r="G5014" s="33" t="s">
        <v>431</v>
      </c>
    </row>
    <row r="5015" ht="15.75" customHeight="1">
      <c r="A5015" s="33" t="s">
        <v>9001</v>
      </c>
      <c r="B5015" s="33" t="s">
        <v>1001</v>
      </c>
      <c r="C5015" s="39">
        <v>45972.0</v>
      </c>
      <c r="D5015" s="33" t="s">
        <v>435</v>
      </c>
      <c r="E5015" s="40">
        <v>58.95</v>
      </c>
      <c r="F5015" s="40">
        <v>0.0</v>
      </c>
      <c r="G5015" s="33" t="s">
        <v>450</v>
      </c>
    </row>
    <row r="5016" ht="15.75" customHeight="1">
      <c r="A5016" s="33" t="s">
        <v>9002</v>
      </c>
      <c r="B5016" s="33" t="s">
        <v>850</v>
      </c>
      <c r="C5016" s="39">
        <v>45949.0</v>
      </c>
      <c r="D5016" s="33" t="s">
        <v>479</v>
      </c>
      <c r="E5016" s="40">
        <v>10.37</v>
      </c>
      <c r="F5016" s="40">
        <v>0.08</v>
      </c>
      <c r="G5016" s="33" t="s">
        <v>450</v>
      </c>
    </row>
    <row r="5017" ht="15.75" customHeight="1">
      <c r="A5017" s="33" t="s">
        <v>9003</v>
      </c>
      <c r="B5017" s="33" t="s">
        <v>726</v>
      </c>
      <c r="C5017" s="39">
        <v>46218.0</v>
      </c>
      <c r="D5017" s="33" t="s">
        <v>428</v>
      </c>
      <c r="E5017" s="40">
        <v>54.54</v>
      </c>
      <c r="F5017" s="40">
        <v>0.0</v>
      </c>
      <c r="G5017" s="33" t="s">
        <v>431</v>
      </c>
    </row>
    <row r="5018" ht="15.75" customHeight="1">
      <c r="A5018" s="33" t="s">
        <v>9004</v>
      </c>
      <c r="B5018" s="33" t="s">
        <v>489</v>
      </c>
      <c r="C5018" s="39">
        <v>45857.0</v>
      </c>
      <c r="D5018" s="33" t="s">
        <v>435</v>
      </c>
      <c r="E5018" s="40">
        <v>109.99</v>
      </c>
      <c r="F5018" s="40">
        <v>0.0</v>
      </c>
      <c r="G5018" s="33" t="s">
        <v>450</v>
      </c>
    </row>
    <row r="5019" ht="15.75" customHeight="1">
      <c r="A5019" s="33" t="s">
        <v>9005</v>
      </c>
      <c r="B5019" s="33" t="s">
        <v>3633</v>
      </c>
      <c r="C5019" s="39">
        <v>45779.0</v>
      </c>
      <c r="D5019" s="33" t="s">
        <v>435</v>
      </c>
      <c r="E5019" s="40">
        <v>33.1</v>
      </c>
      <c r="F5019" s="40">
        <v>0.0</v>
      </c>
      <c r="G5019" s="33" t="s">
        <v>450</v>
      </c>
    </row>
    <row r="5020" ht="15.75" customHeight="1">
      <c r="A5020" s="33" t="s">
        <v>9006</v>
      </c>
      <c r="B5020" s="33" t="s">
        <v>265</v>
      </c>
      <c r="C5020" s="39">
        <v>46135.0</v>
      </c>
      <c r="D5020" s="33" t="s">
        <v>440</v>
      </c>
      <c r="E5020" s="40">
        <v>92.25</v>
      </c>
      <c r="F5020" s="40">
        <v>0.0</v>
      </c>
      <c r="G5020" s="33" t="s">
        <v>450</v>
      </c>
    </row>
    <row r="5021" ht="15.75" customHeight="1">
      <c r="A5021" s="33" t="s">
        <v>9007</v>
      </c>
      <c r="B5021" s="33" t="s">
        <v>1217</v>
      </c>
      <c r="C5021" s="39">
        <v>45723.0</v>
      </c>
      <c r="D5021" s="33" t="s">
        <v>479</v>
      </c>
      <c r="E5021" s="40">
        <v>87.81</v>
      </c>
      <c r="F5021" s="40">
        <v>0.55</v>
      </c>
      <c r="G5021" s="33" t="s">
        <v>450</v>
      </c>
    </row>
    <row r="5022" ht="15.75" customHeight="1">
      <c r="A5022" s="33" t="s">
        <v>9008</v>
      </c>
      <c r="B5022" s="33" t="s">
        <v>2252</v>
      </c>
      <c r="C5022" s="39">
        <v>46187.0</v>
      </c>
      <c r="D5022" s="33" t="s">
        <v>461</v>
      </c>
      <c r="E5022" s="40">
        <v>41.93</v>
      </c>
      <c r="F5022" s="40">
        <v>0.63</v>
      </c>
      <c r="G5022" s="33" t="s">
        <v>450</v>
      </c>
    </row>
    <row r="5023" ht="15.75" customHeight="1">
      <c r="A5023" s="33" t="s">
        <v>9009</v>
      </c>
      <c r="B5023" s="33" t="s">
        <v>1318</v>
      </c>
      <c r="C5023" s="39">
        <v>46158.0</v>
      </c>
      <c r="D5023" s="33" t="s">
        <v>435</v>
      </c>
      <c r="E5023" s="40">
        <v>13.37</v>
      </c>
      <c r="F5023" s="40">
        <v>0.0</v>
      </c>
      <c r="G5023" s="33" t="s">
        <v>431</v>
      </c>
    </row>
    <row r="5024" ht="15.75" customHeight="1">
      <c r="A5024" s="33" t="s">
        <v>9010</v>
      </c>
      <c r="B5024" s="33" t="s">
        <v>3572</v>
      </c>
      <c r="C5024" s="39">
        <v>46251.0</v>
      </c>
      <c r="D5024" s="33" t="s">
        <v>428</v>
      </c>
      <c r="E5024" s="40">
        <v>135.33</v>
      </c>
      <c r="F5024" s="40">
        <v>0.0</v>
      </c>
      <c r="G5024" s="33" t="s">
        <v>442</v>
      </c>
    </row>
    <row r="5025" ht="15.75" customHeight="1">
      <c r="A5025" s="33" t="s">
        <v>9011</v>
      </c>
      <c r="B5025" s="33" t="s">
        <v>290</v>
      </c>
      <c r="C5025" s="39">
        <v>45937.0</v>
      </c>
      <c r="D5025" s="33" t="s">
        <v>435</v>
      </c>
      <c r="E5025" s="40">
        <v>41.64</v>
      </c>
      <c r="F5025" s="40">
        <v>0.0</v>
      </c>
      <c r="G5025" s="33" t="s">
        <v>450</v>
      </c>
    </row>
    <row r="5026" ht="15.75" customHeight="1">
      <c r="A5026" s="33" t="s">
        <v>9012</v>
      </c>
      <c r="B5026" s="33" t="s">
        <v>1615</v>
      </c>
      <c r="C5026" s="39">
        <v>46035.0</v>
      </c>
      <c r="D5026" s="33" t="s">
        <v>440</v>
      </c>
      <c r="E5026" s="40">
        <v>209.29</v>
      </c>
      <c r="F5026" s="40">
        <v>0.0</v>
      </c>
      <c r="G5026" s="33" t="s">
        <v>431</v>
      </c>
    </row>
    <row r="5027" ht="15.75" customHeight="1">
      <c r="A5027" s="33" t="s">
        <v>9013</v>
      </c>
      <c r="B5027" s="33" t="s">
        <v>1262</v>
      </c>
      <c r="C5027" s="39">
        <v>46193.0</v>
      </c>
      <c r="D5027" s="33" t="s">
        <v>428</v>
      </c>
      <c r="E5027" s="40">
        <v>130.62</v>
      </c>
      <c r="F5027" s="40">
        <v>0.0</v>
      </c>
      <c r="G5027" s="33" t="s">
        <v>442</v>
      </c>
    </row>
    <row r="5028" ht="15.75" customHeight="1">
      <c r="A5028" s="33" t="s">
        <v>9014</v>
      </c>
      <c r="B5028" s="33" t="s">
        <v>2212</v>
      </c>
      <c r="C5028" s="39">
        <v>45737.0</v>
      </c>
      <c r="D5028" s="33" t="s">
        <v>440</v>
      </c>
      <c r="E5028" s="40">
        <v>115.31</v>
      </c>
      <c r="F5028" s="40">
        <v>0.0</v>
      </c>
      <c r="G5028" s="33" t="s">
        <v>431</v>
      </c>
    </row>
    <row r="5029" ht="15.75" customHeight="1">
      <c r="A5029" s="33" t="s">
        <v>9015</v>
      </c>
      <c r="B5029" s="33" t="s">
        <v>1991</v>
      </c>
      <c r="C5029" s="39">
        <v>45843.0</v>
      </c>
      <c r="D5029" s="33" t="s">
        <v>479</v>
      </c>
      <c r="E5029" s="40">
        <v>21.33</v>
      </c>
      <c r="F5029" s="40">
        <v>0.36</v>
      </c>
      <c r="G5029" s="33" t="s">
        <v>450</v>
      </c>
    </row>
    <row r="5030" ht="15.75" customHeight="1">
      <c r="A5030" s="33" t="s">
        <v>9016</v>
      </c>
      <c r="B5030" s="33" t="s">
        <v>740</v>
      </c>
      <c r="C5030" s="39">
        <v>45944.0</v>
      </c>
      <c r="D5030" s="33" t="s">
        <v>479</v>
      </c>
      <c r="E5030" s="40">
        <v>115.85</v>
      </c>
      <c r="F5030" s="40">
        <v>1.23</v>
      </c>
      <c r="G5030" s="33" t="s">
        <v>431</v>
      </c>
    </row>
    <row r="5031" ht="15.75" customHeight="1">
      <c r="A5031" s="33" t="s">
        <v>9017</v>
      </c>
      <c r="B5031" s="33" t="s">
        <v>510</v>
      </c>
      <c r="C5031" s="39">
        <v>46038.0</v>
      </c>
      <c r="D5031" s="33" t="s">
        <v>440</v>
      </c>
      <c r="E5031" s="40">
        <v>159.92</v>
      </c>
      <c r="F5031" s="40">
        <v>0.0</v>
      </c>
      <c r="G5031" s="33" t="s">
        <v>450</v>
      </c>
    </row>
    <row r="5032" ht="15.75" customHeight="1">
      <c r="A5032" s="33" t="s">
        <v>9018</v>
      </c>
      <c r="B5032" s="33" t="s">
        <v>3633</v>
      </c>
      <c r="C5032" s="39">
        <v>46070.0</v>
      </c>
      <c r="D5032" s="33" t="s">
        <v>479</v>
      </c>
      <c r="E5032" s="40">
        <v>78.33</v>
      </c>
      <c r="F5032" s="40">
        <v>0.58</v>
      </c>
      <c r="G5032" s="33" t="s">
        <v>450</v>
      </c>
    </row>
    <row r="5033" ht="15.75" customHeight="1">
      <c r="A5033" s="33" t="s">
        <v>9019</v>
      </c>
      <c r="B5033" s="33" t="s">
        <v>1311</v>
      </c>
      <c r="C5033" s="39">
        <v>46218.0</v>
      </c>
      <c r="D5033" s="33" t="s">
        <v>461</v>
      </c>
      <c r="E5033" s="40">
        <v>93.32</v>
      </c>
      <c r="F5033" s="40">
        <v>0.49</v>
      </c>
      <c r="G5033" s="33" t="s">
        <v>450</v>
      </c>
    </row>
    <row r="5034" ht="15.75" customHeight="1">
      <c r="A5034" s="33" t="s">
        <v>9020</v>
      </c>
      <c r="B5034" s="33" t="s">
        <v>2741</v>
      </c>
      <c r="C5034" s="39">
        <v>45955.0</v>
      </c>
      <c r="D5034" s="33" t="s">
        <v>435</v>
      </c>
      <c r="E5034" s="40">
        <v>110.49</v>
      </c>
      <c r="F5034" s="40">
        <v>0.0</v>
      </c>
      <c r="G5034" s="33" t="s">
        <v>431</v>
      </c>
    </row>
    <row r="5035" ht="15.75" customHeight="1">
      <c r="A5035" s="33" t="s">
        <v>9021</v>
      </c>
      <c r="B5035" s="33" t="s">
        <v>634</v>
      </c>
      <c r="C5035" s="39">
        <v>45762.0</v>
      </c>
      <c r="D5035" s="33" t="s">
        <v>428</v>
      </c>
      <c r="E5035" s="40">
        <v>172.51</v>
      </c>
      <c r="F5035" s="40">
        <v>0.0</v>
      </c>
      <c r="G5035" s="33" t="s">
        <v>431</v>
      </c>
    </row>
    <row r="5036" ht="15.75" customHeight="1">
      <c r="A5036" s="33" t="s">
        <v>9022</v>
      </c>
      <c r="B5036" s="33" t="s">
        <v>326</v>
      </c>
      <c r="C5036" s="39">
        <v>45773.0</v>
      </c>
      <c r="D5036" s="33" t="s">
        <v>435</v>
      </c>
      <c r="E5036" s="40">
        <v>99.68</v>
      </c>
      <c r="F5036" s="40">
        <v>0.0</v>
      </c>
      <c r="G5036" s="33" t="s">
        <v>442</v>
      </c>
    </row>
    <row r="5037" ht="15.75" customHeight="1">
      <c r="A5037" s="33" t="s">
        <v>9023</v>
      </c>
      <c r="B5037" s="33" t="s">
        <v>3598</v>
      </c>
      <c r="C5037" s="39">
        <v>46144.0</v>
      </c>
      <c r="D5037" s="33" t="s">
        <v>428</v>
      </c>
      <c r="E5037" s="40">
        <v>107.96</v>
      </c>
      <c r="F5037" s="40">
        <v>0.0</v>
      </c>
      <c r="G5037" s="33" t="s">
        <v>450</v>
      </c>
    </row>
    <row r="5038" ht="15.75" customHeight="1">
      <c r="A5038" s="33" t="s">
        <v>9024</v>
      </c>
      <c r="B5038" s="33" t="s">
        <v>662</v>
      </c>
      <c r="C5038" s="39">
        <v>45937.0</v>
      </c>
      <c r="D5038" s="33" t="s">
        <v>428</v>
      </c>
      <c r="E5038" s="40">
        <v>89.91</v>
      </c>
      <c r="F5038" s="40">
        <v>0.0</v>
      </c>
      <c r="G5038" s="33" t="s">
        <v>431</v>
      </c>
    </row>
    <row r="5039" ht="15.75" customHeight="1">
      <c r="A5039" s="33" t="s">
        <v>9025</v>
      </c>
      <c r="B5039" s="33" t="s">
        <v>1705</v>
      </c>
      <c r="C5039" s="39">
        <v>46041.0</v>
      </c>
      <c r="D5039" s="33" t="s">
        <v>428</v>
      </c>
      <c r="E5039" s="40">
        <v>213.49</v>
      </c>
      <c r="F5039" s="40">
        <v>0.0</v>
      </c>
      <c r="G5039" s="33" t="s">
        <v>450</v>
      </c>
    </row>
    <row r="5040" ht="15.75" customHeight="1">
      <c r="A5040" s="33" t="s">
        <v>9026</v>
      </c>
      <c r="B5040" s="33" t="s">
        <v>447</v>
      </c>
      <c r="C5040" s="39">
        <v>45999.0</v>
      </c>
      <c r="D5040" s="33" t="s">
        <v>461</v>
      </c>
      <c r="E5040" s="40">
        <v>79.95</v>
      </c>
      <c r="F5040" s="40">
        <v>0.95</v>
      </c>
      <c r="G5040" s="33" t="s">
        <v>442</v>
      </c>
    </row>
    <row r="5041" ht="15.75" customHeight="1">
      <c r="A5041" s="33" t="s">
        <v>9027</v>
      </c>
      <c r="B5041" s="33" t="s">
        <v>733</v>
      </c>
      <c r="C5041" s="39">
        <v>46151.0</v>
      </c>
      <c r="D5041" s="33" t="s">
        <v>428</v>
      </c>
      <c r="E5041" s="40">
        <v>107.42</v>
      </c>
      <c r="F5041" s="40">
        <v>0.0</v>
      </c>
      <c r="G5041" s="33" t="s">
        <v>450</v>
      </c>
    </row>
    <row r="5042" ht="15.75" customHeight="1">
      <c r="A5042" s="33" t="s">
        <v>9028</v>
      </c>
      <c r="B5042" s="33" t="s">
        <v>571</v>
      </c>
      <c r="C5042" s="39">
        <v>45790.0</v>
      </c>
      <c r="D5042" s="33" t="s">
        <v>428</v>
      </c>
      <c r="E5042" s="40">
        <v>179.68</v>
      </c>
      <c r="F5042" s="40">
        <v>0.0</v>
      </c>
      <c r="G5042" s="33" t="s">
        <v>450</v>
      </c>
    </row>
    <row r="5043" ht="15.75" customHeight="1">
      <c r="A5043" s="33" t="s">
        <v>9029</v>
      </c>
      <c r="B5043" s="33" t="s">
        <v>1297</v>
      </c>
      <c r="C5043" s="39">
        <v>45761.0</v>
      </c>
      <c r="D5043" s="33" t="s">
        <v>461</v>
      </c>
      <c r="E5043" s="40">
        <v>51.67</v>
      </c>
      <c r="F5043" s="40">
        <v>0.73</v>
      </c>
      <c r="G5043" s="33" t="s">
        <v>450</v>
      </c>
    </row>
    <row r="5044" ht="15.75" customHeight="1">
      <c r="A5044" s="33" t="s">
        <v>9030</v>
      </c>
      <c r="B5044" s="33" t="s">
        <v>1010</v>
      </c>
      <c r="C5044" s="39">
        <v>46103.0</v>
      </c>
      <c r="D5044" s="33" t="s">
        <v>428</v>
      </c>
      <c r="E5044" s="40">
        <v>240.04</v>
      </c>
      <c r="F5044" s="40">
        <v>0.0</v>
      </c>
      <c r="G5044" s="33" t="s">
        <v>431</v>
      </c>
    </row>
    <row r="5045" ht="15.75" customHeight="1">
      <c r="A5045" s="33" t="s">
        <v>9031</v>
      </c>
      <c r="B5045" s="33" t="s">
        <v>2826</v>
      </c>
      <c r="C5045" s="39">
        <v>45921.0</v>
      </c>
      <c r="D5045" s="33" t="s">
        <v>440</v>
      </c>
      <c r="E5045" s="40">
        <v>47.45</v>
      </c>
      <c r="F5045" s="40">
        <v>0.0</v>
      </c>
      <c r="G5045" s="33" t="s">
        <v>450</v>
      </c>
    </row>
    <row r="5046" ht="15.75" customHeight="1">
      <c r="A5046" s="33" t="s">
        <v>9032</v>
      </c>
      <c r="B5046" s="33" t="s">
        <v>1605</v>
      </c>
      <c r="C5046" s="39">
        <v>46153.0</v>
      </c>
      <c r="D5046" s="33" t="s">
        <v>428</v>
      </c>
      <c r="E5046" s="40">
        <v>33.54</v>
      </c>
      <c r="F5046" s="40">
        <v>0.0</v>
      </c>
      <c r="G5046" s="33" t="s">
        <v>431</v>
      </c>
    </row>
    <row r="5047" ht="15.75" customHeight="1">
      <c r="A5047" s="33" t="s">
        <v>9033</v>
      </c>
      <c r="B5047" s="33" t="s">
        <v>700</v>
      </c>
      <c r="C5047" s="39">
        <v>45736.0</v>
      </c>
      <c r="D5047" s="33" t="s">
        <v>428</v>
      </c>
      <c r="E5047" s="40">
        <v>109.74</v>
      </c>
      <c r="F5047" s="40">
        <v>0.0</v>
      </c>
      <c r="G5047" s="33" t="s">
        <v>431</v>
      </c>
    </row>
    <row r="5048" ht="15.75" customHeight="1">
      <c r="A5048" s="33" t="s">
        <v>9034</v>
      </c>
      <c r="B5048" s="33" t="s">
        <v>2086</v>
      </c>
      <c r="C5048" s="39">
        <v>45823.0</v>
      </c>
      <c r="D5048" s="33" t="s">
        <v>461</v>
      </c>
      <c r="E5048" s="40">
        <v>45.44</v>
      </c>
      <c r="F5048" s="40">
        <v>0.32</v>
      </c>
      <c r="G5048" s="33" t="s">
        <v>450</v>
      </c>
    </row>
    <row r="5049" ht="15.75" customHeight="1">
      <c r="A5049" s="33" t="s">
        <v>9035</v>
      </c>
      <c r="B5049" s="33" t="s">
        <v>2394</v>
      </c>
      <c r="C5049" s="39">
        <v>46240.0</v>
      </c>
      <c r="D5049" s="33" t="s">
        <v>435</v>
      </c>
      <c r="E5049" s="40">
        <v>206.95</v>
      </c>
      <c r="F5049" s="40">
        <v>0.0</v>
      </c>
      <c r="G5049" s="33" t="s">
        <v>442</v>
      </c>
    </row>
    <row r="5050" ht="15.75" customHeight="1">
      <c r="A5050" s="33" t="s">
        <v>9036</v>
      </c>
      <c r="B5050" s="33" t="s">
        <v>1799</v>
      </c>
      <c r="C5050" s="39">
        <v>46170.0</v>
      </c>
      <c r="D5050" s="33" t="s">
        <v>440</v>
      </c>
      <c r="E5050" s="40">
        <v>291.24</v>
      </c>
      <c r="F5050" s="40">
        <v>0.0</v>
      </c>
      <c r="G5050" s="33" t="s">
        <v>450</v>
      </c>
    </row>
    <row r="5051" ht="15.75" customHeight="1">
      <c r="A5051" s="33" t="s">
        <v>9037</v>
      </c>
      <c r="B5051" s="33" t="s">
        <v>1141</v>
      </c>
      <c r="C5051" s="39">
        <v>45696.0</v>
      </c>
      <c r="D5051" s="33" t="s">
        <v>435</v>
      </c>
      <c r="E5051" s="40">
        <v>34.67</v>
      </c>
      <c r="F5051" s="40">
        <v>0.0</v>
      </c>
      <c r="G5051" s="33" t="s">
        <v>450</v>
      </c>
    </row>
    <row r="5052" ht="15.75" customHeight="1">
      <c r="A5052" s="33" t="s">
        <v>9038</v>
      </c>
      <c r="B5052" s="33" t="s">
        <v>3014</v>
      </c>
      <c r="C5052" s="39">
        <v>46153.0</v>
      </c>
      <c r="D5052" s="33" t="s">
        <v>479</v>
      </c>
      <c r="E5052" s="40">
        <v>31.77</v>
      </c>
      <c r="F5052" s="40">
        <v>0.49</v>
      </c>
      <c r="G5052" s="33" t="s">
        <v>450</v>
      </c>
    </row>
    <row r="5053" ht="15.75" customHeight="1">
      <c r="A5053" s="33" t="s">
        <v>9039</v>
      </c>
      <c r="B5053" s="33" t="s">
        <v>630</v>
      </c>
      <c r="C5053" s="39">
        <v>45697.0</v>
      </c>
      <c r="D5053" s="33" t="s">
        <v>479</v>
      </c>
      <c r="E5053" s="40">
        <v>30.43</v>
      </c>
      <c r="F5053" s="40">
        <v>0.59</v>
      </c>
      <c r="G5053" s="33" t="s">
        <v>450</v>
      </c>
    </row>
    <row r="5054" ht="15.75" customHeight="1">
      <c r="A5054" s="33" t="s">
        <v>9040</v>
      </c>
      <c r="B5054" s="33" t="s">
        <v>1416</v>
      </c>
      <c r="C5054" s="39">
        <v>45731.0</v>
      </c>
      <c r="D5054" s="33" t="s">
        <v>428</v>
      </c>
      <c r="E5054" s="40">
        <v>8.7</v>
      </c>
      <c r="F5054" s="40">
        <v>0.0</v>
      </c>
      <c r="G5054" s="33" t="s">
        <v>431</v>
      </c>
    </row>
    <row r="5055" ht="15.75" customHeight="1">
      <c r="A5055" s="33" t="s">
        <v>9041</v>
      </c>
      <c r="B5055" s="33" t="s">
        <v>2268</v>
      </c>
      <c r="C5055" s="39">
        <v>46203.0</v>
      </c>
      <c r="D5055" s="33" t="s">
        <v>440</v>
      </c>
      <c r="E5055" s="40">
        <v>44.34</v>
      </c>
      <c r="F5055" s="40">
        <v>0.0</v>
      </c>
      <c r="G5055" s="33" t="s">
        <v>450</v>
      </c>
    </row>
    <row r="5056" ht="15.75" customHeight="1">
      <c r="A5056" s="33" t="s">
        <v>9042</v>
      </c>
      <c r="B5056" s="33" t="s">
        <v>1452</v>
      </c>
      <c r="C5056" s="39">
        <v>45734.0</v>
      </c>
      <c r="D5056" s="33" t="s">
        <v>435</v>
      </c>
      <c r="E5056" s="40">
        <v>155.2</v>
      </c>
      <c r="F5056" s="40">
        <v>0.0</v>
      </c>
      <c r="G5056" s="33" t="s">
        <v>450</v>
      </c>
    </row>
    <row r="5057" ht="15.75" customHeight="1">
      <c r="A5057" s="33" t="s">
        <v>9043</v>
      </c>
      <c r="B5057" s="33" t="s">
        <v>902</v>
      </c>
      <c r="C5057" s="39">
        <v>45840.0</v>
      </c>
      <c r="D5057" s="33" t="s">
        <v>461</v>
      </c>
      <c r="E5057" s="40">
        <v>113.76</v>
      </c>
      <c r="F5057" s="40">
        <v>1.88</v>
      </c>
      <c r="G5057" s="33" t="s">
        <v>450</v>
      </c>
    </row>
    <row r="5058" ht="15.75" customHeight="1">
      <c r="A5058" s="33" t="s">
        <v>9044</v>
      </c>
      <c r="B5058" s="33" t="s">
        <v>2048</v>
      </c>
      <c r="C5058" s="39">
        <v>45740.0</v>
      </c>
      <c r="D5058" s="33" t="s">
        <v>435</v>
      </c>
      <c r="E5058" s="40">
        <v>63.62</v>
      </c>
      <c r="F5058" s="40">
        <v>0.0</v>
      </c>
      <c r="G5058" s="33" t="s">
        <v>450</v>
      </c>
    </row>
    <row r="5059" ht="15.75" customHeight="1">
      <c r="A5059" s="33" t="s">
        <v>9045</v>
      </c>
      <c r="B5059" s="33" t="s">
        <v>1679</v>
      </c>
      <c r="C5059" s="39">
        <v>46020.0</v>
      </c>
      <c r="D5059" s="33" t="s">
        <v>428</v>
      </c>
      <c r="E5059" s="40">
        <v>104.45</v>
      </c>
      <c r="F5059" s="40">
        <v>0.0</v>
      </c>
      <c r="G5059" s="33" t="s">
        <v>450</v>
      </c>
    </row>
    <row r="5060" ht="15.75" customHeight="1">
      <c r="A5060" s="33" t="s">
        <v>9046</v>
      </c>
      <c r="B5060" s="33" t="s">
        <v>749</v>
      </c>
      <c r="C5060" s="39">
        <v>45692.0</v>
      </c>
      <c r="D5060" s="33" t="s">
        <v>435</v>
      </c>
      <c r="E5060" s="40">
        <v>23.0</v>
      </c>
      <c r="F5060" s="40">
        <v>0.0</v>
      </c>
      <c r="G5060" s="33" t="s">
        <v>442</v>
      </c>
    </row>
    <row r="5061" ht="15.75" customHeight="1">
      <c r="A5061" s="33" t="s">
        <v>9047</v>
      </c>
      <c r="B5061" s="33" t="s">
        <v>1297</v>
      </c>
      <c r="C5061" s="39">
        <v>45832.0</v>
      </c>
      <c r="D5061" s="33" t="s">
        <v>479</v>
      </c>
      <c r="E5061" s="40">
        <v>79.68</v>
      </c>
      <c r="F5061" s="40">
        <v>1.15</v>
      </c>
      <c r="G5061" s="33" t="s">
        <v>431</v>
      </c>
    </row>
    <row r="5062" ht="15.75" customHeight="1">
      <c r="A5062" s="33" t="s">
        <v>9048</v>
      </c>
      <c r="B5062" s="33" t="s">
        <v>2161</v>
      </c>
      <c r="C5062" s="39">
        <v>45856.0</v>
      </c>
      <c r="D5062" s="33" t="s">
        <v>428</v>
      </c>
      <c r="E5062" s="40">
        <v>91.04</v>
      </c>
      <c r="F5062" s="40">
        <v>0.0</v>
      </c>
      <c r="G5062" s="33" t="s">
        <v>442</v>
      </c>
    </row>
    <row r="5063" ht="15.75" customHeight="1">
      <c r="A5063" s="33" t="s">
        <v>9049</v>
      </c>
      <c r="B5063" s="33" t="s">
        <v>1331</v>
      </c>
      <c r="C5063" s="39">
        <v>46051.0</v>
      </c>
      <c r="D5063" s="33" t="s">
        <v>479</v>
      </c>
      <c r="E5063" s="40">
        <v>86.91</v>
      </c>
      <c r="F5063" s="40">
        <v>0.72</v>
      </c>
      <c r="G5063" s="33" t="s">
        <v>450</v>
      </c>
    </row>
    <row r="5064" ht="15.75" customHeight="1">
      <c r="A5064" s="33" t="s">
        <v>9050</v>
      </c>
      <c r="B5064" s="33" t="s">
        <v>594</v>
      </c>
      <c r="C5064" s="39">
        <v>45959.0</v>
      </c>
      <c r="D5064" s="33" t="s">
        <v>428</v>
      </c>
      <c r="E5064" s="40">
        <v>43.13</v>
      </c>
      <c r="F5064" s="40">
        <v>0.0</v>
      </c>
      <c r="G5064" s="33" t="s">
        <v>431</v>
      </c>
    </row>
    <row r="5065" ht="15.75" customHeight="1">
      <c r="A5065" s="33" t="s">
        <v>9051</v>
      </c>
      <c r="B5065" s="33" t="s">
        <v>872</v>
      </c>
      <c r="C5065" s="39">
        <v>45774.0</v>
      </c>
      <c r="D5065" s="33" t="s">
        <v>479</v>
      </c>
      <c r="E5065" s="40">
        <v>41.72</v>
      </c>
      <c r="F5065" s="40">
        <v>0.59</v>
      </c>
      <c r="G5065" s="33" t="s">
        <v>450</v>
      </c>
    </row>
    <row r="5066" ht="15.75" customHeight="1">
      <c r="A5066" s="33" t="s">
        <v>9052</v>
      </c>
      <c r="B5066" s="33" t="s">
        <v>887</v>
      </c>
      <c r="C5066" s="39">
        <v>45939.0</v>
      </c>
      <c r="D5066" s="33" t="s">
        <v>461</v>
      </c>
      <c r="E5066" s="40">
        <v>121.42</v>
      </c>
      <c r="F5066" s="40">
        <v>1.67</v>
      </c>
      <c r="G5066" s="33" t="s">
        <v>450</v>
      </c>
    </row>
    <row r="5067" ht="15.75" customHeight="1">
      <c r="A5067" s="33" t="s">
        <v>9053</v>
      </c>
      <c r="B5067" s="33" t="s">
        <v>697</v>
      </c>
      <c r="C5067" s="39">
        <v>45936.0</v>
      </c>
      <c r="D5067" s="33" t="s">
        <v>461</v>
      </c>
      <c r="E5067" s="40">
        <v>116.02</v>
      </c>
      <c r="F5067" s="40">
        <v>2.12</v>
      </c>
      <c r="G5067" s="33" t="s">
        <v>442</v>
      </c>
    </row>
    <row r="5068" ht="15.75" customHeight="1">
      <c r="A5068" s="33" t="s">
        <v>9054</v>
      </c>
      <c r="B5068" s="33" t="s">
        <v>1742</v>
      </c>
      <c r="C5068" s="39">
        <v>45872.0</v>
      </c>
      <c r="D5068" s="33" t="s">
        <v>479</v>
      </c>
      <c r="E5068" s="40">
        <v>9.33</v>
      </c>
      <c r="F5068" s="40">
        <v>0.12</v>
      </c>
      <c r="G5068" s="33" t="s">
        <v>431</v>
      </c>
    </row>
    <row r="5069" ht="15.75" customHeight="1">
      <c r="A5069" s="33" t="s">
        <v>9055</v>
      </c>
      <c r="B5069" s="33" t="s">
        <v>1303</v>
      </c>
      <c r="C5069" s="39">
        <v>45981.0</v>
      </c>
      <c r="D5069" s="33" t="s">
        <v>435</v>
      </c>
      <c r="E5069" s="40">
        <v>9.11</v>
      </c>
      <c r="F5069" s="40">
        <v>0.0</v>
      </c>
      <c r="G5069" s="33" t="s">
        <v>450</v>
      </c>
    </row>
    <row r="5070" ht="15.75" customHeight="1">
      <c r="A5070" s="33" t="s">
        <v>9056</v>
      </c>
      <c r="B5070" s="33" t="s">
        <v>407</v>
      </c>
      <c r="C5070" s="39">
        <v>45855.0</v>
      </c>
      <c r="D5070" s="33" t="s">
        <v>428</v>
      </c>
      <c r="E5070" s="40">
        <v>276.52</v>
      </c>
      <c r="F5070" s="40">
        <v>0.0</v>
      </c>
      <c r="G5070" s="33" t="s">
        <v>450</v>
      </c>
    </row>
    <row r="5071" ht="15.75" customHeight="1">
      <c r="A5071" s="33" t="s">
        <v>9057</v>
      </c>
      <c r="B5071" s="33" t="s">
        <v>1318</v>
      </c>
      <c r="C5071" s="39">
        <v>45860.0</v>
      </c>
      <c r="D5071" s="33" t="s">
        <v>435</v>
      </c>
      <c r="E5071" s="40">
        <v>93.22</v>
      </c>
      <c r="F5071" s="40">
        <v>0.0</v>
      </c>
      <c r="G5071" s="33" t="s">
        <v>442</v>
      </c>
    </row>
    <row r="5072" ht="15.75" customHeight="1">
      <c r="A5072" s="33" t="s">
        <v>9058</v>
      </c>
      <c r="B5072" s="33" t="s">
        <v>1402</v>
      </c>
      <c r="C5072" s="39">
        <v>46133.0</v>
      </c>
      <c r="D5072" s="33" t="s">
        <v>440</v>
      </c>
      <c r="E5072" s="40">
        <v>87.11</v>
      </c>
      <c r="F5072" s="40">
        <v>0.0</v>
      </c>
      <c r="G5072" s="33" t="s">
        <v>450</v>
      </c>
    </row>
    <row r="5073" ht="15.75" customHeight="1">
      <c r="A5073" s="33" t="s">
        <v>9059</v>
      </c>
      <c r="B5073" s="33" t="s">
        <v>1382</v>
      </c>
      <c r="C5073" s="39">
        <v>45810.0</v>
      </c>
      <c r="D5073" s="33" t="s">
        <v>461</v>
      </c>
      <c r="E5073" s="40">
        <v>35.91</v>
      </c>
      <c r="F5073" s="40">
        <v>0.33</v>
      </c>
      <c r="G5073" s="33" t="s">
        <v>442</v>
      </c>
    </row>
    <row r="5074" ht="15.75" customHeight="1">
      <c r="A5074" s="33" t="s">
        <v>9060</v>
      </c>
      <c r="B5074" s="33" t="s">
        <v>901</v>
      </c>
      <c r="C5074" s="39">
        <v>45857.0</v>
      </c>
      <c r="D5074" s="33" t="s">
        <v>461</v>
      </c>
      <c r="E5074" s="40">
        <v>57.54</v>
      </c>
      <c r="F5074" s="40">
        <v>0.78</v>
      </c>
      <c r="G5074" s="33" t="s">
        <v>450</v>
      </c>
    </row>
    <row r="5075" ht="15.75" customHeight="1">
      <c r="A5075" s="33" t="s">
        <v>9061</v>
      </c>
      <c r="B5075" s="33" t="s">
        <v>2752</v>
      </c>
      <c r="C5075" s="39">
        <v>45743.0</v>
      </c>
      <c r="D5075" s="33" t="s">
        <v>479</v>
      </c>
      <c r="E5075" s="40">
        <v>46.23</v>
      </c>
      <c r="F5075" s="40">
        <v>0.28</v>
      </c>
      <c r="G5075" s="33" t="s">
        <v>450</v>
      </c>
    </row>
    <row r="5076" ht="15.75" customHeight="1">
      <c r="A5076" s="33" t="s">
        <v>9062</v>
      </c>
      <c r="B5076" s="33" t="s">
        <v>447</v>
      </c>
      <c r="C5076" s="39">
        <v>46081.0</v>
      </c>
      <c r="D5076" s="33" t="s">
        <v>479</v>
      </c>
      <c r="E5076" s="40">
        <v>156.01</v>
      </c>
      <c r="F5076" s="40">
        <v>0.89</v>
      </c>
      <c r="G5076" s="33" t="s">
        <v>450</v>
      </c>
    </row>
    <row r="5077" ht="15.75" customHeight="1">
      <c r="A5077" s="33" t="s">
        <v>9063</v>
      </c>
      <c r="B5077" s="33" t="s">
        <v>1476</v>
      </c>
      <c r="C5077" s="39">
        <v>46086.0</v>
      </c>
      <c r="D5077" s="33" t="s">
        <v>479</v>
      </c>
      <c r="E5077" s="40">
        <v>151.05</v>
      </c>
      <c r="F5077" s="40">
        <v>0.87</v>
      </c>
      <c r="G5077" s="33" t="s">
        <v>431</v>
      </c>
    </row>
    <row r="5078" ht="15.75" customHeight="1">
      <c r="A5078" s="33" t="s">
        <v>9064</v>
      </c>
      <c r="B5078" s="33" t="s">
        <v>3092</v>
      </c>
      <c r="C5078" s="39">
        <v>46069.0</v>
      </c>
      <c r="D5078" s="33" t="s">
        <v>428</v>
      </c>
      <c r="E5078" s="40">
        <v>94.37</v>
      </c>
      <c r="F5078" s="40">
        <v>0.0</v>
      </c>
      <c r="G5078" s="33" t="s">
        <v>431</v>
      </c>
    </row>
    <row r="5079" ht="15.75" customHeight="1">
      <c r="A5079" s="33" t="s">
        <v>9065</v>
      </c>
      <c r="B5079" s="33" t="s">
        <v>2212</v>
      </c>
      <c r="C5079" s="39">
        <v>45760.0</v>
      </c>
      <c r="D5079" s="33" t="s">
        <v>440</v>
      </c>
      <c r="E5079" s="40">
        <v>83.88</v>
      </c>
      <c r="F5079" s="40">
        <v>0.0</v>
      </c>
      <c r="G5079" s="33" t="s">
        <v>450</v>
      </c>
    </row>
    <row r="5080" ht="15.75" customHeight="1">
      <c r="A5080" s="33" t="s">
        <v>9066</v>
      </c>
      <c r="B5080" s="33" t="s">
        <v>3179</v>
      </c>
      <c r="C5080" s="39">
        <v>45932.0</v>
      </c>
      <c r="D5080" s="33" t="s">
        <v>428</v>
      </c>
      <c r="E5080" s="40">
        <v>106.71</v>
      </c>
      <c r="F5080" s="40">
        <v>0.0</v>
      </c>
      <c r="G5080" s="33" t="s">
        <v>442</v>
      </c>
    </row>
    <row r="5081" ht="15.75" customHeight="1">
      <c r="A5081" s="33" t="s">
        <v>9067</v>
      </c>
      <c r="B5081" s="33" t="s">
        <v>872</v>
      </c>
      <c r="C5081" s="39">
        <v>45835.0</v>
      </c>
      <c r="D5081" s="33" t="s">
        <v>435</v>
      </c>
      <c r="E5081" s="40">
        <v>82.98</v>
      </c>
      <c r="F5081" s="40">
        <v>0.0</v>
      </c>
      <c r="G5081" s="33" t="s">
        <v>450</v>
      </c>
    </row>
    <row r="5082" ht="15.75" customHeight="1">
      <c r="A5082" s="33" t="s">
        <v>9068</v>
      </c>
      <c r="B5082" s="33" t="s">
        <v>536</v>
      </c>
      <c r="C5082" s="39">
        <v>46121.0</v>
      </c>
      <c r="D5082" s="33" t="s">
        <v>461</v>
      </c>
      <c r="E5082" s="40">
        <v>121.5</v>
      </c>
      <c r="F5082" s="40">
        <v>1.89</v>
      </c>
      <c r="G5082" s="33" t="s">
        <v>450</v>
      </c>
    </row>
    <row r="5083" ht="15.75" customHeight="1">
      <c r="A5083" s="33" t="s">
        <v>9069</v>
      </c>
      <c r="B5083" s="33" t="s">
        <v>1945</v>
      </c>
      <c r="C5083" s="39">
        <v>45862.0</v>
      </c>
      <c r="D5083" s="33" t="s">
        <v>461</v>
      </c>
      <c r="E5083" s="40">
        <v>191.11</v>
      </c>
      <c r="F5083" s="40">
        <v>2.43</v>
      </c>
      <c r="G5083" s="33" t="s">
        <v>442</v>
      </c>
    </row>
    <row r="5084" ht="15.75" customHeight="1">
      <c r="A5084" s="33" t="s">
        <v>9070</v>
      </c>
      <c r="B5084" s="33" t="s">
        <v>726</v>
      </c>
      <c r="C5084" s="39">
        <v>45910.0</v>
      </c>
      <c r="D5084" s="33" t="s">
        <v>461</v>
      </c>
      <c r="E5084" s="40">
        <v>71.21</v>
      </c>
      <c r="F5084" s="40">
        <v>0.87</v>
      </c>
      <c r="G5084" s="33" t="s">
        <v>450</v>
      </c>
    </row>
    <row r="5085" ht="15.75" customHeight="1">
      <c r="A5085" s="33" t="s">
        <v>9071</v>
      </c>
      <c r="B5085" s="33" t="s">
        <v>964</v>
      </c>
      <c r="C5085" s="39">
        <v>45933.0</v>
      </c>
      <c r="D5085" s="33" t="s">
        <v>479</v>
      </c>
      <c r="E5085" s="40">
        <v>36.48</v>
      </c>
      <c r="F5085" s="40">
        <v>0.59</v>
      </c>
      <c r="G5085" s="33" t="s">
        <v>442</v>
      </c>
    </row>
    <row r="5086" ht="15.75" customHeight="1">
      <c r="A5086" s="33" t="s">
        <v>9072</v>
      </c>
      <c r="B5086" s="33" t="s">
        <v>2255</v>
      </c>
      <c r="C5086" s="39">
        <v>46119.0</v>
      </c>
      <c r="D5086" s="33" t="s">
        <v>461</v>
      </c>
      <c r="E5086" s="40">
        <v>84.55</v>
      </c>
      <c r="F5086" s="40">
        <v>1.52</v>
      </c>
      <c r="G5086" s="33" t="s">
        <v>431</v>
      </c>
    </row>
    <row r="5087" ht="15.75" customHeight="1">
      <c r="A5087" s="33" t="s">
        <v>9073</v>
      </c>
      <c r="B5087" s="33" t="s">
        <v>833</v>
      </c>
      <c r="C5087" s="39">
        <v>46084.0</v>
      </c>
      <c r="D5087" s="33" t="s">
        <v>479</v>
      </c>
      <c r="E5087" s="40">
        <v>48.01</v>
      </c>
      <c r="F5087" s="40">
        <v>0.84</v>
      </c>
      <c r="G5087" s="33" t="s">
        <v>450</v>
      </c>
    </row>
    <row r="5088" ht="15.75" customHeight="1">
      <c r="A5088" s="33" t="s">
        <v>9074</v>
      </c>
      <c r="B5088" s="33" t="s">
        <v>462</v>
      </c>
      <c r="C5088" s="39">
        <v>46155.0</v>
      </c>
      <c r="D5088" s="33" t="s">
        <v>479</v>
      </c>
      <c r="E5088" s="40">
        <v>28.21</v>
      </c>
      <c r="F5088" s="40">
        <v>0.35</v>
      </c>
      <c r="G5088" s="33" t="s">
        <v>450</v>
      </c>
    </row>
    <row r="5089" ht="15.75" customHeight="1">
      <c r="A5089" s="33" t="s">
        <v>9075</v>
      </c>
      <c r="B5089" s="33" t="s">
        <v>3572</v>
      </c>
      <c r="C5089" s="39">
        <v>45917.0</v>
      </c>
      <c r="D5089" s="33" t="s">
        <v>428</v>
      </c>
      <c r="E5089" s="40">
        <v>173.23</v>
      </c>
      <c r="F5089" s="40">
        <v>0.0</v>
      </c>
      <c r="G5089" s="33" t="s">
        <v>450</v>
      </c>
    </row>
    <row r="5090" ht="15.75" customHeight="1">
      <c r="A5090" s="33" t="s">
        <v>9076</v>
      </c>
      <c r="B5090" s="33" t="s">
        <v>2429</v>
      </c>
      <c r="C5090" s="39">
        <v>46155.0</v>
      </c>
      <c r="D5090" s="33" t="s">
        <v>461</v>
      </c>
      <c r="E5090" s="40">
        <v>81.05</v>
      </c>
      <c r="F5090" s="40">
        <v>0.98</v>
      </c>
      <c r="G5090" s="33" t="s">
        <v>442</v>
      </c>
    </row>
    <row r="5091" ht="15.75" customHeight="1">
      <c r="A5091" s="33" t="s">
        <v>9077</v>
      </c>
      <c r="B5091" s="33" t="s">
        <v>402</v>
      </c>
      <c r="C5091" s="39">
        <v>46186.0</v>
      </c>
      <c r="D5091" s="33" t="s">
        <v>461</v>
      </c>
      <c r="E5091" s="40">
        <v>57.16</v>
      </c>
      <c r="F5091" s="40">
        <v>0.62</v>
      </c>
      <c r="G5091" s="33" t="s">
        <v>431</v>
      </c>
    </row>
    <row r="5092" ht="15.75" customHeight="1">
      <c r="A5092" s="33" t="s">
        <v>9078</v>
      </c>
      <c r="B5092" s="33" t="s">
        <v>186</v>
      </c>
      <c r="C5092" s="39">
        <v>45976.0</v>
      </c>
      <c r="D5092" s="33" t="s">
        <v>428</v>
      </c>
      <c r="E5092" s="40">
        <v>90.53</v>
      </c>
      <c r="F5092" s="40">
        <v>0.0</v>
      </c>
      <c r="G5092" s="33" t="s">
        <v>450</v>
      </c>
    </row>
    <row r="5093" ht="15.75" customHeight="1">
      <c r="A5093" s="33" t="s">
        <v>9079</v>
      </c>
      <c r="B5093" s="33" t="s">
        <v>855</v>
      </c>
      <c r="C5093" s="39">
        <v>46070.0</v>
      </c>
      <c r="D5093" s="33" t="s">
        <v>440</v>
      </c>
      <c r="E5093" s="40">
        <v>51.13</v>
      </c>
      <c r="F5093" s="40">
        <v>0.0</v>
      </c>
      <c r="G5093" s="33" t="s">
        <v>442</v>
      </c>
    </row>
    <row r="5094" ht="15.75" customHeight="1">
      <c r="A5094" s="33" t="s">
        <v>9080</v>
      </c>
      <c r="B5094" s="33" t="s">
        <v>931</v>
      </c>
      <c r="C5094" s="39">
        <v>46210.0</v>
      </c>
      <c r="D5094" s="33" t="s">
        <v>479</v>
      </c>
      <c r="E5094" s="40">
        <v>176.87</v>
      </c>
      <c r="F5094" s="40">
        <v>1.42</v>
      </c>
      <c r="G5094" s="33" t="s">
        <v>450</v>
      </c>
    </row>
    <row r="5095" ht="15.75" customHeight="1">
      <c r="A5095" s="33" t="s">
        <v>9081</v>
      </c>
      <c r="B5095" s="33" t="s">
        <v>264</v>
      </c>
      <c r="C5095" s="39">
        <v>46166.0</v>
      </c>
      <c r="D5095" s="33" t="s">
        <v>461</v>
      </c>
      <c r="E5095" s="40">
        <v>274.48</v>
      </c>
      <c r="F5095" s="40">
        <v>4.38</v>
      </c>
      <c r="G5095" s="33" t="s">
        <v>450</v>
      </c>
    </row>
    <row r="5096" ht="15.75" customHeight="1">
      <c r="A5096" s="33" t="s">
        <v>9082</v>
      </c>
      <c r="B5096" s="33" t="s">
        <v>1085</v>
      </c>
      <c r="C5096" s="39">
        <v>45825.0</v>
      </c>
      <c r="D5096" s="33" t="s">
        <v>461</v>
      </c>
      <c r="E5096" s="40">
        <v>53.46</v>
      </c>
      <c r="F5096" s="40">
        <v>0.4</v>
      </c>
      <c r="G5096" s="33" t="s">
        <v>450</v>
      </c>
    </row>
    <row r="5097" ht="15.75" customHeight="1">
      <c r="A5097" s="33" t="s">
        <v>9083</v>
      </c>
      <c r="B5097" s="33" t="s">
        <v>3598</v>
      </c>
      <c r="C5097" s="39">
        <v>46092.0</v>
      </c>
      <c r="D5097" s="33" t="s">
        <v>435</v>
      </c>
      <c r="E5097" s="40">
        <v>68.58</v>
      </c>
      <c r="F5097" s="40">
        <v>0.0</v>
      </c>
      <c r="G5097" s="33" t="s">
        <v>450</v>
      </c>
    </row>
    <row r="5098" ht="15.75" customHeight="1">
      <c r="A5098" s="33" t="s">
        <v>9084</v>
      </c>
      <c r="B5098" s="33" t="s">
        <v>2559</v>
      </c>
      <c r="C5098" s="39">
        <v>45928.0</v>
      </c>
      <c r="D5098" s="33" t="s">
        <v>461</v>
      </c>
      <c r="E5098" s="40">
        <v>99.52</v>
      </c>
      <c r="F5098" s="40">
        <v>0.61</v>
      </c>
      <c r="G5098" s="33" t="s">
        <v>442</v>
      </c>
    </row>
    <row r="5099" ht="15.75" customHeight="1">
      <c r="A5099" s="33" t="s">
        <v>9085</v>
      </c>
      <c r="B5099" s="33" t="s">
        <v>689</v>
      </c>
      <c r="C5099" s="39">
        <v>45748.0</v>
      </c>
      <c r="D5099" s="33" t="s">
        <v>435</v>
      </c>
      <c r="E5099" s="40">
        <v>25.39</v>
      </c>
      <c r="F5099" s="40">
        <v>0.0</v>
      </c>
      <c r="G5099" s="33" t="s">
        <v>442</v>
      </c>
    </row>
    <row r="5100" ht="15.75" customHeight="1">
      <c r="A5100" s="33" t="s">
        <v>9086</v>
      </c>
      <c r="B5100" s="33" t="s">
        <v>2729</v>
      </c>
      <c r="C5100" s="39">
        <v>45883.0</v>
      </c>
      <c r="D5100" s="33" t="s">
        <v>479</v>
      </c>
      <c r="E5100" s="40">
        <v>10.9</v>
      </c>
      <c r="F5100" s="40">
        <v>0.13</v>
      </c>
      <c r="G5100" s="33" t="s">
        <v>450</v>
      </c>
    </row>
    <row r="5101" ht="15.75" customHeight="1">
      <c r="A5101" s="33" t="s">
        <v>9087</v>
      </c>
      <c r="B5101" s="33" t="s">
        <v>981</v>
      </c>
      <c r="C5101" s="39">
        <v>46251.0</v>
      </c>
      <c r="D5101" s="33" t="s">
        <v>461</v>
      </c>
      <c r="E5101" s="40">
        <v>163.54</v>
      </c>
      <c r="F5101" s="40">
        <v>1.36</v>
      </c>
      <c r="G5101" s="33" t="s">
        <v>442</v>
      </c>
    </row>
    <row r="5102" ht="15.75" customHeight="1">
      <c r="A5102" s="33" t="s">
        <v>9088</v>
      </c>
      <c r="B5102" s="33" t="s">
        <v>430</v>
      </c>
      <c r="C5102" s="39">
        <v>46239.0</v>
      </c>
      <c r="D5102" s="33" t="s">
        <v>440</v>
      </c>
      <c r="E5102" s="40">
        <v>56.11</v>
      </c>
      <c r="F5102" s="40">
        <v>0.0</v>
      </c>
      <c r="G5102" s="33" t="s">
        <v>450</v>
      </c>
    </row>
    <row r="5103" ht="15.75" customHeight="1">
      <c r="A5103" s="33" t="s">
        <v>9089</v>
      </c>
      <c r="B5103" s="33" t="s">
        <v>2809</v>
      </c>
      <c r="C5103" s="39">
        <v>46135.0</v>
      </c>
      <c r="D5103" s="33" t="s">
        <v>435</v>
      </c>
      <c r="E5103" s="40">
        <v>52.23</v>
      </c>
      <c r="F5103" s="40">
        <v>0.0</v>
      </c>
      <c r="G5103" s="33" t="s">
        <v>450</v>
      </c>
    </row>
    <row r="5104" ht="15.75" customHeight="1">
      <c r="A5104" s="33" t="s">
        <v>9090</v>
      </c>
      <c r="B5104" s="33" t="s">
        <v>2188</v>
      </c>
      <c r="C5104" s="39">
        <v>46259.0</v>
      </c>
      <c r="D5104" s="33" t="s">
        <v>461</v>
      </c>
      <c r="E5104" s="40">
        <v>104.5</v>
      </c>
      <c r="F5104" s="40">
        <v>1.35</v>
      </c>
      <c r="G5104" s="33" t="s">
        <v>442</v>
      </c>
    </row>
    <row r="5105" ht="15.75" customHeight="1">
      <c r="A5105" s="33" t="s">
        <v>9091</v>
      </c>
      <c r="B5105" s="33" t="s">
        <v>1037</v>
      </c>
      <c r="C5105" s="39">
        <v>46005.0</v>
      </c>
      <c r="D5105" s="33" t="s">
        <v>440</v>
      </c>
      <c r="E5105" s="40">
        <v>36.32</v>
      </c>
      <c r="F5105" s="40">
        <v>0.0</v>
      </c>
      <c r="G5105" s="33" t="s">
        <v>450</v>
      </c>
    </row>
    <row r="5106" ht="15.75" customHeight="1">
      <c r="A5106" s="33" t="s">
        <v>9092</v>
      </c>
      <c r="B5106" s="33" t="s">
        <v>2914</v>
      </c>
      <c r="C5106" s="39">
        <v>46117.0</v>
      </c>
      <c r="D5106" s="33" t="s">
        <v>428</v>
      </c>
      <c r="E5106" s="40">
        <v>51.29</v>
      </c>
      <c r="F5106" s="40">
        <v>0.0</v>
      </c>
      <c r="G5106" s="33" t="s">
        <v>450</v>
      </c>
    </row>
    <row r="5107" ht="15.75" customHeight="1">
      <c r="A5107" s="33" t="s">
        <v>9093</v>
      </c>
      <c r="B5107" s="33" t="s">
        <v>788</v>
      </c>
      <c r="C5107" s="39">
        <v>45758.0</v>
      </c>
      <c r="D5107" s="33" t="s">
        <v>428</v>
      </c>
      <c r="E5107" s="40">
        <v>25.83</v>
      </c>
      <c r="F5107" s="40">
        <v>0.0</v>
      </c>
      <c r="G5107" s="33" t="s">
        <v>450</v>
      </c>
    </row>
    <row r="5108" ht="15.75" customHeight="1">
      <c r="A5108" s="33" t="s">
        <v>9094</v>
      </c>
      <c r="B5108" s="33" t="s">
        <v>2139</v>
      </c>
      <c r="C5108" s="39">
        <v>45839.0</v>
      </c>
      <c r="D5108" s="33" t="s">
        <v>440</v>
      </c>
      <c r="E5108" s="40">
        <v>13.41</v>
      </c>
      <c r="F5108" s="40">
        <v>0.0</v>
      </c>
      <c r="G5108" s="33" t="s">
        <v>450</v>
      </c>
    </row>
    <row r="5109" ht="15.75" customHeight="1">
      <c r="A5109" s="33" t="s">
        <v>9095</v>
      </c>
      <c r="B5109" s="33" t="s">
        <v>2264</v>
      </c>
      <c r="C5109" s="39">
        <v>45762.0</v>
      </c>
      <c r="D5109" s="33" t="s">
        <v>461</v>
      </c>
      <c r="E5109" s="40">
        <v>50.64</v>
      </c>
      <c r="F5109" s="40">
        <v>0.27</v>
      </c>
      <c r="G5109" s="33" t="s">
        <v>442</v>
      </c>
    </row>
    <row r="5110" ht="15.75" customHeight="1">
      <c r="A5110" s="33" t="s">
        <v>9096</v>
      </c>
      <c r="B5110" s="33" t="s">
        <v>2129</v>
      </c>
      <c r="C5110" s="39">
        <v>46227.0</v>
      </c>
      <c r="D5110" s="33" t="s">
        <v>440</v>
      </c>
      <c r="E5110" s="40">
        <v>36.0</v>
      </c>
      <c r="F5110" s="40">
        <v>0.0</v>
      </c>
      <c r="G5110" s="33" t="s">
        <v>450</v>
      </c>
    </row>
    <row r="5111" ht="15.75" customHeight="1">
      <c r="A5111" s="33" t="s">
        <v>9097</v>
      </c>
      <c r="B5111" s="33" t="s">
        <v>1305</v>
      </c>
      <c r="C5111" s="39">
        <v>46030.0</v>
      </c>
      <c r="D5111" s="33" t="s">
        <v>428</v>
      </c>
      <c r="E5111" s="40">
        <v>31.99</v>
      </c>
      <c r="F5111" s="40">
        <v>0.0</v>
      </c>
      <c r="G5111" s="33" t="s">
        <v>442</v>
      </c>
    </row>
    <row r="5112" ht="15.75" customHeight="1">
      <c r="A5112" s="33" t="s">
        <v>9098</v>
      </c>
      <c r="B5112" s="33" t="s">
        <v>1113</v>
      </c>
      <c r="C5112" s="39">
        <v>46224.0</v>
      </c>
      <c r="D5112" s="33" t="s">
        <v>440</v>
      </c>
      <c r="E5112" s="40">
        <v>77.53</v>
      </c>
      <c r="F5112" s="40">
        <v>0.0</v>
      </c>
      <c r="G5112" s="33" t="s">
        <v>450</v>
      </c>
    </row>
    <row r="5113" ht="15.75" customHeight="1">
      <c r="A5113" s="33" t="s">
        <v>9099</v>
      </c>
      <c r="B5113" s="33" t="s">
        <v>875</v>
      </c>
      <c r="C5113" s="39">
        <v>45910.0</v>
      </c>
      <c r="D5113" s="33" t="s">
        <v>428</v>
      </c>
      <c r="E5113" s="40">
        <v>130.96</v>
      </c>
      <c r="F5113" s="40">
        <v>0.0</v>
      </c>
      <c r="G5113" s="33" t="s">
        <v>442</v>
      </c>
    </row>
    <row r="5114" ht="15.75" customHeight="1">
      <c r="A5114" s="33" t="s">
        <v>9100</v>
      </c>
      <c r="B5114" s="33" t="s">
        <v>234</v>
      </c>
      <c r="C5114" s="39">
        <v>45902.0</v>
      </c>
      <c r="D5114" s="33" t="s">
        <v>461</v>
      </c>
      <c r="E5114" s="40">
        <v>132.63</v>
      </c>
      <c r="F5114" s="40">
        <v>2.4</v>
      </c>
      <c r="G5114" s="33" t="s">
        <v>431</v>
      </c>
    </row>
    <row r="5115" ht="15.75" customHeight="1">
      <c r="A5115" s="33" t="s">
        <v>9101</v>
      </c>
      <c r="B5115" s="33" t="s">
        <v>852</v>
      </c>
      <c r="C5115" s="39">
        <v>46068.0</v>
      </c>
      <c r="D5115" s="33" t="s">
        <v>440</v>
      </c>
      <c r="E5115" s="40">
        <v>128.92</v>
      </c>
      <c r="F5115" s="40">
        <v>0.0</v>
      </c>
      <c r="G5115" s="33" t="s">
        <v>450</v>
      </c>
    </row>
    <row r="5116" ht="15.75" customHeight="1">
      <c r="A5116" s="33" t="s">
        <v>9102</v>
      </c>
      <c r="B5116" s="33" t="s">
        <v>822</v>
      </c>
      <c r="C5116" s="39">
        <v>46002.0</v>
      </c>
      <c r="D5116" s="33" t="s">
        <v>428</v>
      </c>
      <c r="E5116" s="40">
        <v>40.86</v>
      </c>
      <c r="F5116" s="40">
        <v>0.0</v>
      </c>
      <c r="G5116" s="33" t="s">
        <v>442</v>
      </c>
    </row>
    <row r="5117" ht="15.75" customHeight="1">
      <c r="A5117" s="33" t="s">
        <v>9103</v>
      </c>
      <c r="B5117" s="33" t="s">
        <v>686</v>
      </c>
      <c r="C5117" s="39">
        <v>45884.0</v>
      </c>
      <c r="D5117" s="33" t="s">
        <v>461</v>
      </c>
      <c r="E5117" s="40">
        <v>71.78</v>
      </c>
      <c r="F5117" s="40">
        <v>1.16</v>
      </c>
      <c r="G5117" s="33" t="s">
        <v>450</v>
      </c>
    </row>
    <row r="5118" ht="15.75" customHeight="1">
      <c r="A5118" s="33" t="s">
        <v>9104</v>
      </c>
      <c r="B5118" s="33" t="s">
        <v>2456</v>
      </c>
      <c r="C5118" s="39">
        <v>45850.0</v>
      </c>
      <c r="D5118" s="33" t="s">
        <v>461</v>
      </c>
      <c r="E5118" s="40">
        <v>48.89</v>
      </c>
      <c r="F5118" s="40">
        <v>0.78</v>
      </c>
      <c r="G5118" s="33" t="s">
        <v>442</v>
      </c>
    </row>
    <row r="5119" ht="15.75" customHeight="1">
      <c r="A5119" s="33" t="s">
        <v>9105</v>
      </c>
      <c r="B5119" s="33" t="s">
        <v>1979</v>
      </c>
      <c r="C5119" s="39">
        <v>45969.0</v>
      </c>
      <c r="D5119" s="33" t="s">
        <v>440</v>
      </c>
      <c r="E5119" s="40">
        <v>41.29</v>
      </c>
      <c r="F5119" s="40">
        <v>0.0</v>
      </c>
      <c r="G5119" s="33" t="s">
        <v>431</v>
      </c>
    </row>
    <row r="5120" ht="15.75" customHeight="1">
      <c r="A5120" s="33" t="s">
        <v>9106</v>
      </c>
      <c r="B5120" s="33" t="s">
        <v>2165</v>
      </c>
      <c r="C5120" s="39">
        <v>45703.0</v>
      </c>
      <c r="D5120" s="33" t="s">
        <v>440</v>
      </c>
      <c r="E5120" s="40">
        <v>43.52</v>
      </c>
      <c r="F5120" s="40">
        <v>0.0</v>
      </c>
      <c r="G5120" s="33" t="s">
        <v>431</v>
      </c>
    </row>
    <row r="5121" ht="15.75" customHeight="1">
      <c r="A5121" s="33" t="s">
        <v>9107</v>
      </c>
      <c r="B5121" s="33" t="s">
        <v>426</v>
      </c>
      <c r="C5121" s="39">
        <v>45772.0</v>
      </c>
      <c r="D5121" s="33" t="s">
        <v>461</v>
      </c>
      <c r="E5121" s="40">
        <v>29.62</v>
      </c>
      <c r="F5121" s="40">
        <v>0.39</v>
      </c>
      <c r="G5121" s="33" t="s">
        <v>431</v>
      </c>
    </row>
    <row r="5122" ht="15.75" customHeight="1">
      <c r="A5122" s="33" t="s">
        <v>9108</v>
      </c>
      <c r="B5122" s="33" t="s">
        <v>2327</v>
      </c>
      <c r="C5122" s="39">
        <v>45684.0</v>
      </c>
      <c r="D5122" s="33" t="s">
        <v>435</v>
      </c>
      <c r="E5122" s="40">
        <v>91.31</v>
      </c>
      <c r="F5122" s="40">
        <v>0.0</v>
      </c>
      <c r="G5122" s="33" t="s">
        <v>450</v>
      </c>
    </row>
    <row r="5123" ht="15.75" customHeight="1">
      <c r="A5123" s="33" t="s">
        <v>9109</v>
      </c>
      <c r="B5123" s="33" t="s">
        <v>2836</v>
      </c>
      <c r="C5123" s="39">
        <v>45752.0</v>
      </c>
      <c r="D5123" s="33" t="s">
        <v>440</v>
      </c>
      <c r="E5123" s="40">
        <v>157.66</v>
      </c>
      <c r="F5123" s="40">
        <v>0.0</v>
      </c>
      <c r="G5123" s="33" t="s">
        <v>431</v>
      </c>
    </row>
    <row r="5124" ht="15.75" customHeight="1">
      <c r="A5124" s="33" t="s">
        <v>9110</v>
      </c>
      <c r="B5124" s="33" t="s">
        <v>825</v>
      </c>
      <c r="C5124" s="39">
        <v>45778.0</v>
      </c>
      <c r="D5124" s="33" t="s">
        <v>435</v>
      </c>
      <c r="E5124" s="40">
        <v>47.93</v>
      </c>
      <c r="F5124" s="40">
        <v>0.0</v>
      </c>
      <c r="G5124" s="33" t="s">
        <v>450</v>
      </c>
    </row>
    <row r="5125" ht="15.75" customHeight="1">
      <c r="A5125" s="33" t="s">
        <v>9111</v>
      </c>
      <c r="B5125" s="33" t="s">
        <v>1043</v>
      </c>
      <c r="C5125" s="39">
        <v>45703.0</v>
      </c>
      <c r="D5125" s="33" t="s">
        <v>435</v>
      </c>
      <c r="E5125" s="40">
        <v>43.75</v>
      </c>
      <c r="F5125" s="40">
        <v>0.0</v>
      </c>
      <c r="G5125" s="33" t="s">
        <v>431</v>
      </c>
    </row>
    <row r="5126" ht="15.75" customHeight="1">
      <c r="A5126" s="33" t="s">
        <v>9112</v>
      </c>
      <c r="B5126" s="33" t="s">
        <v>2221</v>
      </c>
      <c r="C5126" s="39">
        <v>45691.0</v>
      </c>
      <c r="D5126" s="33" t="s">
        <v>435</v>
      </c>
      <c r="E5126" s="40">
        <v>10.55</v>
      </c>
      <c r="F5126" s="40">
        <v>0.0</v>
      </c>
      <c r="G5126" s="33" t="s">
        <v>450</v>
      </c>
    </row>
    <row r="5127" ht="15.75" customHeight="1">
      <c r="A5127" s="33" t="s">
        <v>9113</v>
      </c>
      <c r="B5127" s="33" t="s">
        <v>1141</v>
      </c>
      <c r="C5127" s="39">
        <v>46155.0</v>
      </c>
      <c r="D5127" s="33" t="s">
        <v>435</v>
      </c>
      <c r="E5127" s="40">
        <v>115.2</v>
      </c>
      <c r="F5127" s="40">
        <v>0.0</v>
      </c>
      <c r="G5127" s="33" t="s">
        <v>431</v>
      </c>
    </row>
    <row r="5128" ht="15.75" customHeight="1">
      <c r="A5128" s="33" t="s">
        <v>9114</v>
      </c>
      <c r="B5128" s="33" t="s">
        <v>1141</v>
      </c>
      <c r="C5128" s="39">
        <v>45768.0</v>
      </c>
      <c r="D5128" s="33" t="s">
        <v>428</v>
      </c>
      <c r="E5128" s="40">
        <v>7.95</v>
      </c>
      <c r="F5128" s="40">
        <v>0.0</v>
      </c>
      <c r="G5128" s="33" t="s">
        <v>450</v>
      </c>
    </row>
    <row r="5129" ht="15.75" customHeight="1">
      <c r="A5129" s="33" t="s">
        <v>9115</v>
      </c>
      <c r="B5129" s="33" t="s">
        <v>504</v>
      </c>
      <c r="C5129" s="39">
        <v>45995.0</v>
      </c>
      <c r="D5129" s="33" t="s">
        <v>461</v>
      </c>
      <c r="E5129" s="40">
        <v>80.29</v>
      </c>
      <c r="F5129" s="40">
        <v>0.56</v>
      </c>
      <c r="G5129" s="33" t="s">
        <v>450</v>
      </c>
    </row>
    <row r="5130" ht="15.75" customHeight="1">
      <c r="A5130" s="33" t="s">
        <v>9116</v>
      </c>
      <c r="B5130" s="33" t="s">
        <v>1995</v>
      </c>
      <c r="C5130" s="39">
        <v>45717.0</v>
      </c>
      <c r="D5130" s="33" t="s">
        <v>428</v>
      </c>
      <c r="E5130" s="40">
        <v>37.91</v>
      </c>
      <c r="F5130" s="40">
        <v>0.0</v>
      </c>
      <c r="G5130" s="33" t="s">
        <v>450</v>
      </c>
    </row>
    <row r="5131" ht="15.75" customHeight="1">
      <c r="A5131" s="33" t="s">
        <v>9117</v>
      </c>
      <c r="B5131" s="33" t="s">
        <v>572</v>
      </c>
      <c r="C5131" s="39">
        <v>46232.0</v>
      </c>
      <c r="D5131" s="33" t="s">
        <v>435</v>
      </c>
      <c r="E5131" s="40">
        <v>61.39</v>
      </c>
      <c r="F5131" s="40">
        <v>0.0</v>
      </c>
      <c r="G5131" s="33" t="s">
        <v>450</v>
      </c>
    </row>
    <row r="5132" ht="15.75" customHeight="1">
      <c r="A5132" s="33" t="s">
        <v>9118</v>
      </c>
      <c r="B5132" s="33" t="s">
        <v>504</v>
      </c>
      <c r="C5132" s="39">
        <v>45803.0</v>
      </c>
      <c r="D5132" s="33" t="s">
        <v>428</v>
      </c>
      <c r="E5132" s="40">
        <v>83.71</v>
      </c>
      <c r="F5132" s="40">
        <v>0.0</v>
      </c>
      <c r="G5132" s="33" t="s">
        <v>450</v>
      </c>
    </row>
    <row r="5133" ht="15.75" customHeight="1">
      <c r="A5133" s="33" t="s">
        <v>9119</v>
      </c>
      <c r="B5133" s="33" t="s">
        <v>1463</v>
      </c>
      <c r="C5133" s="39">
        <v>46112.0</v>
      </c>
      <c r="D5133" s="33" t="s">
        <v>479</v>
      </c>
      <c r="E5133" s="40">
        <v>80.0</v>
      </c>
      <c r="F5133" s="40">
        <v>1.54</v>
      </c>
      <c r="G5133" s="33" t="s">
        <v>450</v>
      </c>
    </row>
    <row r="5134" ht="15.75" customHeight="1">
      <c r="A5134" s="33" t="s">
        <v>9120</v>
      </c>
      <c r="B5134" s="33" t="s">
        <v>1145</v>
      </c>
      <c r="C5134" s="39">
        <v>46047.0</v>
      </c>
      <c r="D5134" s="33" t="s">
        <v>461</v>
      </c>
      <c r="E5134" s="40">
        <v>144.82</v>
      </c>
      <c r="F5134" s="40">
        <v>0.79</v>
      </c>
      <c r="G5134" s="33" t="s">
        <v>431</v>
      </c>
    </row>
    <row r="5135" ht="15.75" customHeight="1">
      <c r="A5135" s="33" t="s">
        <v>9121</v>
      </c>
      <c r="B5135" s="33" t="s">
        <v>1505</v>
      </c>
      <c r="C5135" s="39">
        <v>46124.0</v>
      </c>
      <c r="D5135" s="33" t="s">
        <v>428</v>
      </c>
      <c r="E5135" s="40">
        <v>8.46</v>
      </c>
      <c r="F5135" s="40">
        <v>0.0</v>
      </c>
      <c r="G5135" s="33" t="s">
        <v>450</v>
      </c>
    </row>
    <row r="5136" ht="15.75" customHeight="1">
      <c r="A5136" s="33" t="s">
        <v>9122</v>
      </c>
      <c r="B5136" s="33" t="s">
        <v>4287</v>
      </c>
      <c r="C5136" s="39">
        <v>46039.0</v>
      </c>
      <c r="D5136" s="33" t="s">
        <v>440</v>
      </c>
      <c r="E5136" s="40">
        <v>133.06</v>
      </c>
      <c r="F5136" s="40">
        <v>0.0</v>
      </c>
      <c r="G5136" s="33" t="s">
        <v>450</v>
      </c>
    </row>
    <row r="5137" ht="15.75" customHeight="1">
      <c r="A5137" s="33" t="s">
        <v>9123</v>
      </c>
      <c r="B5137" s="33" t="s">
        <v>1637</v>
      </c>
      <c r="C5137" s="39">
        <v>45966.0</v>
      </c>
      <c r="D5137" s="33" t="s">
        <v>461</v>
      </c>
      <c r="E5137" s="40">
        <v>86.36</v>
      </c>
      <c r="F5137" s="40">
        <v>0.71</v>
      </c>
      <c r="G5137" s="33" t="s">
        <v>431</v>
      </c>
    </row>
    <row r="5138" ht="15.75" customHeight="1">
      <c r="A5138" s="33" t="s">
        <v>9124</v>
      </c>
      <c r="B5138" s="33" t="s">
        <v>1383</v>
      </c>
      <c r="C5138" s="39">
        <v>46126.0</v>
      </c>
      <c r="D5138" s="33" t="s">
        <v>461</v>
      </c>
      <c r="E5138" s="40">
        <v>155.22</v>
      </c>
      <c r="F5138" s="40">
        <v>1.2</v>
      </c>
      <c r="G5138" s="33" t="s">
        <v>450</v>
      </c>
    </row>
    <row r="5139" ht="15.75" customHeight="1">
      <c r="A5139" s="33" t="s">
        <v>9125</v>
      </c>
      <c r="B5139" s="33" t="s">
        <v>1705</v>
      </c>
      <c r="C5139" s="39">
        <v>46152.0</v>
      </c>
      <c r="D5139" s="33" t="s">
        <v>479</v>
      </c>
      <c r="E5139" s="40">
        <v>76.15</v>
      </c>
      <c r="F5139" s="40">
        <v>1.02</v>
      </c>
      <c r="G5139" s="33" t="s">
        <v>450</v>
      </c>
    </row>
    <row r="5140" ht="15.75" customHeight="1">
      <c r="A5140" s="33" t="s">
        <v>9126</v>
      </c>
      <c r="B5140" s="33" t="s">
        <v>364</v>
      </c>
      <c r="C5140" s="39">
        <v>45888.0</v>
      </c>
      <c r="D5140" s="33" t="s">
        <v>479</v>
      </c>
      <c r="E5140" s="40">
        <v>19.68</v>
      </c>
      <c r="F5140" s="40">
        <v>0.3</v>
      </c>
      <c r="G5140" s="33" t="s">
        <v>431</v>
      </c>
    </row>
    <row r="5141" ht="15.75" customHeight="1">
      <c r="A5141" s="33" t="s">
        <v>9127</v>
      </c>
      <c r="B5141" s="33" t="s">
        <v>342</v>
      </c>
      <c r="C5141" s="39">
        <v>46229.0</v>
      </c>
      <c r="D5141" s="33" t="s">
        <v>440</v>
      </c>
      <c r="E5141" s="40">
        <v>68.13</v>
      </c>
      <c r="F5141" s="40">
        <v>0.0</v>
      </c>
      <c r="G5141" s="33" t="s">
        <v>450</v>
      </c>
    </row>
    <row r="5142" ht="15.75" customHeight="1">
      <c r="A5142" s="33" t="s">
        <v>9128</v>
      </c>
      <c r="B5142" s="33" t="s">
        <v>1640</v>
      </c>
      <c r="C5142" s="39">
        <v>46257.0</v>
      </c>
      <c r="D5142" s="33" t="s">
        <v>435</v>
      </c>
      <c r="E5142" s="40">
        <v>112.8</v>
      </c>
      <c r="F5142" s="40">
        <v>0.0</v>
      </c>
      <c r="G5142" s="33" t="s">
        <v>450</v>
      </c>
    </row>
    <row r="5143" ht="15.75" customHeight="1">
      <c r="A5143" s="33" t="s">
        <v>9129</v>
      </c>
      <c r="B5143" s="33" t="s">
        <v>1884</v>
      </c>
      <c r="C5143" s="39">
        <v>46096.0</v>
      </c>
      <c r="D5143" s="33" t="s">
        <v>428</v>
      </c>
      <c r="E5143" s="40">
        <v>127.17</v>
      </c>
      <c r="F5143" s="40">
        <v>0.0</v>
      </c>
      <c r="G5143" s="33" t="s">
        <v>450</v>
      </c>
    </row>
    <row r="5144" ht="15.75" customHeight="1">
      <c r="A5144" s="33" t="s">
        <v>9130</v>
      </c>
      <c r="B5144" s="33" t="s">
        <v>225</v>
      </c>
      <c r="C5144" s="39">
        <v>46221.0</v>
      </c>
      <c r="D5144" s="33" t="s">
        <v>461</v>
      </c>
      <c r="E5144" s="40">
        <v>69.97</v>
      </c>
      <c r="F5144" s="40">
        <v>1.0</v>
      </c>
      <c r="G5144" s="33" t="s">
        <v>431</v>
      </c>
    </row>
    <row r="5145" ht="15.75" customHeight="1">
      <c r="A5145" s="33" t="s">
        <v>9131</v>
      </c>
      <c r="B5145" s="33" t="s">
        <v>487</v>
      </c>
      <c r="C5145" s="39">
        <v>45722.0</v>
      </c>
      <c r="D5145" s="33" t="s">
        <v>479</v>
      </c>
      <c r="E5145" s="40">
        <v>63.56</v>
      </c>
      <c r="F5145" s="40">
        <v>0.87</v>
      </c>
      <c r="G5145" s="33" t="s">
        <v>450</v>
      </c>
    </row>
    <row r="5146" ht="15.75" customHeight="1">
      <c r="A5146" s="33" t="s">
        <v>9132</v>
      </c>
      <c r="B5146" s="33" t="s">
        <v>521</v>
      </c>
      <c r="C5146" s="39">
        <v>45985.0</v>
      </c>
      <c r="D5146" s="33" t="s">
        <v>461</v>
      </c>
      <c r="E5146" s="40">
        <v>85.29</v>
      </c>
      <c r="F5146" s="40">
        <v>1.47</v>
      </c>
      <c r="G5146" s="33" t="s">
        <v>450</v>
      </c>
    </row>
    <row r="5147" ht="15.75" customHeight="1">
      <c r="A5147" s="33" t="s">
        <v>9133</v>
      </c>
      <c r="B5147" s="33" t="s">
        <v>1145</v>
      </c>
      <c r="C5147" s="39">
        <v>46053.0</v>
      </c>
      <c r="D5147" s="33" t="s">
        <v>479</v>
      </c>
      <c r="E5147" s="40">
        <v>141.73</v>
      </c>
      <c r="F5147" s="40">
        <v>0.74</v>
      </c>
      <c r="G5147" s="33" t="s">
        <v>450</v>
      </c>
    </row>
    <row r="5148" ht="15.75" customHeight="1">
      <c r="A5148" s="33" t="s">
        <v>9134</v>
      </c>
      <c r="B5148" s="33" t="s">
        <v>2080</v>
      </c>
      <c r="C5148" s="39">
        <v>46221.0</v>
      </c>
      <c r="D5148" s="33" t="s">
        <v>440</v>
      </c>
      <c r="E5148" s="40">
        <v>51.61</v>
      </c>
      <c r="F5148" s="40">
        <v>0.0</v>
      </c>
      <c r="G5148" s="33" t="s">
        <v>450</v>
      </c>
    </row>
    <row r="5149" ht="15.75" customHeight="1">
      <c r="A5149" s="33" t="s">
        <v>9135</v>
      </c>
      <c r="B5149" s="33" t="s">
        <v>781</v>
      </c>
      <c r="C5149" s="39">
        <v>45731.0</v>
      </c>
      <c r="D5149" s="33" t="s">
        <v>428</v>
      </c>
      <c r="E5149" s="40">
        <v>99.98</v>
      </c>
      <c r="F5149" s="40">
        <v>0.0</v>
      </c>
      <c r="G5149" s="33" t="s">
        <v>450</v>
      </c>
    </row>
    <row r="5150" ht="15.75" customHeight="1">
      <c r="A5150" s="33" t="s">
        <v>9136</v>
      </c>
      <c r="B5150" s="33" t="s">
        <v>1052</v>
      </c>
      <c r="C5150" s="39">
        <v>46147.0</v>
      </c>
      <c r="D5150" s="33" t="s">
        <v>428</v>
      </c>
      <c r="E5150" s="40">
        <v>226.28</v>
      </c>
      <c r="F5150" s="40">
        <v>0.0</v>
      </c>
      <c r="G5150" s="33" t="s">
        <v>450</v>
      </c>
    </row>
    <row r="5151" ht="15.75" customHeight="1">
      <c r="A5151" s="33" t="s">
        <v>9137</v>
      </c>
      <c r="B5151" s="33" t="s">
        <v>2158</v>
      </c>
      <c r="C5151" s="39">
        <v>45704.0</v>
      </c>
      <c r="D5151" s="33" t="s">
        <v>440</v>
      </c>
      <c r="E5151" s="40">
        <v>325.8</v>
      </c>
      <c r="F5151" s="40">
        <v>0.0</v>
      </c>
      <c r="G5151" s="33" t="s">
        <v>450</v>
      </c>
    </row>
    <row r="5152" ht="15.75" customHeight="1">
      <c r="A5152" s="33" t="s">
        <v>9138</v>
      </c>
      <c r="B5152" s="33" t="s">
        <v>511</v>
      </c>
      <c r="C5152" s="39">
        <v>45875.0</v>
      </c>
      <c r="D5152" s="33" t="s">
        <v>428</v>
      </c>
      <c r="E5152" s="40">
        <v>141.17</v>
      </c>
      <c r="F5152" s="40">
        <v>0.0</v>
      </c>
      <c r="G5152" s="33" t="s">
        <v>431</v>
      </c>
    </row>
    <row r="5153" ht="15.75" customHeight="1">
      <c r="A5153" s="33" t="s">
        <v>9139</v>
      </c>
      <c r="B5153" s="33" t="s">
        <v>3048</v>
      </c>
      <c r="C5153" s="39">
        <v>46078.0</v>
      </c>
      <c r="D5153" s="33" t="s">
        <v>479</v>
      </c>
      <c r="E5153" s="40">
        <v>62.06</v>
      </c>
      <c r="F5153" s="40">
        <v>0.6</v>
      </c>
      <c r="G5153" s="33" t="s">
        <v>450</v>
      </c>
    </row>
    <row r="5154" ht="15.75" customHeight="1">
      <c r="A5154" s="33" t="s">
        <v>9140</v>
      </c>
      <c r="B5154" s="33" t="s">
        <v>521</v>
      </c>
      <c r="C5154" s="39">
        <v>45834.0</v>
      </c>
      <c r="D5154" s="33" t="s">
        <v>461</v>
      </c>
      <c r="E5154" s="40">
        <v>25.36</v>
      </c>
      <c r="F5154" s="40">
        <v>0.19</v>
      </c>
      <c r="G5154" s="33" t="s">
        <v>450</v>
      </c>
    </row>
    <row r="5155" ht="15.75" customHeight="1">
      <c r="A5155" s="33" t="s">
        <v>9141</v>
      </c>
      <c r="B5155" s="33" t="s">
        <v>275</v>
      </c>
      <c r="C5155" s="39">
        <v>46164.0</v>
      </c>
      <c r="D5155" s="33" t="s">
        <v>435</v>
      </c>
      <c r="E5155" s="40">
        <v>96.23</v>
      </c>
      <c r="F5155" s="40">
        <v>0.0</v>
      </c>
      <c r="G5155" s="33" t="s">
        <v>442</v>
      </c>
    </row>
    <row r="5156" ht="15.75" customHeight="1">
      <c r="A5156" s="33" t="s">
        <v>9142</v>
      </c>
      <c r="B5156" s="33" t="s">
        <v>2116</v>
      </c>
      <c r="C5156" s="39">
        <v>46222.0</v>
      </c>
      <c r="D5156" s="33" t="s">
        <v>479</v>
      </c>
      <c r="E5156" s="40">
        <v>193.76</v>
      </c>
      <c r="F5156" s="40">
        <v>3.42</v>
      </c>
      <c r="G5156" s="33" t="s">
        <v>442</v>
      </c>
    </row>
    <row r="5157" ht="15.75" customHeight="1">
      <c r="A5157" s="33" t="s">
        <v>9143</v>
      </c>
      <c r="B5157" s="33" t="s">
        <v>1656</v>
      </c>
      <c r="C5157" s="39">
        <v>45754.0</v>
      </c>
      <c r="D5157" s="33" t="s">
        <v>435</v>
      </c>
      <c r="E5157" s="40">
        <v>70.07</v>
      </c>
      <c r="F5157" s="40">
        <v>0.0</v>
      </c>
      <c r="G5157" s="33" t="s">
        <v>442</v>
      </c>
    </row>
    <row r="5158" ht="15.75" customHeight="1">
      <c r="A5158" s="33" t="s">
        <v>9144</v>
      </c>
      <c r="B5158" s="33" t="s">
        <v>3092</v>
      </c>
      <c r="C5158" s="39">
        <v>45814.0</v>
      </c>
      <c r="D5158" s="33" t="s">
        <v>428</v>
      </c>
      <c r="E5158" s="40">
        <v>152.49</v>
      </c>
      <c r="F5158" s="40">
        <v>0.0</v>
      </c>
      <c r="G5158" s="33" t="s">
        <v>450</v>
      </c>
    </row>
    <row r="5159" ht="15.75" customHeight="1">
      <c r="A5159" s="33" t="s">
        <v>9145</v>
      </c>
      <c r="B5159" s="33" t="s">
        <v>2953</v>
      </c>
      <c r="C5159" s="39">
        <v>45703.0</v>
      </c>
      <c r="D5159" s="33" t="s">
        <v>440</v>
      </c>
      <c r="E5159" s="40">
        <v>144.34</v>
      </c>
      <c r="F5159" s="40">
        <v>0.0</v>
      </c>
      <c r="G5159" s="33" t="s">
        <v>450</v>
      </c>
    </row>
    <row r="5160" ht="15.75" customHeight="1">
      <c r="A5160" s="33" t="s">
        <v>9146</v>
      </c>
      <c r="B5160" s="33" t="s">
        <v>569</v>
      </c>
      <c r="C5160" s="39">
        <v>46089.0</v>
      </c>
      <c r="D5160" s="33" t="s">
        <v>440</v>
      </c>
      <c r="E5160" s="40">
        <v>75.96</v>
      </c>
      <c r="F5160" s="40">
        <v>0.0</v>
      </c>
      <c r="G5160" s="33" t="s">
        <v>442</v>
      </c>
    </row>
    <row r="5161" ht="15.75" customHeight="1">
      <c r="A5161" s="33" t="s">
        <v>9147</v>
      </c>
      <c r="B5161" s="33" t="s">
        <v>1137</v>
      </c>
      <c r="C5161" s="39">
        <v>46196.0</v>
      </c>
      <c r="D5161" s="33" t="s">
        <v>461</v>
      </c>
      <c r="E5161" s="40">
        <v>135.59</v>
      </c>
      <c r="F5161" s="40">
        <v>2.4</v>
      </c>
      <c r="G5161" s="33" t="s">
        <v>431</v>
      </c>
    </row>
    <row r="5162" ht="15.75" customHeight="1">
      <c r="A5162" s="33" t="s">
        <v>9148</v>
      </c>
      <c r="B5162" s="33" t="s">
        <v>675</v>
      </c>
      <c r="C5162" s="39">
        <v>46023.0</v>
      </c>
      <c r="D5162" s="33" t="s">
        <v>428</v>
      </c>
      <c r="E5162" s="40">
        <v>28.11</v>
      </c>
      <c r="F5162" s="40">
        <v>0.0</v>
      </c>
      <c r="G5162" s="33" t="s">
        <v>450</v>
      </c>
    </row>
    <row r="5163" ht="15.75" customHeight="1">
      <c r="A5163" s="33" t="s">
        <v>9149</v>
      </c>
      <c r="B5163" s="33" t="s">
        <v>201</v>
      </c>
      <c r="C5163" s="39">
        <v>45738.0</v>
      </c>
      <c r="D5163" s="33" t="s">
        <v>440</v>
      </c>
      <c r="E5163" s="40">
        <v>64.6</v>
      </c>
      <c r="F5163" s="40">
        <v>0.0</v>
      </c>
      <c r="G5163" s="33" t="s">
        <v>450</v>
      </c>
    </row>
    <row r="5164" ht="15.75" customHeight="1">
      <c r="A5164" s="33" t="s">
        <v>9150</v>
      </c>
      <c r="B5164" s="33" t="s">
        <v>1528</v>
      </c>
      <c r="C5164" s="39">
        <v>45763.0</v>
      </c>
      <c r="D5164" s="33" t="s">
        <v>461</v>
      </c>
      <c r="E5164" s="40">
        <v>104.28</v>
      </c>
      <c r="F5164" s="40">
        <v>0.82</v>
      </c>
      <c r="G5164" s="33" t="s">
        <v>450</v>
      </c>
    </row>
    <row r="5165" ht="15.75" customHeight="1">
      <c r="A5165" s="33" t="s">
        <v>9151</v>
      </c>
      <c r="B5165" s="33" t="s">
        <v>265</v>
      </c>
      <c r="C5165" s="39">
        <v>45679.0</v>
      </c>
      <c r="D5165" s="33" t="s">
        <v>461</v>
      </c>
      <c r="E5165" s="40">
        <v>74.59</v>
      </c>
      <c r="F5165" s="40">
        <v>0.92</v>
      </c>
      <c r="G5165" s="33" t="s">
        <v>442</v>
      </c>
    </row>
    <row r="5166" ht="15.75" customHeight="1">
      <c r="A5166" s="33" t="s">
        <v>9152</v>
      </c>
      <c r="B5166" s="33" t="s">
        <v>2169</v>
      </c>
      <c r="C5166" s="39">
        <v>45955.0</v>
      </c>
      <c r="D5166" s="33" t="s">
        <v>479</v>
      </c>
      <c r="E5166" s="40">
        <v>30.8</v>
      </c>
      <c r="F5166" s="40">
        <v>0.24</v>
      </c>
      <c r="G5166" s="33" t="s">
        <v>442</v>
      </c>
    </row>
    <row r="5167" ht="15.75" customHeight="1">
      <c r="A5167" s="33" t="s">
        <v>9153</v>
      </c>
      <c r="B5167" s="33" t="s">
        <v>895</v>
      </c>
      <c r="C5167" s="39">
        <v>46095.0</v>
      </c>
      <c r="D5167" s="33" t="s">
        <v>428</v>
      </c>
      <c r="E5167" s="40">
        <v>135.69</v>
      </c>
      <c r="F5167" s="40">
        <v>0.0</v>
      </c>
      <c r="G5167" s="33" t="s">
        <v>431</v>
      </c>
    </row>
    <row r="5168" ht="15.75" customHeight="1">
      <c r="A5168" s="33" t="s">
        <v>9154</v>
      </c>
      <c r="B5168" s="33" t="s">
        <v>404</v>
      </c>
      <c r="C5168" s="39">
        <v>45749.0</v>
      </c>
      <c r="D5168" s="33" t="s">
        <v>435</v>
      </c>
      <c r="E5168" s="40">
        <v>103.36</v>
      </c>
      <c r="F5168" s="40">
        <v>0.0</v>
      </c>
      <c r="G5168" s="33" t="s">
        <v>450</v>
      </c>
    </row>
    <row r="5169" ht="15.75" customHeight="1">
      <c r="A5169" s="33" t="s">
        <v>9155</v>
      </c>
      <c r="B5169" s="33" t="s">
        <v>548</v>
      </c>
      <c r="C5169" s="39">
        <v>46172.0</v>
      </c>
      <c r="D5169" s="33" t="s">
        <v>428</v>
      </c>
      <c r="E5169" s="40">
        <v>85.95</v>
      </c>
      <c r="F5169" s="40">
        <v>0.0</v>
      </c>
      <c r="G5169" s="33" t="s">
        <v>431</v>
      </c>
    </row>
    <row r="5170" ht="15.75" customHeight="1">
      <c r="A5170" s="33" t="s">
        <v>9156</v>
      </c>
      <c r="B5170" s="33" t="s">
        <v>3985</v>
      </c>
      <c r="C5170" s="39">
        <v>45811.0</v>
      </c>
      <c r="D5170" s="33" t="s">
        <v>479</v>
      </c>
      <c r="E5170" s="40">
        <v>174.52</v>
      </c>
      <c r="F5170" s="40">
        <v>2.32</v>
      </c>
      <c r="G5170" s="33" t="s">
        <v>450</v>
      </c>
    </row>
    <row r="5171" ht="15.75" customHeight="1">
      <c r="A5171" s="33" t="s">
        <v>9157</v>
      </c>
      <c r="B5171" s="33" t="s">
        <v>2340</v>
      </c>
      <c r="C5171" s="39">
        <v>45970.0</v>
      </c>
      <c r="D5171" s="33" t="s">
        <v>435</v>
      </c>
      <c r="E5171" s="40">
        <v>137.63</v>
      </c>
      <c r="F5171" s="40">
        <v>0.0</v>
      </c>
      <c r="G5171" s="33" t="s">
        <v>450</v>
      </c>
    </row>
    <row r="5172" ht="15.75" customHeight="1">
      <c r="A5172" s="33" t="s">
        <v>9158</v>
      </c>
      <c r="B5172" s="33" t="s">
        <v>2562</v>
      </c>
      <c r="C5172" s="39">
        <v>46063.0</v>
      </c>
      <c r="D5172" s="33" t="s">
        <v>428</v>
      </c>
      <c r="E5172" s="40">
        <v>5.16</v>
      </c>
      <c r="F5172" s="40">
        <v>0.0</v>
      </c>
      <c r="G5172" s="33" t="s">
        <v>442</v>
      </c>
    </row>
    <row r="5173" ht="15.75" customHeight="1">
      <c r="A5173" s="33" t="s">
        <v>9159</v>
      </c>
      <c r="B5173" s="33" t="s">
        <v>2622</v>
      </c>
      <c r="C5173" s="39">
        <v>45985.0</v>
      </c>
      <c r="D5173" s="33" t="s">
        <v>461</v>
      </c>
      <c r="E5173" s="40">
        <v>87.02</v>
      </c>
      <c r="F5173" s="40">
        <v>0.66</v>
      </c>
      <c r="G5173" s="33" t="s">
        <v>450</v>
      </c>
    </row>
    <row r="5174" ht="15.75" customHeight="1">
      <c r="A5174" s="33" t="s">
        <v>9160</v>
      </c>
      <c r="B5174" s="33" t="s">
        <v>696</v>
      </c>
      <c r="C5174" s="39">
        <v>45948.0</v>
      </c>
      <c r="D5174" s="33" t="s">
        <v>428</v>
      </c>
      <c r="E5174" s="40">
        <v>85.06</v>
      </c>
      <c r="F5174" s="40">
        <v>0.0</v>
      </c>
      <c r="G5174" s="33" t="s">
        <v>450</v>
      </c>
    </row>
    <row r="5175" ht="15.75" customHeight="1">
      <c r="A5175" s="33" t="s">
        <v>9161</v>
      </c>
      <c r="B5175" s="33" t="s">
        <v>2433</v>
      </c>
      <c r="C5175" s="39">
        <v>45862.0</v>
      </c>
      <c r="D5175" s="33" t="s">
        <v>435</v>
      </c>
      <c r="E5175" s="40">
        <v>57.72</v>
      </c>
      <c r="F5175" s="40">
        <v>0.0</v>
      </c>
      <c r="G5175" s="33" t="s">
        <v>431</v>
      </c>
    </row>
    <row r="5176" ht="15.75" customHeight="1">
      <c r="A5176" s="33" t="s">
        <v>9162</v>
      </c>
      <c r="B5176" s="33" t="s">
        <v>2375</v>
      </c>
      <c r="C5176" s="39">
        <v>45919.0</v>
      </c>
      <c r="D5176" s="33" t="s">
        <v>461</v>
      </c>
      <c r="E5176" s="40">
        <v>8.53</v>
      </c>
      <c r="F5176" s="40">
        <v>0.15</v>
      </c>
      <c r="G5176" s="33" t="s">
        <v>450</v>
      </c>
    </row>
    <row r="5177" ht="15.75" customHeight="1">
      <c r="A5177" s="33" t="s">
        <v>9163</v>
      </c>
      <c r="B5177" s="33" t="s">
        <v>870</v>
      </c>
      <c r="C5177" s="39">
        <v>45802.0</v>
      </c>
      <c r="D5177" s="33" t="s">
        <v>461</v>
      </c>
      <c r="E5177" s="40">
        <v>39.5</v>
      </c>
      <c r="F5177" s="40">
        <v>0.21</v>
      </c>
      <c r="G5177" s="33" t="s">
        <v>442</v>
      </c>
    </row>
    <row r="5178" ht="15.75" customHeight="1">
      <c r="A5178" s="33" t="s">
        <v>9164</v>
      </c>
      <c r="B5178" s="33" t="s">
        <v>835</v>
      </c>
      <c r="C5178" s="39">
        <v>45836.0</v>
      </c>
      <c r="D5178" s="33" t="s">
        <v>428</v>
      </c>
      <c r="E5178" s="40">
        <v>6.24</v>
      </c>
      <c r="F5178" s="40">
        <v>0.0</v>
      </c>
      <c r="G5178" s="33" t="s">
        <v>442</v>
      </c>
    </row>
    <row r="5179" ht="15.75" customHeight="1">
      <c r="A5179" s="33" t="s">
        <v>9165</v>
      </c>
      <c r="B5179" s="33" t="s">
        <v>2299</v>
      </c>
      <c r="C5179" s="39">
        <v>46116.0</v>
      </c>
      <c r="D5179" s="33" t="s">
        <v>440</v>
      </c>
      <c r="E5179" s="40">
        <v>278.08</v>
      </c>
      <c r="F5179" s="40">
        <v>0.0</v>
      </c>
      <c r="G5179" s="33" t="s">
        <v>442</v>
      </c>
    </row>
    <row r="5180" ht="15.75" customHeight="1">
      <c r="A5180" s="33" t="s">
        <v>9166</v>
      </c>
      <c r="B5180" s="33" t="s">
        <v>460</v>
      </c>
      <c r="C5180" s="39">
        <v>46193.0</v>
      </c>
      <c r="D5180" s="33" t="s">
        <v>428</v>
      </c>
      <c r="E5180" s="40">
        <v>74.84</v>
      </c>
      <c r="F5180" s="40">
        <v>0.0</v>
      </c>
      <c r="G5180" s="33" t="s">
        <v>431</v>
      </c>
    </row>
    <row r="5181" ht="15.75" customHeight="1">
      <c r="A5181" s="33" t="s">
        <v>9167</v>
      </c>
      <c r="B5181" s="33" t="s">
        <v>1318</v>
      </c>
      <c r="C5181" s="39">
        <v>46173.0</v>
      </c>
      <c r="D5181" s="33" t="s">
        <v>461</v>
      </c>
      <c r="E5181" s="40">
        <v>108.29</v>
      </c>
      <c r="F5181" s="40">
        <v>0.94</v>
      </c>
      <c r="G5181" s="33" t="s">
        <v>450</v>
      </c>
    </row>
    <row r="5182" ht="15.75" customHeight="1">
      <c r="A5182" s="33" t="s">
        <v>9168</v>
      </c>
      <c r="B5182" s="33" t="s">
        <v>587</v>
      </c>
      <c r="C5182" s="39">
        <v>45858.0</v>
      </c>
      <c r="D5182" s="33" t="s">
        <v>440</v>
      </c>
      <c r="E5182" s="40">
        <v>30.35</v>
      </c>
      <c r="F5182" s="40">
        <v>0.0</v>
      </c>
      <c r="G5182" s="33" t="s">
        <v>450</v>
      </c>
    </row>
    <row r="5183" ht="15.75" customHeight="1">
      <c r="A5183" s="33" t="s">
        <v>9169</v>
      </c>
      <c r="B5183" s="33" t="s">
        <v>1554</v>
      </c>
      <c r="C5183" s="39">
        <v>45852.0</v>
      </c>
      <c r="D5183" s="33" t="s">
        <v>440</v>
      </c>
      <c r="E5183" s="40">
        <v>9.79</v>
      </c>
      <c r="F5183" s="40">
        <v>0.0</v>
      </c>
      <c r="G5183" s="33" t="s">
        <v>431</v>
      </c>
    </row>
    <row r="5184" ht="15.75" customHeight="1">
      <c r="A5184" s="33" t="s">
        <v>9170</v>
      </c>
      <c r="B5184" s="33" t="s">
        <v>1421</v>
      </c>
      <c r="C5184" s="39">
        <v>45693.0</v>
      </c>
      <c r="D5184" s="33" t="s">
        <v>428</v>
      </c>
      <c r="E5184" s="40">
        <v>54.46</v>
      </c>
      <c r="F5184" s="40">
        <v>0.0</v>
      </c>
      <c r="G5184" s="33" t="s">
        <v>450</v>
      </c>
    </row>
    <row r="5185" ht="15.75" customHeight="1">
      <c r="A5185" s="33" t="s">
        <v>9171</v>
      </c>
      <c r="B5185" s="33" t="s">
        <v>511</v>
      </c>
      <c r="C5185" s="39">
        <v>45824.0</v>
      </c>
      <c r="D5185" s="33" t="s">
        <v>461</v>
      </c>
      <c r="E5185" s="40">
        <v>48.42</v>
      </c>
      <c r="F5185" s="40">
        <v>0.57</v>
      </c>
      <c r="G5185" s="33" t="s">
        <v>431</v>
      </c>
    </row>
    <row r="5186" ht="15.75" customHeight="1">
      <c r="A5186" s="33" t="s">
        <v>9172</v>
      </c>
      <c r="B5186" s="33" t="s">
        <v>204</v>
      </c>
      <c r="C5186" s="39">
        <v>46013.0</v>
      </c>
      <c r="D5186" s="33" t="s">
        <v>435</v>
      </c>
      <c r="E5186" s="40">
        <v>90.42</v>
      </c>
      <c r="F5186" s="40">
        <v>0.0</v>
      </c>
      <c r="G5186" s="33" t="s">
        <v>431</v>
      </c>
    </row>
    <row r="5187" ht="15.75" customHeight="1">
      <c r="A5187" s="33" t="s">
        <v>9173</v>
      </c>
      <c r="B5187" s="33" t="s">
        <v>793</v>
      </c>
      <c r="C5187" s="39">
        <v>45820.0</v>
      </c>
      <c r="D5187" s="33" t="s">
        <v>435</v>
      </c>
      <c r="E5187" s="40">
        <v>56.45</v>
      </c>
      <c r="F5187" s="40">
        <v>0.0</v>
      </c>
      <c r="G5187" s="33" t="s">
        <v>442</v>
      </c>
    </row>
    <row r="5188" ht="15.75" customHeight="1">
      <c r="A5188" s="33" t="s">
        <v>9174</v>
      </c>
      <c r="B5188" s="33" t="s">
        <v>1533</v>
      </c>
      <c r="C5188" s="39">
        <v>46103.0</v>
      </c>
      <c r="D5188" s="33" t="s">
        <v>428</v>
      </c>
      <c r="E5188" s="40">
        <v>318.21</v>
      </c>
      <c r="F5188" s="40">
        <v>0.0</v>
      </c>
      <c r="G5188" s="33" t="s">
        <v>442</v>
      </c>
    </row>
    <row r="5189" ht="15.75" customHeight="1">
      <c r="A5189" s="33" t="s">
        <v>9175</v>
      </c>
      <c r="B5189" s="33" t="s">
        <v>2231</v>
      </c>
      <c r="C5189" s="39">
        <v>45688.0</v>
      </c>
      <c r="D5189" s="33" t="s">
        <v>435</v>
      </c>
      <c r="E5189" s="40">
        <v>157.14</v>
      </c>
      <c r="F5189" s="40">
        <v>0.0</v>
      </c>
      <c r="G5189" s="33" t="s">
        <v>431</v>
      </c>
    </row>
    <row r="5190" ht="15.75" customHeight="1">
      <c r="A5190" s="33" t="s">
        <v>9176</v>
      </c>
      <c r="B5190" s="33" t="s">
        <v>260</v>
      </c>
      <c r="C5190" s="39">
        <v>45907.0</v>
      </c>
      <c r="D5190" s="33" t="s">
        <v>440</v>
      </c>
      <c r="E5190" s="40">
        <v>204.73</v>
      </c>
      <c r="F5190" s="40">
        <v>0.0</v>
      </c>
      <c r="G5190" s="33" t="s">
        <v>450</v>
      </c>
    </row>
    <row r="5191" ht="15.75" customHeight="1">
      <c r="A5191" s="33" t="s">
        <v>9177</v>
      </c>
      <c r="B5191" s="33" t="s">
        <v>2456</v>
      </c>
      <c r="C5191" s="39">
        <v>45828.0</v>
      </c>
      <c r="D5191" s="33" t="s">
        <v>461</v>
      </c>
      <c r="E5191" s="40">
        <v>75.2</v>
      </c>
      <c r="F5191" s="40">
        <v>0.49</v>
      </c>
      <c r="G5191" s="33" t="s">
        <v>450</v>
      </c>
    </row>
    <row r="5192" ht="15.75" customHeight="1">
      <c r="A5192" s="33" t="s">
        <v>9178</v>
      </c>
      <c r="B5192" s="33" t="s">
        <v>1132</v>
      </c>
      <c r="C5192" s="39">
        <v>45958.0</v>
      </c>
      <c r="D5192" s="33" t="s">
        <v>428</v>
      </c>
      <c r="E5192" s="40">
        <v>89.16</v>
      </c>
      <c r="F5192" s="40">
        <v>0.0</v>
      </c>
      <c r="G5192" s="33" t="s">
        <v>450</v>
      </c>
    </row>
    <row r="5193" ht="15.75" customHeight="1">
      <c r="A5193" s="33" t="s">
        <v>9179</v>
      </c>
      <c r="B5193" s="33" t="s">
        <v>255</v>
      </c>
      <c r="C5193" s="39">
        <v>45673.0</v>
      </c>
      <c r="D5193" s="33" t="s">
        <v>440</v>
      </c>
      <c r="E5193" s="40">
        <v>192.33</v>
      </c>
      <c r="F5193" s="40">
        <v>0.0</v>
      </c>
      <c r="G5193" s="33" t="s">
        <v>450</v>
      </c>
    </row>
    <row r="5194" ht="15.75" customHeight="1">
      <c r="A5194" s="33" t="s">
        <v>9180</v>
      </c>
      <c r="B5194" s="33" t="s">
        <v>594</v>
      </c>
      <c r="C5194" s="39">
        <v>45912.0</v>
      </c>
      <c r="D5194" s="33" t="s">
        <v>461</v>
      </c>
      <c r="E5194" s="40">
        <v>52.95</v>
      </c>
      <c r="F5194" s="40">
        <v>0.62</v>
      </c>
      <c r="G5194" s="33" t="s">
        <v>450</v>
      </c>
    </row>
    <row r="5195" ht="15.75" customHeight="1">
      <c r="A5195" s="33" t="s">
        <v>9181</v>
      </c>
      <c r="B5195" s="33" t="s">
        <v>884</v>
      </c>
      <c r="C5195" s="39">
        <v>46136.0</v>
      </c>
      <c r="D5195" s="33" t="s">
        <v>461</v>
      </c>
      <c r="E5195" s="40">
        <v>104.34</v>
      </c>
      <c r="F5195" s="40">
        <v>1.63</v>
      </c>
      <c r="G5195" s="33" t="s">
        <v>442</v>
      </c>
    </row>
    <row r="5196" ht="15.75" customHeight="1">
      <c r="A5196" s="33" t="s">
        <v>9182</v>
      </c>
      <c r="B5196" s="33" t="s">
        <v>2926</v>
      </c>
      <c r="C5196" s="39">
        <v>46178.0</v>
      </c>
      <c r="D5196" s="33" t="s">
        <v>461</v>
      </c>
      <c r="E5196" s="40">
        <v>56.46</v>
      </c>
      <c r="F5196" s="40">
        <v>0.55</v>
      </c>
      <c r="G5196" s="33" t="s">
        <v>450</v>
      </c>
    </row>
    <row r="5197" ht="15.75" customHeight="1">
      <c r="A5197" s="33" t="s">
        <v>9183</v>
      </c>
      <c r="B5197" s="33" t="s">
        <v>426</v>
      </c>
      <c r="C5197" s="39">
        <v>45813.0</v>
      </c>
      <c r="D5197" s="33" t="s">
        <v>461</v>
      </c>
      <c r="E5197" s="40">
        <v>108.58</v>
      </c>
      <c r="F5197" s="40">
        <v>0.68</v>
      </c>
      <c r="G5197" s="33" t="s">
        <v>442</v>
      </c>
    </row>
    <row r="5198" ht="15.75" customHeight="1">
      <c r="A5198" s="33" t="s">
        <v>9184</v>
      </c>
      <c r="B5198" s="33" t="s">
        <v>1977</v>
      </c>
      <c r="C5198" s="39">
        <v>45918.0</v>
      </c>
      <c r="D5198" s="33" t="s">
        <v>440</v>
      </c>
      <c r="E5198" s="40">
        <v>22.33</v>
      </c>
      <c r="F5198" s="40">
        <v>0.0</v>
      </c>
      <c r="G5198" s="33" t="s">
        <v>450</v>
      </c>
    </row>
    <row r="5199" ht="15.75" customHeight="1">
      <c r="A5199" s="33" t="s">
        <v>9185</v>
      </c>
      <c r="B5199" s="33" t="s">
        <v>705</v>
      </c>
      <c r="C5199" s="39">
        <v>46076.0</v>
      </c>
      <c r="D5199" s="33" t="s">
        <v>461</v>
      </c>
      <c r="E5199" s="40">
        <v>46.47</v>
      </c>
      <c r="F5199" s="40">
        <v>0.62</v>
      </c>
      <c r="G5199" s="33" t="s">
        <v>450</v>
      </c>
    </row>
    <row r="5200" ht="15.75" customHeight="1">
      <c r="A5200" s="33" t="s">
        <v>9186</v>
      </c>
      <c r="B5200" s="33" t="s">
        <v>1183</v>
      </c>
      <c r="C5200" s="39">
        <v>45939.0</v>
      </c>
      <c r="D5200" s="33" t="s">
        <v>435</v>
      </c>
      <c r="E5200" s="40">
        <v>90.58</v>
      </c>
      <c r="F5200" s="40">
        <v>0.0</v>
      </c>
      <c r="G5200" s="33" t="s">
        <v>431</v>
      </c>
    </row>
    <row r="5201" ht="15.75" customHeight="1">
      <c r="A5201" s="33" t="s">
        <v>9187</v>
      </c>
      <c r="B5201" s="33" t="s">
        <v>961</v>
      </c>
      <c r="C5201" s="39">
        <v>45987.0</v>
      </c>
      <c r="D5201" s="33" t="s">
        <v>461</v>
      </c>
      <c r="E5201" s="40">
        <v>98.64</v>
      </c>
      <c r="F5201" s="40">
        <v>1.04</v>
      </c>
      <c r="G5201" s="33" t="s">
        <v>450</v>
      </c>
    </row>
    <row r="5202" ht="15.75" customHeight="1">
      <c r="A5202" s="33" t="s">
        <v>9188</v>
      </c>
      <c r="B5202" s="33" t="s">
        <v>3440</v>
      </c>
      <c r="C5202" s="39">
        <v>45865.0</v>
      </c>
      <c r="D5202" s="33" t="s">
        <v>461</v>
      </c>
      <c r="E5202" s="40">
        <v>126.77</v>
      </c>
      <c r="F5202" s="40">
        <v>2.33</v>
      </c>
      <c r="G5202" s="33" t="s">
        <v>450</v>
      </c>
    </row>
    <row r="5203" ht="15.75" customHeight="1">
      <c r="A5203" s="33" t="s">
        <v>9189</v>
      </c>
      <c r="B5203" s="33" t="s">
        <v>1561</v>
      </c>
      <c r="C5203" s="39">
        <v>46166.0</v>
      </c>
      <c r="D5203" s="33" t="s">
        <v>461</v>
      </c>
      <c r="E5203" s="40">
        <v>26.72</v>
      </c>
      <c r="F5203" s="40">
        <v>0.35</v>
      </c>
      <c r="G5203" s="33" t="s">
        <v>442</v>
      </c>
    </row>
    <row r="5204" ht="15.75" customHeight="1">
      <c r="A5204" s="33" t="s">
        <v>9190</v>
      </c>
      <c r="B5204" s="33" t="s">
        <v>1549</v>
      </c>
      <c r="C5204" s="39">
        <v>46041.0</v>
      </c>
      <c r="D5204" s="33" t="s">
        <v>435</v>
      </c>
      <c r="E5204" s="40">
        <v>87.96</v>
      </c>
      <c r="F5204" s="40">
        <v>0.0</v>
      </c>
      <c r="G5204" s="33" t="s">
        <v>442</v>
      </c>
    </row>
    <row r="5205" ht="15.75" customHeight="1">
      <c r="A5205" s="33" t="s">
        <v>9191</v>
      </c>
      <c r="B5205" s="33" t="s">
        <v>576</v>
      </c>
      <c r="C5205" s="39">
        <v>46240.0</v>
      </c>
      <c r="D5205" s="33" t="s">
        <v>428</v>
      </c>
      <c r="E5205" s="40">
        <v>16.31</v>
      </c>
      <c r="F5205" s="40">
        <v>0.0</v>
      </c>
      <c r="G5205" s="33" t="s">
        <v>450</v>
      </c>
    </row>
    <row r="5206" ht="15.75" customHeight="1">
      <c r="A5206" s="33" t="s">
        <v>9192</v>
      </c>
      <c r="B5206" s="33" t="s">
        <v>2276</v>
      </c>
      <c r="C5206" s="39">
        <v>46131.0</v>
      </c>
      <c r="D5206" s="33" t="s">
        <v>479</v>
      </c>
      <c r="E5206" s="40">
        <v>59.07</v>
      </c>
      <c r="F5206" s="40">
        <v>1.09</v>
      </c>
      <c r="G5206" s="33" t="s">
        <v>450</v>
      </c>
    </row>
    <row r="5207" ht="15.75" customHeight="1">
      <c r="A5207" s="33" t="s">
        <v>9193</v>
      </c>
      <c r="B5207" s="33" t="s">
        <v>1140</v>
      </c>
      <c r="C5207" s="39">
        <v>45880.0</v>
      </c>
      <c r="D5207" s="33" t="s">
        <v>435</v>
      </c>
      <c r="E5207" s="40">
        <v>77.1</v>
      </c>
      <c r="F5207" s="40">
        <v>0.0</v>
      </c>
      <c r="G5207" s="33" t="s">
        <v>442</v>
      </c>
    </row>
    <row r="5208" ht="15.75" customHeight="1">
      <c r="A5208" s="33" t="s">
        <v>9194</v>
      </c>
      <c r="B5208" s="33" t="s">
        <v>389</v>
      </c>
      <c r="C5208" s="39">
        <v>45856.0</v>
      </c>
      <c r="D5208" s="33" t="s">
        <v>479</v>
      </c>
      <c r="E5208" s="40">
        <v>68.53</v>
      </c>
      <c r="F5208" s="40">
        <v>0.68</v>
      </c>
      <c r="G5208" s="33" t="s">
        <v>450</v>
      </c>
    </row>
    <row r="5209" ht="15.75" customHeight="1">
      <c r="A5209" s="33" t="s">
        <v>9195</v>
      </c>
      <c r="B5209" s="33" t="s">
        <v>2752</v>
      </c>
      <c r="C5209" s="39">
        <v>45711.0</v>
      </c>
      <c r="D5209" s="33" t="s">
        <v>479</v>
      </c>
      <c r="E5209" s="40">
        <v>222.4</v>
      </c>
      <c r="F5209" s="40">
        <v>2.86</v>
      </c>
      <c r="G5209" s="33" t="s">
        <v>431</v>
      </c>
    </row>
    <row r="5210" ht="15.75" customHeight="1">
      <c r="A5210" s="33" t="s">
        <v>9196</v>
      </c>
      <c r="B5210" s="33" t="s">
        <v>2809</v>
      </c>
      <c r="C5210" s="39">
        <v>46035.0</v>
      </c>
      <c r="D5210" s="33" t="s">
        <v>479</v>
      </c>
      <c r="E5210" s="40">
        <v>77.65</v>
      </c>
      <c r="F5210" s="40">
        <v>1.51</v>
      </c>
      <c r="G5210" s="33" t="s">
        <v>431</v>
      </c>
    </row>
    <row r="5211" ht="15.75" customHeight="1">
      <c r="A5211" s="33" t="s">
        <v>9197</v>
      </c>
      <c r="B5211" s="33" t="s">
        <v>1475</v>
      </c>
      <c r="C5211" s="39">
        <v>46113.0</v>
      </c>
      <c r="D5211" s="33" t="s">
        <v>461</v>
      </c>
      <c r="E5211" s="40">
        <v>114.4</v>
      </c>
      <c r="F5211" s="40">
        <v>1.17</v>
      </c>
      <c r="G5211" s="33" t="s">
        <v>450</v>
      </c>
    </row>
    <row r="5212" ht="15.75" customHeight="1">
      <c r="A5212" s="33" t="s">
        <v>9198</v>
      </c>
      <c r="B5212" s="33" t="s">
        <v>1451</v>
      </c>
      <c r="C5212" s="39">
        <v>45873.0</v>
      </c>
      <c r="D5212" s="33" t="s">
        <v>479</v>
      </c>
      <c r="E5212" s="40">
        <v>90.8</v>
      </c>
      <c r="F5212" s="40">
        <v>0.75</v>
      </c>
      <c r="G5212" s="33" t="s">
        <v>450</v>
      </c>
    </row>
    <row r="5213" ht="15.75" customHeight="1">
      <c r="A5213" s="33" t="s">
        <v>9199</v>
      </c>
      <c r="B5213" s="33" t="s">
        <v>527</v>
      </c>
      <c r="C5213" s="39">
        <v>45670.0</v>
      </c>
      <c r="D5213" s="33" t="s">
        <v>440</v>
      </c>
      <c r="E5213" s="40">
        <v>73.89</v>
      </c>
      <c r="F5213" s="40">
        <v>0.0</v>
      </c>
      <c r="G5213" s="33" t="s">
        <v>431</v>
      </c>
    </row>
    <row r="5214" ht="15.75" customHeight="1">
      <c r="A5214" s="33" t="s">
        <v>9200</v>
      </c>
      <c r="B5214" s="33" t="s">
        <v>2053</v>
      </c>
      <c r="C5214" s="39">
        <v>46159.0</v>
      </c>
      <c r="D5214" s="33" t="s">
        <v>461</v>
      </c>
      <c r="E5214" s="40">
        <v>108.55</v>
      </c>
      <c r="F5214" s="40">
        <v>1.86</v>
      </c>
      <c r="G5214" s="33" t="s">
        <v>450</v>
      </c>
    </row>
    <row r="5215" ht="15.75" customHeight="1">
      <c r="A5215" s="33" t="s">
        <v>9201</v>
      </c>
      <c r="B5215" s="33" t="s">
        <v>2327</v>
      </c>
      <c r="C5215" s="39">
        <v>45793.0</v>
      </c>
      <c r="D5215" s="33" t="s">
        <v>440</v>
      </c>
      <c r="E5215" s="40">
        <v>84.88</v>
      </c>
      <c r="F5215" s="40">
        <v>0.0</v>
      </c>
      <c r="G5215" s="33" t="s">
        <v>450</v>
      </c>
    </row>
    <row r="5216" ht="15.75" customHeight="1">
      <c r="A5216" s="33" t="s">
        <v>9202</v>
      </c>
      <c r="B5216" s="33" t="s">
        <v>822</v>
      </c>
      <c r="C5216" s="39">
        <v>46011.0</v>
      </c>
      <c r="D5216" s="33" t="s">
        <v>435</v>
      </c>
      <c r="E5216" s="40">
        <v>79.49</v>
      </c>
      <c r="F5216" s="40">
        <v>0.0</v>
      </c>
      <c r="G5216" s="33" t="s">
        <v>450</v>
      </c>
    </row>
    <row r="5217" ht="15.75" customHeight="1">
      <c r="A5217" s="33" t="s">
        <v>9203</v>
      </c>
      <c r="B5217" s="33" t="s">
        <v>1722</v>
      </c>
      <c r="C5217" s="39">
        <v>45690.0</v>
      </c>
      <c r="D5217" s="33" t="s">
        <v>440</v>
      </c>
      <c r="E5217" s="40">
        <v>63.43</v>
      </c>
      <c r="F5217" s="40">
        <v>0.0</v>
      </c>
      <c r="G5217" s="33" t="s">
        <v>450</v>
      </c>
    </row>
    <row r="5218" ht="15.75" customHeight="1">
      <c r="A5218" s="33" t="s">
        <v>9204</v>
      </c>
      <c r="B5218" s="33" t="s">
        <v>3014</v>
      </c>
      <c r="C5218" s="39">
        <v>45696.0</v>
      </c>
      <c r="D5218" s="33" t="s">
        <v>428</v>
      </c>
      <c r="E5218" s="40">
        <v>52.94</v>
      </c>
      <c r="F5218" s="40">
        <v>0.0</v>
      </c>
      <c r="G5218" s="33" t="s">
        <v>450</v>
      </c>
    </row>
    <row r="5219" ht="15.75" customHeight="1">
      <c r="A5219" s="33" t="s">
        <v>9205</v>
      </c>
      <c r="B5219" s="33" t="s">
        <v>1145</v>
      </c>
      <c r="C5219" s="39">
        <v>46203.0</v>
      </c>
      <c r="D5219" s="33" t="s">
        <v>479</v>
      </c>
      <c r="E5219" s="40">
        <v>47.08</v>
      </c>
      <c r="F5219" s="40">
        <v>0.28</v>
      </c>
      <c r="G5219" s="33" t="s">
        <v>431</v>
      </c>
    </row>
    <row r="5220" ht="15.75" customHeight="1">
      <c r="A5220" s="33" t="s">
        <v>9206</v>
      </c>
      <c r="B5220" s="33" t="s">
        <v>861</v>
      </c>
      <c r="C5220" s="39">
        <v>46066.0</v>
      </c>
      <c r="D5220" s="33" t="s">
        <v>440</v>
      </c>
      <c r="E5220" s="40">
        <v>79.61</v>
      </c>
      <c r="F5220" s="40">
        <v>0.0</v>
      </c>
      <c r="G5220" s="33" t="s">
        <v>431</v>
      </c>
    </row>
    <row r="5221" ht="15.75" customHeight="1">
      <c r="A5221" s="33" t="s">
        <v>9207</v>
      </c>
      <c r="B5221" s="33" t="s">
        <v>3048</v>
      </c>
      <c r="C5221" s="39">
        <v>45661.0</v>
      </c>
      <c r="D5221" s="33" t="s">
        <v>440</v>
      </c>
      <c r="E5221" s="40">
        <v>75.41</v>
      </c>
      <c r="F5221" s="40">
        <v>0.0</v>
      </c>
      <c r="G5221" s="33" t="s">
        <v>450</v>
      </c>
    </row>
    <row r="5222" ht="15.75" customHeight="1">
      <c r="A5222" s="33" t="s">
        <v>9208</v>
      </c>
      <c r="B5222" s="33" t="s">
        <v>294</v>
      </c>
      <c r="C5222" s="39">
        <v>45719.0</v>
      </c>
      <c r="D5222" s="33" t="s">
        <v>428</v>
      </c>
      <c r="E5222" s="40">
        <v>188.48</v>
      </c>
      <c r="F5222" s="40">
        <v>0.0</v>
      </c>
      <c r="G5222" s="33" t="s">
        <v>431</v>
      </c>
    </row>
    <row r="5223" ht="15.75" customHeight="1">
      <c r="A5223" s="33" t="s">
        <v>9209</v>
      </c>
      <c r="B5223" s="33" t="s">
        <v>1660</v>
      </c>
      <c r="C5223" s="39">
        <v>45957.0</v>
      </c>
      <c r="D5223" s="33" t="s">
        <v>461</v>
      </c>
      <c r="E5223" s="40">
        <v>19.94</v>
      </c>
      <c r="F5223" s="40">
        <v>0.27</v>
      </c>
      <c r="G5223" s="33" t="s">
        <v>450</v>
      </c>
    </row>
    <row r="5224" ht="15.75" customHeight="1">
      <c r="A5224" s="33" t="s">
        <v>9210</v>
      </c>
      <c r="B5224" s="33" t="s">
        <v>2678</v>
      </c>
      <c r="C5224" s="39">
        <v>46070.0</v>
      </c>
      <c r="D5224" s="33" t="s">
        <v>461</v>
      </c>
      <c r="E5224" s="40">
        <v>233.97</v>
      </c>
      <c r="F5224" s="40">
        <v>2.15</v>
      </c>
      <c r="G5224" s="33" t="s">
        <v>442</v>
      </c>
    </row>
    <row r="5225" ht="15.75" customHeight="1">
      <c r="A5225" s="33" t="s">
        <v>9211</v>
      </c>
      <c r="B5225" s="33" t="s">
        <v>1145</v>
      </c>
      <c r="C5225" s="39">
        <v>45915.0</v>
      </c>
      <c r="D5225" s="33" t="s">
        <v>461</v>
      </c>
      <c r="E5225" s="40">
        <v>27.44</v>
      </c>
      <c r="F5225" s="40">
        <v>0.46</v>
      </c>
      <c r="G5225" s="33" t="s">
        <v>431</v>
      </c>
    </row>
    <row r="5226" ht="15.75" customHeight="1">
      <c r="A5226" s="33" t="s">
        <v>9212</v>
      </c>
      <c r="B5226" s="33" t="s">
        <v>510</v>
      </c>
      <c r="C5226" s="39">
        <v>46187.0</v>
      </c>
      <c r="D5226" s="33" t="s">
        <v>428</v>
      </c>
      <c r="E5226" s="40">
        <v>73.23</v>
      </c>
      <c r="F5226" s="40">
        <v>0.0</v>
      </c>
      <c r="G5226" s="33" t="s">
        <v>450</v>
      </c>
    </row>
    <row r="5227" ht="15.75" customHeight="1">
      <c r="A5227" s="33" t="s">
        <v>9213</v>
      </c>
      <c r="B5227" s="33" t="s">
        <v>3452</v>
      </c>
      <c r="C5227" s="39">
        <v>46054.0</v>
      </c>
      <c r="D5227" s="33" t="s">
        <v>461</v>
      </c>
      <c r="E5227" s="40">
        <v>99.38</v>
      </c>
      <c r="F5227" s="40">
        <v>1.85</v>
      </c>
      <c r="G5227" s="33" t="s">
        <v>450</v>
      </c>
    </row>
    <row r="5228" ht="15.75" customHeight="1">
      <c r="A5228" s="33" t="s">
        <v>9214</v>
      </c>
      <c r="B5228" s="33" t="s">
        <v>1253</v>
      </c>
      <c r="C5228" s="39">
        <v>46030.0</v>
      </c>
      <c r="D5228" s="33" t="s">
        <v>479</v>
      </c>
      <c r="E5228" s="40">
        <v>33.39</v>
      </c>
      <c r="F5228" s="40">
        <v>0.31</v>
      </c>
      <c r="G5228" s="33" t="s">
        <v>450</v>
      </c>
    </row>
    <row r="5229" ht="15.75" customHeight="1">
      <c r="A5229" s="33" t="s">
        <v>9215</v>
      </c>
      <c r="B5229" s="33" t="s">
        <v>2625</v>
      </c>
      <c r="C5229" s="39">
        <v>45833.0</v>
      </c>
      <c r="D5229" s="33" t="s">
        <v>440</v>
      </c>
      <c r="E5229" s="40">
        <v>26.83</v>
      </c>
      <c r="F5229" s="40">
        <v>0.0</v>
      </c>
      <c r="G5229" s="33" t="s">
        <v>450</v>
      </c>
    </row>
    <row r="5230" ht="15.75" customHeight="1">
      <c r="A5230" s="33" t="s">
        <v>9216</v>
      </c>
      <c r="B5230" s="33" t="s">
        <v>711</v>
      </c>
      <c r="C5230" s="39">
        <v>46071.0</v>
      </c>
      <c r="D5230" s="33" t="s">
        <v>435</v>
      </c>
      <c r="E5230" s="40">
        <v>67.05</v>
      </c>
      <c r="F5230" s="40">
        <v>0.0</v>
      </c>
      <c r="G5230" s="33" t="s">
        <v>431</v>
      </c>
    </row>
    <row r="5231" ht="15.75" customHeight="1">
      <c r="A5231" s="33" t="s">
        <v>9217</v>
      </c>
      <c r="B5231" s="33" t="s">
        <v>2080</v>
      </c>
      <c r="C5231" s="39">
        <v>46188.0</v>
      </c>
      <c r="D5231" s="33" t="s">
        <v>461</v>
      </c>
      <c r="E5231" s="40">
        <v>116.48</v>
      </c>
      <c r="F5231" s="40">
        <v>1.63</v>
      </c>
      <c r="G5231" s="33" t="s">
        <v>450</v>
      </c>
    </row>
    <row r="5232" ht="15.75" customHeight="1">
      <c r="A5232" s="33" t="s">
        <v>9218</v>
      </c>
      <c r="B5232" s="33" t="s">
        <v>2075</v>
      </c>
      <c r="C5232" s="39">
        <v>45687.0</v>
      </c>
      <c r="D5232" s="33" t="s">
        <v>428</v>
      </c>
      <c r="E5232" s="40">
        <v>138.93</v>
      </c>
      <c r="F5232" s="40">
        <v>0.0</v>
      </c>
      <c r="G5232" s="33" t="s">
        <v>450</v>
      </c>
    </row>
    <row r="5233" ht="15.75" customHeight="1">
      <c r="A5233" s="33" t="s">
        <v>9219</v>
      </c>
      <c r="B5233" s="33" t="s">
        <v>2809</v>
      </c>
      <c r="C5233" s="39">
        <v>46103.0</v>
      </c>
      <c r="D5233" s="33" t="s">
        <v>461</v>
      </c>
      <c r="E5233" s="40">
        <v>23.22</v>
      </c>
      <c r="F5233" s="40">
        <v>0.17</v>
      </c>
      <c r="G5233" s="33" t="s">
        <v>450</v>
      </c>
    </row>
    <row r="5234" ht="15.75" customHeight="1">
      <c r="A5234" s="33" t="s">
        <v>9220</v>
      </c>
      <c r="B5234" s="33" t="s">
        <v>255</v>
      </c>
      <c r="C5234" s="39">
        <v>46191.0</v>
      </c>
      <c r="D5234" s="33" t="s">
        <v>479</v>
      </c>
      <c r="E5234" s="40">
        <v>64.89</v>
      </c>
      <c r="F5234" s="40">
        <v>0.41</v>
      </c>
      <c r="G5234" s="33" t="s">
        <v>442</v>
      </c>
    </row>
    <row r="5235" ht="15.75" customHeight="1">
      <c r="A5235" s="33" t="s">
        <v>9221</v>
      </c>
      <c r="B5235" s="33" t="s">
        <v>749</v>
      </c>
      <c r="C5235" s="39">
        <v>45920.0</v>
      </c>
      <c r="D5235" s="33" t="s">
        <v>435</v>
      </c>
      <c r="E5235" s="40">
        <v>13.57</v>
      </c>
      <c r="F5235" s="40">
        <v>0.0</v>
      </c>
      <c r="G5235" s="33" t="s">
        <v>450</v>
      </c>
    </row>
    <row r="5236" ht="15.75" customHeight="1">
      <c r="A5236" s="33" t="s">
        <v>9222</v>
      </c>
      <c r="B5236" s="33" t="s">
        <v>327</v>
      </c>
      <c r="C5236" s="39">
        <v>46122.0</v>
      </c>
      <c r="D5236" s="33" t="s">
        <v>461</v>
      </c>
      <c r="E5236" s="40">
        <v>34.12</v>
      </c>
      <c r="F5236" s="40">
        <v>0.33</v>
      </c>
      <c r="G5236" s="33" t="s">
        <v>442</v>
      </c>
    </row>
    <row r="5237" ht="15.75" customHeight="1">
      <c r="A5237" s="33" t="s">
        <v>9223</v>
      </c>
      <c r="B5237" s="33" t="s">
        <v>2809</v>
      </c>
      <c r="C5237" s="39">
        <v>45875.0</v>
      </c>
      <c r="D5237" s="33" t="s">
        <v>440</v>
      </c>
      <c r="E5237" s="40">
        <v>165.94</v>
      </c>
      <c r="F5237" s="40">
        <v>0.0</v>
      </c>
      <c r="G5237" s="33" t="s">
        <v>431</v>
      </c>
    </row>
    <row r="5238" ht="15.75" customHeight="1">
      <c r="A5238" s="33" t="s">
        <v>9224</v>
      </c>
      <c r="B5238" s="33" t="s">
        <v>2129</v>
      </c>
      <c r="C5238" s="39">
        <v>45775.0</v>
      </c>
      <c r="D5238" s="33" t="s">
        <v>461</v>
      </c>
      <c r="E5238" s="40">
        <v>95.34</v>
      </c>
      <c r="F5238" s="40">
        <v>1.44</v>
      </c>
      <c r="G5238" s="33" t="s">
        <v>442</v>
      </c>
    </row>
    <row r="5239" ht="15.75" customHeight="1">
      <c r="A5239" s="33" t="s">
        <v>9225</v>
      </c>
      <c r="B5239" s="33" t="s">
        <v>2917</v>
      </c>
      <c r="C5239" s="39">
        <v>46153.0</v>
      </c>
      <c r="D5239" s="33" t="s">
        <v>440</v>
      </c>
      <c r="E5239" s="40">
        <v>36.78</v>
      </c>
      <c r="F5239" s="40">
        <v>0.0</v>
      </c>
      <c r="G5239" s="33" t="s">
        <v>450</v>
      </c>
    </row>
    <row r="5240" ht="15.75" customHeight="1">
      <c r="A5240" s="33" t="s">
        <v>9226</v>
      </c>
      <c r="B5240" s="33" t="s">
        <v>3598</v>
      </c>
      <c r="C5240" s="39">
        <v>45846.0</v>
      </c>
      <c r="D5240" s="33" t="s">
        <v>428</v>
      </c>
      <c r="E5240" s="40">
        <v>155.42</v>
      </c>
      <c r="F5240" s="40">
        <v>0.0</v>
      </c>
      <c r="G5240" s="33" t="s">
        <v>442</v>
      </c>
    </row>
    <row r="5241" ht="15.75" customHeight="1">
      <c r="A5241" s="33" t="s">
        <v>9227</v>
      </c>
      <c r="B5241" s="33" t="s">
        <v>2123</v>
      </c>
      <c r="C5241" s="39">
        <v>46117.0</v>
      </c>
      <c r="D5241" s="33" t="s">
        <v>428</v>
      </c>
      <c r="E5241" s="40">
        <v>41.58</v>
      </c>
      <c r="F5241" s="40">
        <v>0.0</v>
      </c>
      <c r="G5241" s="33" t="s">
        <v>450</v>
      </c>
    </row>
    <row r="5242" ht="15.75" customHeight="1">
      <c r="A5242" s="33" t="s">
        <v>9228</v>
      </c>
      <c r="B5242" s="33" t="s">
        <v>326</v>
      </c>
      <c r="C5242" s="39">
        <v>45849.0</v>
      </c>
      <c r="D5242" s="33" t="s">
        <v>440</v>
      </c>
      <c r="E5242" s="40">
        <v>71.98</v>
      </c>
      <c r="F5242" s="40">
        <v>0.0</v>
      </c>
      <c r="G5242" s="33" t="s">
        <v>442</v>
      </c>
    </row>
    <row r="5243" ht="15.75" customHeight="1">
      <c r="A5243" s="33" t="s">
        <v>9229</v>
      </c>
      <c r="B5243" s="33" t="s">
        <v>833</v>
      </c>
      <c r="C5243" s="39">
        <v>45900.0</v>
      </c>
      <c r="D5243" s="33" t="s">
        <v>440</v>
      </c>
      <c r="E5243" s="40">
        <v>10.61</v>
      </c>
      <c r="F5243" s="40">
        <v>0.0</v>
      </c>
      <c r="G5243" s="33" t="s">
        <v>442</v>
      </c>
    </row>
    <row r="5244" ht="15.75" customHeight="1">
      <c r="A5244" s="33" t="s">
        <v>9230</v>
      </c>
      <c r="B5244" s="33" t="s">
        <v>1157</v>
      </c>
      <c r="C5244" s="39">
        <v>46073.0</v>
      </c>
      <c r="D5244" s="33" t="s">
        <v>428</v>
      </c>
      <c r="E5244" s="40">
        <v>36.9</v>
      </c>
      <c r="F5244" s="40">
        <v>0.0</v>
      </c>
      <c r="G5244" s="33" t="s">
        <v>450</v>
      </c>
    </row>
    <row r="5245" ht="15.75" customHeight="1">
      <c r="A5245" s="33" t="s">
        <v>9231</v>
      </c>
      <c r="B5245" s="33" t="s">
        <v>1285</v>
      </c>
      <c r="C5245" s="39">
        <v>45865.0</v>
      </c>
      <c r="D5245" s="33" t="s">
        <v>435</v>
      </c>
      <c r="E5245" s="40">
        <v>89.02</v>
      </c>
      <c r="F5245" s="40">
        <v>0.0</v>
      </c>
      <c r="G5245" s="33" t="s">
        <v>450</v>
      </c>
    </row>
    <row r="5246" ht="15.75" customHeight="1">
      <c r="A5246" s="33" t="s">
        <v>9232</v>
      </c>
      <c r="B5246" s="33" t="s">
        <v>3864</v>
      </c>
      <c r="C5246" s="39">
        <v>46148.0</v>
      </c>
      <c r="D5246" s="33" t="s">
        <v>479</v>
      </c>
      <c r="E5246" s="40">
        <v>85.94</v>
      </c>
      <c r="F5246" s="40">
        <v>0.5</v>
      </c>
      <c r="G5246" s="33" t="s">
        <v>442</v>
      </c>
    </row>
    <row r="5247" ht="15.75" customHeight="1">
      <c r="A5247" s="33" t="s">
        <v>9233</v>
      </c>
      <c r="B5247" s="33" t="s">
        <v>1010</v>
      </c>
      <c r="C5247" s="39">
        <v>45681.0</v>
      </c>
      <c r="D5247" s="33" t="s">
        <v>435</v>
      </c>
      <c r="E5247" s="40">
        <v>52.85</v>
      </c>
      <c r="F5247" s="40">
        <v>0.0</v>
      </c>
      <c r="G5247" s="33" t="s">
        <v>450</v>
      </c>
    </row>
    <row r="5248" ht="15.75" customHeight="1">
      <c r="A5248" s="33" t="s">
        <v>9234</v>
      </c>
      <c r="B5248" s="33" t="s">
        <v>3807</v>
      </c>
      <c r="C5248" s="39">
        <v>45665.0</v>
      </c>
      <c r="D5248" s="33" t="s">
        <v>479</v>
      </c>
      <c r="E5248" s="40">
        <v>66.61</v>
      </c>
      <c r="F5248" s="40">
        <v>1.24</v>
      </c>
      <c r="G5248" s="33" t="s">
        <v>450</v>
      </c>
    </row>
    <row r="5249" ht="15.75" customHeight="1">
      <c r="A5249" s="33" t="s">
        <v>9235</v>
      </c>
      <c r="B5249" s="33" t="s">
        <v>268</v>
      </c>
      <c r="C5249" s="39">
        <v>45707.0</v>
      </c>
      <c r="D5249" s="33" t="s">
        <v>435</v>
      </c>
      <c r="E5249" s="40">
        <v>122.68</v>
      </c>
      <c r="F5249" s="40">
        <v>0.0</v>
      </c>
      <c r="G5249" s="33" t="s">
        <v>431</v>
      </c>
    </row>
    <row r="5250" ht="15.75" customHeight="1">
      <c r="A5250" s="33" t="s">
        <v>9236</v>
      </c>
      <c r="B5250" s="33" t="s">
        <v>642</v>
      </c>
      <c r="C5250" s="39">
        <v>45813.0</v>
      </c>
      <c r="D5250" s="33" t="s">
        <v>435</v>
      </c>
      <c r="E5250" s="40">
        <v>62.58</v>
      </c>
      <c r="F5250" s="40">
        <v>0.0</v>
      </c>
      <c r="G5250" s="33" t="s">
        <v>431</v>
      </c>
    </row>
    <row r="5251" ht="15.75" customHeight="1">
      <c r="A5251" s="33" t="s">
        <v>9237</v>
      </c>
      <c r="B5251" s="33" t="s">
        <v>1711</v>
      </c>
      <c r="C5251" s="39">
        <v>45690.0</v>
      </c>
      <c r="D5251" s="33" t="s">
        <v>479</v>
      </c>
      <c r="E5251" s="40">
        <v>99.54</v>
      </c>
      <c r="F5251" s="40">
        <v>0.81</v>
      </c>
      <c r="G5251" s="33" t="s">
        <v>442</v>
      </c>
    </row>
    <row r="5252" ht="15.75" customHeight="1">
      <c r="A5252" s="33" t="s">
        <v>9238</v>
      </c>
      <c r="B5252" s="33" t="s">
        <v>1045</v>
      </c>
      <c r="C5252" s="39">
        <v>45889.0</v>
      </c>
      <c r="D5252" s="33" t="s">
        <v>435</v>
      </c>
      <c r="E5252" s="40">
        <v>45.94</v>
      </c>
      <c r="F5252" s="40">
        <v>0.0</v>
      </c>
      <c r="G5252" s="33" t="s">
        <v>450</v>
      </c>
    </row>
    <row r="5253" ht="15.75" customHeight="1">
      <c r="A5253" s="33" t="s">
        <v>9239</v>
      </c>
      <c r="B5253" s="33" t="s">
        <v>1649</v>
      </c>
      <c r="C5253" s="39">
        <v>45672.0</v>
      </c>
      <c r="D5253" s="33" t="s">
        <v>461</v>
      </c>
      <c r="E5253" s="40">
        <v>71.24</v>
      </c>
      <c r="F5253" s="40">
        <v>0.5</v>
      </c>
      <c r="G5253" s="33" t="s">
        <v>450</v>
      </c>
    </row>
    <row r="5254" ht="15.75" customHeight="1">
      <c r="A5254" s="33" t="s">
        <v>9240</v>
      </c>
      <c r="B5254" s="33" t="s">
        <v>2860</v>
      </c>
      <c r="C5254" s="39">
        <v>46117.0</v>
      </c>
      <c r="D5254" s="33" t="s">
        <v>479</v>
      </c>
      <c r="E5254" s="40">
        <v>9.7</v>
      </c>
      <c r="F5254" s="40">
        <v>0.06</v>
      </c>
      <c r="G5254" s="33" t="s">
        <v>431</v>
      </c>
    </row>
    <row r="5255" ht="15.75" customHeight="1">
      <c r="A5255" s="33" t="s">
        <v>9241</v>
      </c>
      <c r="B5255" s="33" t="s">
        <v>3807</v>
      </c>
      <c r="C5255" s="39">
        <v>45750.0</v>
      </c>
      <c r="D5255" s="33" t="s">
        <v>479</v>
      </c>
      <c r="E5255" s="40">
        <v>48.84</v>
      </c>
      <c r="F5255" s="40">
        <v>0.28</v>
      </c>
      <c r="G5255" s="33" t="s">
        <v>450</v>
      </c>
    </row>
    <row r="5256" ht="15.75" customHeight="1">
      <c r="A5256" s="33" t="s">
        <v>9242</v>
      </c>
      <c r="B5256" s="33" t="s">
        <v>1256</v>
      </c>
      <c r="C5256" s="39">
        <v>46248.0</v>
      </c>
      <c r="D5256" s="33" t="s">
        <v>479</v>
      </c>
      <c r="E5256" s="40">
        <v>77.54</v>
      </c>
      <c r="F5256" s="40">
        <v>1.04</v>
      </c>
      <c r="G5256" s="33" t="s">
        <v>431</v>
      </c>
    </row>
    <row r="5257" ht="15.75" customHeight="1">
      <c r="A5257" s="33" t="s">
        <v>9243</v>
      </c>
      <c r="B5257" s="33" t="s">
        <v>801</v>
      </c>
      <c r="C5257" s="39">
        <v>46178.0</v>
      </c>
      <c r="D5257" s="33" t="s">
        <v>428</v>
      </c>
      <c r="E5257" s="40">
        <v>68.12</v>
      </c>
      <c r="F5257" s="40">
        <v>0.0</v>
      </c>
      <c r="G5257" s="33" t="s">
        <v>431</v>
      </c>
    </row>
    <row r="5258" ht="15.75" customHeight="1">
      <c r="A5258" s="33" t="s">
        <v>9244</v>
      </c>
      <c r="B5258" s="33" t="s">
        <v>382</v>
      </c>
      <c r="C5258" s="39">
        <v>46079.0</v>
      </c>
      <c r="D5258" s="33" t="s">
        <v>428</v>
      </c>
      <c r="E5258" s="40">
        <v>45.89</v>
      </c>
      <c r="F5258" s="40">
        <v>0.0</v>
      </c>
      <c r="G5258" s="33" t="s">
        <v>431</v>
      </c>
    </row>
    <row r="5259" ht="15.75" customHeight="1">
      <c r="A5259" s="33" t="s">
        <v>9245</v>
      </c>
      <c r="B5259" s="33" t="s">
        <v>1884</v>
      </c>
      <c r="C5259" s="39">
        <v>46142.0</v>
      </c>
      <c r="D5259" s="33" t="s">
        <v>435</v>
      </c>
      <c r="E5259" s="40">
        <v>30.51</v>
      </c>
      <c r="F5259" s="40">
        <v>0.0</v>
      </c>
      <c r="G5259" s="33" t="s">
        <v>442</v>
      </c>
    </row>
    <row r="5260" ht="15.75" customHeight="1">
      <c r="A5260" s="33" t="s">
        <v>9246</v>
      </c>
      <c r="B5260" s="33" t="s">
        <v>1966</v>
      </c>
      <c r="C5260" s="39">
        <v>46128.0</v>
      </c>
      <c r="D5260" s="33" t="s">
        <v>461</v>
      </c>
      <c r="E5260" s="40">
        <v>79.5</v>
      </c>
      <c r="F5260" s="40">
        <v>0.42</v>
      </c>
      <c r="G5260" s="33" t="s">
        <v>450</v>
      </c>
    </row>
    <row r="5261" ht="15.75" customHeight="1">
      <c r="A5261" s="33" t="s">
        <v>9247</v>
      </c>
      <c r="B5261" s="33" t="s">
        <v>2063</v>
      </c>
      <c r="C5261" s="39">
        <v>46171.0</v>
      </c>
      <c r="D5261" s="33" t="s">
        <v>479</v>
      </c>
      <c r="E5261" s="40">
        <v>66.35</v>
      </c>
      <c r="F5261" s="40">
        <v>0.97</v>
      </c>
      <c r="G5261" s="33" t="s">
        <v>450</v>
      </c>
    </row>
    <row r="5262" ht="15.75" customHeight="1">
      <c r="A5262" s="33" t="s">
        <v>9248</v>
      </c>
      <c r="B5262" s="33" t="s">
        <v>664</v>
      </c>
      <c r="C5262" s="39">
        <v>45995.0</v>
      </c>
      <c r="D5262" s="33" t="s">
        <v>461</v>
      </c>
      <c r="E5262" s="40">
        <v>92.54</v>
      </c>
      <c r="F5262" s="40">
        <v>1.51</v>
      </c>
      <c r="G5262" s="33" t="s">
        <v>431</v>
      </c>
    </row>
    <row r="5263" ht="15.75" customHeight="1">
      <c r="A5263" s="33" t="s">
        <v>9249</v>
      </c>
      <c r="B5263" s="33" t="s">
        <v>251</v>
      </c>
      <c r="C5263" s="39">
        <v>46036.0</v>
      </c>
      <c r="D5263" s="33" t="s">
        <v>461</v>
      </c>
      <c r="E5263" s="40">
        <v>40.42</v>
      </c>
      <c r="F5263" s="40">
        <v>0.53</v>
      </c>
      <c r="G5263" s="33" t="s">
        <v>450</v>
      </c>
    </row>
    <row r="5264" ht="15.75" customHeight="1">
      <c r="A5264" s="33" t="s">
        <v>9250</v>
      </c>
      <c r="B5264" s="33" t="s">
        <v>423</v>
      </c>
      <c r="C5264" s="39">
        <v>45942.0</v>
      </c>
      <c r="D5264" s="33" t="s">
        <v>461</v>
      </c>
      <c r="E5264" s="40">
        <v>109.68</v>
      </c>
      <c r="F5264" s="40">
        <v>1.33</v>
      </c>
      <c r="G5264" s="33" t="s">
        <v>450</v>
      </c>
    </row>
    <row r="5265" ht="15.75" customHeight="1">
      <c r="A5265" s="33" t="s">
        <v>9251</v>
      </c>
      <c r="B5265" s="33" t="s">
        <v>1344</v>
      </c>
      <c r="C5265" s="39">
        <v>46036.0</v>
      </c>
      <c r="D5265" s="33" t="s">
        <v>461</v>
      </c>
      <c r="E5265" s="40">
        <v>26.28</v>
      </c>
      <c r="F5265" s="40">
        <v>0.42</v>
      </c>
      <c r="G5265" s="33" t="s">
        <v>450</v>
      </c>
    </row>
    <row r="5266" ht="15.75" customHeight="1">
      <c r="A5266" s="33" t="s">
        <v>9252</v>
      </c>
      <c r="B5266" s="33" t="s">
        <v>3140</v>
      </c>
      <c r="C5266" s="39">
        <v>45889.0</v>
      </c>
      <c r="D5266" s="33" t="s">
        <v>440</v>
      </c>
      <c r="E5266" s="40">
        <v>17.88</v>
      </c>
      <c r="F5266" s="40">
        <v>0.0</v>
      </c>
      <c r="G5266" s="33" t="s">
        <v>442</v>
      </c>
    </row>
    <row r="5267" ht="15.75" customHeight="1">
      <c r="A5267" s="33" t="s">
        <v>9253</v>
      </c>
      <c r="B5267" s="33" t="s">
        <v>579</v>
      </c>
      <c r="C5267" s="39">
        <v>45733.0</v>
      </c>
      <c r="D5267" s="33" t="s">
        <v>428</v>
      </c>
      <c r="E5267" s="40">
        <v>166.91</v>
      </c>
      <c r="F5267" s="40">
        <v>0.0</v>
      </c>
      <c r="G5267" s="33" t="s">
        <v>431</v>
      </c>
    </row>
    <row r="5268" ht="15.75" customHeight="1">
      <c r="A5268" s="33" t="s">
        <v>9254</v>
      </c>
      <c r="B5268" s="33" t="s">
        <v>2177</v>
      </c>
      <c r="C5268" s="39">
        <v>46223.0</v>
      </c>
      <c r="D5268" s="33" t="s">
        <v>461</v>
      </c>
      <c r="E5268" s="40">
        <v>27.85</v>
      </c>
      <c r="F5268" s="40">
        <v>0.47</v>
      </c>
      <c r="G5268" s="33" t="s">
        <v>450</v>
      </c>
    </row>
    <row r="5269" ht="15.75" customHeight="1">
      <c r="A5269" s="33" t="s">
        <v>9255</v>
      </c>
      <c r="B5269" s="33" t="s">
        <v>3048</v>
      </c>
      <c r="C5269" s="39">
        <v>46082.0</v>
      </c>
      <c r="D5269" s="33" t="s">
        <v>440</v>
      </c>
      <c r="E5269" s="40">
        <v>80.02</v>
      </c>
      <c r="F5269" s="40">
        <v>0.0</v>
      </c>
      <c r="G5269" s="33" t="s">
        <v>442</v>
      </c>
    </row>
    <row r="5270" ht="15.75" customHeight="1">
      <c r="A5270" s="33" t="s">
        <v>9256</v>
      </c>
      <c r="B5270" s="33" t="s">
        <v>701</v>
      </c>
      <c r="C5270" s="39">
        <v>46085.0</v>
      </c>
      <c r="D5270" s="33" t="s">
        <v>440</v>
      </c>
      <c r="E5270" s="40">
        <v>57.3</v>
      </c>
      <c r="F5270" s="40">
        <v>0.0</v>
      </c>
      <c r="G5270" s="33" t="s">
        <v>450</v>
      </c>
    </row>
    <row r="5271" ht="15.75" customHeight="1">
      <c r="A5271" s="33" t="s">
        <v>9257</v>
      </c>
      <c r="B5271" s="33" t="s">
        <v>1152</v>
      </c>
      <c r="C5271" s="39">
        <v>45827.0</v>
      </c>
      <c r="D5271" s="33" t="s">
        <v>479</v>
      </c>
      <c r="E5271" s="40">
        <v>169.63</v>
      </c>
      <c r="F5271" s="40">
        <v>1.91</v>
      </c>
      <c r="G5271" s="33" t="s">
        <v>450</v>
      </c>
    </row>
    <row r="5272" ht="15.75" customHeight="1">
      <c r="A5272" s="33" t="s">
        <v>9258</v>
      </c>
      <c r="B5272" s="33" t="s">
        <v>1346</v>
      </c>
      <c r="C5272" s="39">
        <v>46125.0</v>
      </c>
      <c r="D5272" s="33" t="s">
        <v>440</v>
      </c>
      <c r="E5272" s="40">
        <v>112.7</v>
      </c>
      <c r="F5272" s="40">
        <v>0.0</v>
      </c>
      <c r="G5272" s="33" t="s">
        <v>450</v>
      </c>
    </row>
    <row r="5273" ht="15.75" customHeight="1">
      <c r="A5273" s="33" t="s">
        <v>9259</v>
      </c>
      <c r="B5273" s="33" t="s">
        <v>2478</v>
      </c>
      <c r="C5273" s="39">
        <v>45973.0</v>
      </c>
      <c r="D5273" s="33" t="s">
        <v>461</v>
      </c>
      <c r="E5273" s="40">
        <v>18.46</v>
      </c>
      <c r="F5273" s="40">
        <v>0.24</v>
      </c>
      <c r="G5273" s="33" t="s">
        <v>450</v>
      </c>
    </row>
    <row r="5274" ht="15.75" customHeight="1">
      <c r="A5274" s="33" t="s">
        <v>9260</v>
      </c>
      <c r="B5274" s="33" t="s">
        <v>501</v>
      </c>
      <c r="C5274" s="39">
        <v>45704.0</v>
      </c>
      <c r="D5274" s="33" t="s">
        <v>479</v>
      </c>
      <c r="E5274" s="40">
        <v>203.81</v>
      </c>
      <c r="F5274" s="40">
        <v>3.12</v>
      </c>
      <c r="G5274" s="33" t="s">
        <v>431</v>
      </c>
    </row>
    <row r="5275" ht="15.75" customHeight="1">
      <c r="A5275" s="33" t="s">
        <v>9261</v>
      </c>
      <c r="B5275" s="33" t="s">
        <v>1561</v>
      </c>
      <c r="C5275" s="39">
        <v>46237.0</v>
      </c>
      <c r="D5275" s="33" t="s">
        <v>435</v>
      </c>
      <c r="E5275" s="40">
        <v>140.89</v>
      </c>
      <c r="F5275" s="40">
        <v>0.0</v>
      </c>
      <c r="G5275" s="33" t="s">
        <v>431</v>
      </c>
    </row>
    <row r="5276" ht="15.75" customHeight="1">
      <c r="A5276" s="33" t="s">
        <v>9262</v>
      </c>
      <c r="B5276" s="33" t="s">
        <v>2911</v>
      </c>
      <c r="C5276" s="39">
        <v>46260.0</v>
      </c>
      <c r="D5276" s="33" t="s">
        <v>440</v>
      </c>
      <c r="E5276" s="40">
        <v>51.86</v>
      </c>
      <c r="F5276" s="40">
        <v>0.0</v>
      </c>
      <c r="G5276" s="33" t="s">
        <v>450</v>
      </c>
    </row>
    <row r="5277" ht="15.75" customHeight="1">
      <c r="A5277" s="33" t="s">
        <v>9263</v>
      </c>
      <c r="B5277" s="33" t="s">
        <v>411</v>
      </c>
      <c r="C5277" s="39">
        <v>46186.0</v>
      </c>
      <c r="D5277" s="33" t="s">
        <v>428</v>
      </c>
      <c r="E5277" s="40">
        <v>26.01</v>
      </c>
      <c r="F5277" s="40">
        <v>0.0</v>
      </c>
      <c r="G5277" s="33" t="s">
        <v>450</v>
      </c>
    </row>
    <row r="5278" ht="15.75" customHeight="1">
      <c r="A5278" s="33" t="s">
        <v>9264</v>
      </c>
      <c r="B5278" s="33" t="s">
        <v>504</v>
      </c>
      <c r="C5278" s="39">
        <v>45946.0</v>
      </c>
      <c r="D5278" s="33" t="s">
        <v>428</v>
      </c>
      <c r="E5278" s="40">
        <v>84.17</v>
      </c>
      <c r="F5278" s="40">
        <v>0.0</v>
      </c>
      <c r="G5278" s="33" t="s">
        <v>450</v>
      </c>
    </row>
    <row r="5279" ht="15.75" customHeight="1">
      <c r="A5279" s="33" t="s">
        <v>9265</v>
      </c>
      <c r="B5279" s="33" t="s">
        <v>1174</v>
      </c>
      <c r="C5279" s="39">
        <v>45799.0</v>
      </c>
      <c r="D5279" s="33" t="s">
        <v>440</v>
      </c>
      <c r="E5279" s="40">
        <v>87.65</v>
      </c>
      <c r="F5279" s="40">
        <v>0.0</v>
      </c>
      <c r="G5279" s="33" t="s">
        <v>442</v>
      </c>
    </row>
    <row r="5280" ht="15.75" customHeight="1">
      <c r="A5280" s="33" t="s">
        <v>9266</v>
      </c>
      <c r="B5280" s="33" t="s">
        <v>733</v>
      </c>
      <c r="C5280" s="39">
        <v>45664.0</v>
      </c>
      <c r="D5280" s="33" t="s">
        <v>461</v>
      </c>
      <c r="E5280" s="40">
        <v>11.72</v>
      </c>
      <c r="F5280" s="40">
        <v>0.23</v>
      </c>
      <c r="G5280" s="33" t="s">
        <v>442</v>
      </c>
    </row>
    <row r="5281" ht="15.75" customHeight="1">
      <c r="A5281" s="33" t="s">
        <v>9267</v>
      </c>
      <c r="B5281" s="33" t="s">
        <v>3190</v>
      </c>
      <c r="C5281" s="39">
        <v>46105.0</v>
      </c>
      <c r="D5281" s="33" t="s">
        <v>435</v>
      </c>
      <c r="E5281" s="40">
        <v>79.82</v>
      </c>
      <c r="F5281" s="40">
        <v>0.0</v>
      </c>
      <c r="G5281" s="33" t="s">
        <v>431</v>
      </c>
    </row>
    <row r="5282" ht="15.75" customHeight="1">
      <c r="A5282" s="33" t="s">
        <v>9268</v>
      </c>
      <c r="B5282" s="33" t="s">
        <v>1402</v>
      </c>
      <c r="C5282" s="39">
        <v>46198.0</v>
      </c>
      <c r="D5282" s="33" t="s">
        <v>428</v>
      </c>
      <c r="E5282" s="40">
        <v>133.09</v>
      </c>
      <c r="F5282" s="40">
        <v>0.0</v>
      </c>
      <c r="G5282" s="33" t="s">
        <v>450</v>
      </c>
    </row>
    <row r="5283" ht="15.75" customHeight="1">
      <c r="A5283" s="33" t="s">
        <v>9269</v>
      </c>
      <c r="B5283" s="33" t="s">
        <v>1517</v>
      </c>
      <c r="C5283" s="39">
        <v>45721.0</v>
      </c>
      <c r="D5283" s="33" t="s">
        <v>461</v>
      </c>
      <c r="E5283" s="40">
        <v>76.66</v>
      </c>
      <c r="F5283" s="40">
        <v>1.34</v>
      </c>
      <c r="G5283" s="33" t="s">
        <v>431</v>
      </c>
    </row>
    <row r="5284" ht="15.75" customHeight="1">
      <c r="A5284" s="33" t="s">
        <v>9270</v>
      </c>
      <c r="B5284" s="33" t="s">
        <v>855</v>
      </c>
      <c r="C5284" s="39">
        <v>46073.0</v>
      </c>
      <c r="D5284" s="33" t="s">
        <v>435</v>
      </c>
      <c r="E5284" s="40">
        <v>67.6</v>
      </c>
      <c r="F5284" s="40">
        <v>0.0</v>
      </c>
      <c r="G5284" s="33" t="s">
        <v>450</v>
      </c>
    </row>
    <row r="5285" ht="15.75" customHeight="1">
      <c r="A5285" s="33" t="s">
        <v>9271</v>
      </c>
      <c r="B5285" s="33" t="s">
        <v>2669</v>
      </c>
      <c r="C5285" s="39">
        <v>45674.0</v>
      </c>
      <c r="D5285" s="33" t="s">
        <v>461</v>
      </c>
      <c r="E5285" s="40">
        <v>61.51</v>
      </c>
      <c r="F5285" s="40">
        <v>0.61</v>
      </c>
      <c r="G5285" s="33" t="s">
        <v>450</v>
      </c>
    </row>
    <row r="5286" ht="15.75" customHeight="1">
      <c r="A5286" s="33" t="s">
        <v>9272</v>
      </c>
      <c r="B5286" s="33" t="s">
        <v>4154</v>
      </c>
      <c r="C5286" s="39">
        <v>46129.0</v>
      </c>
      <c r="D5286" s="33" t="s">
        <v>479</v>
      </c>
      <c r="E5286" s="40">
        <v>36.37</v>
      </c>
      <c r="F5286" s="40">
        <v>0.25</v>
      </c>
      <c r="G5286" s="33" t="s">
        <v>450</v>
      </c>
    </row>
    <row r="5287" ht="15.75" customHeight="1">
      <c r="A5287" s="33" t="s">
        <v>9273</v>
      </c>
      <c r="B5287" s="33" t="s">
        <v>2394</v>
      </c>
      <c r="C5287" s="39">
        <v>45675.0</v>
      </c>
      <c r="D5287" s="33" t="s">
        <v>428</v>
      </c>
      <c r="E5287" s="40">
        <v>151.79</v>
      </c>
      <c r="F5287" s="40">
        <v>0.0</v>
      </c>
      <c r="G5287" s="33" t="s">
        <v>442</v>
      </c>
    </row>
    <row r="5288" ht="15.75" customHeight="1">
      <c r="A5288" s="33" t="s">
        <v>9274</v>
      </c>
      <c r="B5288" s="33" t="s">
        <v>186</v>
      </c>
      <c r="C5288" s="39">
        <v>46250.0</v>
      </c>
      <c r="D5288" s="33" t="s">
        <v>440</v>
      </c>
      <c r="E5288" s="40">
        <v>54.23</v>
      </c>
      <c r="F5288" s="40">
        <v>0.0</v>
      </c>
      <c r="G5288" s="33" t="s">
        <v>450</v>
      </c>
    </row>
    <row r="5289" ht="15.75" customHeight="1">
      <c r="A5289" s="33" t="s">
        <v>9275</v>
      </c>
      <c r="B5289" s="33" t="s">
        <v>2086</v>
      </c>
      <c r="C5289" s="39">
        <v>45761.0</v>
      </c>
      <c r="D5289" s="33" t="s">
        <v>428</v>
      </c>
      <c r="E5289" s="40">
        <v>84.11</v>
      </c>
      <c r="F5289" s="40">
        <v>0.0</v>
      </c>
      <c r="G5289" s="33" t="s">
        <v>450</v>
      </c>
    </row>
    <row r="5290" ht="15.75" customHeight="1">
      <c r="A5290" s="33" t="s">
        <v>9276</v>
      </c>
      <c r="B5290" s="33" t="s">
        <v>4154</v>
      </c>
      <c r="C5290" s="39">
        <v>45900.0</v>
      </c>
      <c r="D5290" s="33" t="s">
        <v>428</v>
      </c>
      <c r="E5290" s="40">
        <v>21.48</v>
      </c>
      <c r="F5290" s="40">
        <v>0.0</v>
      </c>
      <c r="G5290" s="33" t="s">
        <v>450</v>
      </c>
    </row>
    <row r="5291" ht="15.75" customHeight="1">
      <c r="A5291" s="33" t="s">
        <v>9277</v>
      </c>
      <c r="B5291" s="33" t="s">
        <v>1389</v>
      </c>
      <c r="C5291" s="39">
        <v>46079.0</v>
      </c>
      <c r="D5291" s="33" t="s">
        <v>440</v>
      </c>
      <c r="E5291" s="40">
        <v>65.79</v>
      </c>
      <c r="F5291" s="40">
        <v>0.0</v>
      </c>
      <c r="G5291" s="33" t="s">
        <v>431</v>
      </c>
    </row>
    <row r="5292" ht="15.75" customHeight="1">
      <c r="A5292" s="33" t="s">
        <v>9278</v>
      </c>
      <c r="B5292" s="33" t="s">
        <v>3342</v>
      </c>
      <c r="C5292" s="39">
        <v>46171.0</v>
      </c>
      <c r="D5292" s="33" t="s">
        <v>479</v>
      </c>
      <c r="E5292" s="40">
        <v>102.98</v>
      </c>
      <c r="F5292" s="40">
        <v>1.27</v>
      </c>
      <c r="G5292" s="33" t="s">
        <v>450</v>
      </c>
    </row>
    <row r="5293" ht="15.75" customHeight="1">
      <c r="A5293" s="33" t="s">
        <v>9279</v>
      </c>
      <c r="B5293" s="33" t="s">
        <v>521</v>
      </c>
      <c r="C5293" s="39">
        <v>45878.0</v>
      </c>
      <c r="D5293" s="33" t="s">
        <v>461</v>
      </c>
      <c r="E5293" s="40">
        <v>53.22</v>
      </c>
      <c r="F5293" s="40">
        <v>0.8</v>
      </c>
      <c r="G5293" s="33" t="s">
        <v>450</v>
      </c>
    </row>
    <row r="5294" ht="15.75" customHeight="1">
      <c r="A5294" s="33" t="s">
        <v>9280</v>
      </c>
      <c r="B5294" s="33" t="s">
        <v>213</v>
      </c>
      <c r="C5294" s="39">
        <v>46253.0</v>
      </c>
      <c r="D5294" s="33" t="s">
        <v>440</v>
      </c>
      <c r="E5294" s="40">
        <v>54.45</v>
      </c>
      <c r="F5294" s="40">
        <v>0.0</v>
      </c>
      <c r="G5294" s="33" t="s">
        <v>450</v>
      </c>
    </row>
    <row r="5295" ht="15.75" customHeight="1">
      <c r="A5295" s="33" t="s">
        <v>9281</v>
      </c>
      <c r="B5295" s="33" t="s">
        <v>1207</v>
      </c>
      <c r="C5295" s="39">
        <v>45667.0</v>
      </c>
      <c r="D5295" s="33" t="s">
        <v>428</v>
      </c>
      <c r="E5295" s="40">
        <v>71.11</v>
      </c>
      <c r="F5295" s="40">
        <v>0.0</v>
      </c>
      <c r="G5295" s="33" t="s">
        <v>450</v>
      </c>
    </row>
    <row r="5296" ht="15.75" customHeight="1">
      <c r="A5296" s="33" t="s">
        <v>9282</v>
      </c>
      <c r="B5296" s="33" t="s">
        <v>1014</v>
      </c>
      <c r="C5296" s="39">
        <v>45944.0</v>
      </c>
      <c r="D5296" s="33" t="s">
        <v>435</v>
      </c>
      <c r="E5296" s="40">
        <v>100.08</v>
      </c>
      <c r="F5296" s="40">
        <v>0.0</v>
      </c>
      <c r="G5296" s="33" t="s">
        <v>450</v>
      </c>
    </row>
    <row r="5297" ht="15.75" customHeight="1">
      <c r="A5297" s="33" t="s">
        <v>9283</v>
      </c>
      <c r="B5297" s="33" t="s">
        <v>3128</v>
      </c>
      <c r="C5297" s="39">
        <v>46257.0</v>
      </c>
      <c r="D5297" s="33" t="s">
        <v>440</v>
      </c>
      <c r="E5297" s="40">
        <v>79.4</v>
      </c>
      <c r="F5297" s="40">
        <v>0.0</v>
      </c>
      <c r="G5297" s="33" t="s">
        <v>450</v>
      </c>
    </row>
    <row r="5298" ht="15.75" customHeight="1">
      <c r="A5298" s="33" t="s">
        <v>9284</v>
      </c>
      <c r="B5298" s="33" t="s">
        <v>337</v>
      </c>
      <c r="C5298" s="39">
        <v>45824.0</v>
      </c>
      <c r="D5298" s="33" t="s">
        <v>479</v>
      </c>
      <c r="E5298" s="40">
        <v>253.98</v>
      </c>
      <c r="F5298" s="40">
        <v>4.52</v>
      </c>
      <c r="G5298" s="33" t="s">
        <v>450</v>
      </c>
    </row>
    <row r="5299" ht="15.75" customHeight="1">
      <c r="A5299" s="33" t="s">
        <v>9285</v>
      </c>
      <c r="B5299" s="33" t="s">
        <v>2211</v>
      </c>
      <c r="C5299" s="39">
        <v>45981.0</v>
      </c>
      <c r="D5299" s="33" t="s">
        <v>479</v>
      </c>
      <c r="E5299" s="40">
        <v>167.04</v>
      </c>
      <c r="F5299" s="40">
        <v>1.08</v>
      </c>
      <c r="G5299" s="33" t="s">
        <v>431</v>
      </c>
    </row>
    <row r="5300" ht="15.75" customHeight="1">
      <c r="A5300" s="33" t="s">
        <v>9286</v>
      </c>
      <c r="B5300" s="33" t="s">
        <v>783</v>
      </c>
      <c r="C5300" s="39">
        <v>45927.0</v>
      </c>
      <c r="D5300" s="33" t="s">
        <v>435</v>
      </c>
      <c r="E5300" s="40">
        <v>45.27</v>
      </c>
      <c r="F5300" s="40">
        <v>0.0</v>
      </c>
      <c r="G5300" s="33" t="s">
        <v>431</v>
      </c>
    </row>
    <row r="5301" ht="15.75" customHeight="1">
      <c r="A5301" s="33" t="s">
        <v>9287</v>
      </c>
      <c r="B5301" s="33" t="s">
        <v>195</v>
      </c>
      <c r="C5301" s="39">
        <v>45897.0</v>
      </c>
      <c r="D5301" s="33" t="s">
        <v>428</v>
      </c>
      <c r="E5301" s="40">
        <v>146.18</v>
      </c>
      <c r="F5301" s="40">
        <v>0.0</v>
      </c>
      <c r="G5301" s="33" t="s">
        <v>450</v>
      </c>
    </row>
    <row r="5302" ht="15.75" customHeight="1">
      <c r="A5302" s="33" t="s">
        <v>9288</v>
      </c>
      <c r="B5302" s="33" t="s">
        <v>1660</v>
      </c>
      <c r="C5302" s="39">
        <v>46124.0</v>
      </c>
      <c r="D5302" s="33" t="s">
        <v>440</v>
      </c>
      <c r="E5302" s="40">
        <v>11.49</v>
      </c>
      <c r="F5302" s="40">
        <v>0.0</v>
      </c>
      <c r="G5302" s="33" t="s">
        <v>450</v>
      </c>
    </row>
    <row r="5303" ht="15.75" customHeight="1">
      <c r="A5303" s="33" t="s">
        <v>9289</v>
      </c>
      <c r="B5303" s="33" t="s">
        <v>240</v>
      </c>
      <c r="C5303" s="39">
        <v>45972.0</v>
      </c>
      <c r="D5303" s="33" t="s">
        <v>435</v>
      </c>
      <c r="E5303" s="40">
        <v>57.06</v>
      </c>
      <c r="F5303" s="40">
        <v>0.0</v>
      </c>
      <c r="G5303" s="33" t="s">
        <v>450</v>
      </c>
    </row>
    <row r="5304" ht="15.75" customHeight="1">
      <c r="A5304" s="33" t="s">
        <v>9290</v>
      </c>
      <c r="B5304" s="33" t="s">
        <v>1637</v>
      </c>
      <c r="C5304" s="39">
        <v>46091.0</v>
      </c>
      <c r="D5304" s="33" t="s">
        <v>479</v>
      </c>
      <c r="E5304" s="40">
        <v>16.97</v>
      </c>
      <c r="F5304" s="40">
        <v>0.28</v>
      </c>
      <c r="G5304" s="33" t="s">
        <v>450</v>
      </c>
    </row>
    <row r="5305" ht="15.75" customHeight="1">
      <c r="A5305" s="33" t="s">
        <v>9291</v>
      </c>
      <c r="B5305" s="33" t="s">
        <v>817</v>
      </c>
      <c r="C5305" s="39">
        <v>45973.0</v>
      </c>
      <c r="D5305" s="33" t="s">
        <v>428</v>
      </c>
      <c r="E5305" s="40">
        <v>108.09</v>
      </c>
      <c r="F5305" s="40">
        <v>0.0</v>
      </c>
      <c r="G5305" s="33" t="s">
        <v>431</v>
      </c>
    </row>
    <row r="5306" ht="15.75" customHeight="1">
      <c r="A5306" s="33" t="s">
        <v>9292</v>
      </c>
      <c r="B5306" s="33" t="s">
        <v>3807</v>
      </c>
      <c r="C5306" s="39">
        <v>46263.0</v>
      </c>
      <c r="D5306" s="33" t="s">
        <v>435</v>
      </c>
      <c r="E5306" s="40">
        <v>53.23</v>
      </c>
      <c r="F5306" s="40">
        <v>0.0</v>
      </c>
      <c r="G5306" s="33" t="s">
        <v>450</v>
      </c>
    </row>
    <row r="5307" ht="15.75" customHeight="1">
      <c r="A5307" s="33" t="s">
        <v>9293</v>
      </c>
      <c r="B5307" s="33" t="s">
        <v>633</v>
      </c>
      <c r="C5307" s="39">
        <v>45943.0</v>
      </c>
      <c r="D5307" s="33" t="s">
        <v>479</v>
      </c>
      <c r="E5307" s="40">
        <v>24.56</v>
      </c>
      <c r="F5307" s="40">
        <v>0.44</v>
      </c>
      <c r="G5307" s="33" t="s">
        <v>450</v>
      </c>
    </row>
    <row r="5308" ht="15.75" customHeight="1">
      <c r="A5308" s="33" t="s">
        <v>9294</v>
      </c>
      <c r="B5308" s="33" t="s">
        <v>1979</v>
      </c>
      <c r="C5308" s="39">
        <v>46141.0</v>
      </c>
      <c r="D5308" s="33" t="s">
        <v>428</v>
      </c>
      <c r="E5308" s="40">
        <v>124.13</v>
      </c>
      <c r="F5308" s="40">
        <v>0.0</v>
      </c>
      <c r="G5308" s="33" t="s">
        <v>431</v>
      </c>
    </row>
    <row r="5309" ht="15.75" customHeight="1">
      <c r="A5309" s="33" t="s">
        <v>9295</v>
      </c>
      <c r="B5309" s="33" t="s">
        <v>3055</v>
      </c>
      <c r="C5309" s="39">
        <v>46030.0</v>
      </c>
      <c r="D5309" s="33" t="s">
        <v>428</v>
      </c>
      <c r="E5309" s="40">
        <v>27.88</v>
      </c>
      <c r="F5309" s="40">
        <v>0.0</v>
      </c>
      <c r="G5309" s="33" t="s">
        <v>450</v>
      </c>
    </row>
    <row r="5310" ht="15.75" customHeight="1">
      <c r="A5310" s="33" t="s">
        <v>9296</v>
      </c>
      <c r="B5310" s="33" t="s">
        <v>1998</v>
      </c>
      <c r="C5310" s="39">
        <v>46144.0</v>
      </c>
      <c r="D5310" s="33" t="s">
        <v>435</v>
      </c>
      <c r="E5310" s="40">
        <v>115.94</v>
      </c>
      <c r="F5310" s="40">
        <v>0.0</v>
      </c>
      <c r="G5310" s="33" t="s">
        <v>442</v>
      </c>
    </row>
    <row r="5311" ht="15.75" customHeight="1">
      <c r="A5311" s="33" t="s">
        <v>9297</v>
      </c>
      <c r="B5311" s="33" t="s">
        <v>426</v>
      </c>
      <c r="C5311" s="39">
        <v>46195.0</v>
      </c>
      <c r="D5311" s="33" t="s">
        <v>461</v>
      </c>
      <c r="E5311" s="40">
        <v>86.07</v>
      </c>
      <c r="F5311" s="40">
        <v>1.42</v>
      </c>
      <c r="G5311" s="33" t="s">
        <v>450</v>
      </c>
    </row>
    <row r="5312" ht="15.75" customHeight="1">
      <c r="A5312" s="33" t="s">
        <v>9298</v>
      </c>
      <c r="B5312" s="33" t="s">
        <v>2154</v>
      </c>
      <c r="C5312" s="39">
        <v>45795.0</v>
      </c>
      <c r="D5312" s="33" t="s">
        <v>428</v>
      </c>
      <c r="E5312" s="40">
        <v>61.26</v>
      </c>
      <c r="F5312" s="40">
        <v>0.0</v>
      </c>
      <c r="G5312" s="33" t="s">
        <v>431</v>
      </c>
    </row>
    <row r="5313" ht="15.75" customHeight="1">
      <c r="A5313" s="33" t="s">
        <v>9299</v>
      </c>
      <c r="B5313" s="33" t="s">
        <v>1884</v>
      </c>
      <c r="C5313" s="39">
        <v>45841.0</v>
      </c>
      <c r="D5313" s="33" t="s">
        <v>461</v>
      </c>
      <c r="E5313" s="40">
        <v>135.68</v>
      </c>
      <c r="F5313" s="40">
        <v>2.32</v>
      </c>
      <c r="G5313" s="33" t="s">
        <v>431</v>
      </c>
    </row>
    <row r="5314" ht="15.75" customHeight="1">
      <c r="A5314" s="33" t="s">
        <v>9300</v>
      </c>
      <c r="B5314" s="33" t="s">
        <v>543</v>
      </c>
      <c r="C5314" s="39">
        <v>45841.0</v>
      </c>
      <c r="D5314" s="33" t="s">
        <v>461</v>
      </c>
      <c r="E5314" s="40">
        <v>32.98</v>
      </c>
      <c r="F5314" s="40">
        <v>0.65</v>
      </c>
      <c r="G5314" s="33" t="s">
        <v>431</v>
      </c>
    </row>
    <row r="5315" ht="15.75" customHeight="1">
      <c r="A5315" s="33" t="s">
        <v>9301</v>
      </c>
      <c r="B5315" s="33" t="s">
        <v>533</v>
      </c>
      <c r="C5315" s="39">
        <v>45953.0</v>
      </c>
      <c r="D5315" s="33" t="s">
        <v>461</v>
      </c>
      <c r="E5315" s="40">
        <v>13.64</v>
      </c>
      <c r="F5315" s="40">
        <v>0.2</v>
      </c>
      <c r="G5315" s="33" t="s">
        <v>442</v>
      </c>
    </row>
    <row r="5316" ht="15.75" customHeight="1">
      <c r="A5316" s="33" t="s">
        <v>9302</v>
      </c>
      <c r="B5316" s="33" t="s">
        <v>526</v>
      </c>
      <c r="C5316" s="39">
        <v>45956.0</v>
      </c>
      <c r="D5316" s="33" t="s">
        <v>479</v>
      </c>
      <c r="E5316" s="40">
        <v>26.29</v>
      </c>
      <c r="F5316" s="40">
        <v>0.23</v>
      </c>
      <c r="G5316" s="33" t="s">
        <v>431</v>
      </c>
    </row>
    <row r="5317" ht="15.75" customHeight="1">
      <c r="A5317" s="33" t="s">
        <v>9303</v>
      </c>
      <c r="B5317" s="33" t="s">
        <v>1127</v>
      </c>
      <c r="C5317" s="39">
        <v>45660.0</v>
      </c>
      <c r="D5317" s="33" t="s">
        <v>435</v>
      </c>
      <c r="E5317" s="40">
        <v>251.83</v>
      </c>
      <c r="F5317" s="40">
        <v>0.0</v>
      </c>
      <c r="G5317" s="33" t="s">
        <v>442</v>
      </c>
    </row>
    <row r="5318" ht="15.75" customHeight="1">
      <c r="A5318" s="33" t="s">
        <v>9304</v>
      </c>
      <c r="B5318" s="33" t="s">
        <v>1743</v>
      </c>
      <c r="C5318" s="39">
        <v>46201.0</v>
      </c>
      <c r="D5318" s="33" t="s">
        <v>461</v>
      </c>
      <c r="E5318" s="40">
        <v>36.77</v>
      </c>
      <c r="F5318" s="40">
        <v>0.62</v>
      </c>
      <c r="G5318" s="33" t="s">
        <v>450</v>
      </c>
    </row>
    <row r="5319" ht="15.75" customHeight="1">
      <c r="A5319" s="33" t="s">
        <v>9305</v>
      </c>
      <c r="B5319" s="33" t="s">
        <v>1576</v>
      </c>
      <c r="C5319" s="39">
        <v>46179.0</v>
      </c>
      <c r="D5319" s="33" t="s">
        <v>461</v>
      </c>
      <c r="E5319" s="40">
        <v>50.87</v>
      </c>
      <c r="F5319" s="40">
        <v>1.01</v>
      </c>
      <c r="G5319" s="33" t="s">
        <v>431</v>
      </c>
    </row>
    <row r="5320" ht="15.75" customHeight="1">
      <c r="A5320" s="33" t="s">
        <v>9306</v>
      </c>
      <c r="B5320" s="33" t="s">
        <v>501</v>
      </c>
      <c r="C5320" s="39">
        <v>46022.0</v>
      </c>
      <c r="D5320" s="33" t="s">
        <v>428</v>
      </c>
      <c r="E5320" s="40">
        <v>192.48</v>
      </c>
      <c r="F5320" s="40">
        <v>0.0</v>
      </c>
      <c r="G5320" s="33" t="s">
        <v>450</v>
      </c>
    </row>
    <row r="5321" ht="15.75" customHeight="1">
      <c r="A5321" s="33" t="s">
        <v>9307</v>
      </c>
      <c r="B5321" s="33" t="s">
        <v>1314</v>
      </c>
      <c r="C5321" s="39">
        <v>45843.0</v>
      </c>
      <c r="D5321" s="33" t="s">
        <v>428</v>
      </c>
      <c r="E5321" s="40">
        <v>50.93</v>
      </c>
      <c r="F5321" s="40">
        <v>0.0</v>
      </c>
      <c r="G5321" s="33" t="s">
        <v>431</v>
      </c>
    </row>
    <row r="5322" ht="15.75" customHeight="1">
      <c r="A5322" s="33" t="s">
        <v>9308</v>
      </c>
      <c r="B5322" s="33" t="s">
        <v>1462</v>
      </c>
      <c r="C5322" s="39">
        <v>46159.0</v>
      </c>
      <c r="D5322" s="33" t="s">
        <v>440</v>
      </c>
      <c r="E5322" s="40">
        <v>110.24</v>
      </c>
      <c r="F5322" s="40">
        <v>0.0</v>
      </c>
      <c r="G5322" s="33" t="s">
        <v>431</v>
      </c>
    </row>
    <row r="5323" ht="15.75" customHeight="1">
      <c r="A5323" s="33" t="s">
        <v>9309</v>
      </c>
      <c r="B5323" s="33" t="s">
        <v>543</v>
      </c>
      <c r="C5323" s="39">
        <v>45822.0</v>
      </c>
      <c r="D5323" s="33" t="s">
        <v>428</v>
      </c>
      <c r="E5323" s="40">
        <v>207.21</v>
      </c>
      <c r="F5323" s="40">
        <v>0.0</v>
      </c>
      <c r="G5323" s="33" t="s">
        <v>450</v>
      </c>
    </row>
    <row r="5324" ht="15.75" customHeight="1">
      <c r="A5324" s="33" t="s">
        <v>9310</v>
      </c>
      <c r="B5324" s="33" t="s">
        <v>1711</v>
      </c>
      <c r="C5324" s="39">
        <v>45843.0</v>
      </c>
      <c r="D5324" s="33" t="s">
        <v>435</v>
      </c>
      <c r="E5324" s="40">
        <v>97.96</v>
      </c>
      <c r="F5324" s="40">
        <v>0.0</v>
      </c>
      <c r="G5324" s="33" t="s">
        <v>450</v>
      </c>
    </row>
    <row r="5325" ht="15.75" customHeight="1">
      <c r="A5325" s="33" t="s">
        <v>9311</v>
      </c>
      <c r="B5325" s="33" t="s">
        <v>838</v>
      </c>
      <c r="C5325" s="39">
        <v>46263.0</v>
      </c>
      <c r="D5325" s="33" t="s">
        <v>428</v>
      </c>
      <c r="E5325" s="40">
        <v>69.77</v>
      </c>
      <c r="F5325" s="40">
        <v>0.0</v>
      </c>
      <c r="G5325" s="33" t="s">
        <v>450</v>
      </c>
    </row>
    <row r="5326" ht="15.75" customHeight="1">
      <c r="A5326" s="33" t="s">
        <v>9312</v>
      </c>
      <c r="B5326" s="33" t="s">
        <v>530</v>
      </c>
      <c r="C5326" s="39">
        <v>46218.0</v>
      </c>
      <c r="D5326" s="33" t="s">
        <v>435</v>
      </c>
      <c r="E5326" s="40">
        <v>126.94</v>
      </c>
      <c r="F5326" s="40">
        <v>0.0</v>
      </c>
      <c r="G5326" s="33" t="s">
        <v>450</v>
      </c>
    </row>
    <row r="5327" ht="15.75" customHeight="1">
      <c r="A5327" s="33" t="s">
        <v>9313</v>
      </c>
      <c r="B5327" s="33" t="s">
        <v>1043</v>
      </c>
      <c r="C5327" s="39">
        <v>46012.0</v>
      </c>
      <c r="D5327" s="33" t="s">
        <v>461</v>
      </c>
      <c r="E5327" s="40">
        <v>7.43</v>
      </c>
      <c r="F5327" s="40">
        <v>0.14</v>
      </c>
      <c r="G5327" s="33" t="s">
        <v>442</v>
      </c>
    </row>
    <row r="5328" ht="15.75" customHeight="1">
      <c r="A5328" s="33" t="s">
        <v>9314</v>
      </c>
      <c r="B5328" s="33" t="s">
        <v>1977</v>
      </c>
      <c r="C5328" s="39">
        <v>45760.0</v>
      </c>
      <c r="D5328" s="33" t="s">
        <v>461</v>
      </c>
      <c r="E5328" s="40">
        <v>50.4</v>
      </c>
      <c r="F5328" s="40">
        <v>0.89</v>
      </c>
      <c r="G5328" s="33" t="s">
        <v>450</v>
      </c>
    </row>
    <row r="5329" ht="15.75" customHeight="1">
      <c r="A5329" s="33" t="s">
        <v>9315</v>
      </c>
      <c r="B5329" s="33" t="s">
        <v>728</v>
      </c>
      <c r="C5329" s="39">
        <v>45732.0</v>
      </c>
      <c r="D5329" s="33" t="s">
        <v>461</v>
      </c>
      <c r="E5329" s="40">
        <v>168.94</v>
      </c>
      <c r="F5329" s="40">
        <v>3.04</v>
      </c>
      <c r="G5329" s="33" t="s">
        <v>442</v>
      </c>
    </row>
    <row r="5330" ht="15.75" customHeight="1">
      <c r="A5330" s="33" t="s">
        <v>9316</v>
      </c>
      <c r="B5330" s="33" t="s">
        <v>1887</v>
      </c>
      <c r="C5330" s="39">
        <v>46243.0</v>
      </c>
      <c r="D5330" s="33" t="s">
        <v>428</v>
      </c>
      <c r="E5330" s="40">
        <v>37.17</v>
      </c>
      <c r="F5330" s="40">
        <v>0.0</v>
      </c>
      <c r="G5330" s="33" t="s">
        <v>450</v>
      </c>
    </row>
    <row r="5331" ht="15.75" customHeight="1">
      <c r="A5331" s="33" t="s">
        <v>9317</v>
      </c>
      <c r="B5331" s="33" t="s">
        <v>1135</v>
      </c>
      <c r="C5331" s="39">
        <v>45819.0</v>
      </c>
      <c r="D5331" s="33" t="s">
        <v>479</v>
      </c>
      <c r="E5331" s="40">
        <v>79.12</v>
      </c>
      <c r="F5331" s="40">
        <v>0.85</v>
      </c>
      <c r="G5331" s="33" t="s">
        <v>450</v>
      </c>
    </row>
    <row r="5332" ht="15.75" customHeight="1">
      <c r="A5332" s="33" t="s">
        <v>9318</v>
      </c>
      <c r="B5332" s="33" t="s">
        <v>206</v>
      </c>
      <c r="C5332" s="39">
        <v>46071.0</v>
      </c>
      <c r="D5332" s="33" t="s">
        <v>435</v>
      </c>
      <c r="E5332" s="40">
        <v>111.17</v>
      </c>
      <c r="F5332" s="40">
        <v>0.0</v>
      </c>
      <c r="G5332" s="33" t="s">
        <v>450</v>
      </c>
    </row>
    <row r="5333" ht="15.75" customHeight="1">
      <c r="A5333" s="33" t="s">
        <v>9319</v>
      </c>
      <c r="B5333" s="33" t="s">
        <v>1031</v>
      </c>
      <c r="C5333" s="39">
        <v>45872.0</v>
      </c>
      <c r="D5333" s="33" t="s">
        <v>461</v>
      </c>
      <c r="E5333" s="40">
        <v>55.9</v>
      </c>
      <c r="F5333" s="40">
        <v>0.42</v>
      </c>
      <c r="G5333" s="33" t="s">
        <v>431</v>
      </c>
    </row>
    <row r="5334" ht="15.75" customHeight="1">
      <c r="A5334" s="33" t="s">
        <v>9320</v>
      </c>
      <c r="B5334" s="33" t="s">
        <v>1372</v>
      </c>
      <c r="C5334" s="39">
        <v>45959.0</v>
      </c>
      <c r="D5334" s="33" t="s">
        <v>440</v>
      </c>
      <c r="E5334" s="40">
        <v>112.2</v>
      </c>
      <c r="F5334" s="40">
        <v>0.0</v>
      </c>
      <c r="G5334" s="33" t="s">
        <v>450</v>
      </c>
    </row>
    <row r="5335" ht="15.75" customHeight="1">
      <c r="A5335" s="33" t="s">
        <v>9321</v>
      </c>
      <c r="B5335" s="33" t="s">
        <v>367</v>
      </c>
      <c r="C5335" s="39">
        <v>46256.0</v>
      </c>
      <c r="D5335" s="33" t="s">
        <v>461</v>
      </c>
      <c r="E5335" s="40">
        <v>86.5</v>
      </c>
      <c r="F5335" s="40">
        <v>0.75</v>
      </c>
      <c r="G5335" s="33" t="s">
        <v>450</v>
      </c>
    </row>
    <row r="5336" ht="15.75" customHeight="1">
      <c r="A5336" s="33" t="s">
        <v>9322</v>
      </c>
      <c r="B5336" s="33" t="s">
        <v>1640</v>
      </c>
      <c r="C5336" s="39">
        <v>46017.0</v>
      </c>
      <c r="D5336" s="33" t="s">
        <v>440</v>
      </c>
      <c r="E5336" s="40">
        <v>386.92</v>
      </c>
      <c r="F5336" s="40">
        <v>0.0</v>
      </c>
      <c r="G5336" s="33" t="s">
        <v>442</v>
      </c>
    </row>
    <row r="5337" ht="15.75" customHeight="1">
      <c r="A5337" s="33" t="s">
        <v>9323</v>
      </c>
      <c r="B5337" s="33" t="s">
        <v>633</v>
      </c>
      <c r="C5337" s="39">
        <v>45919.0</v>
      </c>
      <c r="D5337" s="33" t="s">
        <v>435</v>
      </c>
      <c r="E5337" s="40">
        <v>128.59</v>
      </c>
      <c r="F5337" s="40">
        <v>0.0</v>
      </c>
      <c r="G5337" s="33" t="s">
        <v>450</v>
      </c>
    </row>
    <row r="5338" ht="15.75" customHeight="1">
      <c r="A5338" s="33" t="s">
        <v>9324</v>
      </c>
      <c r="B5338" s="33" t="s">
        <v>4533</v>
      </c>
      <c r="C5338" s="39">
        <v>45910.0</v>
      </c>
      <c r="D5338" s="33" t="s">
        <v>461</v>
      </c>
      <c r="E5338" s="40">
        <v>86.56</v>
      </c>
      <c r="F5338" s="40">
        <v>1.2</v>
      </c>
      <c r="G5338" s="33" t="s">
        <v>450</v>
      </c>
    </row>
    <row r="5339" ht="15.75" customHeight="1">
      <c r="A5339" s="33" t="s">
        <v>9325</v>
      </c>
      <c r="B5339" s="33" t="s">
        <v>3048</v>
      </c>
      <c r="C5339" s="39">
        <v>45797.0</v>
      </c>
      <c r="D5339" s="33" t="s">
        <v>435</v>
      </c>
      <c r="E5339" s="40">
        <v>9.74</v>
      </c>
      <c r="F5339" s="40">
        <v>0.0</v>
      </c>
      <c r="G5339" s="33" t="s">
        <v>450</v>
      </c>
    </row>
    <row r="5340" ht="15.75" customHeight="1">
      <c r="A5340" s="33" t="s">
        <v>9326</v>
      </c>
      <c r="B5340" s="33" t="s">
        <v>268</v>
      </c>
      <c r="C5340" s="39">
        <v>45995.0</v>
      </c>
      <c r="D5340" s="33" t="s">
        <v>440</v>
      </c>
      <c r="E5340" s="40">
        <v>39.89</v>
      </c>
      <c r="F5340" s="40">
        <v>0.0</v>
      </c>
      <c r="G5340" s="33" t="s">
        <v>442</v>
      </c>
    </row>
    <row r="5341" ht="15.75" customHeight="1">
      <c r="A5341" s="33" t="s">
        <v>9327</v>
      </c>
      <c r="B5341" s="33" t="s">
        <v>668</v>
      </c>
      <c r="C5341" s="39">
        <v>46003.0</v>
      </c>
      <c r="D5341" s="33" t="s">
        <v>461</v>
      </c>
      <c r="E5341" s="40">
        <v>28.44</v>
      </c>
      <c r="F5341" s="40">
        <v>0.24</v>
      </c>
      <c r="G5341" s="33" t="s">
        <v>431</v>
      </c>
    </row>
    <row r="5342" ht="15.75" customHeight="1">
      <c r="A5342" s="33" t="s">
        <v>9328</v>
      </c>
      <c r="B5342" s="33" t="s">
        <v>2678</v>
      </c>
      <c r="C5342" s="39">
        <v>45715.0</v>
      </c>
      <c r="D5342" s="33" t="s">
        <v>428</v>
      </c>
      <c r="E5342" s="40">
        <v>188.99</v>
      </c>
      <c r="F5342" s="40">
        <v>0.0</v>
      </c>
      <c r="G5342" s="33" t="s">
        <v>450</v>
      </c>
    </row>
    <row r="5343" ht="15.75" customHeight="1">
      <c r="A5343" s="33" t="s">
        <v>9329</v>
      </c>
      <c r="B5343" s="33" t="s">
        <v>1620</v>
      </c>
      <c r="C5343" s="39">
        <v>45903.0</v>
      </c>
      <c r="D5343" s="33" t="s">
        <v>440</v>
      </c>
      <c r="E5343" s="40">
        <v>25.18</v>
      </c>
      <c r="F5343" s="40">
        <v>0.0</v>
      </c>
      <c r="G5343" s="33" t="s">
        <v>450</v>
      </c>
    </row>
    <row r="5344" ht="15.75" customHeight="1">
      <c r="A5344" s="33" t="s">
        <v>9330</v>
      </c>
      <c r="B5344" s="33" t="s">
        <v>992</v>
      </c>
      <c r="C5344" s="39">
        <v>46049.0</v>
      </c>
      <c r="D5344" s="33" t="s">
        <v>440</v>
      </c>
      <c r="E5344" s="40">
        <v>55.16</v>
      </c>
      <c r="F5344" s="40">
        <v>0.0</v>
      </c>
      <c r="G5344" s="33" t="s">
        <v>431</v>
      </c>
    </row>
    <row r="5345" ht="15.75" customHeight="1">
      <c r="A5345" s="33" t="s">
        <v>9331</v>
      </c>
      <c r="B5345" s="33" t="s">
        <v>2255</v>
      </c>
      <c r="C5345" s="39">
        <v>45691.0</v>
      </c>
      <c r="D5345" s="33" t="s">
        <v>440</v>
      </c>
      <c r="E5345" s="40">
        <v>94.11</v>
      </c>
      <c r="F5345" s="40">
        <v>0.0</v>
      </c>
      <c r="G5345" s="33" t="s">
        <v>450</v>
      </c>
    </row>
    <row r="5346" ht="15.75" customHeight="1">
      <c r="A5346" s="33" t="s">
        <v>9332</v>
      </c>
      <c r="B5346" s="33" t="s">
        <v>3305</v>
      </c>
      <c r="C5346" s="39">
        <v>46250.0</v>
      </c>
      <c r="D5346" s="33" t="s">
        <v>479</v>
      </c>
      <c r="E5346" s="40">
        <v>46.27</v>
      </c>
      <c r="F5346" s="40">
        <v>0.71</v>
      </c>
      <c r="G5346" s="33" t="s">
        <v>450</v>
      </c>
    </row>
    <row r="5347" ht="15.75" customHeight="1">
      <c r="A5347" s="33" t="s">
        <v>9333</v>
      </c>
      <c r="B5347" s="33" t="s">
        <v>2276</v>
      </c>
      <c r="C5347" s="39">
        <v>46180.0</v>
      </c>
      <c r="D5347" s="33" t="s">
        <v>435</v>
      </c>
      <c r="E5347" s="40">
        <v>52.74</v>
      </c>
      <c r="F5347" s="40">
        <v>0.0</v>
      </c>
      <c r="G5347" s="33" t="s">
        <v>450</v>
      </c>
    </row>
    <row r="5348" ht="15.75" customHeight="1">
      <c r="A5348" s="33" t="s">
        <v>9334</v>
      </c>
      <c r="B5348" s="33" t="s">
        <v>2447</v>
      </c>
      <c r="C5348" s="39">
        <v>46044.0</v>
      </c>
      <c r="D5348" s="33" t="s">
        <v>479</v>
      </c>
      <c r="E5348" s="40">
        <v>86.56</v>
      </c>
      <c r="F5348" s="40">
        <v>1.38</v>
      </c>
      <c r="G5348" s="33" t="s">
        <v>450</v>
      </c>
    </row>
    <row r="5349" ht="15.75" customHeight="1">
      <c r="A5349" s="33" t="s">
        <v>9335</v>
      </c>
      <c r="B5349" s="33" t="s">
        <v>1010</v>
      </c>
      <c r="C5349" s="39">
        <v>45667.0</v>
      </c>
      <c r="D5349" s="33" t="s">
        <v>428</v>
      </c>
      <c r="E5349" s="40">
        <v>37.16</v>
      </c>
      <c r="F5349" s="40">
        <v>0.0</v>
      </c>
      <c r="G5349" s="33" t="s">
        <v>431</v>
      </c>
    </row>
    <row r="5350" ht="15.75" customHeight="1">
      <c r="A5350" s="33" t="s">
        <v>9336</v>
      </c>
      <c r="B5350" s="33" t="s">
        <v>2123</v>
      </c>
      <c r="C5350" s="39">
        <v>45972.0</v>
      </c>
      <c r="D5350" s="33" t="s">
        <v>435</v>
      </c>
      <c r="E5350" s="40">
        <v>78.82</v>
      </c>
      <c r="F5350" s="40">
        <v>0.0</v>
      </c>
      <c r="G5350" s="33" t="s">
        <v>442</v>
      </c>
    </row>
    <row r="5351" ht="15.75" customHeight="1">
      <c r="A5351" s="33" t="s">
        <v>9337</v>
      </c>
      <c r="B5351" s="33" t="s">
        <v>913</v>
      </c>
      <c r="C5351" s="39">
        <v>46203.0</v>
      </c>
      <c r="D5351" s="33" t="s">
        <v>428</v>
      </c>
      <c r="E5351" s="40">
        <v>124.05</v>
      </c>
      <c r="F5351" s="40">
        <v>0.0</v>
      </c>
      <c r="G5351" s="33" t="s">
        <v>450</v>
      </c>
    </row>
    <row r="5352" ht="15.75" customHeight="1">
      <c r="A5352" s="33" t="s">
        <v>9338</v>
      </c>
      <c r="B5352" s="33" t="s">
        <v>352</v>
      </c>
      <c r="C5352" s="39">
        <v>45671.0</v>
      </c>
      <c r="D5352" s="33" t="s">
        <v>479</v>
      </c>
      <c r="E5352" s="40">
        <v>42.24</v>
      </c>
      <c r="F5352" s="40">
        <v>0.62</v>
      </c>
      <c r="G5352" s="33" t="s">
        <v>450</v>
      </c>
    </row>
    <row r="5353" ht="15.75" customHeight="1">
      <c r="A5353" s="33" t="s">
        <v>9339</v>
      </c>
      <c r="B5353" s="33" t="s">
        <v>2264</v>
      </c>
      <c r="C5353" s="39">
        <v>46138.0</v>
      </c>
      <c r="D5353" s="33" t="s">
        <v>461</v>
      </c>
      <c r="E5353" s="40">
        <v>27.45</v>
      </c>
      <c r="F5353" s="40">
        <v>0.48</v>
      </c>
      <c r="G5353" s="33" t="s">
        <v>450</v>
      </c>
    </row>
    <row r="5354" ht="15.75" customHeight="1">
      <c r="A5354" s="33" t="s">
        <v>9340</v>
      </c>
      <c r="B5354" s="33" t="s">
        <v>300</v>
      </c>
      <c r="C5354" s="39">
        <v>46167.0</v>
      </c>
      <c r="D5354" s="33" t="s">
        <v>461</v>
      </c>
      <c r="E5354" s="40">
        <v>216.81</v>
      </c>
      <c r="F5354" s="40">
        <v>1.6</v>
      </c>
      <c r="G5354" s="33" t="s">
        <v>450</v>
      </c>
    </row>
    <row r="5355" ht="15.75" customHeight="1">
      <c r="A5355" s="33" t="s">
        <v>9341</v>
      </c>
      <c r="B5355" s="33" t="s">
        <v>483</v>
      </c>
      <c r="C5355" s="39">
        <v>45704.0</v>
      </c>
      <c r="D5355" s="33" t="s">
        <v>428</v>
      </c>
      <c r="E5355" s="40">
        <v>218.89</v>
      </c>
      <c r="F5355" s="40">
        <v>0.0</v>
      </c>
      <c r="G5355" s="33" t="s">
        <v>431</v>
      </c>
    </row>
    <row r="5356" ht="15.75" customHeight="1">
      <c r="A5356" s="33" t="s">
        <v>9342</v>
      </c>
      <c r="B5356" s="33" t="s">
        <v>1087</v>
      </c>
      <c r="C5356" s="39">
        <v>45797.0</v>
      </c>
      <c r="D5356" s="33" t="s">
        <v>461</v>
      </c>
      <c r="E5356" s="40">
        <v>67.47</v>
      </c>
      <c r="F5356" s="40">
        <v>0.86</v>
      </c>
      <c r="G5356" s="33" t="s">
        <v>442</v>
      </c>
    </row>
    <row r="5357" ht="15.75" customHeight="1">
      <c r="A5357" s="33" t="s">
        <v>9343</v>
      </c>
      <c r="B5357" s="33" t="s">
        <v>1346</v>
      </c>
      <c r="C5357" s="39">
        <v>46097.0</v>
      </c>
      <c r="D5357" s="33" t="s">
        <v>428</v>
      </c>
      <c r="E5357" s="40">
        <v>77.04</v>
      </c>
      <c r="F5357" s="40">
        <v>0.0</v>
      </c>
      <c r="G5357" s="33" t="s">
        <v>442</v>
      </c>
    </row>
    <row r="5358" ht="15.75" customHeight="1">
      <c r="A5358" s="33" t="s">
        <v>9344</v>
      </c>
      <c r="B5358" s="33" t="s">
        <v>2327</v>
      </c>
      <c r="C5358" s="39">
        <v>46211.0</v>
      </c>
      <c r="D5358" s="33" t="s">
        <v>440</v>
      </c>
      <c r="E5358" s="40">
        <v>76.52</v>
      </c>
      <c r="F5358" s="40">
        <v>0.0</v>
      </c>
      <c r="G5358" s="33" t="s">
        <v>431</v>
      </c>
    </row>
    <row r="5359" ht="15.75" customHeight="1">
      <c r="A5359" s="33" t="s">
        <v>9345</v>
      </c>
      <c r="B5359" s="33" t="s">
        <v>3687</v>
      </c>
      <c r="C5359" s="39">
        <v>46125.0</v>
      </c>
      <c r="D5359" s="33" t="s">
        <v>440</v>
      </c>
      <c r="E5359" s="40">
        <v>49.95</v>
      </c>
      <c r="F5359" s="40">
        <v>0.0</v>
      </c>
      <c r="G5359" s="33" t="s">
        <v>450</v>
      </c>
    </row>
    <row r="5360" ht="15.75" customHeight="1">
      <c r="A5360" s="33" t="s">
        <v>9346</v>
      </c>
      <c r="B5360" s="33" t="s">
        <v>1051</v>
      </c>
      <c r="C5360" s="39">
        <v>45977.0</v>
      </c>
      <c r="D5360" s="33" t="s">
        <v>461</v>
      </c>
      <c r="E5360" s="40">
        <v>66.12</v>
      </c>
      <c r="F5360" s="40">
        <v>0.68</v>
      </c>
      <c r="G5360" s="33" t="s">
        <v>431</v>
      </c>
    </row>
    <row r="5361" ht="15.75" customHeight="1">
      <c r="A5361" s="33" t="s">
        <v>9347</v>
      </c>
      <c r="B5361" s="33" t="s">
        <v>299</v>
      </c>
      <c r="C5361" s="39">
        <v>46023.0</v>
      </c>
      <c r="D5361" s="33" t="s">
        <v>435</v>
      </c>
      <c r="E5361" s="40">
        <v>9.96</v>
      </c>
      <c r="F5361" s="40">
        <v>0.0</v>
      </c>
      <c r="G5361" s="33" t="s">
        <v>450</v>
      </c>
    </row>
    <row r="5362" ht="15.75" customHeight="1">
      <c r="A5362" s="33" t="s">
        <v>9348</v>
      </c>
      <c r="B5362" s="33" t="s">
        <v>3055</v>
      </c>
      <c r="C5362" s="39">
        <v>45976.0</v>
      </c>
      <c r="D5362" s="33" t="s">
        <v>435</v>
      </c>
      <c r="E5362" s="40">
        <v>19.95</v>
      </c>
      <c r="F5362" s="40">
        <v>0.0</v>
      </c>
      <c r="G5362" s="33" t="s">
        <v>450</v>
      </c>
    </row>
    <row r="5363" ht="15.75" customHeight="1">
      <c r="A5363" s="33" t="s">
        <v>9349</v>
      </c>
      <c r="B5363" s="33" t="s">
        <v>3295</v>
      </c>
      <c r="C5363" s="39">
        <v>46008.0</v>
      </c>
      <c r="D5363" s="33" t="s">
        <v>440</v>
      </c>
      <c r="E5363" s="40">
        <v>53.0</v>
      </c>
      <c r="F5363" s="40">
        <v>0.0</v>
      </c>
      <c r="G5363" s="33" t="s">
        <v>442</v>
      </c>
    </row>
    <row r="5364" ht="15.75" customHeight="1">
      <c r="A5364" s="33" t="s">
        <v>9350</v>
      </c>
      <c r="B5364" s="33" t="s">
        <v>1842</v>
      </c>
      <c r="C5364" s="39">
        <v>46125.0</v>
      </c>
      <c r="D5364" s="33" t="s">
        <v>440</v>
      </c>
      <c r="E5364" s="40">
        <v>42.58</v>
      </c>
      <c r="F5364" s="40">
        <v>0.0</v>
      </c>
      <c r="G5364" s="33" t="s">
        <v>450</v>
      </c>
    </row>
    <row r="5365" ht="15.75" customHeight="1">
      <c r="A5365" s="33" t="s">
        <v>9351</v>
      </c>
      <c r="B5365" s="33" t="s">
        <v>300</v>
      </c>
      <c r="C5365" s="39">
        <v>45688.0</v>
      </c>
      <c r="D5365" s="33" t="s">
        <v>435</v>
      </c>
      <c r="E5365" s="40">
        <v>23.0</v>
      </c>
      <c r="F5365" s="40">
        <v>0.0</v>
      </c>
      <c r="G5365" s="33" t="s">
        <v>450</v>
      </c>
    </row>
    <row r="5366" ht="15.75" customHeight="1">
      <c r="A5366" s="33" t="s">
        <v>9352</v>
      </c>
      <c r="B5366" s="33" t="s">
        <v>1819</v>
      </c>
      <c r="C5366" s="39">
        <v>45785.0</v>
      </c>
      <c r="D5366" s="33" t="s">
        <v>461</v>
      </c>
      <c r="E5366" s="40">
        <v>65.95</v>
      </c>
      <c r="F5366" s="40">
        <v>0.69</v>
      </c>
      <c r="G5366" s="33" t="s">
        <v>450</v>
      </c>
    </row>
    <row r="5367" ht="15.75" customHeight="1">
      <c r="A5367" s="33" t="s">
        <v>9353</v>
      </c>
      <c r="B5367" s="33" t="s">
        <v>1475</v>
      </c>
      <c r="C5367" s="39">
        <v>45694.0</v>
      </c>
      <c r="D5367" s="33" t="s">
        <v>479</v>
      </c>
      <c r="E5367" s="40">
        <v>114.58</v>
      </c>
      <c r="F5367" s="40">
        <v>1.63</v>
      </c>
      <c r="G5367" s="33" t="s">
        <v>450</v>
      </c>
    </row>
    <row r="5368" ht="15.75" customHeight="1">
      <c r="A5368" s="33" t="s">
        <v>9354</v>
      </c>
      <c r="B5368" s="33" t="s">
        <v>2752</v>
      </c>
      <c r="C5368" s="39">
        <v>46141.0</v>
      </c>
      <c r="D5368" s="33" t="s">
        <v>440</v>
      </c>
      <c r="E5368" s="40">
        <v>37.21</v>
      </c>
      <c r="F5368" s="40">
        <v>0.0</v>
      </c>
      <c r="G5368" s="33" t="s">
        <v>450</v>
      </c>
    </row>
    <row r="5369" ht="15.75" customHeight="1">
      <c r="A5369" s="33" t="s">
        <v>9355</v>
      </c>
      <c r="B5369" s="33" t="s">
        <v>1305</v>
      </c>
      <c r="C5369" s="39">
        <v>46099.0</v>
      </c>
      <c r="D5369" s="33" t="s">
        <v>440</v>
      </c>
      <c r="E5369" s="40">
        <v>86.59</v>
      </c>
      <c r="F5369" s="40">
        <v>0.0</v>
      </c>
      <c r="G5369" s="33" t="s">
        <v>450</v>
      </c>
    </row>
    <row r="5370" ht="15.75" customHeight="1">
      <c r="A5370" s="33" t="s">
        <v>9356</v>
      </c>
      <c r="B5370" s="33" t="s">
        <v>240</v>
      </c>
      <c r="C5370" s="39">
        <v>45690.0</v>
      </c>
      <c r="D5370" s="33" t="s">
        <v>428</v>
      </c>
      <c r="E5370" s="40">
        <v>54.15</v>
      </c>
      <c r="F5370" s="40">
        <v>0.0</v>
      </c>
      <c r="G5370" s="33" t="s">
        <v>450</v>
      </c>
    </row>
    <row r="5371" ht="15.75" customHeight="1">
      <c r="A5371" s="33" t="s">
        <v>9357</v>
      </c>
      <c r="B5371" s="33" t="s">
        <v>1828</v>
      </c>
      <c r="C5371" s="39">
        <v>45722.0</v>
      </c>
      <c r="D5371" s="33" t="s">
        <v>428</v>
      </c>
      <c r="E5371" s="40">
        <v>128.31</v>
      </c>
      <c r="F5371" s="40">
        <v>0.0</v>
      </c>
      <c r="G5371" s="33" t="s">
        <v>431</v>
      </c>
    </row>
    <row r="5372" ht="15.75" customHeight="1">
      <c r="A5372" s="33" t="s">
        <v>9358</v>
      </c>
      <c r="B5372" s="33" t="s">
        <v>905</v>
      </c>
      <c r="C5372" s="39">
        <v>45818.0</v>
      </c>
      <c r="D5372" s="33" t="s">
        <v>435</v>
      </c>
      <c r="E5372" s="40">
        <v>18.28</v>
      </c>
      <c r="F5372" s="40">
        <v>0.0</v>
      </c>
      <c r="G5372" s="33" t="s">
        <v>450</v>
      </c>
    </row>
    <row r="5373" ht="15.75" customHeight="1">
      <c r="A5373" s="33" t="s">
        <v>9359</v>
      </c>
      <c r="B5373" s="33" t="s">
        <v>1640</v>
      </c>
      <c r="C5373" s="39">
        <v>45804.0</v>
      </c>
      <c r="D5373" s="33" t="s">
        <v>461</v>
      </c>
      <c r="E5373" s="40">
        <v>26.24</v>
      </c>
      <c r="F5373" s="40">
        <v>0.15</v>
      </c>
      <c r="G5373" s="33" t="s">
        <v>442</v>
      </c>
    </row>
    <row r="5374" ht="15.75" customHeight="1">
      <c r="A5374" s="33" t="s">
        <v>9360</v>
      </c>
      <c r="B5374" s="33" t="s">
        <v>317</v>
      </c>
      <c r="C5374" s="39">
        <v>45973.0</v>
      </c>
      <c r="D5374" s="33" t="s">
        <v>440</v>
      </c>
      <c r="E5374" s="40">
        <v>51.61</v>
      </c>
      <c r="F5374" s="40">
        <v>0.0</v>
      </c>
      <c r="G5374" s="33" t="s">
        <v>450</v>
      </c>
    </row>
    <row r="5375" ht="15.75" customHeight="1">
      <c r="A5375" s="33" t="s">
        <v>9361</v>
      </c>
      <c r="B5375" s="33" t="s">
        <v>655</v>
      </c>
      <c r="C5375" s="39">
        <v>45960.0</v>
      </c>
      <c r="D5375" s="33" t="s">
        <v>440</v>
      </c>
      <c r="E5375" s="40">
        <v>31.76</v>
      </c>
      <c r="F5375" s="40">
        <v>0.0</v>
      </c>
      <c r="G5375" s="33" t="s">
        <v>450</v>
      </c>
    </row>
    <row r="5376" ht="15.75" customHeight="1">
      <c r="A5376" s="33" t="s">
        <v>9362</v>
      </c>
      <c r="B5376" s="33" t="s">
        <v>1087</v>
      </c>
      <c r="C5376" s="39">
        <v>45875.0</v>
      </c>
      <c r="D5376" s="33" t="s">
        <v>479</v>
      </c>
      <c r="E5376" s="40">
        <v>156.35</v>
      </c>
      <c r="F5376" s="40">
        <v>1.15</v>
      </c>
      <c r="G5376" s="33" t="s">
        <v>450</v>
      </c>
    </row>
    <row r="5377" ht="15.75" customHeight="1">
      <c r="A5377" s="33" t="s">
        <v>9363</v>
      </c>
      <c r="B5377" s="33" t="s">
        <v>1581</v>
      </c>
      <c r="C5377" s="39">
        <v>45757.0</v>
      </c>
      <c r="D5377" s="33" t="s">
        <v>428</v>
      </c>
      <c r="E5377" s="40">
        <v>19.42</v>
      </c>
      <c r="F5377" s="40">
        <v>0.0</v>
      </c>
      <c r="G5377" s="33" t="s">
        <v>450</v>
      </c>
    </row>
    <row r="5378" ht="15.75" customHeight="1">
      <c r="A5378" s="33" t="s">
        <v>9364</v>
      </c>
      <c r="B5378" s="33" t="s">
        <v>1616</v>
      </c>
      <c r="C5378" s="39">
        <v>46052.0</v>
      </c>
      <c r="D5378" s="33" t="s">
        <v>479</v>
      </c>
      <c r="E5378" s="40">
        <v>50.14</v>
      </c>
      <c r="F5378" s="40">
        <v>0.54</v>
      </c>
      <c r="G5378" s="33" t="s">
        <v>442</v>
      </c>
    </row>
    <row r="5379" ht="15.75" customHeight="1">
      <c r="A5379" s="33" t="s">
        <v>9365</v>
      </c>
      <c r="B5379" s="33" t="s">
        <v>655</v>
      </c>
      <c r="C5379" s="39">
        <v>46137.0</v>
      </c>
      <c r="D5379" s="33" t="s">
        <v>428</v>
      </c>
      <c r="E5379" s="40">
        <v>249.57</v>
      </c>
      <c r="F5379" s="40">
        <v>0.0</v>
      </c>
      <c r="G5379" s="33" t="s">
        <v>450</v>
      </c>
    </row>
    <row r="5380" ht="15.75" customHeight="1">
      <c r="A5380" s="33" t="s">
        <v>9366</v>
      </c>
      <c r="B5380" s="33" t="s">
        <v>1014</v>
      </c>
      <c r="C5380" s="39">
        <v>46046.0</v>
      </c>
      <c r="D5380" s="33" t="s">
        <v>428</v>
      </c>
      <c r="E5380" s="40">
        <v>17.87</v>
      </c>
      <c r="F5380" s="40">
        <v>0.0</v>
      </c>
      <c r="G5380" s="33" t="s">
        <v>431</v>
      </c>
    </row>
    <row r="5381" ht="15.75" customHeight="1">
      <c r="A5381" s="33" t="s">
        <v>9367</v>
      </c>
      <c r="B5381" s="33" t="s">
        <v>1812</v>
      </c>
      <c r="C5381" s="39">
        <v>46148.0</v>
      </c>
      <c r="D5381" s="33" t="s">
        <v>461</v>
      </c>
      <c r="E5381" s="40">
        <v>71.13</v>
      </c>
      <c r="F5381" s="40">
        <v>1.37</v>
      </c>
      <c r="G5381" s="33" t="s">
        <v>431</v>
      </c>
    </row>
    <row r="5382" ht="15.75" customHeight="1">
      <c r="A5382" s="33" t="s">
        <v>9368</v>
      </c>
      <c r="B5382" s="33" t="s">
        <v>448</v>
      </c>
      <c r="C5382" s="39">
        <v>46212.0</v>
      </c>
      <c r="D5382" s="33" t="s">
        <v>461</v>
      </c>
      <c r="E5382" s="40">
        <v>54.99</v>
      </c>
      <c r="F5382" s="40">
        <v>0.42</v>
      </c>
      <c r="G5382" s="33" t="s">
        <v>450</v>
      </c>
    </row>
    <row r="5383" ht="15.75" customHeight="1">
      <c r="A5383" s="33" t="s">
        <v>9369</v>
      </c>
      <c r="B5383" s="33" t="s">
        <v>1400</v>
      </c>
      <c r="C5383" s="39">
        <v>46169.0</v>
      </c>
      <c r="D5383" s="33" t="s">
        <v>461</v>
      </c>
      <c r="E5383" s="40">
        <v>96.21</v>
      </c>
      <c r="F5383" s="40">
        <v>1.47</v>
      </c>
      <c r="G5383" s="33" t="s">
        <v>442</v>
      </c>
    </row>
    <row r="5384" ht="15.75" customHeight="1">
      <c r="A5384" s="33" t="s">
        <v>9370</v>
      </c>
      <c r="B5384" s="33" t="s">
        <v>1488</v>
      </c>
      <c r="C5384" s="39">
        <v>46053.0</v>
      </c>
      <c r="D5384" s="33" t="s">
        <v>440</v>
      </c>
      <c r="E5384" s="40">
        <v>89.17</v>
      </c>
      <c r="F5384" s="40">
        <v>0.0</v>
      </c>
      <c r="G5384" s="33" t="s">
        <v>442</v>
      </c>
    </row>
    <row r="5385" ht="15.75" customHeight="1">
      <c r="A5385" s="33" t="s">
        <v>9371</v>
      </c>
      <c r="B5385" s="33" t="s">
        <v>201</v>
      </c>
      <c r="C5385" s="39">
        <v>45688.0</v>
      </c>
      <c r="D5385" s="33" t="s">
        <v>428</v>
      </c>
      <c r="E5385" s="40">
        <v>84.98</v>
      </c>
      <c r="F5385" s="40">
        <v>0.0</v>
      </c>
      <c r="G5385" s="33" t="s">
        <v>450</v>
      </c>
    </row>
    <row r="5386" ht="15.75" customHeight="1">
      <c r="A5386" s="33" t="s">
        <v>9372</v>
      </c>
      <c r="B5386" s="33" t="s">
        <v>543</v>
      </c>
      <c r="C5386" s="39">
        <v>45861.0</v>
      </c>
      <c r="D5386" s="33" t="s">
        <v>428</v>
      </c>
      <c r="E5386" s="40">
        <v>134.52</v>
      </c>
      <c r="F5386" s="40">
        <v>0.0</v>
      </c>
      <c r="G5386" s="33" t="s">
        <v>431</v>
      </c>
    </row>
    <row r="5387" ht="15.75" customHeight="1">
      <c r="A5387" s="33" t="s">
        <v>9373</v>
      </c>
      <c r="B5387" s="33" t="s">
        <v>919</v>
      </c>
      <c r="C5387" s="39">
        <v>45917.0</v>
      </c>
      <c r="D5387" s="33" t="s">
        <v>461</v>
      </c>
      <c r="E5387" s="40">
        <v>132.11</v>
      </c>
      <c r="F5387" s="40">
        <v>1.92</v>
      </c>
      <c r="G5387" s="33" t="s">
        <v>442</v>
      </c>
    </row>
    <row r="5388" ht="15.75" customHeight="1">
      <c r="A5388" s="33" t="s">
        <v>9374</v>
      </c>
      <c r="B5388" s="33" t="s">
        <v>1651</v>
      </c>
      <c r="C5388" s="39">
        <v>46090.0</v>
      </c>
      <c r="D5388" s="33" t="s">
        <v>461</v>
      </c>
      <c r="E5388" s="40">
        <v>42.12</v>
      </c>
      <c r="F5388" s="40">
        <v>0.67</v>
      </c>
      <c r="G5388" s="33" t="s">
        <v>450</v>
      </c>
    </row>
    <row r="5389" ht="15.75" customHeight="1">
      <c r="A5389" s="33" t="s">
        <v>9375</v>
      </c>
      <c r="B5389" s="33" t="s">
        <v>2752</v>
      </c>
      <c r="C5389" s="39">
        <v>46172.0</v>
      </c>
      <c r="D5389" s="33" t="s">
        <v>428</v>
      </c>
      <c r="E5389" s="40">
        <v>40.75</v>
      </c>
      <c r="F5389" s="40">
        <v>0.0</v>
      </c>
      <c r="G5389" s="33" t="s">
        <v>450</v>
      </c>
    </row>
    <row r="5390" ht="15.75" customHeight="1">
      <c r="A5390" s="33" t="s">
        <v>9376</v>
      </c>
      <c r="B5390" s="33" t="s">
        <v>2259</v>
      </c>
      <c r="C5390" s="39">
        <v>46046.0</v>
      </c>
      <c r="D5390" s="33" t="s">
        <v>435</v>
      </c>
      <c r="E5390" s="40">
        <v>110.95</v>
      </c>
      <c r="F5390" s="40">
        <v>0.0</v>
      </c>
      <c r="G5390" s="33" t="s">
        <v>450</v>
      </c>
    </row>
    <row r="5391" ht="15.75" customHeight="1">
      <c r="A5391" s="33" t="s">
        <v>9377</v>
      </c>
      <c r="B5391" s="33" t="s">
        <v>2154</v>
      </c>
      <c r="C5391" s="39">
        <v>45878.0</v>
      </c>
      <c r="D5391" s="33" t="s">
        <v>435</v>
      </c>
      <c r="E5391" s="40">
        <v>79.25</v>
      </c>
      <c r="F5391" s="40">
        <v>0.0</v>
      </c>
      <c r="G5391" s="33" t="s">
        <v>450</v>
      </c>
    </row>
    <row r="5392" ht="15.75" customHeight="1">
      <c r="A5392" s="33" t="s">
        <v>9378</v>
      </c>
      <c r="B5392" s="33" t="s">
        <v>521</v>
      </c>
      <c r="C5392" s="39">
        <v>46136.0</v>
      </c>
      <c r="D5392" s="33" t="s">
        <v>428</v>
      </c>
      <c r="E5392" s="40">
        <v>90.65</v>
      </c>
      <c r="F5392" s="40">
        <v>0.0</v>
      </c>
      <c r="G5392" s="33" t="s">
        <v>450</v>
      </c>
    </row>
    <row r="5393" ht="15.75" customHeight="1">
      <c r="A5393" s="33" t="s">
        <v>9379</v>
      </c>
      <c r="B5393" s="33" t="s">
        <v>2821</v>
      </c>
      <c r="C5393" s="39">
        <v>46080.0</v>
      </c>
      <c r="D5393" s="33" t="s">
        <v>479</v>
      </c>
      <c r="E5393" s="40">
        <v>71.95</v>
      </c>
      <c r="F5393" s="40">
        <v>0.58</v>
      </c>
      <c r="G5393" s="33" t="s">
        <v>450</v>
      </c>
    </row>
    <row r="5394" ht="15.75" customHeight="1">
      <c r="A5394" s="33" t="s">
        <v>9380</v>
      </c>
      <c r="B5394" s="33" t="s">
        <v>1314</v>
      </c>
      <c r="C5394" s="39">
        <v>46142.0</v>
      </c>
      <c r="D5394" s="33" t="s">
        <v>461</v>
      </c>
      <c r="E5394" s="40">
        <v>47.3</v>
      </c>
      <c r="F5394" s="40">
        <v>0.66</v>
      </c>
      <c r="G5394" s="33" t="s">
        <v>450</v>
      </c>
    </row>
    <row r="5395" ht="15.75" customHeight="1">
      <c r="A5395" s="33" t="s">
        <v>9381</v>
      </c>
      <c r="B5395" s="33" t="s">
        <v>1901</v>
      </c>
      <c r="C5395" s="39">
        <v>46015.0</v>
      </c>
      <c r="D5395" s="33" t="s">
        <v>479</v>
      </c>
      <c r="E5395" s="40">
        <v>106.92</v>
      </c>
      <c r="F5395" s="40">
        <v>1.07</v>
      </c>
      <c r="G5395" s="33" t="s">
        <v>431</v>
      </c>
    </row>
    <row r="5396" ht="15.75" customHeight="1">
      <c r="A5396" s="33" t="s">
        <v>9382</v>
      </c>
      <c r="B5396" s="33" t="s">
        <v>1247</v>
      </c>
      <c r="C5396" s="39">
        <v>46050.0</v>
      </c>
      <c r="D5396" s="33" t="s">
        <v>479</v>
      </c>
      <c r="E5396" s="40">
        <v>35.68</v>
      </c>
      <c r="F5396" s="40">
        <v>0.18</v>
      </c>
      <c r="G5396" s="33" t="s">
        <v>431</v>
      </c>
    </row>
    <row r="5397" ht="15.75" customHeight="1">
      <c r="A5397" s="33" t="s">
        <v>9383</v>
      </c>
      <c r="B5397" s="33" t="s">
        <v>3048</v>
      </c>
      <c r="C5397" s="39">
        <v>45868.0</v>
      </c>
      <c r="D5397" s="33" t="s">
        <v>435</v>
      </c>
      <c r="E5397" s="40">
        <v>253.19</v>
      </c>
      <c r="F5397" s="40">
        <v>0.0</v>
      </c>
      <c r="G5397" s="33" t="s">
        <v>442</v>
      </c>
    </row>
    <row r="5398" ht="15.75" customHeight="1">
      <c r="A5398" s="33" t="s">
        <v>9384</v>
      </c>
      <c r="B5398" s="33" t="s">
        <v>1660</v>
      </c>
      <c r="C5398" s="39">
        <v>45900.0</v>
      </c>
      <c r="D5398" s="33" t="s">
        <v>440</v>
      </c>
      <c r="E5398" s="40">
        <v>237.02</v>
      </c>
      <c r="F5398" s="40">
        <v>0.0</v>
      </c>
      <c r="G5398" s="33" t="s">
        <v>450</v>
      </c>
    </row>
    <row r="5399" ht="15.75" customHeight="1">
      <c r="A5399" s="33" t="s">
        <v>9385</v>
      </c>
      <c r="B5399" s="33" t="s">
        <v>1700</v>
      </c>
      <c r="C5399" s="39">
        <v>45825.0</v>
      </c>
      <c r="D5399" s="33" t="s">
        <v>435</v>
      </c>
      <c r="E5399" s="40">
        <v>291.83</v>
      </c>
      <c r="F5399" s="40">
        <v>0.0</v>
      </c>
      <c r="G5399" s="33" t="s">
        <v>450</v>
      </c>
    </row>
    <row r="5400" ht="15.75" customHeight="1">
      <c r="A5400" s="33" t="s">
        <v>9386</v>
      </c>
      <c r="B5400" s="33" t="s">
        <v>1828</v>
      </c>
      <c r="C5400" s="39">
        <v>45813.0</v>
      </c>
      <c r="D5400" s="33" t="s">
        <v>479</v>
      </c>
      <c r="E5400" s="40">
        <v>83.22</v>
      </c>
      <c r="F5400" s="40">
        <v>1.23</v>
      </c>
      <c r="G5400" s="33" t="s">
        <v>450</v>
      </c>
    </row>
    <row r="5401" ht="15.75" customHeight="1">
      <c r="A5401" s="33" t="s">
        <v>9387</v>
      </c>
      <c r="B5401" s="33" t="s">
        <v>497</v>
      </c>
      <c r="C5401" s="39">
        <v>46054.0</v>
      </c>
      <c r="D5401" s="33" t="s">
        <v>435</v>
      </c>
      <c r="E5401" s="40">
        <v>52.53</v>
      </c>
      <c r="F5401" s="40">
        <v>0.0</v>
      </c>
      <c r="G5401" s="33" t="s">
        <v>450</v>
      </c>
    </row>
    <row r="5402" ht="15.75" customHeight="1">
      <c r="A5402" s="33" t="s">
        <v>9388</v>
      </c>
      <c r="B5402" s="33" t="s">
        <v>2132</v>
      </c>
      <c r="C5402" s="39">
        <v>45890.0</v>
      </c>
      <c r="D5402" s="33" t="s">
        <v>428</v>
      </c>
      <c r="E5402" s="40">
        <v>181.91</v>
      </c>
      <c r="F5402" s="40">
        <v>0.0</v>
      </c>
      <c r="G5402" s="33" t="s">
        <v>450</v>
      </c>
    </row>
    <row r="5403" ht="15.75" customHeight="1">
      <c r="A5403" s="33" t="s">
        <v>9389</v>
      </c>
      <c r="B5403" s="33" t="s">
        <v>1876</v>
      </c>
      <c r="C5403" s="39">
        <v>45739.0</v>
      </c>
      <c r="D5403" s="33" t="s">
        <v>440</v>
      </c>
      <c r="E5403" s="40">
        <v>73.22</v>
      </c>
      <c r="F5403" s="40">
        <v>0.0</v>
      </c>
      <c r="G5403" s="33" t="s">
        <v>431</v>
      </c>
    </row>
    <row r="5404" ht="15.75" customHeight="1">
      <c r="A5404" s="33" t="s">
        <v>9390</v>
      </c>
      <c r="B5404" s="33" t="s">
        <v>731</v>
      </c>
      <c r="C5404" s="39">
        <v>45679.0</v>
      </c>
      <c r="D5404" s="33" t="s">
        <v>461</v>
      </c>
      <c r="E5404" s="40">
        <v>128.19</v>
      </c>
      <c r="F5404" s="40">
        <v>1.33</v>
      </c>
      <c r="G5404" s="33" t="s">
        <v>442</v>
      </c>
    </row>
    <row r="5405" ht="15.75" customHeight="1">
      <c r="A5405" s="33" t="s">
        <v>9391</v>
      </c>
      <c r="B5405" s="33" t="s">
        <v>2469</v>
      </c>
      <c r="C5405" s="39">
        <v>46180.0</v>
      </c>
      <c r="D5405" s="33" t="s">
        <v>435</v>
      </c>
      <c r="E5405" s="40">
        <v>127.56</v>
      </c>
      <c r="F5405" s="40">
        <v>0.0</v>
      </c>
      <c r="G5405" s="33" t="s">
        <v>450</v>
      </c>
    </row>
    <row r="5406" ht="15.75" customHeight="1">
      <c r="A5406" s="33" t="s">
        <v>9392</v>
      </c>
      <c r="B5406" s="33" t="s">
        <v>1799</v>
      </c>
      <c r="C5406" s="39">
        <v>45922.0</v>
      </c>
      <c r="D5406" s="33" t="s">
        <v>435</v>
      </c>
      <c r="E5406" s="40">
        <v>36.57</v>
      </c>
      <c r="F5406" s="40">
        <v>0.0</v>
      </c>
      <c r="G5406" s="33" t="s">
        <v>431</v>
      </c>
    </row>
    <row r="5407" ht="15.75" customHeight="1">
      <c r="A5407" s="33" t="s">
        <v>9393</v>
      </c>
      <c r="B5407" s="33" t="s">
        <v>1174</v>
      </c>
      <c r="C5407" s="39">
        <v>46007.0</v>
      </c>
      <c r="D5407" s="33" t="s">
        <v>479</v>
      </c>
      <c r="E5407" s="40">
        <v>105.11</v>
      </c>
      <c r="F5407" s="40">
        <v>2.05</v>
      </c>
      <c r="G5407" s="33" t="s">
        <v>450</v>
      </c>
    </row>
    <row r="5408" ht="15.75" customHeight="1">
      <c r="A5408" s="33" t="s">
        <v>9394</v>
      </c>
      <c r="B5408" s="33" t="s">
        <v>1488</v>
      </c>
      <c r="C5408" s="39">
        <v>46207.0</v>
      </c>
      <c r="D5408" s="33" t="s">
        <v>461</v>
      </c>
      <c r="E5408" s="40">
        <v>123.62</v>
      </c>
      <c r="F5408" s="40">
        <v>1.61</v>
      </c>
      <c r="G5408" s="33" t="s">
        <v>450</v>
      </c>
    </row>
    <row r="5409" ht="15.75" customHeight="1">
      <c r="A5409" s="33" t="s">
        <v>9395</v>
      </c>
      <c r="B5409" s="33" t="s">
        <v>3434</v>
      </c>
      <c r="C5409" s="39">
        <v>45725.0</v>
      </c>
      <c r="D5409" s="33" t="s">
        <v>428</v>
      </c>
      <c r="E5409" s="40">
        <v>66.56</v>
      </c>
      <c r="F5409" s="40">
        <v>0.0</v>
      </c>
      <c r="G5409" s="33" t="s">
        <v>431</v>
      </c>
    </row>
    <row r="5410" ht="15.75" customHeight="1">
      <c r="A5410" s="33" t="s">
        <v>9396</v>
      </c>
      <c r="B5410" s="33" t="s">
        <v>1416</v>
      </c>
      <c r="C5410" s="39">
        <v>46226.0</v>
      </c>
      <c r="D5410" s="33" t="s">
        <v>479</v>
      </c>
      <c r="E5410" s="40">
        <v>19.73</v>
      </c>
      <c r="F5410" s="40">
        <v>0.31</v>
      </c>
      <c r="G5410" s="33" t="s">
        <v>450</v>
      </c>
    </row>
    <row r="5411" ht="15.75" customHeight="1">
      <c r="A5411" s="33" t="s">
        <v>9397</v>
      </c>
      <c r="B5411" s="33" t="s">
        <v>961</v>
      </c>
      <c r="C5411" s="39">
        <v>46085.0</v>
      </c>
      <c r="D5411" s="33" t="s">
        <v>461</v>
      </c>
      <c r="E5411" s="40">
        <v>184.8</v>
      </c>
      <c r="F5411" s="40">
        <v>2.28</v>
      </c>
      <c r="G5411" s="33" t="s">
        <v>431</v>
      </c>
    </row>
    <row r="5412" ht="15.75" customHeight="1">
      <c r="A5412" s="33" t="s">
        <v>9398</v>
      </c>
      <c r="B5412" s="33" t="s">
        <v>1669</v>
      </c>
      <c r="C5412" s="39">
        <v>46046.0</v>
      </c>
      <c r="D5412" s="33" t="s">
        <v>461</v>
      </c>
      <c r="E5412" s="40">
        <v>249.44</v>
      </c>
      <c r="F5412" s="40">
        <v>4.98</v>
      </c>
      <c r="G5412" s="33" t="s">
        <v>450</v>
      </c>
    </row>
    <row r="5413" ht="15.75" customHeight="1">
      <c r="A5413" s="33" t="s">
        <v>9399</v>
      </c>
      <c r="B5413" s="33" t="s">
        <v>1025</v>
      </c>
      <c r="C5413" s="39">
        <v>45919.0</v>
      </c>
      <c r="D5413" s="33" t="s">
        <v>461</v>
      </c>
      <c r="E5413" s="40">
        <v>76.83</v>
      </c>
      <c r="F5413" s="40">
        <v>0.47</v>
      </c>
      <c r="G5413" s="33" t="s">
        <v>450</v>
      </c>
    </row>
    <row r="5414" ht="15.75" customHeight="1">
      <c r="A5414" s="33" t="s">
        <v>9400</v>
      </c>
      <c r="B5414" s="33" t="s">
        <v>2187</v>
      </c>
      <c r="C5414" s="39">
        <v>46086.0</v>
      </c>
      <c r="D5414" s="33" t="s">
        <v>461</v>
      </c>
      <c r="E5414" s="40">
        <v>56.58</v>
      </c>
      <c r="F5414" s="40">
        <v>0.57</v>
      </c>
      <c r="G5414" s="33" t="s">
        <v>431</v>
      </c>
    </row>
    <row r="5415" ht="15.75" customHeight="1">
      <c r="A5415" s="33" t="s">
        <v>9401</v>
      </c>
      <c r="B5415" s="33" t="s">
        <v>2914</v>
      </c>
      <c r="C5415" s="39">
        <v>45781.0</v>
      </c>
      <c r="D5415" s="33" t="s">
        <v>435</v>
      </c>
      <c r="E5415" s="40">
        <v>16.28</v>
      </c>
      <c r="F5415" s="40">
        <v>0.0</v>
      </c>
      <c r="G5415" s="33" t="s">
        <v>450</v>
      </c>
    </row>
    <row r="5416" ht="15.75" customHeight="1">
      <c r="A5416" s="33" t="s">
        <v>9402</v>
      </c>
      <c r="B5416" s="33" t="s">
        <v>1530</v>
      </c>
      <c r="C5416" s="39">
        <v>45841.0</v>
      </c>
      <c r="D5416" s="33" t="s">
        <v>479</v>
      </c>
      <c r="E5416" s="40">
        <v>80.06</v>
      </c>
      <c r="F5416" s="40">
        <v>0.95</v>
      </c>
      <c r="G5416" s="33" t="s">
        <v>450</v>
      </c>
    </row>
    <row r="5417" ht="15.75" customHeight="1">
      <c r="A5417" s="33" t="s">
        <v>9403</v>
      </c>
      <c r="B5417" s="33" t="s">
        <v>1393</v>
      </c>
      <c r="C5417" s="39">
        <v>46241.0</v>
      </c>
      <c r="D5417" s="33" t="s">
        <v>428</v>
      </c>
      <c r="E5417" s="40">
        <v>49.55</v>
      </c>
      <c r="F5417" s="40">
        <v>0.0</v>
      </c>
      <c r="G5417" s="33" t="s">
        <v>442</v>
      </c>
    </row>
    <row r="5418" ht="15.75" customHeight="1">
      <c r="A5418" s="33" t="s">
        <v>9404</v>
      </c>
      <c r="B5418" s="33" t="s">
        <v>1198</v>
      </c>
      <c r="C5418" s="39">
        <v>45825.0</v>
      </c>
      <c r="D5418" s="33" t="s">
        <v>479</v>
      </c>
      <c r="E5418" s="40">
        <v>16.21</v>
      </c>
      <c r="F5418" s="40">
        <v>0.23</v>
      </c>
      <c r="G5418" s="33" t="s">
        <v>450</v>
      </c>
    </row>
    <row r="5419" ht="15.75" customHeight="1">
      <c r="A5419" s="33" t="s">
        <v>9405</v>
      </c>
      <c r="B5419" s="33" t="s">
        <v>1995</v>
      </c>
      <c r="C5419" s="39">
        <v>46094.0</v>
      </c>
      <c r="D5419" s="33" t="s">
        <v>435</v>
      </c>
      <c r="E5419" s="40">
        <v>135.84</v>
      </c>
      <c r="F5419" s="40">
        <v>0.0</v>
      </c>
      <c r="G5419" s="33" t="s">
        <v>450</v>
      </c>
    </row>
    <row r="5420" ht="15.75" customHeight="1">
      <c r="A5420" s="33" t="s">
        <v>9406</v>
      </c>
      <c r="B5420" s="33" t="s">
        <v>2958</v>
      </c>
      <c r="C5420" s="39">
        <v>46222.0</v>
      </c>
      <c r="D5420" s="33" t="s">
        <v>461</v>
      </c>
      <c r="E5420" s="40">
        <v>109.19</v>
      </c>
      <c r="F5420" s="40">
        <v>0.7</v>
      </c>
      <c r="G5420" s="33" t="s">
        <v>431</v>
      </c>
    </row>
    <row r="5421" ht="15.75" customHeight="1">
      <c r="A5421" s="33" t="s">
        <v>9407</v>
      </c>
      <c r="B5421" s="33" t="s">
        <v>1530</v>
      </c>
      <c r="C5421" s="39">
        <v>46017.0</v>
      </c>
      <c r="D5421" s="33" t="s">
        <v>440</v>
      </c>
      <c r="E5421" s="40">
        <v>44.29</v>
      </c>
      <c r="F5421" s="40">
        <v>0.0</v>
      </c>
      <c r="G5421" s="33" t="s">
        <v>442</v>
      </c>
    </row>
    <row r="5422" ht="15.75" customHeight="1">
      <c r="A5422" s="33" t="s">
        <v>9408</v>
      </c>
      <c r="B5422" s="33" t="s">
        <v>3633</v>
      </c>
      <c r="C5422" s="39">
        <v>45838.0</v>
      </c>
      <c r="D5422" s="33" t="s">
        <v>479</v>
      </c>
      <c r="E5422" s="40">
        <v>217.9</v>
      </c>
      <c r="F5422" s="40">
        <v>2.1</v>
      </c>
      <c r="G5422" s="33" t="s">
        <v>431</v>
      </c>
    </row>
    <row r="5423" ht="15.75" customHeight="1">
      <c r="A5423" s="33" t="s">
        <v>9409</v>
      </c>
      <c r="B5423" s="33" t="s">
        <v>2023</v>
      </c>
      <c r="C5423" s="39">
        <v>46173.0</v>
      </c>
      <c r="D5423" s="33" t="s">
        <v>479</v>
      </c>
      <c r="E5423" s="40">
        <v>68.96</v>
      </c>
      <c r="F5423" s="40">
        <v>0.6</v>
      </c>
      <c r="G5423" s="33" t="s">
        <v>442</v>
      </c>
    </row>
    <row r="5424" ht="15.75" customHeight="1">
      <c r="A5424" s="33" t="s">
        <v>9410</v>
      </c>
      <c r="B5424" s="33" t="s">
        <v>2497</v>
      </c>
      <c r="C5424" s="39">
        <v>46159.0</v>
      </c>
      <c r="D5424" s="33" t="s">
        <v>461</v>
      </c>
      <c r="E5424" s="40">
        <v>77.93</v>
      </c>
      <c r="F5424" s="40">
        <v>0.84</v>
      </c>
      <c r="G5424" s="33" t="s">
        <v>442</v>
      </c>
    </row>
    <row r="5425" ht="15.75" customHeight="1">
      <c r="A5425" s="33" t="s">
        <v>9411</v>
      </c>
      <c r="B5425" s="33" t="s">
        <v>992</v>
      </c>
      <c r="C5425" s="39">
        <v>45988.0</v>
      </c>
      <c r="D5425" s="33" t="s">
        <v>428</v>
      </c>
      <c r="E5425" s="40">
        <v>61.56</v>
      </c>
      <c r="F5425" s="40">
        <v>0.0</v>
      </c>
      <c r="G5425" s="33" t="s">
        <v>442</v>
      </c>
    </row>
    <row r="5426" ht="15.75" customHeight="1">
      <c r="A5426" s="33" t="s">
        <v>9412</v>
      </c>
      <c r="B5426" s="33" t="s">
        <v>474</v>
      </c>
      <c r="C5426" s="39">
        <v>45727.0</v>
      </c>
      <c r="D5426" s="33" t="s">
        <v>461</v>
      </c>
      <c r="E5426" s="40">
        <v>149.02</v>
      </c>
      <c r="F5426" s="40">
        <v>2.38</v>
      </c>
      <c r="G5426" s="33" t="s">
        <v>442</v>
      </c>
    </row>
    <row r="5427" ht="15.75" customHeight="1">
      <c r="A5427" s="33" t="s">
        <v>9413</v>
      </c>
      <c r="B5427" s="33" t="s">
        <v>278</v>
      </c>
      <c r="C5427" s="39">
        <v>45925.0</v>
      </c>
      <c r="D5427" s="33" t="s">
        <v>428</v>
      </c>
      <c r="E5427" s="40">
        <v>106.38</v>
      </c>
      <c r="F5427" s="40">
        <v>0.0</v>
      </c>
      <c r="G5427" s="33" t="s">
        <v>450</v>
      </c>
    </row>
    <row r="5428" ht="15.75" customHeight="1">
      <c r="A5428" s="33" t="s">
        <v>9414</v>
      </c>
      <c r="B5428" s="33" t="s">
        <v>1344</v>
      </c>
      <c r="C5428" s="39">
        <v>45920.0</v>
      </c>
      <c r="D5428" s="33" t="s">
        <v>435</v>
      </c>
      <c r="E5428" s="40">
        <v>9.84</v>
      </c>
      <c r="F5428" s="40">
        <v>0.0</v>
      </c>
      <c r="G5428" s="33" t="s">
        <v>431</v>
      </c>
    </row>
    <row r="5429" ht="15.75" customHeight="1">
      <c r="A5429" s="33" t="s">
        <v>9415</v>
      </c>
      <c r="B5429" s="33" t="s">
        <v>1294</v>
      </c>
      <c r="C5429" s="39">
        <v>45772.0</v>
      </c>
      <c r="D5429" s="33" t="s">
        <v>461</v>
      </c>
      <c r="E5429" s="40">
        <v>72.93</v>
      </c>
      <c r="F5429" s="40">
        <v>0.58</v>
      </c>
      <c r="G5429" s="33" t="s">
        <v>431</v>
      </c>
    </row>
    <row r="5430" ht="15.75" customHeight="1">
      <c r="A5430" s="33" t="s">
        <v>9416</v>
      </c>
      <c r="B5430" s="33" t="s">
        <v>945</v>
      </c>
      <c r="C5430" s="39">
        <v>45902.0</v>
      </c>
      <c r="D5430" s="33" t="s">
        <v>479</v>
      </c>
      <c r="E5430" s="40">
        <v>126.73</v>
      </c>
      <c r="F5430" s="40">
        <v>1.43</v>
      </c>
      <c r="G5430" s="33" t="s">
        <v>450</v>
      </c>
    </row>
    <row r="5431" ht="15.75" customHeight="1">
      <c r="A5431" s="33" t="s">
        <v>9417</v>
      </c>
      <c r="B5431" s="33" t="s">
        <v>1010</v>
      </c>
      <c r="C5431" s="39">
        <v>45751.0</v>
      </c>
      <c r="D5431" s="33" t="s">
        <v>461</v>
      </c>
      <c r="E5431" s="40">
        <v>16.25</v>
      </c>
      <c r="F5431" s="40">
        <v>0.13</v>
      </c>
      <c r="G5431" s="33" t="s">
        <v>431</v>
      </c>
    </row>
    <row r="5432" ht="15.75" customHeight="1">
      <c r="A5432" s="33" t="s">
        <v>9418</v>
      </c>
      <c r="B5432" s="33" t="s">
        <v>2615</v>
      </c>
      <c r="C5432" s="39">
        <v>46078.0</v>
      </c>
      <c r="D5432" s="33" t="s">
        <v>435</v>
      </c>
      <c r="E5432" s="40">
        <v>125.79</v>
      </c>
      <c r="F5432" s="40">
        <v>0.0</v>
      </c>
      <c r="G5432" s="33" t="s">
        <v>450</v>
      </c>
    </row>
    <row r="5433" ht="15.75" customHeight="1">
      <c r="A5433" s="33" t="s">
        <v>9419</v>
      </c>
      <c r="B5433" s="33" t="s">
        <v>1227</v>
      </c>
      <c r="C5433" s="39">
        <v>45920.0</v>
      </c>
      <c r="D5433" s="33" t="s">
        <v>479</v>
      </c>
      <c r="E5433" s="40">
        <v>108.14</v>
      </c>
      <c r="F5433" s="40">
        <v>0.82</v>
      </c>
      <c r="G5433" s="33" t="s">
        <v>442</v>
      </c>
    </row>
    <row r="5434" ht="15.75" customHeight="1">
      <c r="A5434" s="33" t="s">
        <v>9420</v>
      </c>
      <c r="B5434" s="33" t="s">
        <v>1001</v>
      </c>
      <c r="C5434" s="39">
        <v>46101.0</v>
      </c>
      <c r="D5434" s="33" t="s">
        <v>435</v>
      </c>
      <c r="E5434" s="40">
        <v>30.93</v>
      </c>
      <c r="F5434" s="40">
        <v>0.0</v>
      </c>
      <c r="G5434" s="33" t="s">
        <v>431</v>
      </c>
    </row>
    <row r="5435" ht="15.75" customHeight="1">
      <c r="A5435" s="33" t="s">
        <v>9421</v>
      </c>
      <c r="B5435" s="33" t="s">
        <v>4154</v>
      </c>
      <c r="C5435" s="39">
        <v>45934.0</v>
      </c>
      <c r="D5435" s="33" t="s">
        <v>461</v>
      </c>
      <c r="E5435" s="40">
        <v>59.9</v>
      </c>
      <c r="F5435" s="40">
        <v>0.85</v>
      </c>
      <c r="G5435" s="33" t="s">
        <v>450</v>
      </c>
    </row>
    <row r="5436" ht="15.75" customHeight="1">
      <c r="A5436" s="33" t="s">
        <v>9422</v>
      </c>
      <c r="B5436" s="33" t="s">
        <v>1224</v>
      </c>
      <c r="C5436" s="39">
        <v>46091.0</v>
      </c>
      <c r="D5436" s="33" t="s">
        <v>440</v>
      </c>
      <c r="E5436" s="40">
        <v>22.55</v>
      </c>
      <c r="F5436" s="40">
        <v>0.0</v>
      </c>
      <c r="G5436" s="33" t="s">
        <v>450</v>
      </c>
    </row>
    <row r="5437" ht="15.75" customHeight="1">
      <c r="A5437" s="33" t="s">
        <v>9423</v>
      </c>
      <c r="B5437" s="33" t="s">
        <v>1256</v>
      </c>
      <c r="C5437" s="39">
        <v>46103.0</v>
      </c>
      <c r="D5437" s="33" t="s">
        <v>435</v>
      </c>
      <c r="E5437" s="40">
        <v>44.82</v>
      </c>
      <c r="F5437" s="40">
        <v>0.0</v>
      </c>
      <c r="G5437" s="33" t="s">
        <v>431</v>
      </c>
    </row>
    <row r="5438" ht="15.75" customHeight="1">
      <c r="A5438" s="33" t="s">
        <v>9424</v>
      </c>
      <c r="B5438" s="33" t="s">
        <v>1463</v>
      </c>
      <c r="C5438" s="39">
        <v>45755.0</v>
      </c>
      <c r="D5438" s="33" t="s">
        <v>435</v>
      </c>
      <c r="E5438" s="40">
        <v>59.12</v>
      </c>
      <c r="F5438" s="40">
        <v>0.0</v>
      </c>
      <c r="G5438" s="33" t="s">
        <v>442</v>
      </c>
    </row>
    <row r="5439" ht="15.75" customHeight="1">
      <c r="A5439" s="33" t="s">
        <v>9425</v>
      </c>
      <c r="B5439" s="33" t="s">
        <v>1346</v>
      </c>
      <c r="C5439" s="39">
        <v>45926.0</v>
      </c>
      <c r="D5439" s="33" t="s">
        <v>440</v>
      </c>
      <c r="E5439" s="40">
        <v>115.19</v>
      </c>
      <c r="F5439" s="40">
        <v>0.0</v>
      </c>
      <c r="G5439" s="33" t="s">
        <v>450</v>
      </c>
    </row>
    <row r="5440" ht="15.75" customHeight="1">
      <c r="A5440" s="33" t="s">
        <v>9426</v>
      </c>
      <c r="B5440" s="33" t="s">
        <v>1475</v>
      </c>
      <c r="C5440" s="39">
        <v>46113.0</v>
      </c>
      <c r="D5440" s="33" t="s">
        <v>428</v>
      </c>
      <c r="E5440" s="40">
        <v>131.83</v>
      </c>
      <c r="F5440" s="40">
        <v>0.0</v>
      </c>
      <c r="G5440" s="33" t="s">
        <v>431</v>
      </c>
    </row>
    <row r="5441" ht="15.75" customHeight="1">
      <c r="A5441" s="33" t="s">
        <v>9427</v>
      </c>
      <c r="B5441" s="33" t="s">
        <v>2021</v>
      </c>
      <c r="C5441" s="39">
        <v>46018.0</v>
      </c>
      <c r="D5441" s="33" t="s">
        <v>428</v>
      </c>
      <c r="E5441" s="40">
        <v>85.83</v>
      </c>
      <c r="F5441" s="40">
        <v>0.0</v>
      </c>
      <c r="G5441" s="33" t="s">
        <v>450</v>
      </c>
    </row>
    <row r="5442" ht="15.75" customHeight="1">
      <c r="A5442" s="33" t="s">
        <v>9428</v>
      </c>
      <c r="B5442" s="33" t="s">
        <v>1176</v>
      </c>
      <c r="C5442" s="39">
        <v>45792.0</v>
      </c>
      <c r="D5442" s="33" t="s">
        <v>435</v>
      </c>
      <c r="E5442" s="40">
        <v>57.06</v>
      </c>
      <c r="F5442" s="40">
        <v>0.0</v>
      </c>
      <c r="G5442" s="33" t="s">
        <v>450</v>
      </c>
    </row>
    <row r="5443" ht="15.75" customHeight="1">
      <c r="A5443" s="33" t="s">
        <v>9429</v>
      </c>
      <c r="B5443" s="33" t="s">
        <v>3342</v>
      </c>
      <c r="C5443" s="39">
        <v>46163.0</v>
      </c>
      <c r="D5443" s="33" t="s">
        <v>428</v>
      </c>
      <c r="E5443" s="40">
        <v>123.03</v>
      </c>
      <c r="F5443" s="40">
        <v>0.0</v>
      </c>
      <c r="G5443" s="33" t="s">
        <v>450</v>
      </c>
    </row>
    <row r="5444" ht="15.75" customHeight="1">
      <c r="A5444" s="33" t="s">
        <v>9430</v>
      </c>
      <c r="B5444" s="33" t="s">
        <v>1085</v>
      </c>
      <c r="C5444" s="39">
        <v>45779.0</v>
      </c>
      <c r="D5444" s="33" t="s">
        <v>479</v>
      </c>
      <c r="E5444" s="40">
        <v>78.14</v>
      </c>
      <c r="F5444" s="40">
        <v>1.4</v>
      </c>
      <c r="G5444" s="33" t="s">
        <v>450</v>
      </c>
    </row>
    <row r="5445" ht="15.75" customHeight="1">
      <c r="A5445" s="33" t="s">
        <v>9431</v>
      </c>
      <c r="B5445" s="33" t="s">
        <v>1505</v>
      </c>
      <c r="C5445" s="39">
        <v>46260.0</v>
      </c>
      <c r="D5445" s="33" t="s">
        <v>440</v>
      </c>
      <c r="E5445" s="40">
        <v>93.04</v>
      </c>
      <c r="F5445" s="40">
        <v>0.0</v>
      </c>
      <c r="G5445" s="33" t="s">
        <v>450</v>
      </c>
    </row>
    <row r="5446" ht="15.75" customHeight="1">
      <c r="A5446" s="33" t="s">
        <v>9432</v>
      </c>
      <c r="B5446" s="33" t="s">
        <v>1581</v>
      </c>
      <c r="C5446" s="39">
        <v>46087.0</v>
      </c>
      <c r="D5446" s="33" t="s">
        <v>428</v>
      </c>
      <c r="E5446" s="40">
        <v>136.46</v>
      </c>
      <c r="F5446" s="40">
        <v>0.0</v>
      </c>
      <c r="G5446" s="33" t="s">
        <v>450</v>
      </c>
    </row>
    <row r="5447" ht="15.75" customHeight="1">
      <c r="A5447" s="33" t="s">
        <v>9433</v>
      </c>
      <c r="B5447" s="33" t="s">
        <v>1669</v>
      </c>
      <c r="C5447" s="39">
        <v>45853.0</v>
      </c>
      <c r="D5447" s="33" t="s">
        <v>440</v>
      </c>
      <c r="E5447" s="40">
        <v>117.84</v>
      </c>
      <c r="F5447" s="40">
        <v>0.0</v>
      </c>
      <c r="G5447" s="33" t="s">
        <v>450</v>
      </c>
    </row>
    <row r="5448" ht="15.75" customHeight="1">
      <c r="A5448" s="33" t="s">
        <v>9434</v>
      </c>
      <c r="B5448" s="33" t="s">
        <v>1259</v>
      </c>
      <c r="C5448" s="39">
        <v>45776.0</v>
      </c>
      <c r="D5448" s="33" t="s">
        <v>435</v>
      </c>
      <c r="E5448" s="40">
        <v>92.57</v>
      </c>
      <c r="F5448" s="40">
        <v>0.0</v>
      </c>
      <c r="G5448" s="33" t="s">
        <v>450</v>
      </c>
    </row>
    <row r="5449" ht="15.75" customHeight="1">
      <c r="A5449" s="33" t="s">
        <v>9435</v>
      </c>
      <c r="B5449" s="33" t="s">
        <v>2002</v>
      </c>
      <c r="C5449" s="39">
        <v>46205.0</v>
      </c>
      <c r="D5449" s="33" t="s">
        <v>440</v>
      </c>
      <c r="E5449" s="40">
        <v>106.3</v>
      </c>
      <c r="F5449" s="40">
        <v>0.0</v>
      </c>
      <c r="G5449" s="33" t="s">
        <v>442</v>
      </c>
    </row>
    <row r="5450" ht="15.75" customHeight="1">
      <c r="A5450" s="33" t="s">
        <v>9436</v>
      </c>
      <c r="B5450" s="33" t="s">
        <v>2515</v>
      </c>
      <c r="C5450" s="39">
        <v>45975.0</v>
      </c>
      <c r="D5450" s="33" t="s">
        <v>435</v>
      </c>
      <c r="E5450" s="40">
        <v>44.08</v>
      </c>
      <c r="F5450" s="40">
        <v>0.0</v>
      </c>
      <c r="G5450" s="33" t="s">
        <v>450</v>
      </c>
    </row>
    <row r="5451" ht="15.75" customHeight="1">
      <c r="A5451" s="33" t="s">
        <v>9437</v>
      </c>
      <c r="B5451" s="33" t="s">
        <v>1503</v>
      </c>
      <c r="C5451" s="39">
        <v>46147.0</v>
      </c>
      <c r="D5451" s="33" t="s">
        <v>479</v>
      </c>
      <c r="E5451" s="40">
        <v>39.16</v>
      </c>
      <c r="F5451" s="40">
        <v>0.28</v>
      </c>
      <c r="G5451" s="33" t="s">
        <v>450</v>
      </c>
    </row>
    <row r="5452" ht="15.75" customHeight="1">
      <c r="A5452" s="33" t="s">
        <v>9438</v>
      </c>
      <c r="B5452" s="33" t="s">
        <v>700</v>
      </c>
      <c r="C5452" s="39">
        <v>46162.0</v>
      </c>
      <c r="D5452" s="33" t="s">
        <v>435</v>
      </c>
      <c r="E5452" s="40">
        <v>247.17</v>
      </c>
      <c r="F5452" s="40">
        <v>0.0</v>
      </c>
      <c r="G5452" s="33" t="s">
        <v>442</v>
      </c>
    </row>
    <row r="5453" ht="15.75" customHeight="1">
      <c r="A5453" s="33" t="s">
        <v>9439</v>
      </c>
      <c r="B5453" s="33" t="s">
        <v>2934</v>
      </c>
      <c r="C5453" s="39">
        <v>45699.0</v>
      </c>
      <c r="D5453" s="33" t="s">
        <v>440</v>
      </c>
      <c r="E5453" s="40">
        <v>37.32</v>
      </c>
      <c r="F5453" s="40">
        <v>0.0</v>
      </c>
      <c r="G5453" s="33" t="s">
        <v>450</v>
      </c>
    </row>
    <row r="5454" ht="15.75" customHeight="1">
      <c r="A5454" s="33" t="s">
        <v>9440</v>
      </c>
      <c r="B5454" s="33" t="s">
        <v>1421</v>
      </c>
      <c r="C5454" s="39">
        <v>46073.0</v>
      </c>
      <c r="D5454" s="33" t="s">
        <v>440</v>
      </c>
      <c r="E5454" s="40">
        <v>137.44</v>
      </c>
      <c r="F5454" s="40">
        <v>0.0</v>
      </c>
      <c r="G5454" s="33" t="s">
        <v>450</v>
      </c>
    </row>
    <row r="5455" ht="15.75" customHeight="1">
      <c r="A5455" s="33" t="s">
        <v>9441</v>
      </c>
      <c r="B5455" s="33" t="s">
        <v>258</v>
      </c>
      <c r="C5455" s="39">
        <v>45860.0</v>
      </c>
      <c r="D5455" s="33" t="s">
        <v>461</v>
      </c>
      <c r="E5455" s="40">
        <v>56.41</v>
      </c>
      <c r="F5455" s="40">
        <v>1.11</v>
      </c>
      <c r="G5455" s="33" t="s">
        <v>431</v>
      </c>
    </row>
    <row r="5456" ht="15.75" customHeight="1">
      <c r="A5456" s="33" t="s">
        <v>9442</v>
      </c>
      <c r="B5456" s="33" t="s">
        <v>905</v>
      </c>
      <c r="C5456" s="39">
        <v>46208.0</v>
      </c>
      <c r="D5456" s="33" t="s">
        <v>428</v>
      </c>
      <c r="E5456" s="40">
        <v>114.59</v>
      </c>
      <c r="F5456" s="40">
        <v>0.0</v>
      </c>
      <c r="G5456" s="33" t="s">
        <v>450</v>
      </c>
    </row>
    <row r="5457" ht="15.75" customHeight="1">
      <c r="A5457" s="33" t="s">
        <v>9443</v>
      </c>
      <c r="B5457" s="33" t="s">
        <v>753</v>
      </c>
      <c r="C5457" s="39">
        <v>45790.0</v>
      </c>
      <c r="D5457" s="33" t="s">
        <v>435</v>
      </c>
      <c r="E5457" s="40">
        <v>8.63</v>
      </c>
      <c r="F5457" s="40">
        <v>0.0</v>
      </c>
      <c r="G5457" s="33" t="s">
        <v>450</v>
      </c>
    </row>
    <row r="5458" ht="15.75" customHeight="1">
      <c r="A5458" s="33" t="s">
        <v>9444</v>
      </c>
      <c r="B5458" s="33" t="s">
        <v>696</v>
      </c>
      <c r="C5458" s="39">
        <v>45678.0</v>
      </c>
      <c r="D5458" s="33" t="s">
        <v>461</v>
      </c>
      <c r="E5458" s="40">
        <v>20.89</v>
      </c>
      <c r="F5458" s="40">
        <v>0.31</v>
      </c>
      <c r="G5458" s="33" t="s">
        <v>450</v>
      </c>
    </row>
    <row r="5459" ht="15.75" customHeight="1">
      <c r="A5459" s="33" t="s">
        <v>9445</v>
      </c>
      <c r="B5459" s="33" t="s">
        <v>2926</v>
      </c>
      <c r="C5459" s="39">
        <v>46061.0</v>
      </c>
      <c r="D5459" s="33" t="s">
        <v>435</v>
      </c>
      <c r="E5459" s="40">
        <v>143.04</v>
      </c>
      <c r="F5459" s="40">
        <v>0.0</v>
      </c>
      <c r="G5459" s="33" t="s">
        <v>450</v>
      </c>
    </row>
    <row r="5460" ht="15.75" customHeight="1">
      <c r="A5460" s="33" t="s">
        <v>9446</v>
      </c>
      <c r="B5460" s="33" t="s">
        <v>204</v>
      </c>
      <c r="C5460" s="39">
        <v>45993.0</v>
      </c>
      <c r="D5460" s="33" t="s">
        <v>428</v>
      </c>
      <c r="E5460" s="40">
        <v>14.47</v>
      </c>
      <c r="F5460" s="40">
        <v>0.0</v>
      </c>
      <c r="G5460" s="33" t="s">
        <v>450</v>
      </c>
    </row>
    <row r="5461" ht="15.75" customHeight="1">
      <c r="A5461" s="33" t="s">
        <v>9447</v>
      </c>
      <c r="B5461" s="33" t="s">
        <v>1179</v>
      </c>
      <c r="C5461" s="39">
        <v>45995.0</v>
      </c>
      <c r="D5461" s="33" t="s">
        <v>440</v>
      </c>
      <c r="E5461" s="40">
        <v>44.64</v>
      </c>
      <c r="F5461" s="40">
        <v>0.0</v>
      </c>
      <c r="G5461" s="33" t="s">
        <v>431</v>
      </c>
    </row>
    <row r="5462" ht="15.75" customHeight="1">
      <c r="A5462" s="33" t="s">
        <v>9448</v>
      </c>
      <c r="B5462" s="33" t="s">
        <v>1256</v>
      </c>
      <c r="C5462" s="39">
        <v>45817.0</v>
      </c>
      <c r="D5462" s="33" t="s">
        <v>428</v>
      </c>
      <c r="E5462" s="40">
        <v>187.51</v>
      </c>
      <c r="F5462" s="40">
        <v>0.0</v>
      </c>
      <c r="G5462" s="33" t="s">
        <v>442</v>
      </c>
    </row>
    <row r="5463" ht="15.75" customHeight="1">
      <c r="A5463" s="33" t="s">
        <v>9449</v>
      </c>
      <c r="B5463" s="33" t="s">
        <v>2723</v>
      </c>
      <c r="C5463" s="39">
        <v>45958.0</v>
      </c>
      <c r="D5463" s="33" t="s">
        <v>461</v>
      </c>
      <c r="E5463" s="40">
        <v>131.94</v>
      </c>
      <c r="F5463" s="40">
        <v>0.73</v>
      </c>
      <c r="G5463" s="33" t="s">
        <v>450</v>
      </c>
    </row>
    <row r="5464" ht="15.75" customHeight="1">
      <c r="A5464" s="33" t="s">
        <v>9450</v>
      </c>
      <c r="B5464" s="33" t="s">
        <v>697</v>
      </c>
      <c r="C5464" s="39">
        <v>46243.0</v>
      </c>
      <c r="D5464" s="33" t="s">
        <v>440</v>
      </c>
      <c r="E5464" s="40">
        <v>53.96</v>
      </c>
      <c r="F5464" s="40">
        <v>0.0</v>
      </c>
      <c r="G5464" s="33" t="s">
        <v>450</v>
      </c>
    </row>
    <row r="5465" ht="15.75" customHeight="1">
      <c r="A5465" s="33" t="s">
        <v>9451</v>
      </c>
      <c r="B5465" s="33" t="s">
        <v>783</v>
      </c>
      <c r="C5465" s="39">
        <v>46121.0</v>
      </c>
      <c r="D5465" s="33" t="s">
        <v>440</v>
      </c>
      <c r="E5465" s="40">
        <v>37.46</v>
      </c>
      <c r="F5465" s="40">
        <v>0.0</v>
      </c>
      <c r="G5465" s="33" t="s">
        <v>450</v>
      </c>
    </row>
    <row r="5466" ht="15.75" customHeight="1">
      <c r="A5466" s="33" t="s">
        <v>9452</v>
      </c>
      <c r="B5466" s="33" t="s">
        <v>511</v>
      </c>
      <c r="C5466" s="39">
        <v>46255.0</v>
      </c>
      <c r="D5466" s="33" t="s">
        <v>440</v>
      </c>
      <c r="E5466" s="40">
        <v>207.08</v>
      </c>
      <c r="F5466" s="40">
        <v>0.0</v>
      </c>
      <c r="G5466" s="33" t="s">
        <v>450</v>
      </c>
    </row>
    <row r="5467" ht="15.75" customHeight="1">
      <c r="A5467" s="33" t="s">
        <v>9453</v>
      </c>
      <c r="B5467" s="33" t="s">
        <v>539</v>
      </c>
      <c r="C5467" s="39">
        <v>45860.0</v>
      </c>
      <c r="D5467" s="33" t="s">
        <v>479</v>
      </c>
      <c r="E5467" s="40">
        <v>40.38</v>
      </c>
      <c r="F5467" s="40">
        <v>0.55</v>
      </c>
      <c r="G5467" s="33" t="s">
        <v>450</v>
      </c>
    </row>
    <row r="5468" ht="15.75" customHeight="1">
      <c r="A5468" s="33" t="s">
        <v>9454</v>
      </c>
      <c r="B5468" s="33" t="s">
        <v>1995</v>
      </c>
      <c r="C5468" s="39">
        <v>46186.0</v>
      </c>
      <c r="D5468" s="33" t="s">
        <v>479</v>
      </c>
      <c r="E5468" s="40">
        <v>90.13</v>
      </c>
      <c r="F5468" s="40">
        <v>1.28</v>
      </c>
      <c r="G5468" s="33" t="s">
        <v>450</v>
      </c>
    </row>
    <row r="5469" ht="15.75" customHeight="1">
      <c r="A5469" s="33" t="s">
        <v>9455</v>
      </c>
      <c r="B5469" s="33" t="s">
        <v>183</v>
      </c>
      <c r="C5469" s="39">
        <v>45890.0</v>
      </c>
      <c r="D5469" s="33" t="s">
        <v>461</v>
      </c>
      <c r="E5469" s="40">
        <v>176.58</v>
      </c>
      <c r="F5469" s="40">
        <v>1.46</v>
      </c>
      <c r="G5469" s="33" t="s">
        <v>442</v>
      </c>
    </row>
    <row r="5470" ht="15.75" customHeight="1">
      <c r="A5470" s="33" t="s">
        <v>9456</v>
      </c>
      <c r="B5470" s="33" t="s">
        <v>806</v>
      </c>
      <c r="C5470" s="39">
        <v>46225.0</v>
      </c>
      <c r="D5470" s="33" t="s">
        <v>479</v>
      </c>
      <c r="E5470" s="40">
        <v>101.81</v>
      </c>
      <c r="F5470" s="40">
        <v>1.94</v>
      </c>
      <c r="G5470" s="33" t="s">
        <v>450</v>
      </c>
    </row>
    <row r="5471" ht="15.75" customHeight="1">
      <c r="A5471" s="33" t="s">
        <v>9457</v>
      </c>
      <c r="B5471" s="33" t="s">
        <v>786</v>
      </c>
      <c r="C5471" s="39">
        <v>46183.0</v>
      </c>
      <c r="D5471" s="33" t="s">
        <v>461</v>
      </c>
      <c r="E5471" s="40">
        <v>176.88</v>
      </c>
      <c r="F5471" s="40">
        <v>2.07</v>
      </c>
      <c r="G5471" s="33" t="s">
        <v>450</v>
      </c>
    </row>
    <row r="5472" ht="15.75" customHeight="1">
      <c r="A5472" s="33" t="s">
        <v>9458</v>
      </c>
      <c r="B5472" s="33" t="s">
        <v>2723</v>
      </c>
      <c r="C5472" s="39">
        <v>45757.0</v>
      </c>
      <c r="D5472" s="33" t="s">
        <v>479</v>
      </c>
      <c r="E5472" s="40">
        <v>52.19</v>
      </c>
      <c r="F5472" s="40">
        <v>0.98</v>
      </c>
      <c r="G5472" s="33" t="s">
        <v>450</v>
      </c>
    </row>
    <row r="5473" ht="15.75" customHeight="1">
      <c r="A5473" s="33" t="s">
        <v>9459</v>
      </c>
      <c r="B5473" s="33" t="s">
        <v>783</v>
      </c>
      <c r="C5473" s="39">
        <v>46248.0</v>
      </c>
      <c r="D5473" s="33" t="s">
        <v>440</v>
      </c>
      <c r="E5473" s="40">
        <v>28.29</v>
      </c>
      <c r="F5473" s="40">
        <v>0.0</v>
      </c>
      <c r="G5473" s="33" t="s">
        <v>431</v>
      </c>
    </row>
    <row r="5474" ht="15.75" customHeight="1">
      <c r="A5474" s="33" t="s">
        <v>9460</v>
      </c>
      <c r="B5474" s="33" t="s">
        <v>1510</v>
      </c>
      <c r="C5474" s="39">
        <v>46026.0</v>
      </c>
      <c r="D5474" s="33" t="s">
        <v>440</v>
      </c>
      <c r="E5474" s="40">
        <v>117.98</v>
      </c>
      <c r="F5474" s="40">
        <v>0.0</v>
      </c>
      <c r="G5474" s="33" t="s">
        <v>431</v>
      </c>
    </row>
    <row r="5475" ht="15.75" customHeight="1">
      <c r="A5475" s="33" t="s">
        <v>9461</v>
      </c>
      <c r="B5475" s="33" t="s">
        <v>825</v>
      </c>
      <c r="C5475" s="39">
        <v>46129.0</v>
      </c>
      <c r="D5475" s="33" t="s">
        <v>461</v>
      </c>
      <c r="E5475" s="40">
        <v>163.55</v>
      </c>
      <c r="F5475" s="40">
        <v>1.95</v>
      </c>
      <c r="G5475" s="33" t="s">
        <v>442</v>
      </c>
    </row>
    <row r="5476" ht="15.75" customHeight="1">
      <c r="A5476" s="33" t="s">
        <v>9462</v>
      </c>
      <c r="B5476" s="33" t="s">
        <v>1235</v>
      </c>
      <c r="C5476" s="39">
        <v>46009.0</v>
      </c>
      <c r="D5476" s="33" t="s">
        <v>435</v>
      </c>
      <c r="E5476" s="40">
        <v>106.46</v>
      </c>
      <c r="F5476" s="40">
        <v>0.0</v>
      </c>
      <c r="G5476" s="33" t="s">
        <v>450</v>
      </c>
    </row>
    <row r="5477" ht="15.75" customHeight="1">
      <c r="A5477" s="33" t="s">
        <v>9463</v>
      </c>
      <c r="B5477" s="33" t="s">
        <v>1329</v>
      </c>
      <c r="C5477" s="39">
        <v>45789.0</v>
      </c>
      <c r="D5477" s="33" t="s">
        <v>440</v>
      </c>
      <c r="E5477" s="40">
        <v>32.95</v>
      </c>
      <c r="F5477" s="40">
        <v>0.0</v>
      </c>
      <c r="G5477" s="33" t="s">
        <v>442</v>
      </c>
    </row>
    <row r="5478" ht="15.75" customHeight="1">
      <c r="A5478" s="33" t="s">
        <v>9464</v>
      </c>
      <c r="B5478" s="33" t="s">
        <v>1137</v>
      </c>
      <c r="C5478" s="39">
        <v>46255.0</v>
      </c>
      <c r="D5478" s="33" t="s">
        <v>440</v>
      </c>
      <c r="E5478" s="40">
        <v>319.47</v>
      </c>
      <c r="F5478" s="40">
        <v>0.0</v>
      </c>
      <c r="G5478" s="33" t="s">
        <v>450</v>
      </c>
    </row>
    <row r="5479" ht="15.75" customHeight="1">
      <c r="A5479" s="33" t="s">
        <v>9465</v>
      </c>
      <c r="B5479" s="33" t="s">
        <v>2718</v>
      </c>
      <c r="C5479" s="39">
        <v>45726.0</v>
      </c>
      <c r="D5479" s="33" t="s">
        <v>461</v>
      </c>
      <c r="E5479" s="40">
        <v>22.59</v>
      </c>
      <c r="F5479" s="40">
        <v>0.22</v>
      </c>
      <c r="G5479" s="33" t="s">
        <v>431</v>
      </c>
    </row>
    <row r="5480" ht="15.75" customHeight="1">
      <c r="A5480" s="33" t="s">
        <v>9466</v>
      </c>
      <c r="B5480" s="33" t="s">
        <v>1527</v>
      </c>
      <c r="C5480" s="39">
        <v>46149.0</v>
      </c>
      <c r="D5480" s="33" t="s">
        <v>435</v>
      </c>
      <c r="E5480" s="40">
        <v>83.19</v>
      </c>
      <c r="F5480" s="40">
        <v>0.0</v>
      </c>
      <c r="G5480" s="33" t="s">
        <v>442</v>
      </c>
    </row>
    <row r="5481" ht="15.75" customHeight="1">
      <c r="A5481" s="33" t="s">
        <v>9467</v>
      </c>
      <c r="B5481" s="33" t="s">
        <v>615</v>
      </c>
      <c r="C5481" s="39">
        <v>45784.0</v>
      </c>
      <c r="D5481" s="33" t="s">
        <v>479</v>
      </c>
      <c r="E5481" s="40">
        <v>176.03</v>
      </c>
      <c r="F5481" s="40">
        <v>2.25</v>
      </c>
      <c r="G5481" s="33" t="s">
        <v>450</v>
      </c>
    </row>
    <row r="5482" ht="15.75" customHeight="1">
      <c r="A5482" s="33" t="s">
        <v>9468</v>
      </c>
      <c r="B5482" s="33" t="s">
        <v>258</v>
      </c>
      <c r="C5482" s="39">
        <v>46134.0</v>
      </c>
      <c r="D5482" s="33" t="s">
        <v>461</v>
      </c>
      <c r="E5482" s="40">
        <v>77.19</v>
      </c>
      <c r="F5482" s="40">
        <v>0.56</v>
      </c>
      <c r="G5482" s="33" t="s">
        <v>450</v>
      </c>
    </row>
    <row r="5483" ht="15.75" customHeight="1">
      <c r="A5483" s="33" t="s">
        <v>9469</v>
      </c>
      <c r="B5483" s="33" t="s">
        <v>401</v>
      </c>
      <c r="C5483" s="39">
        <v>45914.0</v>
      </c>
      <c r="D5483" s="33" t="s">
        <v>428</v>
      </c>
      <c r="E5483" s="40">
        <v>119.31</v>
      </c>
      <c r="F5483" s="40">
        <v>0.0</v>
      </c>
      <c r="G5483" s="33" t="s">
        <v>442</v>
      </c>
    </row>
    <row r="5484" ht="15.75" customHeight="1">
      <c r="A5484" s="33" t="s">
        <v>9470</v>
      </c>
      <c r="B5484" s="33" t="s">
        <v>1476</v>
      </c>
      <c r="C5484" s="39">
        <v>45801.0</v>
      </c>
      <c r="D5484" s="33" t="s">
        <v>479</v>
      </c>
      <c r="E5484" s="40">
        <v>13.28</v>
      </c>
      <c r="F5484" s="40">
        <v>0.17</v>
      </c>
      <c r="G5484" s="33" t="s">
        <v>442</v>
      </c>
    </row>
    <row r="5485" ht="15.75" customHeight="1">
      <c r="A5485" s="33" t="s">
        <v>9471</v>
      </c>
      <c r="B5485" s="33" t="s">
        <v>312</v>
      </c>
      <c r="C5485" s="39">
        <v>45801.0</v>
      </c>
      <c r="D5485" s="33" t="s">
        <v>428</v>
      </c>
      <c r="E5485" s="40">
        <v>115.94</v>
      </c>
      <c r="F5485" s="40">
        <v>0.0</v>
      </c>
      <c r="G5485" s="33" t="s">
        <v>442</v>
      </c>
    </row>
    <row r="5486" ht="15.75" customHeight="1">
      <c r="A5486" s="33" t="s">
        <v>9472</v>
      </c>
      <c r="B5486" s="33" t="s">
        <v>2314</v>
      </c>
      <c r="C5486" s="39">
        <v>45851.0</v>
      </c>
      <c r="D5486" s="33" t="s">
        <v>461</v>
      </c>
      <c r="E5486" s="40">
        <v>31.22</v>
      </c>
      <c r="F5486" s="40">
        <v>0.21</v>
      </c>
      <c r="G5486" s="33" t="s">
        <v>450</v>
      </c>
    </row>
    <row r="5487" ht="15.75" customHeight="1">
      <c r="A5487" s="33" t="s">
        <v>9473</v>
      </c>
      <c r="B5487" s="33" t="s">
        <v>1749</v>
      </c>
      <c r="C5487" s="39">
        <v>46204.0</v>
      </c>
      <c r="D5487" s="33" t="s">
        <v>461</v>
      </c>
      <c r="E5487" s="40">
        <v>84.21</v>
      </c>
      <c r="F5487" s="40">
        <v>0.69</v>
      </c>
      <c r="G5487" s="33" t="s">
        <v>442</v>
      </c>
    </row>
    <row r="5488" ht="15.75" customHeight="1">
      <c r="A5488" s="33" t="s">
        <v>9474</v>
      </c>
      <c r="B5488" s="33" t="s">
        <v>731</v>
      </c>
      <c r="C5488" s="39">
        <v>46125.0</v>
      </c>
      <c r="D5488" s="33" t="s">
        <v>440</v>
      </c>
      <c r="E5488" s="40">
        <v>21.93</v>
      </c>
      <c r="F5488" s="40">
        <v>0.0</v>
      </c>
      <c r="G5488" s="33" t="s">
        <v>450</v>
      </c>
    </row>
    <row r="5489" ht="15.75" customHeight="1">
      <c r="A5489" s="33" t="s">
        <v>9475</v>
      </c>
      <c r="B5489" s="33" t="s">
        <v>948</v>
      </c>
      <c r="C5489" s="39">
        <v>46065.0</v>
      </c>
      <c r="D5489" s="33" t="s">
        <v>428</v>
      </c>
      <c r="E5489" s="40">
        <v>124.05</v>
      </c>
      <c r="F5489" s="40">
        <v>0.0</v>
      </c>
      <c r="G5489" s="33" t="s">
        <v>442</v>
      </c>
    </row>
    <row r="5490" ht="15.75" customHeight="1">
      <c r="A5490" s="33" t="s">
        <v>9476</v>
      </c>
      <c r="B5490" s="33" t="s">
        <v>1416</v>
      </c>
      <c r="C5490" s="39">
        <v>46040.0</v>
      </c>
      <c r="D5490" s="33" t="s">
        <v>440</v>
      </c>
      <c r="E5490" s="40">
        <v>105.21</v>
      </c>
      <c r="F5490" s="40">
        <v>0.0</v>
      </c>
      <c r="G5490" s="33" t="s">
        <v>450</v>
      </c>
    </row>
    <row r="5491" ht="15.75" customHeight="1">
      <c r="A5491" s="33" t="s">
        <v>9477</v>
      </c>
      <c r="B5491" s="33" t="s">
        <v>513</v>
      </c>
      <c r="C5491" s="39">
        <v>45910.0</v>
      </c>
      <c r="D5491" s="33" t="s">
        <v>435</v>
      </c>
      <c r="E5491" s="40">
        <v>83.43</v>
      </c>
      <c r="F5491" s="40">
        <v>0.0</v>
      </c>
      <c r="G5491" s="33" t="s">
        <v>450</v>
      </c>
    </row>
    <row r="5492" ht="15.75" customHeight="1">
      <c r="A5492" s="33" t="s">
        <v>9478</v>
      </c>
      <c r="B5492" s="33" t="s">
        <v>1893</v>
      </c>
      <c r="C5492" s="39">
        <v>46205.0</v>
      </c>
      <c r="D5492" s="33" t="s">
        <v>435</v>
      </c>
      <c r="E5492" s="40">
        <v>145.86</v>
      </c>
      <c r="F5492" s="40">
        <v>0.0</v>
      </c>
      <c r="G5492" s="33" t="s">
        <v>431</v>
      </c>
    </row>
    <row r="5493" ht="15.75" customHeight="1">
      <c r="A5493" s="33" t="s">
        <v>9479</v>
      </c>
      <c r="B5493" s="33" t="s">
        <v>1359</v>
      </c>
      <c r="C5493" s="39">
        <v>45824.0</v>
      </c>
      <c r="D5493" s="33" t="s">
        <v>461</v>
      </c>
      <c r="E5493" s="40">
        <v>113.05</v>
      </c>
      <c r="F5493" s="40">
        <v>1.64</v>
      </c>
      <c r="G5493" s="33" t="s">
        <v>431</v>
      </c>
    </row>
    <row r="5494" ht="15.75" customHeight="1">
      <c r="A5494" s="33" t="s">
        <v>9480</v>
      </c>
      <c r="B5494" s="33" t="s">
        <v>689</v>
      </c>
      <c r="C5494" s="39">
        <v>46230.0</v>
      </c>
      <c r="D5494" s="33" t="s">
        <v>461</v>
      </c>
      <c r="E5494" s="40">
        <v>21.2</v>
      </c>
      <c r="F5494" s="40">
        <v>0.15</v>
      </c>
      <c r="G5494" s="33" t="s">
        <v>442</v>
      </c>
    </row>
    <row r="5495" ht="15.75" customHeight="1">
      <c r="A5495" s="33" t="s">
        <v>9481</v>
      </c>
      <c r="B5495" s="33" t="s">
        <v>1957</v>
      </c>
      <c r="C5495" s="39">
        <v>45889.0</v>
      </c>
      <c r="D5495" s="33" t="s">
        <v>435</v>
      </c>
      <c r="E5495" s="40">
        <v>143.0</v>
      </c>
      <c r="F5495" s="40">
        <v>0.0</v>
      </c>
      <c r="G5495" s="33" t="s">
        <v>442</v>
      </c>
    </row>
    <row r="5496" ht="15.75" customHeight="1">
      <c r="A5496" s="33" t="s">
        <v>9482</v>
      </c>
      <c r="B5496" s="33" t="s">
        <v>423</v>
      </c>
      <c r="C5496" s="39">
        <v>45865.0</v>
      </c>
      <c r="D5496" s="33" t="s">
        <v>428</v>
      </c>
      <c r="E5496" s="40">
        <v>114.33</v>
      </c>
      <c r="F5496" s="40">
        <v>0.0</v>
      </c>
      <c r="G5496" s="33" t="s">
        <v>442</v>
      </c>
    </row>
    <row r="5497" ht="15.75" customHeight="1">
      <c r="A5497" s="33" t="s">
        <v>9483</v>
      </c>
      <c r="B5497" s="33" t="s">
        <v>2469</v>
      </c>
      <c r="C5497" s="39">
        <v>45946.0</v>
      </c>
      <c r="D5497" s="33" t="s">
        <v>440</v>
      </c>
      <c r="E5497" s="40">
        <v>37.31</v>
      </c>
      <c r="F5497" s="40">
        <v>0.0</v>
      </c>
      <c r="G5497" s="33" t="s">
        <v>442</v>
      </c>
    </row>
    <row r="5498" ht="15.75" customHeight="1">
      <c r="A5498" s="33" t="s">
        <v>9484</v>
      </c>
      <c r="B5498" s="33" t="s">
        <v>3452</v>
      </c>
      <c r="C5498" s="39">
        <v>46112.0</v>
      </c>
      <c r="D5498" s="33" t="s">
        <v>461</v>
      </c>
      <c r="E5498" s="40">
        <v>74.57</v>
      </c>
      <c r="F5498" s="40">
        <v>0.39</v>
      </c>
      <c r="G5498" s="33" t="s">
        <v>450</v>
      </c>
    </row>
    <row r="5499" ht="15.75" customHeight="1">
      <c r="A5499" s="33" t="s">
        <v>9485</v>
      </c>
      <c r="B5499" s="33" t="s">
        <v>469</v>
      </c>
      <c r="C5499" s="39">
        <v>46091.0</v>
      </c>
      <c r="D5499" s="33" t="s">
        <v>479</v>
      </c>
      <c r="E5499" s="40">
        <v>50.44</v>
      </c>
      <c r="F5499" s="40">
        <v>0.89</v>
      </c>
      <c r="G5499" s="33" t="s">
        <v>431</v>
      </c>
    </row>
    <row r="5500" ht="15.75" customHeight="1">
      <c r="A5500" s="33" t="s">
        <v>9486</v>
      </c>
      <c r="B5500" s="33" t="s">
        <v>402</v>
      </c>
      <c r="C5500" s="39">
        <v>46123.0</v>
      </c>
      <c r="D5500" s="33" t="s">
        <v>479</v>
      </c>
      <c r="E5500" s="40">
        <v>268.93</v>
      </c>
      <c r="F5500" s="40">
        <v>1.95</v>
      </c>
      <c r="G5500" s="33" t="s">
        <v>442</v>
      </c>
    </row>
    <row r="5501" ht="15.75" customHeight="1">
      <c r="A5501" s="33" t="s">
        <v>9487</v>
      </c>
      <c r="B5501" s="33" t="s">
        <v>2334</v>
      </c>
      <c r="C5501" s="39">
        <v>45712.0</v>
      </c>
      <c r="D5501" s="33" t="s">
        <v>461</v>
      </c>
      <c r="E5501" s="40">
        <v>27.8</v>
      </c>
      <c r="F5501" s="40">
        <v>0.36</v>
      </c>
      <c r="G5501" s="33" t="s">
        <v>450</v>
      </c>
    </row>
    <row r="5502" ht="15.75" customHeight="1">
      <c r="A5502" s="33" t="s">
        <v>9488</v>
      </c>
      <c r="B5502" s="33" t="s">
        <v>2456</v>
      </c>
      <c r="C5502" s="39">
        <v>45755.0</v>
      </c>
      <c r="D5502" s="33" t="s">
        <v>428</v>
      </c>
      <c r="E5502" s="40">
        <v>52.5</v>
      </c>
      <c r="F5502" s="40">
        <v>0.0</v>
      </c>
      <c r="G5502" s="33" t="s">
        <v>450</v>
      </c>
    </row>
    <row r="5503" ht="15.75" customHeight="1">
      <c r="A5503" s="33" t="s">
        <v>9489</v>
      </c>
      <c r="B5503" s="33" t="s">
        <v>2239</v>
      </c>
      <c r="C5503" s="39">
        <v>46173.0</v>
      </c>
      <c r="D5503" s="33" t="s">
        <v>461</v>
      </c>
      <c r="E5503" s="40">
        <v>70.58</v>
      </c>
      <c r="F5503" s="40">
        <v>1.02</v>
      </c>
      <c r="G5503" s="33" t="s">
        <v>431</v>
      </c>
    </row>
    <row r="5504" ht="15.75" customHeight="1">
      <c r="A5504" s="33" t="s">
        <v>9490</v>
      </c>
      <c r="B5504" s="33" t="s">
        <v>1034</v>
      </c>
      <c r="C5504" s="39">
        <v>46253.0</v>
      </c>
      <c r="D5504" s="33" t="s">
        <v>428</v>
      </c>
      <c r="E5504" s="40">
        <v>81.36</v>
      </c>
      <c r="F5504" s="40">
        <v>0.0</v>
      </c>
      <c r="G5504" s="33" t="s">
        <v>450</v>
      </c>
    </row>
    <row r="5505" ht="15.75" customHeight="1">
      <c r="A5505" s="33" t="s">
        <v>9491</v>
      </c>
      <c r="B5505" s="33" t="s">
        <v>337</v>
      </c>
      <c r="C5505" s="39">
        <v>45735.0</v>
      </c>
      <c r="D5505" s="33" t="s">
        <v>428</v>
      </c>
      <c r="E5505" s="40">
        <v>53.99</v>
      </c>
      <c r="F5505" s="40">
        <v>0.0</v>
      </c>
      <c r="G5505" s="33" t="s">
        <v>450</v>
      </c>
    </row>
    <row r="5506" ht="15.75" customHeight="1">
      <c r="A5506" s="33" t="s">
        <v>9492</v>
      </c>
      <c r="B5506" s="33" t="s">
        <v>1490</v>
      </c>
      <c r="C5506" s="39">
        <v>46206.0</v>
      </c>
      <c r="D5506" s="33" t="s">
        <v>440</v>
      </c>
      <c r="E5506" s="40">
        <v>79.68</v>
      </c>
      <c r="F5506" s="40">
        <v>0.0</v>
      </c>
      <c r="G5506" s="33" t="s">
        <v>431</v>
      </c>
    </row>
    <row r="5507" ht="15.75" customHeight="1">
      <c r="A5507" s="33" t="s">
        <v>9493</v>
      </c>
      <c r="B5507" s="33" t="s">
        <v>822</v>
      </c>
      <c r="C5507" s="39">
        <v>45817.0</v>
      </c>
      <c r="D5507" s="33" t="s">
        <v>479</v>
      </c>
      <c r="E5507" s="40">
        <v>106.71</v>
      </c>
      <c r="F5507" s="40">
        <v>1.01</v>
      </c>
      <c r="G5507" s="33" t="s">
        <v>450</v>
      </c>
    </row>
    <row r="5508" ht="15.75" customHeight="1">
      <c r="A5508" s="33" t="s">
        <v>9494</v>
      </c>
      <c r="B5508" s="33" t="s">
        <v>2221</v>
      </c>
      <c r="C5508" s="39">
        <v>46252.0</v>
      </c>
      <c r="D5508" s="33" t="s">
        <v>435</v>
      </c>
      <c r="E5508" s="40">
        <v>40.7</v>
      </c>
      <c r="F5508" s="40">
        <v>0.0</v>
      </c>
      <c r="G5508" s="33" t="s">
        <v>450</v>
      </c>
    </row>
    <row r="5509" ht="15.75" customHeight="1">
      <c r="A5509" s="33" t="s">
        <v>9495</v>
      </c>
      <c r="B5509" s="33" t="s">
        <v>1557</v>
      </c>
      <c r="C5509" s="39">
        <v>46261.0</v>
      </c>
      <c r="D5509" s="33" t="s">
        <v>428</v>
      </c>
      <c r="E5509" s="40">
        <v>54.06</v>
      </c>
      <c r="F5509" s="40">
        <v>0.0</v>
      </c>
      <c r="G5509" s="33" t="s">
        <v>450</v>
      </c>
    </row>
    <row r="5510" ht="15.75" customHeight="1">
      <c r="A5510" s="33" t="s">
        <v>9496</v>
      </c>
      <c r="B5510" s="33" t="s">
        <v>1816</v>
      </c>
      <c r="C5510" s="39">
        <v>46044.0</v>
      </c>
      <c r="D5510" s="33" t="s">
        <v>428</v>
      </c>
      <c r="E5510" s="40">
        <v>230.62</v>
      </c>
      <c r="F5510" s="40">
        <v>0.0</v>
      </c>
      <c r="G5510" s="33" t="s">
        <v>450</v>
      </c>
    </row>
    <row r="5511" ht="15.75" customHeight="1">
      <c r="A5511" s="33" t="s">
        <v>9497</v>
      </c>
      <c r="B5511" s="33" t="s">
        <v>497</v>
      </c>
      <c r="C5511" s="39">
        <v>45773.0</v>
      </c>
      <c r="D5511" s="33" t="s">
        <v>428</v>
      </c>
      <c r="E5511" s="40">
        <v>145.28</v>
      </c>
      <c r="F5511" s="40">
        <v>0.0</v>
      </c>
      <c r="G5511" s="33" t="s">
        <v>450</v>
      </c>
    </row>
    <row r="5512" ht="15.75" customHeight="1">
      <c r="A5512" s="33" t="s">
        <v>9498</v>
      </c>
      <c r="B5512" s="33" t="s">
        <v>1059</v>
      </c>
      <c r="C5512" s="39">
        <v>46136.0</v>
      </c>
      <c r="D5512" s="33" t="s">
        <v>461</v>
      </c>
      <c r="E5512" s="40">
        <v>142.87</v>
      </c>
      <c r="F5512" s="40">
        <v>1.9</v>
      </c>
      <c r="G5512" s="33" t="s">
        <v>450</v>
      </c>
    </row>
    <row r="5513" ht="15.75" customHeight="1">
      <c r="A5513" s="33" t="s">
        <v>9499</v>
      </c>
      <c r="B5513" s="33" t="s">
        <v>2429</v>
      </c>
      <c r="C5513" s="39">
        <v>45719.0</v>
      </c>
      <c r="D5513" s="33" t="s">
        <v>428</v>
      </c>
      <c r="E5513" s="40">
        <v>20.2</v>
      </c>
      <c r="F5513" s="40">
        <v>0.0</v>
      </c>
      <c r="G5513" s="33" t="s">
        <v>450</v>
      </c>
    </row>
    <row r="5514" ht="15.75" customHeight="1">
      <c r="A5514" s="33" t="s">
        <v>9500</v>
      </c>
      <c r="B5514" s="33" t="s">
        <v>781</v>
      </c>
      <c r="C5514" s="39">
        <v>45860.0</v>
      </c>
      <c r="D5514" s="33" t="s">
        <v>461</v>
      </c>
      <c r="E5514" s="40">
        <v>255.78</v>
      </c>
      <c r="F5514" s="40">
        <v>1.86</v>
      </c>
      <c r="G5514" s="33" t="s">
        <v>431</v>
      </c>
    </row>
    <row r="5515" ht="15.75" customHeight="1">
      <c r="A5515" s="33" t="s">
        <v>9501</v>
      </c>
      <c r="B5515" s="33" t="s">
        <v>880</v>
      </c>
      <c r="C5515" s="39">
        <v>46045.0</v>
      </c>
      <c r="D5515" s="33" t="s">
        <v>440</v>
      </c>
      <c r="E5515" s="40">
        <v>68.5</v>
      </c>
      <c r="F5515" s="40">
        <v>0.0</v>
      </c>
      <c r="G5515" s="33" t="s">
        <v>450</v>
      </c>
    </row>
    <row r="5516" ht="15.75" customHeight="1">
      <c r="A5516" s="33" t="s">
        <v>9502</v>
      </c>
      <c r="B5516" s="33" t="s">
        <v>294</v>
      </c>
      <c r="C5516" s="39">
        <v>45699.0</v>
      </c>
      <c r="D5516" s="33" t="s">
        <v>440</v>
      </c>
      <c r="E5516" s="40">
        <v>154.21</v>
      </c>
      <c r="F5516" s="40">
        <v>0.0</v>
      </c>
      <c r="G5516" s="33" t="s">
        <v>450</v>
      </c>
    </row>
    <row r="5517" ht="15.75" customHeight="1">
      <c r="A5517" s="33" t="s">
        <v>9503</v>
      </c>
      <c r="B5517" s="33" t="s">
        <v>1901</v>
      </c>
      <c r="C5517" s="39">
        <v>45896.0</v>
      </c>
      <c r="D5517" s="33" t="s">
        <v>479</v>
      </c>
      <c r="E5517" s="40">
        <v>84.83</v>
      </c>
      <c r="F5517" s="40">
        <v>0.7</v>
      </c>
      <c r="G5517" s="33" t="s">
        <v>442</v>
      </c>
    </row>
    <row r="5518" ht="15.75" customHeight="1">
      <c r="A5518" s="33" t="s">
        <v>9504</v>
      </c>
      <c r="B5518" s="33" t="s">
        <v>2080</v>
      </c>
      <c r="C5518" s="39">
        <v>46141.0</v>
      </c>
      <c r="D5518" s="33" t="s">
        <v>479</v>
      </c>
      <c r="E5518" s="40">
        <v>12.9</v>
      </c>
      <c r="F5518" s="40">
        <v>0.09</v>
      </c>
      <c r="G5518" s="33" t="s">
        <v>442</v>
      </c>
    </row>
    <row r="5519" ht="15.75" customHeight="1">
      <c r="A5519" s="33" t="s">
        <v>9505</v>
      </c>
      <c r="B5519" s="33" t="s">
        <v>753</v>
      </c>
      <c r="C5519" s="39">
        <v>45713.0</v>
      </c>
      <c r="D5519" s="33" t="s">
        <v>461</v>
      </c>
      <c r="E5519" s="40">
        <v>56.3</v>
      </c>
      <c r="F5519" s="40">
        <v>0.91</v>
      </c>
      <c r="G5519" s="33" t="s">
        <v>431</v>
      </c>
    </row>
    <row r="5520" ht="15.75" customHeight="1">
      <c r="A5520" s="33" t="s">
        <v>9506</v>
      </c>
      <c r="B5520" s="33" t="s">
        <v>278</v>
      </c>
      <c r="C5520" s="39">
        <v>45880.0</v>
      </c>
      <c r="D5520" s="33" t="s">
        <v>461</v>
      </c>
      <c r="E5520" s="40">
        <v>146.79</v>
      </c>
      <c r="F5520" s="40">
        <v>1.16</v>
      </c>
      <c r="G5520" s="33" t="s">
        <v>450</v>
      </c>
    </row>
    <row r="5521" ht="15.75" customHeight="1">
      <c r="A5521" s="33" t="s">
        <v>9507</v>
      </c>
      <c r="B5521" s="33" t="s">
        <v>633</v>
      </c>
      <c r="C5521" s="39">
        <v>45660.0</v>
      </c>
      <c r="D5521" s="33" t="s">
        <v>428</v>
      </c>
      <c r="E5521" s="40">
        <v>149.74</v>
      </c>
      <c r="F5521" s="40">
        <v>0.0</v>
      </c>
      <c r="G5521" s="33" t="s">
        <v>442</v>
      </c>
    </row>
    <row r="5522" ht="15.75" customHeight="1">
      <c r="A5522" s="33" t="s">
        <v>9508</v>
      </c>
      <c r="B5522" s="33" t="s">
        <v>464</v>
      </c>
      <c r="C5522" s="39">
        <v>46057.0</v>
      </c>
      <c r="D5522" s="33" t="s">
        <v>461</v>
      </c>
      <c r="E5522" s="40">
        <v>87.47</v>
      </c>
      <c r="F5522" s="40">
        <v>1.37</v>
      </c>
      <c r="G5522" s="33" t="s">
        <v>431</v>
      </c>
    </row>
    <row r="5523" ht="15.75" customHeight="1">
      <c r="A5523" s="33" t="s">
        <v>9509</v>
      </c>
      <c r="B5523" s="33" t="s">
        <v>642</v>
      </c>
      <c r="C5523" s="39">
        <v>45706.0</v>
      </c>
      <c r="D5523" s="33" t="s">
        <v>435</v>
      </c>
      <c r="E5523" s="40">
        <v>26.85</v>
      </c>
      <c r="F5523" s="40">
        <v>0.0</v>
      </c>
      <c r="G5523" s="33" t="s">
        <v>450</v>
      </c>
    </row>
    <row r="5524" ht="15.75" customHeight="1">
      <c r="A5524" s="33" t="s">
        <v>9510</v>
      </c>
      <c r="B5524" s="33" t="s">
        <v>460</v>
      </c>
      <c r="C5524" s="39">
        <v>45828.0</v>
      </c>
      <c r="D5524" s="33" t="s">
        <v>440</v>
      </c>
      <c r="E5524" s="40">
        <v>157.25</v>
      </c>
      <c r="F5524" s="40">
        <v>0.0</v>
      </c>
      <c r="G5524" s="33" t="s">
        <v>431</v>
      </c>
    </row>
    <row r="5525" ht="15.75" customHeight="1">
      <c r="A5525" s="33" t="s">
        <v>9511</v>
      </c>
      <c r="B5525" s="33" t="s">
        <v>1051</v>
      </c>
      <c r="C5525" s="39">
        <v>45975.0</v>
      </c>
      <c r="D5525" s="33" t="s">
        <v>440</v>
      </c>
      <c r="E5525" s="40">
        <v>40.65</v>
      </c>
      <c r="F5525" s="40">
        <v>0.0</v>
      </c>
      <c r="G5525" s="33" t="s">
        <v>431</v>
      </c>
    </row>
    <row r="5526" ht="15.75" customHeight="1">
      <c r="A5526" s="33" t="s">
        <v>9512</v>
      </c>
      <c r="B5526" s="33" t="s">
        <v>861</v>
      </c>
      <c r="C5526" s="39">
        <v>45788.0</v>
      </c>
      <c r="D5526" s="33" t="s">
        <v>461</v>
      </c>
      <c r="E5526" s="40">
        <v>84.27</v>
      </c>
      <c r="F5526" s="40">
        <v>1.06</v>
      </c>
      <c r="G5526" s="33" t="s">
        <v>450</v>
      </c>
    </row>
    <row r="5527" ht="15.75" customHeight="1">
      <c r="A5527" s="33" t="s">
        <v>9513</v>
      </c>
      <c r="B5527" s="33" t="s">
        <v>3295</v>
      </c>
      <c r="C5527" s="39">
        <v>45798.0</v>
      </c>
      <c r="D5527" s="33" t="s">
        <v>440</v>
      </c>
      <c r="E5527" s="40">
        <v>111.49</v>
      </c>
      <c r="F5527" s="40">
        <v>0.0</v>
      </c>
      <c r="G5527" s="33" t="s">
        <v>442</v>
      </c>
    </row>
    <row r="5528" ht="15.75" customHeight="1">
      <c r="A5528" s="33" t="s">
        <v>9514</v>
      </c>
      <c r="B5528" s="33" t="s">
        <v>1571</v>
      </c>
      <c r="C5528" s="39">
        <v>46164.0</v>
      </c>
      <c r="D5528" s="33" t="s">
        <v>428</v>
      </c>
      <c r="E5528" s="40">
        <v>119.34</v>
      </c>
      <c r="F5528" s="40">
        <v>0.0</v>
      </c>
      <c r="G5528" s="33" t="s">
        <v>442</v>
      </c>
    </row>
    <row r="5529" ht="15.75" customHeight="1">
      <c r="A5529" s="33" t="s">
        <v>9515</v>
      </c>
      <c r="B5529" s="33" t="s">
        <v>448</v>
      </c>
      <c r="C5529" s="39">
        <v>46129.0</v>
      </c>
      <c r="D5529" s="33" t="s">
        <v>440</v>
      </c>
      <c r="E5529" s="40">
        <v>108.66</v>
      </c>
      <c r="F5529" s="40">
        <v>0.0</v>
      </c>
      <c r="G5529" s="33" t="s">
        <v>431</v>
      </c>
    </row>
    <row r="5530" ht="15.75" customHeight="1">
      <c r="A5530" s="33" t="s">
        <v>9516</v>
      </c>
      <c r="B5530" s="33" t="s">
        <v>1372</v>
      </c>
      <c r="C5530" s="39">
        <v>45707.0</v>
      </c>
      <c r="D5530" s="33" t="s">
        <v>479</v>
      </c>
      <c r="E5530" s="40">
        <v>35.3</v>
      </c>
      <c r="F5530" s="40">
        <v>0.53</v>
      </c>
      <c r="G5530" s="33" t="s">
        <v>450</v>
      </c>
    </row>
    <row r="5531" ht="15.75" customHeight="1">
      <c r="A5531" s="33" t="s">
        <v>9517</v>
      </c>
      <c r="B5531" s="33" t="s">
        <v>726</v>
      </c>
      <c r="C5531" s="39">
        <v>46178.0</v>
      </c>
      <c r="D5531" s="33" t="s">
        <v>428</v>
      </c>
      <c r="E5531" s="40">
        <v>52.17</v>
      </c>
      <c r="F5531" s="40">
        <v>0.0</v>
      </c>
      <c r="G5531" s="33" t="s">
        <v>450</v>
      </c>
    </row>
    <row r="5532" ht="15.75" customHeight="1">
      <c r="A5532" s="33" t="s">
        <v>9518</v>
      </c>
      <c r="B5532" s="33" t="s">
        <v>888</v>
      </c>
      <c r="C5532" s="39">
        <v>45942.0</v>
      </c>
      <c r="D5532" s="33" t="s">
        <v>440</v>
      </c>
      <c r="E5532" s="40">
        <v>34.4</v>
      </c>
      <c r="F5532" s="40">
        <v>0.0</v>
      </c>
      <c r="G5532" s="33" t="s">
        <v>450</v>
      </c>
    </row>
    <row r="5533" ht="15.75" customHeight="1">
      <c r="A5533" s="33" t="s">
        <v>9519</v>
      </c>
      <c r="B5533" s="33" t="s">
        <v>2568</v>
      </c>
      <c r="C5533" s="39">
        <v>45745.0</v>
      </c>
      <c r="D5533" s="33" t="s">
        <v>435</v>
      </c>
      <c r="E5533" s="40">
        <v>126.08</v>
      </c>
      <c r="F5533" s="40">
        <v>0.0</v>
      </c>
      <c r="G5533" s="33" t="s">
        <v>442</v>
      </c>
    </row>
    <row r="5534" ht="15.75" customHeight="1">
      <c r="A5534" s="33" t="s">
        <v>9520</v>
      </c>
      <c r="B5534" s="33" t="s">
        <v>1645</v>
      </c>
      <c r="C5534" s="39">
        <v>46208.0</v>
      </c>
      <c r="D5534" s="33" t="s">
        <v>440</v>
      </c>
      <c r="E5534" s="40">
        <v>114.0</v>
      </c>
      <c r="F5534" s="40">
        <v>0.0</v>
      </c>
      <c r="G5534" s="33" t="s">
        <v>431</v>
      </c>
    </row>
    <row r="5535" ht="15.75" customHeight="1">
      <c r="A5535" s="33" t="s">
        <v>9521</v>
      </c>
      <c r="B5535" s="33" t="s">
        <v>1488</v>
      </c>
      <c r="C5535" s="39">
        <v>45862.0</v>
      </c>
      <c r="D5535" s="33" t="s">
        <v>440</v>
      </c>
      <c r="E5535" s="40">
        <v>39.7</v>
      </c>
      <c r="F5535" s="40">
        <v>0.0</v>
      </c>
      <c r="G5535" s="33" t="s">
        <v>450</v>
      </c>
    </row>
    <row r="5536" ht="15.75" customHeight="1">
      <c r="A5536" s="33" t="s">
        <v>9522</v>
      </c>
      <c r="B5536" s="33" t="s">
        <v>2314</v>
      </c>
      <c r="C5536" s="39">
        <v>45855.0</v>
      </c>
      <c r="D5536" s="33" t="s">
        <v>461</v>
      </c>
      <c r="E5536" s="40">
        <v>139.53</v>
      </c>
      <c r="F5536" s="40">
        <v>1.47</v>
      </c>
      <c r="G5536" s="33" t="s">
        <v>450</v>
      </c>
    </row>
    <row r="5537" ht="15.75" customHeight="1">
      <c r="A5537" s="33" t="s">
        <v>9523</v>
      </c>
      <c r="B5537" s="33" t="s">
        <v>2836</v>
      </c>
      <c r="C5537" s="39">
        <v>45746.0</v>
      </c>
      <c r="D5537" s="33" t="s">
        <v>461</v>
      </c>
      <c r="E5537" s="40">
        <v>138.97</v>
      </c>
      <c r="F5537" s="40">
        <v>2.62</v>
      </c>
      <c r="G5537" s="33" t="s">
        <v>450</v>
      </c>
    </row>
    <row r="5538" ht="15.75" customHeight="1">
      <c r="A5538" s="33" t="s">
        <v>9524</v>
      </c>
      <c r="B5538" s="33" t="s">
        <v>902</v>
      </c>
      <c r="C5538" s="39">
        <v>46195.0</v>
      </c>
      <c r="D5538" s="33" t="s">
        <v>479</v>
      </c>
      <c r="E5538" s="40">
        <v>172.33</v>
      </c>
      <c r="F5538" s="40">
        <v>3.02</v>
      </c>
      <c r="G5538" s="33" t="s">
        <v>450</v>
      </c>
    </row>
    <row r="5539" ht="15.75" customHeight="1">
      <c r="A5539" s="33" t="s">
        <v>9525</v>
      </c>
      <c r="B5539" s="33" t="s">
        <v>1375</v>
      </c>
      <c r="C5539" s="39">
        <v>45832.0</v>
      </c>
      <c r="D5539" s="33" t="s">
        <v>479</v>
      </c>
      <c r="E5539" s="40">
        <v>111.15</v>
      </c>
      <c r="F5539" s="40">
        <v>1.41</v>
      </c>
      <c r="G5539" s="33" t="s">
        <v>450</v>
      </c>
    </row>
    <row r="5540" ht="15.75" customHeight="1">
      <c r="A5540" s="33" t="s">
        <v>9526</v>
      </c>
      <c r="B5540" s="33" t="s">
        <v>2559</v>
      </c>
      <c r="C5540" s="39">
        <v>46017.0</v>
      </c>
      <c r="D5540" s="33" t="s">
        <v>479</v>
      </c>
      <c r="E5540" s="40">
        <v>116.32</v>
      </c>
      <c r="F5540" s="40">
        <v>1.42</v>
      </c>
      <c r="G5540" s="33" t="s">
        <v>431</v>
      </c>
    </row>
    <row r="5541" ht="15.75" customHeight="1">
      <c r="A5541" s="33" t="s">
        <v>9527</v>
      </c>
      <c r="B5541" s="33" t="s">
        <v>1758</v>
      </c>
      <c r="C5541" s="39">
        <v>45803.0</v>
      </c>
      <c r="D5541" s="33" t="s">
        <v>435</v>
      </c>
      <c r="E5541" s="40">
        <v>55.34</v>
      </c>
      <c r="F5541" s="40">
        <v>0.0</v>
      </c>
      <c r="G5541" s="33" t="s">
        <v>442</v>
      </c>
    </row>
    <row r="5542" ht="15.75" customHeight="1">
      <c r="A5542" s="33" t="s">
        <v>9528</v>
      </c>
      <c r="B5542" s="33" t="s">
        <v>563</v>
      </c>
      <c r="C5542" s="39">
        <v>46201.0</v>
      </c>
      <c r="D5542" s="33" t="s">
        <v>435</v>
      </c>
      <c r="E5542" s="40">
        <v>66.55</v>
      </c>
      <c r="F5542" s="40">
        <v>0.0</v>
      </c>
      <c r="G5542" s="33" t="s">
        <v>431</v>
      </c>
    </row>
    <row r="5543" ht="15.75" customHeight="1">
      <c r="A5543" s="33" t="s">
        <v>9529</v>
      </c>
      <c r="B5543" s="33" t="s">
        <v>514</v>
      </c>
      <c r="C5543" s="39">
        <v>46135.0</v>
      </c>
      <c r="D5543" s="33" t="s">
        <v>461</v>
      </c>
      <c r="E5543" s="40">
        <v>161.09</v>
      </c>
      <c r="F5543" s="40">
        <v>2.31</v>
      </c>
      <c r="G5543" s="33" t="s">
        <v>450</v>
      </c>
    </row>
    <row r="5544" ht="15.75" customHeight="1">
      <c r="A5544" s="33" t="s">
        <v>9530</v>
      </c>
      <c r="B5544" s="33" t="s">
        <v>1383</v>
      </c>
      <c r="C5544" s="39">
        <v>45963.0</v>
      </c>
      <c r="D5544" s="33" t="s">
        <v>428</v>
      </c>
      <c r="E5544" s="40">
        <v>46.12</v>
      </c>
      <c r="F5544" s="40">
        <v>0.0</v>
      </c>
      <c r="G5544" s="33" t="s">
        <v>450</v>
      </c>
    </row>
    <row r="5545" ht="15.75" customHeight="1">
      <c r="A5545" s="33" t="s">
        <v>9531</v>
      </c>
      <c r="B5545" s="33" t="s">
        <v>526</v>
      </c>
      <c r="C5545" s="39">
        <v>45867.0</v>
      </c>
      <c r="D5545" s="33" t="s">
        <v>479</v>
      </c>
      <c r="E5545" s="40">
        <v>36.73</v>
      </c>
      <c r="F5545" s="40">
        <v>0.38</v>
      </c>
      <c r="G5545" s="33" t="s">
        <v>450</v>
      </c>
    </row>
    <row r="5546" ht="15.75" customHeight="1">
      <c r="A5546" s="33" t="s">
        <v>9532</v>
      </c>
      <c r="B5546" s="33" t="s">
        <v>848</v>
      </c>
      <c r="C5546" s="39">
        <v>46055.0</v>
      </c>
      <c r="D5546" s="33" t="s">
        <v>435</v>
      </c>
      <c r="E5546" s="40">
        <v>117.17</v>
      </c>
      <c r="F5546" s="40">
        <v>0.0</v>
      </c>
      <c r="G5546" s="33" t="s">
        <v>442</v>
      </c>
    </row>
    <row r="5547" ht="15.75" customHeight="1">
      <c r="A5547" s="33" t="s">
        <v>9533</v>
      </c>
      <c r="B5547" s="33" t="s">
        <v>606</v>
      </c>
      <c r="C5547" s="39">
        <v>45958.0</v>
      </c>
      <c r="D5547" s="33" t="s">
        <v>428</v>
      </c>
      <c r="E5547" s="40">
        <v>10.56</v>
      </c>
      <c r="F5547" s="40">
        <v>0.0</v>
      </c>
      <c r="G5547" s="33" t="s">
        <v>442</v>
      </c>
    </row>
    <row r="5548" ht="15.75" customHeight="1">
      <c r="A5548" s="33" t="s">
        <v>9534</v>
      </c>
      <c r="B5548" s="33" t="s">
        <v>3295</v>
      </c>
      <c r="C5548" s="39">
        <v>46229.0</v>
      </c>
      <c r="D5548" s="33" t="s">
        <v>440</v>
      </c>
      <c r="E5548" s="40">
        <v>43.87</v>
      </c>
      <c r="F5548" s="40">
        <v>0.0</v>
      </c>
      <c r="G5548" s="33" t="s">
        <v>450</v>
      </c>
    </row>
    <row r="5549" ht="15.75" customHeight="1">
      <c r="A5549" s="33" t="s">
        <v>9535</v>
      </c>
      <c r="B5549" s="33" t="s">
        <v>1421</v>
      </c>
      <c r="C5549" s="39">
        <v>46067.0</v>
      </c>
      <c r="D5549" s="33" t="s">
        <v>461</v>
      </c>
      <c r="E5549" s="40">
        <v>176.89</v>
      </c>
      <c r="F5549" s="40">
        <v>3.28</v>
      </c>
      <c r="G5549" s="33" t="s">
        <v>450</v>
      </c>
    </row>
    <row r="5550" ht="15.75" customHeight="1">
      <c r="A5550" s="33" t="s">
        <v>9536</v>
      </c>
      <c r="B5550" s="33" t="s">
        <v>2129</v>
      </c>
      <c r="C5550" s="39">
        <v>45674.0</v>
      </c>
      <c r="D5550" s="33" t="s">
        <v>428</v>
      </c>
      <c r="E5550" s="40">
        <v>201.33</v>
      </c>
      <c r="F5550" s="40">
        <v>0.0</v>
      </c>
      <c r="G5550" s="33" t="s">
        <v>450</v>
      </c>
    </row>
    <row r="5551" ht="15.75" customHeight="1">
      <c r="A5551" s="33" t="s">
        <v>9537</v>
      </c>
      <c r="B5551" s="33" t="s">
        <v>2158</v>
      </c>
      <c r="C5551" s="39">
        <v>46157.0</v>
      </c>
      <c r="D5551" s="33" t="s">
        <v>428</v>
      </c>
      <c r="E5551" s="40">
        <v>150.03</v>
      </c>
      <c r="F5551" s="40">
        <v>0.0</v>
      </c>
      <c r="G5551" s="33" t="s">
        <v>450</v>
      </c>
    </row>
    <row r="5552" ht="15.75" customHeight="1">
      <c r="A5552" s="33" t="s">
        <v>9538</v>
      </c>
      <c r="B5552" s="33" t="s">
        <v>483</v>
      </c>
      <c r="C5552" s="39">
        <v>45775.0</v>
      </c>
      <c r="D5552" s="33" t="s">
        <v>435</v>
      </c>
      <c r="E5552" s="40">
        <v>81.43</v>
      </c>
      <c r="F5552" s="40">
        <v>0.0</v>
      </c>
      <c r="G5552" s="33" t="s">
        <v>442</v>
      </c>
    </row>
    <row r="5553" ht="15.75" customHeight="1">
      <c r="A5553" s="33" t="s">
        <v>9539</v>
      </c>
      <c r="B5553" s="33" t="s">
        <v>337</v>
      </c>
      <c r="C5553" s="39">
        <v>45840.0</v>
      </c>
      <c r="D5553" s="33" t="s">
        <v>435</v>
      </c>
      <c r="E5553" s="40">
        <v>36.95</v>
      </c>
      <c r="F5553" s="40">
        <v>0.0</v>
      </c>
      <c r="G5553" s="33" t="s">
        <v>431</v>
      </c>
    </row>
    <row r="5554" ht="15.75" customHeight="1">
      <c r="A5554" s="33" t="s">
        <v>9540</v>
      </c>
      <c r="B5554" s="33" t="s">
        <v>3985</v>
      </c>
      <c r="C5554" s="39">
        <v>45922.0</v>
      </c>
      <c r="D5554" s="33" t="s">
        <v>461</v>
      </c>
      <c r="E5554" s="40">
        <v>21.27</v>
      </c>
      <c r="F5554" s="40">
        <v>0.25</v>
      </c>
      <c r="G5554" s="33" t="s">
        <v>450</v>
      </c>
    </row>
    <row r="5555" ht="15.75" customHeight="1">
      <c r="A5555" s="33" t="s">
        <v>9541</v>
      </c>
      <c r="B5555" s="33" t="s">
        <v>1023</v>
      </c>
      <c r="C5555" s="39">
        <v>45784.0</v>
      </c>
      <c r="D5555" s="33" t="s">
        <v>461</v>
      </c>
      <c r="E5555" s="40">
        <v>58.75</v>
      </c>
      <c r="F5555" s="40">
        <v>0.79</v>
      </c>
      <c r="G5555" s="33" t="s">
        <v>431</v>
      </c>
    </row>
    <row r="5556" ht="15.75" customHeight="1">
      <c r="A5556" s="33" t="s">
        <v>9542</v>
      </c>
      <c r="B5556" s="33" t="s">
        <v>1372</v>
      </c>
      <c r="C5556" s="39">
        <v>46229.0</v>
      </c>
      <c r="D5556" s="33" t="s">
        <v>428</v>
      </c>
      <c r="E5556" s="40">
        <v>21.65</v>
      </c>
      <c r="F5556" s="40">
        <v>0.0</v>
      </c>
      <c r="G5556" s="33" t="s">
        <v>450</v>
      </c>
    </row>
    <row r="5557" ht="15.75" customHeight="1">
      <c r="A5557" s="33" t="s">
        <v>9543</v>
      </c>
      <c r="B5557" s="33" t="s">
        <v>4000</v>
      </c>
      <c r="C5557" s="39">
        <v>46251.0</v>
      </c>
      <c r="D5557" s="33" t="s">
        <v>479</v>
      </c>
      <c r="E5557" s="40">
        <v>248.89</v>
      </c>
      <c r="F5557" s="40">
        <v>4.37</v>
      </c>
      <c r="G5557" s="33" t="s">
        <v>431</v>
      </c>
    </row>
    <row r="5558" ht="15.75" customHeight="1">
      <c r="A5558" s="33" t="s">
        <v>9544</v>
      </c>
      <c r="B5558" s="33" t="s">
        <v>1805</v>
      </c>
      <c r="C5558" s="39">
        <v>45752.0</v>
      </c>
      <c r="D5558" s="33" t="s">
        <v>435</v>
      </c>
      <c r="E5558" s="40">
        <v>56.34</v>
      </c>
      <c r="F5558" s="40">
        <v>0.0</v>
      </c>
      <c r="G5558" s="33" t="s">
        <v>450</v>
      </c>
    </row>
    <row r="5559" ht="15.75" customHeight="1">
      <c r="A5559" s="33" t="s">
        <v>9545</v>
      </c>
      <c r="B5559" s="33" t="s">
        <v>2334</v>
      </c>
      <c r="C5559" s="39">
        <v>45852.0</v>
      </c>
      <c r="D5559" s="33" t="s">
        <v>461</v>
      </c>
      <c r="E5559" s="40">
        <v>61.99</v>
      </c>
      <c r="F5559" s="40">
        <v>1.1</v>
      </c>
      <c r="G5559" s="33" t="s">
        <v>442</v>
      </c>
    </row>
    <row r="5560" ht="15.75" customHeight="1">
      <c r="A5560" s="33" t="s">
        <v>9546</v>
      </c>
      <c r="B5560" s="33" t="s">
        <v>1463</v>
      </c>
      <c r="C5560" s="39">
        <v>45883.0</v>
      </c>
      <c r="D5560" s="33" t="s">
        <v>461</v>
      </c>
      <c r="E5560" s="40">
        <v>133.38</v>
      </c>
      <c r="F5560" s="40">
        <v>1.61</v>
      </c>
      <c r="G5560" s="33" t="s">
        <v>431</v>
      </c>
    </row>
    <row r="5561" ht="15.75" customHeight="1">
      <c r="A5561" s="33" t="s">
        <v>9547</v>
      </c>
      <c r="B5561" s="33" t="s">
        <v>2456</v>
      </c>
      <c r="C5561" s="39">
        <v>46065.0</v>
      </c>
      <c r="D5561" s="33" t="s">
        <v>479</v>
      </c>
      <c r="E5561" s="40">
        <v>17.97</v>
      </c>
      <c r="F5561" s="40">
        <v>0.2</v>
      </c>
      <c r="G5561" s="33" t="s">
        <v>450</v>
      </c>
    </row>
    <row r="5562" ht="15.75" customHeight="1">
      <c r="A5562" s="33" t="s">
        <v>9548</v>
      </c>
      <c r="B5562" s="33" t="s">
        <v>1674</v>
      </c>
      <c r="C5562" s="39">
        <v>46020.0</v>
      </c>
      <c r="D5562" s="33" t="s">
        <v>461</v>
      </c>
      <c r="E5562" s="40">
        <v>63.36</v>
      </c>
      <c r="F5562" s="40">
        <v>0.55</v>
      </c>
      <c r="G5562" s="33" t="s">
        <v>442</v>
      </c>
    </row>
    <row r="5563" ht="15.75" customHeight="1">
      <c r="A5563" s="33" t="s">
        <v>9549</v>
      </c>
      <c r="B5563" s="33" t="s">
        <v>371</v>
      </c>
      <c r="C5563" s="39">
        <v>46069.0</v>
      </c>
      <c r="D5563" s="33" t="s">
        <v>440</v>
      </c>
      <c r="E5563" s="40">
        <v>76.39</v>
      </c>
      <c r="F5563" s="40">
        <v>0.0</v>
      </c>
      <c r="G5563" s="33" t="s">
        <v>450</v>
      </c>
    </row>
    <row r="5564" ht="15.75" customHeight="1">
      <c r="A5564" s="33" t="s">
        <v>9550</v>
      </c>
      <c r="B5564" s="33" t="s">
        <v>1705</v>
      </c>
      <c r="C5564" s="39">
        <v>45676.0</v>
      </c>
      <c r="D5564" s="33" t="s">
        <v>428</v>
      </c>
      <c r="E5564" s="40">
        <v>22.29</v>
      </c>
      <c r="F5564" s="40">
        <v>0.0</v>
      </c>
      <c r="G5564" s="33" t="s">
        <v>431</v>
      </c>
    </row>
    <row r="5565" ht="15.75" customHeight="1">
      <c r="A5565" s="33" t="s">
        <v>9551</v>
      </c>
      <c r="B5565" s="33" t="s">
        <v>481</v>
      </c>
      <c r="C5565" s="39">
        <v>45970.0</v>
      </c>
      <c r="D5565" s="33" t="s">
        <v>435</v>
      </c>
      <c r="E5565" s="40">
        <v>34.65</v>
      </c>
      <c r="F5565" s="40">
        <v>0.0</v>
      </c>
      <c r="G5565" s="33" t="s">
        <v>450</v>
      </c>
    </row>
    <row r="5566" ht="15.75" customHeight="1">
      <c r="A5566" s="33" t="s">
        <v>9552</v>
      </c>
      <c r="B5566" s="33" t="s">
        <v>740</v>
      </c>
      <c r="C5566" s="39">
        <v>45786.0</v>
      </c>
      <c r="D5566" s="33" t="s">
        <v>428</v>
      </c>
      <c r="E5566" s="40">
        <v>46.88</v>
      </c>
      <c r="F5566" s="40">
        <v>0.0</v>
      </c>
      <c r="G5566" s="33" t="s">
        <v>450</v>
      </c>
    </row>
    <row r="5567" ht="15.75" customHeight="1">
      <c r="A5567" s="33" t="s">
        <v>9553</v>
      </c>
      <c r="B5567" s="33" t="s">
        <v>195</v>
      </c>
      <c r="C5567" s="39">
        <v>45796.0</v>
      </c>
      <c r="D5567" s="33" t="s">
        <v>428</v>
      </c>
      <c r="E5567" s="40">
        <v>154.0</v>
      </c>
      <c r="F5567" s="40">
        <v>0.0</v>
      </c>
      <c r="G5567" s="33" t="s">
        <v>431</v>
      </c>
    </row>
    <row r="5568" ht="15.75" customHeight="1">
      <c r="A5568" s="33" t="s">
        <v>9554</v>
      </c>
      <c r="B5568" s="33" t="s">
        <v>1994</v>
      </c>
      <c r="C5568" s="39">
        <v>46128.0</v>
      </c>
      <c r="D5568" s="33" t="s">
        <v>461</v>
      </c>
      <c r="E5568" s="40">
        <v>197.2</v>
      </c>
      <c r="F5568" s="40">
        <v>1.57</v>
      </c>
      <c r="G5568" s="33" t="s">
        <v>431</v>
      </c>
    </row>
    <row r="5569" ht="15.75" customHeight="1">
      <c r="A5569" s="33" t="s">
        <v>9555</v>
      </c>
      <c r="B5569" s="33" t="s">
        <v>615</v>
      </c>
      <c r="C5569" s="39">
        <v>45743.0</v>
      </c>
      <c r="D5569" s="33" t="s">
        <v>428</v>
      </c>
      <c r="E5569" s="40">
        <v>106.7</v>
      </c>
      <c r="F5569" s="40">
        <v>0.0</v>
      </c>
      <c r="G5569" s="33" t="s">
        <v>450</v>
      </c>
    </row>
    <row r="5570" ht="15.75" customHeight="1">
      <c r="A5570" s="33" t="s">
        <v>9556</v>
      </c>
      <c r="B5570" s="33" t="s">
        <v>1816</v>
      </c>
      <c r="C5570" s="39">
        <v>45677.0</v>
      </c>
      <c r="D5570" s="33" t="s">
        <v>428</v>
      </c>
      <c r="E5570" s="40">
        <v>72.06</v>
      </c>
      <c r="F5570" s="40">
        <v>0.0</v>
      </c>
      <c r="G5570" s="33" t="s">
        <v>431</v>
      </c>
    </row>
    <row r="5571" ht="15.75" customHeight="1">
      <c r="A5571" s="33" t="s">
        <v>9557</v>
      </c>
      <c r="B5571" s="33" t="s">
        <v>697</v>
      </c>
      <c r="C5571" s="39">
        <v>45953.0</v>
      </c>
      <c r="D5571" s="33" t="s">
        <v>435</v>
      </c>
      <c r="E5571" s="40">
        <v>177.24</v>
      </c>
      <c r="F5571" s="40">
        <v>0.0</v>
      </c>
      <c r="G5571" s="33" t="s">
        <v>450</v>
      </c>
    </row>
    <row r="5572" ht="15.75" customHeight="1">
      <c r="A5572" s="33" t="s">
        <v>9558</v>
      </c>
      <c r="B5572" s="33" t="s">
        <v>448</v>
      </c>
      <c r="C5572" s="39">
        <v>46104.0</v>
      </c>
      <c r="D5572" s="33" t="s">
        <v>479</v>
      </c>
      <c r="E5572" s="40">
        <v>140.1</v>
      </c>
      <c r="F5572" s="40">
        <v>1.4</v>
      </c>
      <c r="G5572" s="33" t="s">
        <v>431</v>
      </c>
    </row>
    <row r="5573" ht="15.75" customHeight="1">
      <c r="A5573" s="33" t="s">
        <v>9559</v>
      </c>
      <c r="B5573" s="33" t="s">
        <v>759</v>
      </c>
      <c r="C5573" s="39">
        <v>45968.0</v>
      </c>
      <c r="D5573" s="33" t="s">
        <v>461</v>
      </c>
      <c r="E5573" s="40">
        <v>299.36</v>
      </c>
      <c r="F5573" s="40">
        <v>4.92</v>
      </c>
      <c r="G5573" s="33" t="s">
        <v>442</v>
      </c>
    </row>
    <row r="5574" ht="15.75" customHeight="1">
      <c r="A5574" s="33" t="s">
        <v>9560</v>
      </c>
      <c r="B5574" s="33" t="s">
        <v>2469</v>
      </c>
      <c r="C5574" s="39">
        <v>45755.0</v>
      </c>
      <c r="D5574" s="33" t="s">
        <v>428</v>
      </c>
      <c r="E5574" s="40">
        <v>14.84</v>
      </c>
      <c r="F5574" s="40">
        <v>0.0</v>
      </c>
      <c r="G5574" s="33" t="s">
        <v>450</v>
      </c>
    </row>
    <row r="5575" ht="15.75" customHeight="1">
      <c r="A5575" s="33" t="s">
        <v>9561</v>
      </c>
      <c r="B5575" s="33" t="s">
        <v>753</v>
      </c>
      <c r="C5575" s="39">
        <v>46127.0</v>
      </c>
      <c r="D5575" s="33" t="s">
        <v>461</v>
      </c>
      <c r="E5575" s="40">
        <v>78.4</v>
      </c>
      <c r="F5575" s="40">
        <v>1.35</v>
      </c>
      <c r="G5575" s="33" t="s">
        <v>450</v>
      </c>
    </row>
    <row r="5576" ht="15.75" customHeight="1">
      <c r="A5576" s="33" t="s">
        <v>9562</v>
      </c>
      <c r="B5576" s="33" t="s">
        <v>1700</v>
      </c>
      <c r="C5576" s="39">
        <v>45889.0</v>
      </c>
      <c r="D5576" s="33" t="s">
        <v>479</v>
      </c>
      <c r="E5576" s="40">
        <v>49.06</v>
      </c>
      <c r="F5576" s="40">
        <v>0.95</v>
      </c>
      <c r="G5576" s="33" t="s">
        <v>450</v>
      </c>
    </row>
    <row r="5577" ht="15.75" customHeight="1">
      <c r="A5577" s="33" t="s">
        <v>9563</v>
      </c>
      <c r="B5577" s="33" t="s">
        <v>1881</v>
      </c>
      <c r="C5577" s="39">
        <v>46088.0</v>
      </c>
      <c r="D5577" s="33" t="s">
        <v>479</v>
      </c>
      <c r="E5577" s="40">
        <v>17.75</v>
      </c>
      <c r="F5577" s="40">
        <v>0.15</v>
      </c>
      <c r="G5577" s="33" t="s">
        <v>450</v>
      </c>
    </row>
    <row r="5578" ht="15.75" customHeight="1">
      <c r="A5578" s="33" t="s">
        <v>9564</v>
      </c>
      <c r="B5578" s="33" t="s">
        <v>206</v>
      </c>
      <c r="C5578" s="39">
        <v>45780.0</v>
      </c>
      <c r="D5578" s="33" t="s">
        <v>435</v>
      </c>
      <c r="E5578" s="40">
        <v>79.04</v>
      </c>
      <c r="F5578" s="40">
        <v>0.0</v>
      </c>
      <c r="G5578" s="33" t="s">
        <v>450</v>
      </c>
    </row>
    <row r="5579" ht="15.75" customHeight="1">
      <c r="A5579" s="33" t="s">
        <v>9565</v>
      </c>
      <c r="B5579" s="33" t="s">
        <v>2239</v>
      </c>
      <c r="C5579" s="39">
        <v>46211.0</v>
      </c>
      <c r="D5579" s="33" t="s">
        <v>440</v>
      </c>
      <c r="E5579" s="40">
        <v>279.5</v>
      </c>
      <c r="F5579" s="40">
        <v>0.0</v>
      </c>
      <c r="G5579" s="33" t="s">
        <v>431</v>
      </c>
    </row>
    <row r="5580" ht="15.75" customHeight="1">
      <c r="A5580" s="33" t="s">
        <v>9566</v>
      </c>
      <c r="B5580" s="33" t="s">
        <v>1392</v>
      </c>
      <c r="C5580" s="39">
        <v>45830.0</v>
      </c>
      <c r="D5580" s="33" t="s">
        <v>479</v>
      </c>
      <c r="E5580" s="40">
        <v>29.36</v>
      </c>
      <c r="F5580" s="40">
        <v>0.45</v>
      </c>
      <c r="G5580" s="33" t="s">
        <v>450</v>
      </c>
    </row>
    <row r="5581" ht="15.75" customHeight="1">
      <c r="A5581" s="33" t="s">
        <v>9567</v>
      </c>
      <c r="B5581" s="33" t="s">
        <v>225</v>
      </c>
      <c r="C5581" s="39">
        <v>46247.0</v>
      </c>
      <c r="D5581" s="33" t="s">
        <v>428</v>
      </c>
      <c r="E5581" s="40">
        <v>372.73</v>
      </c>
      <c r="F5581" s="40">
        <v>0.0</v>
      </c>
      <c r="G5581" s="33" t="s">
        <v>450</v>
      </c>
    </row>
    <row r="5582" ht="15.75" customHeight="1">
      <c r="A5582" s="33" t="s">
        <v>9568</v>
      </c>
      <c r="B5582" s="33" t="s">
        <v>864</v>
      </c>
      <c r="C5582" s="39">
        <v>45886.0</v>
      </c>
      <c r="D5582" s="33" t="s">
        <v>428</v>
      </c>
      <c r="E5582" s="40">
        <v>142.41</v>
      </c>
      <c r="F5582" s="40">
        <v>0.0</v>
      </c>
      <c r="G5582" s="33" t="s">
        <v>442</v>
      </c>
    </row>
    <row r="5583" ht="15.75" customHeight="1">
      <c r="A5583" s="33" t="s">
        <v>9569</v>
      </c>
      <c r="B5583" s="33" t="s">
        <v>1825</v>
      </c>
      <c r="C5583" s="39">
        <v>46099.0</v>
      </c>
      <c r="D5583" s="33" t="s">
        <v>461</v>
      </c>
      <c r="E5583" s="40">
        <v>182.06</v>
      </c>
      <c r="F5583" s="40">
        <v>3.04</v>
      </c>
      <c r="G5583" s="33" t="s">
        <v>431</v>
      </c>
    </row>
    <row r="5584" ht="15.75" customHeight="1">
      <c r="A5584" s="33" t="s">
        <v>9570</v>
      </c>
      <c r="B5584" s="33" t="s">
        <v>501</v>
      </c>
      <c r="C5584" s="39">
        <v>45962.0</v>
      </c>
      <c r="D5584" s="33" t="s">
        <v>435</v>
      </c>
      <c r="E5584" s="40">
        <v>181.16</v>
      </c>
      <c r="F5584" s="40">
        <v>0.0</v>
      </c>
      <c r="G5584" s="33" t="s">
        <v>431</v>
      </c>
    </row>
    <row r="5585" ht="15.75" customHeight="1">
      <c r="A5585" s="33" t="s">
        <v>9571</v>
      </c>
      <c r="B5585" s="33" t="s">
        <v>2957</v>
      </c>
      <c r="C5585" s="39">
        <v>45704.0</v>
      </c>
      <c r="D5585" s="33" t="s">
        <v>461</v>
      </c>
      <c r="E5585" s="40">
        <v>107.13</v>
      </c>
      <c r="F5585" s="40">
        <v>1.36</v>
      </c>
      <c r="G5585" s="33" t="s">
        <v>450</v>
      </c>
    </row>
    <row r="5586" ht="15.75" customHeight="1">
      <c r="A5586" s="33" t="s">
        <v>9572</v>
      </c>
      <c r="B5586" s="33" t="s">
        <v>1158</v>
      </c>
      <c r="C5586" s="39">
        <v>45717.0</v>
      </c>
      <c r="D5586" s="33" t="s">
        <v>479</v>
      </c>
      <c r="E5586" s="40">
        <v>55.81</v>
      </c>
      <c r="F5586" s="40">
        <v>1.02</v>
      </c>
      <c r="G5586" s="33" t="s">
        <v>431</v>
      </c>
    </row>
    <row r="5587" ht="15.75" customHeight="1">
      <c r="A5587" s="33" t="s">
        <v>9573</v>
      </c>
      <c r="B5587" s="33" t="s">
        <v>364</v>
      </c>
      <c r="C5587" s="39">
        <v>45903.0</v>
      </c>
      <c r="D5587" s="33" t="s">
        <v>461</v>
      </c>
      <c r="E5587" s="40">
        <v>21.51</v>
      </c>
      <c r="F5587" s="40">
        <v>0.41</v>
      </c>
      <c r="G5587" s="33" t="s">
        <v>450</v>
      </c>
    </row>
    <row r="5588" ht="15.75" customHeight="1">
      <c r="A5588" s="33" t="s">
        <v>9574</v>
      </c>
      <c r="B5588" s="33" t="s">
        <v>1443</v>
      </c>
      <c r="C5588" s="39">
        <v>45775.0</v>
      </c>
      <c r="D5588" s="33" t="s">
        <v>479</v>
      </c>
      <c r="E5588" s="40">
        <v>29.75</v>
      </c>
      <c r="F5588" s="40">
        <v>0.43</v>
      </c>
      <c r="G5588" s="33" t="s">
        <v>450</v>
      </c>
    </row>
    <row r="5589" ht="15.75" customHeight="1">
      <c r="A5589" s="33" t="s">
        <v>9575</v>
      </c>
      <c r="B5589" s="33" t="s">
        <v>1108</v>
      </c>
      <c r="C5589" s="39">
        <v>46027.0</v>
      </c>
      <c r="D5589" s="33" t="s">
        <v>461</v>
      </c>
      <c r="E5589" s="40">
        <v>117.49</v>
      </c>
      <c r="F5589" s="40">
        <v>0.66</v>
      </c>
      <c r="G5589" s="33" t="s">
        <v>450</v>
      </c>
    </row>
    <row r="5590" ht="15.75" customHeight="1">
      <c r="A5590" s="33" t="s">
        <v>9576</v>
      </c>
      <c r="B5590" s="33" t="s">
        <v>700</v>
      </c>
      <c r="C5590" s="39">
        <v>45741.0</v>
      </c>
      <c r="D5590" s="33" t="s">
        <v>440</v>
      </c>
      <c r="E5590" s="40">
        <v>57.72</v>
      </c>
      <c r="F5590" s="40">
        <v>0.0</v>
      </c>
      <c r="G5590" s="33" t="s">
        <v>450</v>
      </c>
    </row>
    <row r="5591" ht="15.75" customHeight="1">
      <c r="A5591" s="33" t="s">
        <v>9577</v>
      </c>
      <c r="B5591" s="33" t="s">
        <v>793</v>
      </c>
      <c r="C5591" s="39">
        <v>46016.0</v>
      </c>
      <c r="D5591" s="33" t="s">
        <v>435</v>
      </c>
      <c r="E5591" s="40">
        <v>33.16</v>
      </c>
      <c r="F5591" s="40">
        <v>0.0</v>
      </c>
      <c r="G5591" s="33" t="s">
        <v>450</v>
      </c>
    </row>
    <row r="5592" ht="15.75" customHeight="1">
      <c r="A5592" s="33" t="s">
        <v>9578</v>
      </c>
      <c r="B5592" s="33" t="s">
        <v>1340</v>
      </c>
      <c r="C5592" s="39">
        <v>45782.0</v>
      </c>
      <c r="D5592" s="33" t="s">
        <v>440</v>
      </c>
      <c r="E5592" s="40">
        <v>94.37</v>
      </c>
      <c r="F5592" s="40">
        <v>0.0</v>
      </c>
      <c r="G5592" s="33" t="s">
        <v>450</v>
      </c>
    </row>
    <row r="5593" ht="15.75" customHeight="1">
      <c r="A5593" s="33" t="s">
        <v>9579</v>
      </c>
      <c r="B5593" s="33" t="s">
        <v>740</v>
      </c>
      <c r="C5593" s="39">
        <v>45768.0</v>
      </c>
      <c r="D5593" s="33" t="s">
        <v>428</v>
      </c>
      <c r="E5593" s="40">
        <v>102.56</v>
      </c>
      <c r="F5593" s="40">
        <v>0.0</v>
      </c>
      <c r="G5593" s="33" t="s">
        <v>450</v>
      </c>
    </row>
    <row r="5594" ht="15.75" customHeight="1">
      <c r="A5594" s="33" t="s">
        <v>9580</v>
      </c>
      <c r="B5594" s="33" t="s">
        <v>905</v>
      </c>
      <c r="C5594" s="39">
        <v>45880.0</v>
      </c>
      <c r="D5594" s="33" t="s">
        <v>435</v>
      </c>
      <c r="E5594" s="40">
        <v>133.8</v>
      </c>
      <c r="F5594" s="40">
        <v>0.0</v>
      </c>
      <c r="G5594" s="33" t="s">
        <v>450</v>
      </c>
    </row>
    <row r="5595" ht="15.75" customHeight="1">
      <c r="A5595" s="33" t="s">
        <v>9581</v>
      </c>
      <c r="B5595" s="33" t="s">
        <v>2836</v>
      </c>
      <c r="C5595" s="39">
        <v>46011.0</v>
      </c>
      <c r="D5595" s="33" t="s">
        <v>440</v>
      </c>
      <c r="E5595" s="40">
        <v>39.77</v>
      </c>
      <c r="F5595" s="40">
        <v>0.0</v>
      </c>
      <c r="G5595" s="33" t="s">
        <v>450</v>
      </c>
    </row>
    <row r="5596" ht="15.75" customHeight="1">
      <c r="A5596" s="33" t="s">
        <v>9582</v>
      </c>
      <c r="B5596" s="33" t="s">
        <v>864</v>
      </c>
      <c r="C5596" s="39">
        <v>45900.0</v>
      </c>
      <c r="D5596" s="33" t="s">
        <v>440</v>
      </c>
      <c r="E5596" s="40">
        <v>71.85</v>
      </c>
      <c r="F5596" s="40">
        <v>0.0</v>
      </c>
      <c r="G5596" s="33" t="s">
        <v>431</v>
      </c>
    </row>
    <row r="5597" ht="15.75" customHeight="1">
      <c r="A5597" s="33" t="s">
        <v>9583</v>
      </c>
      <c r="B5597" s="33" t="s">
        <v>1087</v>
      </c>
      <c r="C5597" s="39">
        <v>45870.0</v>
      </c>
      <c r="D5597" s="33" t="s">
        <v>428</v>
      </c>
      <c r="E5597" s="40">
        <v>40.79</v>
      </c>
      <c r="F5597" s="40">
        <v>0.0</v>
      </c>
      <c r="G5597" s="33" t="s">
        <v>450</v>
      </c>
    </row>
    <row r="5598" ht="15.75" customHeight="1">
      <c r="A5598" s="33" t="s">
        <v>9584</v>
      </c>
      <c r="B5598" s="33" t="s">
        <v>1010</v>
      </c>
      <c r="C5598" s="39">
        <v>45864.0</v>
      </c>
      <c r="D5598" s="33" t="s">
        <v>440</v>
      </c>
      <c r="E5598" s="40">
        <v>25.26</v>
      </c>
      <c r="F5598" s="40">
        <v>0.0</v>
      </c>
      <c r="G5598" s="33" t="s">
        <v>442</v>
      </c>
    </row>
    <row r="5599" ht="15.75" customHeight="1">
      <c r="A5599" s="33" t="s">
        <v>9585</v>
      </c>
      <c r="B5599" s="33" t="s">
        <v>2615</v>
      </c>
      <c r="C5599" s="39">
        <v>45863.0</v>
      </c>
      <c r="D5599" s="33" t="s">
        <v>428</v>
      </c>
      <c r="E5599" s="40">
        <v>161.57</v>
      </c>
      <c r="F5599" s="40">
        <v>0.0</v>
      </c>
      <c r="G5599" s="33" t="s">
        <v>450</v>
      </c>
    </row>
    <row r="5600" ht="15.75" customHeight="1">
      <c r="A5600" s="33" t="s">
        <v>9586</v>
      </c>
      <c r="B5600" s="33" t="s">
        <v>220</v>
      </c>
      <c r="C5600" s="39">
        <v>45903.0</v>
      </c>
      <c r="D5600" s="33" t="s">
        <v>428</v>
      </c>
      <c r="E5600" s="40">
        <v>154.05</v>
      </c>
      <c r="F5600" s="40">
        <v>0.0</v>
      </c>
      <c r="G5600" s="33" t="s">
        <v>450</v>
      </c>
    </row>
    <row r="5601" ht="15.75" customHeight="1">
      <c r="A5601" s="33" t="s">
        <v>9587</v>
      </c>
      <c r="B5601" s="33" t="s">
        <v>1059</v>
      </c>
      <c r="C5601" s="39">
        <v>46164.0</v>
      </c>
      <c r="D5601" s="33" t="s">
        <v>461</v>
      </c>
      <c r="E5601" s="40">
        <v>15.46</v>
      </c>
      <c r="F5601" s="40">
        <v>0.17</v>
      </c>
      <c r="G5601" s="33" t="s">
        <v>450</v>
      </c>
    </row>
    <row r="5602" ht="15.75" customHeight="1">
      <c r="A5602" s="33" t="s">
        <v>9588</v>
      </c>
      <c r="B5602" s="33" t="s">
        <v>1995</v>
      </c>
      <c r="C5602" s="39">
        <v>46008.0</v>
      </c>
      <c r="D5602" s="33" t="s">
        <v>440</v>
      </c>
      <c r="E5602" s="40">
        <v>81.99</v>
      </c>
      <c r="F5602" s="40">
        <v>0.0</v>
      </c>
      <c r="G5602" s="33" t="s">
        <v>450</v>
      </c>
    </row>
    <row r="5603" ht="15.75" customHeight="1">
      <c r="A5603" s="33" t="s">
        <v>9589</v>
      </c>
      <c r="B5603" s="33" t="s">
        <v>2098</v>
      </c>
      <c r="C5603" s="39">
        <v>45914.0</v>
      </c>
      <c r="D5603" s="33" t="s">
        <v>479</v>
      </c>
      <c r="E5603" s="40">
        <v>177.94</v>
      </c>
      <c r="F5603" s="40">
        <v>0.91</v>
      </c>
      <c r="G5603" s="33" t="s">
        <v>450</v>
      </c>
    </row>
    <row r="5604" ht="15.75" customHeight="1">
      <c r="A5604" s="33" t="s">
        <v>9590</v>
      </c>
      <c r="B5604" s="33" t="s">
        <v>2715</v>
      </c>
      <c r="C5604" s="39">
        <v>46112.0</v>
      </c>
      <c r="D5604" s="33" t="s">
        <v>461</v>
      </c>
      <c r="E5604" s="40">
        <v>137.11</v>
      </c>
      <c r="F5604" s="40">
        <v>2.26</v>
      </c>
      <c r="G5604" s="33" t="s">
        <v>442</v>
      </c>
    </row>
    <row r="5605" ht="15.75" customHeight="1">
      <c r="A5605" s="33" t="s">
        <v>9591</v>
      </c>
      <c r="B5605" s="33" t="s">
        <v>1581</v>
      </c>
      <c r="C5605" s="39">
        <v>45978.0</v>
      </c>
      <c r="D5605" s="33" t="s">
        <v>435</v>
      </c>
      <c r="E5605" s="40">
        <v>36.0</v>
      </c>
      <c r="F5605" s="40">
        <v>0.0</v>
      </c>
      <c r="G5605" s="33" t="s">
        <v>450</v>
      </c>
    </row>
    <row r="5606" ht="15.75" customHeight="1">
      <c r="A5606" s="33" t="s">
        <v>9592</v>
      </c>
      <c r="B5606" s="33" t="s">
        <v>2456</v>
      </c>
      <c r="C5606" s="39">
        <v>46234.0</v>
      </c>
      <c r="D5606" s="33" t="s">
        <v>428</v>
      </c>
      <c r="E5606" s="40">
        <v>191.58</v>
      </c>
      <c r="F5606" s="40">
        <v>0.0</v>
      </c>
      <c r="G5606" s="33" t="s">
        <v>431</v>
      </c>
    </row>
    <row r="5607" ht="15.75" customHeight="1">
      <c r="A5607" s="33" t="s">
        <v>9593</v>
      </c>
      <c r="B5607" s="33" t="s">
        <v>2283</v>
      </c>
      <c r="C5607" s="39">
        <v>45999.0</v>
      </c>
      <c r="D5607" s="33" t="s">
        <v>479</v>
      </c>
      <c r="E5607" s="40">
        <v>178.09</v>
      </c>
      <c r="F5607" s="40">
        <v>2.25</v>
      </c>
      <c r="G5607" s="33" t="s">
        <v>450</v>
      </c>
    </row>
    <row r="5608" ht="15.75" customHeight="1">
      <c r="A5608" s="33" t="s">
        <v>9594</v>
      </c>
      <c r="B5608" s="33" t="s">
        <v>2231</v>
      </c>
      <c r="C5608" s="39">
        <v>45789.0</v>
      </c>
      <c r="D5608" s="33" t="s">
        <v>428</v>
      </c>
      <c r="E5608" s="40">
        <v>100.01</v>
      </c>
      <c r="F5608" s="40">
        <v>0.0</v>
      </c>
      <c r="G5608" s="33" t="s">
        <v>431</v>
      </c>
    </row>
    <row r="5609" ht="15.75" customHeight="1">
      <c r="A5609" s="33" t="s">
        <v>9595</v>
      </c>
      <c r="B5609" s="33" t="s">
        <v>634</v>
      </c>
      <c r="C5609" s="39">
        <v>45999.0</v>
      </c>
      <c r="D5609" s="33" t="s">
        <v>461</v>
      </c>
      <c r="E5609" s="40">
        <v>63.75</v>
      </c>
      <c r="F5609" s="40">
        <v>0.74</v>
      </c>
      <c r="G5609" s="33" t="s">
        <v>450</v>
      </c>
    </row>
    <row r="5610" ht="15.75" customHeight="1">
      <c r="A5610" s="33" t="s">
        <v>9596</v>
      </c>
      <c r="B5610" s="33" t="s">
        <v>1562</v>
      </c>
      <c r="C5610" s="39">
        <v>46127.0</v>
      </c>
      <c r="D5610" s="33" t="s">
        <v>428</v>
      </c>
      <c r="E5610" s="40">
        <v>35.53</v>
      </c>
      <c r="F5610" s="40">
        <v>0.0</v>
      </c>
      <c r="G5610" s="33" t="s">
        <v>442</v>
      </c>
    </row>
    <row r="5611" ht="15.75" customHeight="1">
      <c r="A5611" s="33" t="s">
        <v>9597</v>
      </c>
      <c r="B5611" s="33" t="s">
        <v>2158</v>
      </c>
      <c r="C5611" s="39">
        <v>45787.0</v>
      </c>
      <c r="D5611" s="33" t="s">
        <v>435</v>
      </c>
      <c r="E5611" s="40">
        <v>78.58</v>
      </c>
      <c r="F5611" s="40">
        <v>0.0</v>
      </c>
      <c r="G5611" s="33" t="s">
        <v>431</v>
      </c>
    </row>
    <row r="5612" ht="15.75" customHeight="1">
      <c r="A5612" s="33" t="s">
        <v>9598</v>
      </c>
      <c r="B5612" s="33" t="s">
        <v>1995</v>
      </c>
      <c r="C5612" s="39">
        <v>45780.0</v>
      </c>
      <c r="D5612" s="33" t="s">
        <v>435</v>
      </c>
      <c r="E5612" s="40">
        <v>210.53</v>
      </c>
      <c r="F5612" s="40">
        <v>0.0</v>
      </c>
      <c r="G5612" s="33" t="s">
        <v>450</v>
      </c>
    </row>
    <row r="5613" ht="15.75" customHeight="1">
      <c r="A5613" s="33" t="s">
        <v>9599</v>
      </c>
      <c r="B5613" s="33" t="s">
        <v>323</v>
      </c>
      <c r="C5613" s="39">
        <v>46021.0</v>
      </c>
      <c r="D5613" s="33" t="s">
        <v>435</v>
      </c>
      <c r="E5613" s="40">
        <v>36.78</v>
      </c>
      <c r="F5613" s="40">
        <v>0.0</v>
      </c>
      <c r="G5613" s="33" t="s">
        <v>450</v>
      </c>
    </row>
    <row r="5614" ht="15.75" customHeight="1">
      <c r="A5614" s="33" t="s">
        <v>9600</v>
      </c>
      <c r="B5614" s="33" t="s">
        <v>754</v>
      </c>
      <c r="C5614" s="39">
        <v>46194.0</v>
      </c>
      <c r="D5614" s="33" t="s">
        <v>428</v>
      </c>
      <c r="E5614" s="40">
        <v>223.24</v>
      </c>
      <c r="F5614" s="40">
        <v>0.0</v>
      </c>
      <c r="G5614" s="33" t="s">
        <v>431</v>
      </c>
    </row>
    <row r="5615" ht="15.75" customHeight="1">
      <c r="A5615" s="33" t="s">
        <v>9601</v>
      </c>
      <c r="B5615" s="33" t="s">
        <v>460</v>
      </c>
      <c r="C5615" s="39">
        <v>45861.0</v>
      </c>
      <c r="D5615" s="33" t="s">
        <v>428</v>
      </c>
      <c r="E5615" s="40">
        <v>132.47</v>
      </c>
      <c r="F5615" s="40">
        <v>0.0</v>
      </c>
      <c r="G5615" s="33" t="s">
        <v>431</v>
      </c>
    </row>
    <row r="5616" ht="15.75" customHeight="1">
      <c r="A5616" s="33" t="s">
        <v>9602</v>
      </c>
      <c r="B5616" s="33" t="s">
        <v>3452</v>
      </c>
      <c r="C5616" s="39">
        <v>45965.0</v>
      </c>
      <c r="D5616" s="33" t="s">
        <v>428</v>
      </c>
      <c r="E5616" s="40">
        <v>78.53</v>
      </c>
      <c r="F5616" s="40">
        <v>0.0</v>
      </c>
      <c r="G5616" s="33" t="s">
        <v>450</v>
      </c>
    </row>
    <row r="5617" ht="15.75" customHeight="1">
      <c r="A5617" s="33" t="s">
        <v>9603</v>
      </c>
      <c r="B5617" s="33" t="s">
        <v>2447</v>
      </c>
      <c r="C5617" s="39">
        <v>46055.0</v>
      </c>
      <c r="D5617" s="33" t="s">
        <v>440</v>
      </c>
      <c r="E5617" s="40">
        <v>179.17</v>
      </c>
      <c r="F5617" s="40">
        <v>0.0</v>
      </c>
      <c r="G5617" s="33" t="s">
        <v>450</v>
      </c>
    </row>
    <row r="5618" ht="15.75" customHeight="1">
      <c r="A5618" s="33" t="s">
        <v>9604</v>
      </c>
      <c r="B5618" s="33" t="s">
        <v>300</v>
      </c>
      <c r="C5618" s="39">
        <v>46060.0</v>
      </c>
      <c r="D5618" s="33" t="s">
        <v>440</v>
      </c>
      <c r="E5618" s="40">
        <v>76.74</v>
      </c>
      <c r="F5618" s="40">
        <v>0.0</v>
      </c>
      <c r="G5618" s="33" t="s">
        <v>450</v>
      </c>
    </row>
    <row r="5619" ht="15.75" customHeight="1">
      <c r="A5619" s="33" t="s">
        <v>9605</v>
      </c>
      <c r="B5619" s="33" t="s">
        <v>3088</v>
      </c>
      <c r="C5619" s="39">
        <v>45746.0</v>
      </c>
      <c r="D5619" s="33" t="s">
        <v>440</v>
      </c>
      <c r="E5619" s="40">
        <v>67.75</v>
      </c>
      <c r="F5619" s="40">
        <v>0.0</v>
      </c>
      <c r="G5619" s="33" t="s">
        <v>450</v>
      </c>
    </row>
    <row r="5620" ht="15.75" customHeight="1">
      <c r="A5620" s="33" t="s">
        <v>9606</v>
      </c>
      <c r="B5620" s="33" t="s">
        <v>487</v>
      </c>
      <c r="C5620" s="39">
        <v>45897.0</v>
      </c>
      <c r="D5620" s="33" t="s">
        <v>428</v>
      </c>
      <c r="E5620" s="40">
        <v>156.73</v>
      </c>
      <c r="F5620" s="40">
        <v>0.0</v>
      </c>
      <c r="G5620" s="33" t="s">
        <v>450</v>
      </c>
    </row>
    <row r="5621" ht="15.75" customHeight="1">
      <c r="A5621" s="33" t="s">
        <v>9607</v>
      </c>
      <c r="B5621" s="33" t="s">
        <v>1842</v>
      </c>
      <c r="C5621" s="39">
        <v>46261.0</v>
      </c>
      <c r="D5621" s="33" t="s">
        <v>440</v>
      </c>
      <c r="E5621" s="40">
        <v>81.11</v>
      </c>
      <c r="F5621" s="40">
        <v>0.0</v>
      </c>
      <c r="G5621" s="33" t="s">
        <v>450</v>
      </c>
    </row>
    <row r="5622" ht="15.75" customHeight="1">
      <c r="A5622" s="33" t="s">
        <v>9608</v>
      </c>
      <c r="B5622" s="33" t="s">
        <v>1108</v>
      </c>
      <c r="C5622" s="39">
        <v>46197.0</v>
      </c>
      <c r="D5622" s="33" t="s">
        <v>479</v>
      </c>
      <c r="E5622" s="40">
        <v>76.92</v>
      </c>
      <c r="F5622" s="40">
        <v>0.85</v>
      </c>
      <c r="G5622" s="33" t="s">
        <v>450</v>
      </c>
    </row>
    <row r="5623" ht="15.75" customHeight="1">
      <c r="A5623" s="33" t="s">
        <v>9609</v>
      </c>
      <c r="B5623" s="33" t="s">
        <v>952</v>
      </c>
      <c r="C5623" s="39">
        <v>46126.0</v>
      </c>
      <c r="D5623" s="33" t="s">
        <v>461</v>
      </c>
      <c r="E5623" s="40">
        <v>48.07</v>
      </c>
      <c r="F5623" s="40">
        <v>0.64</v>
      </c>
      <c r="G5623" s="33" t="s">
        <v>450</v>
      </c>
    </row>
    <row r="5624" ht="15.75" customHeight="1">
      <c r="A5624" s="33" t="s">
        <v>9610</v>
      </c>
      <c r="B5624" s="33" t="s">
        <v>740</v>
      </c>
      <c r="C5624" s="39">
        <v>45672.0</v>
      </c>
      <c r="D5624" s="33" t="s">
        <v>440</v>
      </c>
      <c r="E5624" s="40">
        <v>66.65</v>
      </c>
      <c r="F5624" s="40">
        <v>0.0</v>
      </c>
      <c r="G5624" s="33" t="s">
        <v>450</v>
      </c>
    </row>
    <row r="5625" ht="15.75" customHeight="1">
      <c r="A5625" s="33" t="s">
        <v>9611</v>
      </c>
      <c r="B5625" s="33" t="s">
        <v>1878</v>
      </c>
      <c r="C5625" s="39">
        <v>45911.0</v>
      </c>
      <c r="D5625" s="33" t="s">
        <v>479</v>
      </c>
      <c r="E5625" s="40">
        <v>241.52</v>
      </c>
      <c r="F5625" s="40">
        <v>1.48</v>
      </c>
      <c r="G5625" s="33" t="s">
        <v>431</v>
      </c>
    </row>
    <row r="5626" ht="15.75" customHeight="1">
      <c r="A5626" s="33" t="s">
        <v>9612</v>
      </c>
      <c r="B5626" s="33" t="s">
        <v>1994</v>
      </c>
      <c r="C5626" s="39">
        <v>45689.0</v>
      </c>
      <c r="D5626" s="33" t="s">
        <v>461</v>
      </c>
      <c r="E5626" s="40">
        <v>5.48</v>
      </c>
      <c r="F5626" s="40">
        <v>0.05</v>
      </c>
      <c r="G5626" s="33" t="s">
        <v>450</v>
      </c>
    </row>
    <row r="5627" ht="15.75" customHeight="1">
      <c r="A5627" s="33" t="s">
        <v>9613</v>
      </c>
      <c r="B5627" s="33" t="s">
        <v>1077</v>
      </c>
      <c r="C5627" s="39">
        <v>45840.0</v>
      </c>
      <c r="D5627" s="33" t="s">
        <v>461</v>
      </c>
      <c r="E5627" s="40">
        <v>35.8</v>
      </c>
      <c r="F5627" s="40">
        <v>0.31</v>
      </c>
      <c r="G5627" s="33" t="s">
        <v>431</v>
      </c>
    </row>
    <row r="5628" ht="15.75" customHeight="1">
      <c r="A5628" s="33" t="s">
        <v>9614</v>
      </c>
      <c r="B5628" s="33" t="s">
        <v>2158</v>
      </c>
      <c r="C5628" s="39">
        <v>46182.0</v>
      </c>
      <c r="D5628" s="33" t="s">
        <v>435</v>
      </c>
      <c r="E5628" s="40">
        <v>41.99</v>
      </c>
      <c r="F5628" s="40">
        <v>0.0</v>
      </c>
      <c r="G5628" s="33" t="s">
        <v>450</v>
      </c>
    </row>
    <row r="5629" ht="15.75" customHeight="1">
      <c r="A5629" s="33" t="s">
        <v>9615</v>
      </c>
      <c r="B5629" s="33" t="s">
        <v>1067</v>
      </c>
      <c r="C5629" s="39">
        <v>45893.0</v>
      </c>
      <c r="D5629" s="33" t="s">
        <v>479</v>
      </c>
      <c r="E5629" s="40">
        <v>72.24</v>
      </c>
      <c r="F5629" s="40">
        <v>0.67</v>
      </c>
      <c r="G5629" s="33" t="s">
        <v>450</v>
      </c>
    </row>
    <row r="5630" ht="15.75" customHeight="1">
      <c r="A5630" s="33" t="s">
        <v>9616</v>
      </c>
      <c r="B5630" s="33" t="s">
        <v>1092</v>
      </c>
      <c r="C5630" s="39">
        <v>45760.0</v>
      </c>
      <c r="D5630" s="33" t="s">
        <v>435</v>
      </c>
      <c r="E5630" s="40">
        <v>63.26</v>
      </c>
      <c r="F5630" s="40">
        <v>0.0</v>
      </c>
      <c r="G5630" s="33" t="s">
        <v>431</v>
      </c>
    </row>
    <row r="5631" ht="15.75" customHeight="1">
      <c r="A5631" s="33" t="s">
        <v>9617</v>
      </c>
      <c r="B5631" s="33" t="s">
        <v>492</v>
      </c>
      <c r="C5631" s="39">
        <v>46095.0</v>
      </c>
      <c r="D5631" s="33" t="s">
        <v>435</v>
      </c>
      <c r="E5631" s="40">
        <v>90.94</v>
      </c>
      <c r="F5631" s="40">
        <v>0.0</v>
      </c>
      <c r="G5631" s="33" t="s">
        <v>450</v>
      </c>
    </row>
    <row r="5632" ht="15.75" customHeight="1">
      <c r="A5632" s="33" t="s">
        <v>9618</v>
      </c>
      <c r="B5632" s="33" t="s">
        <v>2447</v>
      </c>
      <c r="C5632" s="39">
        <v>46118.0</v>
      </c>
      <c r="D5632" s="33" t="s">
        <v>461</v>
      </c>
      <c r="E5632" s="40">
        <v>9.48</v>
      </c>
      <c r="F5632" s="40">
        <v>0.09</v>
      </c>
      <c r="G5632" s="33" t="s">
        <v>442</v>
      </c>
    </row>
    <row r="5633" ht="15.75" customHeight="1">
      <c r="A5633" s="33" t="s">
        <v>9619</v>
      </c>
      <c r="B5633" s="33" t="s">
        <v>2987</v>
      </c>
      <c r="C5633" s="39">
        <v>46055.0</v>
      </c>
      <c r="D5633" s="33" t="s">
        <v>479</v>
      </c>
      <c r="E5633" s="40">
        <v>89.89</v>
      </c>
      <c r="F5633" s="40">
        <v>1.45</v>
      </c>
      <c r="G5633" s="33" t="s">
        <v>442</v>
      </c>
    </row>
    <row r="5634" ht="15.75" customHeight="1">
      <c r="A5634" s="33" t="s">
        <v>9620</v>
      </c>
      <c r="B5634" s="33" t="s">
        <v>1297</v>
      </c>
      <c r="C5634" s="39">
        <v>46149.0</v>
      </c>
      <c r="D5634" s="33" t="s">
        <v>440</v>
      </c>
      <c r="E5634" s="40">
        <v>240.27</v>
      </c>
      <c r="F5634" s="40">
        <v>0.0</v>
      </c>
      <c r="G5634" s="33" t="s">
        <v>450</v>
      </c>
    </row>
    <row r="5635" ht="15.75" customHeight="1">
      <c r="A5635" s="33" t="s">
        <v>9621</v>
      </c>
      <c r="B5635" s="33" t="s">
        <v>948</v>
      </c>
      <c r="C5635" s="39">
        <v>46084.0</v>
      </c>
      <c r="D5635" s="33" t="s">
        <v>435</v>
      </c>
      <c r="E5635" s="40">
        <v>81.04</v>
      </c>
      <c r="F5635" s="40">
        <v>0.0</v>
      </c>
      <c r="G5635" s="33" t="s">
        <v>442</v>
      </c>
    </row>
    <row r="5636" ht="15.75" customHeight="1">
      <c r="A5636" s="33" t="s">
        <v>9622</v>
      </c>
      <c r="B5636" s="33" t="s">
        <v>2757</v>
      </c>
      <c r="C5636" s="39">
        <v>46043.0</v>
      </c>
      <c r="D5636" s="33" t="s">
        <v>428</v>
      </c>
      <c r="E5636" s="40">
        <v>65.06</v>
      </c>
      <c r="F5636" s="40">
        <v>0.0</v>
      </c>
      <c r="G5636" s="33" t="s">
        <v>442</v>
      </c>
    </row>
    <row r="5637" ht="15.75" customHeight="1">
      <c r="A5637" s="33" t="s">
        <v>9623</v>
      </c>
      <c r="B5637" s="33" t="s">
        <v>320</v>
      </c>
      <c r="C5637" s="39">
        <v>46197.0</v>
      </c>
      <c r="D5637" s="33" t="s">
        <v>428</v>
      </c>
      <c r="E5637" s="40">
        <v>73.72</v>
      </c>
      <c r="F5637" s="40">
        <v>0.0</v>
      </c>
      <c r="G5637" s="33" t="s">
        <v>450</v>
      </c>
    </row>
    <row r="5638" ht="15.75" customHeight="1">
      <c r="A5638" s="33" t="s">
        <v>9624</v>
      </c>
      <c r="B5638" s="33" t="s">
        <v>504</v>
      </c>
      <c r="C5638" s="39">
        <v>45854.0</v>
      </c>
      <c r="D5638" s="33" t="s">
        <v>428</v>
      </c>
      <c r="E5638" s="40">
        <v>58.28</v>
      </c>
      <c r="F5638" s="40">
        <v>0.0</v>
      </c>
      <c r="G5638" s="33" t="s">
        <v>450</v>
      </c>
    </row>
    <row r="5639" ht="15.75" customHeight="1">
      <c r="A5639" s="33" t="s">
        <v>9625</v>
      </c>
      <c r="B5639" s="33" t="s">
        <v>1102</v>
      </c>
      <c r="C5639" s="39">
        <v>45934.0</v>
      </c>
      <c r="D5639" s="33" t="s">
        <v>435</v>
      </c>
      <c r="E5639" s="40">
        <v>132.4</v>
      </c>
      <c r="F5639" s="40">
        <v>0.0</v>
      </c>
      <c r="G5639" s="33" t="s">
        <v>450</v>
      </c>
    </row>
    <row r="5640" ht="15.75" customHeight="1">
      <c r="A5640" s="33" t="s">
        <v>9626</v>
      </c>
      <c r="B5640" s="33" t="s">
        <v>992</v>
      </c>
      <c r="C5640" s="39">
        <v>45999.0</v>
      </c>
      <c r="D5640" s="33" t="s">
        <v>435</v>
      </c>
      <c r="E5640" s="40">
        <v>100.93</v>
      </c>
      <c r="F5640" s="40">
        <v>0.0</v>
      </c>
      <c r="G5640" s="33" t="s">
        <v>450</v>
      </c>
    </row>
    <row r="5641" ht="15.75" customHeight="1">
      <c r="A5641" s="33" t="s">
        <v>9627</v>
      </c>
      <c r="B5641" s="33" t="s">
        <v>692</v>
      </c>
      <c r="C5641" s="39">
        <v>46064.0</v>
      </c>
      <c r="D5641" s="33" t="s">
        <v>440</v>
      </c>
      <c r="E5641" s="40">
        <v>95.87</v>
      </c>
      <c r="F5641" s="40">
        <v>0.0</v>
      </c>
      <c r="G5641" s="33" t="s">
        <v>450</v>
      </c>
    </row>
    <row r="5642" ht="15.75" customHeight="1">
      <c r="A5642" s="33" t="s">
        <v>9628</v>
      </c>
      <c r="B5642" s="33" t="s">
        <v>287</v>
      </c>
      <c r="C5642" s="39">
        <v>45947.0</v>
      </c>
      <c r="D5642" s="33" t="s">
        <v>435</v>
      </c>
      <c r="E5642" s="40">
        <v>179.15</v>
      </c>
      <c r="F5642" s="40">
        <v>0.0</v>
      </c>
      <c r="G5642" s="33" t="s">
        <v>450</v>
      </c>
    </row>
    <row r="5643" ht="15.75" customHeight="1">
      <c r="A5643" s="33" t="s">
        <v>9629</v>
      </c>
      <c r="B5643" s="33" t="s">
        <v>381</v>
      </c>
      <c r="C5643" s="39">
        <v>45925.0</v>
      </c>
      <c r="D5643" s="33" t="s">
        <v>479</v>
      </c>
      <c r="E5643" s="40">
        <v>133.39</v>
      </c>
      <c r="F5643" s="40">
        <v>2.53</v>
      </c>
      <c r="G5643" s="33" t="s">
        <v>450</v>
      </c>
    </row>
    <row r="5644" ht="15.75" customHeight="1">
      <c r="A5644" s="33" t="s">
        <v>9630</v>
      </c>
      <c r="B5644" s="33" t="s">
        <v>300</v>
      </c>
      <c r="C5644" s="39">
        <v>45758.0</v>
      </c>
      <c r="D5644" s="33" t="s">
        <v>461</v>
      </c>
      <c r="E5644" s="40">
        <v>5.49</v>
      </c>
      <c r="F5644" s="40">
        <v>0.05</v>
      </c>
      <c r="G5644" s="33" t="s">
        <v>450</v>
      </c>
    </row>
    <row r="5645" ht="15.75" customHeight="1">
      <c r="A5645" s="33" t="s">
        <v>9631</v>
      </c>
      <c r="B5645" s="33" t="s">
        <v>2187</v>
      </c>
      <c r="C5645" s="39">
        <v>46045.0</v>
      </c>
      <c r="D5645" s="33" t="s">
        <v>435</v>
      </c>
      <c r="E5645" s="40">
        <v>57.25</v>
      </c>
      <c r="F5645" s="40">
        <v>0.0</v>
      </c>
      <c r="G5645" s="33" t="s">
        <v>450</v>
      </c>
    </row>
    <row r="5646" ht="15.75" customHeight="1">
      <c r="A5646" s="33" t="s">
        <v>9632</v>
      </c>
      <c r="B5646" s="33" t="s">
        <v>1374</v>
      </c>
      <c r="C5646" s="39">
        <v>45733.0</v>
      </c>
      <c r="D5646" s="33" t="s">
        <v>440</v>
      </c>
      <c r="E5646" s="40">
        <v>23.96</v>
      </c>
      <c r="F5646" s="40">
        <v>0.0</v>
      </c>
      <c r="G5646" s="33" t="s">
        <v>450</v>
      </c>
    </row>
    <row r="5647" ht="15.75" customHeight="1">
      <c r="A5647" s="33" t="s">
        <v>9633</v>
      </c>
      <c r="B5647" s="33" t="s">
        <v>2317</v>
      </c>
      <c r="C5647" s="39">
        <v>45946.0</v>
      </c>
      <c r="D5647" s="33" t="s">
        <v>479</v>
      </c>
      <c r="E5647" s="40">
        <v>40.74</v>
      </c>
      <c r="F5647" s="40">
        <v>0.65</v>
      </c>
      <c r="G5647" s="33" t="s">
        <v>450</v>
      </c>
    </row>
    <row r="5648" ht="15.75" customHeight="1">
      <c r="A5648" s="33" t="s">
        <v>9634</v>
      </c>
      <c r="B5648" s="33" t="s">
        <v>1850</v>
      </c>
      <c r="C5648" s="39">
        <v>45906.0</v>
      </c>
      <c r="D5648" s="33" t="s">
        <v>440</v>
      </c>
      <c r="E5648" s="40">
        <v>48.82</v>
      </c>
      <c r="F5648" s="40">
        <v>0.0</v>
      </c>
      <c r="G5648" s="33" t="s">
        <v>450</v>
      </c>
    </row>
    <row r="5649" ht="15.75" customHeight="1">
      <c r="A5649" s="33" t="s">
        <v>9635</v>
      </c>
      <c r="B5649" s="33" t="s">
        <v>1400</v>
      </c>
      <c r="C5649" s="39">
        <v>46129.0</v>
      </c>
      <c r="D5649" s="33" t="s">
        <v>479</v>
      </c>
      <c r="E5649" s="40">
        <v>39.53</v>
      </c>
      <c r="F5649" s="40">
        <v>0.64</v>
      </c>
      <c r="G5649" s="33" t="s">
        <v>450</v>
      </c>
    </row>
    <row r="5650" ht="15.75" customHeight="1">
      <c r="A5650" s="33" t="s">
        <v>9636</v>
      </c>
      <c r="B5650" s="33" t="s">
        <v>1227</v>
      </c>
      <c r="C5650" s="39">
        <v>45947.0</v>
      </c>
      <c r="D5650" s="33" t="s">
        <v>479</v>
      </c>
      <c r="E5650" s="40">
        <v>137.62</v>
      </c>
      <c r="F5650" s="40">
        <v>2.2</v>
      </c>
      <c r="G5650" s="33" t="s">
        <v>450</v>
      </c>
    </row>
    <row r="5651" ht="15.75" customHeight="1">
      <c r="A5651" s="33" t="s">
        <v>9637</v>
      </c>
      <c r="B5651" s="33" t="s">
        <v>594</v>
      </c>
      <c r="C5651" s="39">
        <v>45661.0</v>
      </c>
      <c r="D5651" s="33" t="s">
        <v>428</v>
      </c>
      <c r="E5651" s="40">
        <v>122.18</v>
      </c>
      <c r="F5651" s="40">
        <v>0.0</v>
      </c>
      <c r="G5651" s="33" t="s">
        <v>450</v>
      </c>
    </row>
    <row r="5652" ht="15.75" customHeight="1">
      <c r="A5652" s="33" t="s">
        <v>9638</v>
      </c>
      <c r="B5652" s="33" t="s">
        <v>1198</v>
      </c>
      <c r="C5652" s="39">
        <v>45965.0</v>
      </c>
      <c r="D5652" s="33" t="s">
        <v>440</v>
      </c>
      <c r="E5652" s="40">
        <v>57.05</v>
      </c>
      <c r="F5652" s="40">
        <v>0.0</v>
      </c>
      <c r="G5652" s="33" t="s">
        <v>450</v>
      </c>
    </row>
    <row r="5653" ht="15.75" customHeight="1">
      <c r="A5653" s="33" t="s">
        <v>9639</v>
      </c>
      <c r="B5653" s="33" t="s">
        <v>2816</v>
      </c>
      <c r="C5653" s="39">
        <v>45788.0</v>
      </c>
      <c r="D5653" s="33" t="s">
        <v>435</v>
      </c>
      <c r="E5653" s="40">
        <v>118.92</v>
      </c>
      <c r="F5653" s="40">
        <v>0.0</v>
      </c>
      <c r="G5653" s="33" t="s">
        <v>450</v>
      </c>
    </row>
    <row r="5654" ht="15.75" customHeight="1">
      <c r="A5654" s="33" t="s">
        <v>9640</v>
      </c>
      <c r="B5654" s="33" t="s">
        <v>297</v>
      </c>
      <c r="C5654" s="39">
        <v>45888.0</v>
      </c>
      <c r="D5654" s="33" t="s">
        <v>428</v>
      </c>
      <c r="E5654" s="40">
        <v>108.14</v>
      </c>
      <c r="F5654" s="40">
        <v>0.0</v>
      </c>
      <c r="G5654" s="33" t="s">
        <v>450</v>
      </c>
    </row>
    <row r="5655" ht="15.75" customHeight="1">
      <c r="A5655" s="33" t="s">
        <v>9641</v>
      </c>
      <c r="B5655" s="33" t="s">
        <v>817</v>
      </c>
      <c r="C5655" s="39">
        <v>45837.0</v>
      </c>
      <c r="D5655" s="33" t="s">
        <v>479</v>
      </c>
      <c r="E5655" s="40">
        <v>86.15</v>
      </c>
      <c r="F5655" s="40">
        <v>0.57</v>
      </c>
      <c r="G5655" s="33" t="s">
        <v>450</v>
      </c>
    </row>
    <row r="5656" ht="15.75" customHeight="1">
      <c r="A5656" s="33" t="s">
        <v>9642</v>
      </c>
      <c r="B5656" s="33" t="s">
        <v>1157</v>
      </c>
      <c r="C5656" s="39">
        <v>45759.0</v>
      </c>
      <c r="D5656" s="33" t="s">
        <v>479</v>
      </c>
      <c r="E5656" s="40">
        <v>70.22</v>
      </c>
      <c r="F5656" s="40">
        <v>0.49</v>
      </c>
      <c r="G5656" s="33" t="s">
        <v>450</v>
      </c>
    </row>
    <row r="5657" ht="15.75" customHeight="1">
      <c r="A5657" s="33" t="s">
        <v>9643</v>
      </c>
      <c r="B5657" s="33" t="s">
        <v>565</v>
      </c>
      <c r="C5657" s="39">
        <v>46231.0</v>
      </c>
      <c r="D5657" s="33" t="s">
        <v>461</v>
      </c>
      <c r="E5657" s="40">
        <v>147.66</v>
      </c>
      <c r="F5657" s="40">
        <v>1.83</v>
      </c>
      <c r="G5657" s="33" t="s">
        <v>442</v>
      </c>
    </row>
    <row r="5658" ht="15.75" customHeight="1">
      <c r="A5658" s="33" t="s">
        <v>9644</v>
      </c>
      <c r="B5658" s="33" t="s">
        <v>1188</v>
      </c>
      <c r="C5658" s="39">
        <v>45811.0</v>
      </c>
      <c r="D5658" s="33" t="s">
        <v>428</v>
      </c>
      <c r="E5658" s="40">
        <v>76.85</v>
      </c>
      <c r="F5658" s="40">
        <v>0.0</v>
      </c>
      <c r="G5658" s="33" t="s">
        <v>450</v>
      </c>
    </row>
    <row r="5659" ht="15.75" customHeight="1">
      <c r="A5659" s="33" t="s">
        <v>9645</v>
      </c>
      <c r="B5659" s="33" t="s">
        <v>1132</v>
      </c>
      <c r="C5659" s="39">
        <v>45965.0</v>
      </c>
      <c r="D5659" s="33" t="s">
        <v>435</v>
      </c>
      <c r="E5659" s="40">
        <v>93.76</v>
      </c>
      <c r="F5659" s="40">
        <v>0.0</v>
      </c>
      <c r="G5659" s="33" t="s">
        <v>450</v>
      </c>
    </row>
    <row r="5660" ht="15.75" customHeight="1">
      <c r="A5660" s="33" t="s">
        <v>9646</v>
      </c>
      <c r="B5660" s="33" t="s">
        <v>1945</v>
      </c>
      <c r="C5660" s="39">
        <v>46160.0</v>
      </c>
      <c r="D5660" s="33" t="s">
        <v>428</v>
      </c>
      <c r="E5660" s="40">
        <v>89.08</v>
      </c>
      <c r="F5660" s="40">
        <v>0.0</v>
      </c>
      <c r="G5660" s="33" t="s">
        <v>442</v>
      </c>
    </row>
    <row r="5661" ht="15.75" customHeight="1">
      <c r="A5661" s="33" t="s">
        <v>9647</v>
      </c>
      <c r="B5661" s="33" t="s">
        <v>553</v>
      </c>
      <c r="C5661" s="39">
        <v>45879.0</v>
      </c>
      <c r="D5661" s="33" t="s">
        <v>461</v>
      </c>
      <c r="E5661" s="40">
        <v>50.36</v>
      </c>
      <c r="F5661" s="40">
        <v>0.33</v>
      </c>
      <c r="G5661" s="33" t="s">
        <v>450</v>
      </c>
    </row>
    <row r="5662" ht="15.75" customHeight="1">
      <c r="A5662" s="33" t="s">
        <v>9648</v>
      </c>
      <c r="B5662" s="33" t="s">
        <v>1422</v>
      </c>
      <c r="C5662" s="39">
        <v>46226.0</v>
      </c>
      <c r="D5662" s="33" t="s">
        <v>479</v>
      </c>
      <c r="E5662" s="40">
        <v>48.07</v>
      </c>
      <c r="F5662" s="40">
        <v>0.45</v>
      </c>
      <c r="G5662" s="33" t="s">
        <v>442</v>
      </c>
    </row>
    <row r="5663" ht="15.75" customHeight="1">
      <c r="A5663" s="33" t="s">
        <v>9649</v>
      </c>
      <c r="B5663" s="33" t="s">
        <v>913</v>
      </c>
      <c r="C5663" s="39">
        <v>45903.0</v>
      </c>
      <c r="D5663" s="33" t="s">
        <v>428</v>
      </c>
      <c r="E5663" s="40">
        <v>66.59</v>
      </c>
      <c r="F5663" s="40">
        <v>0.0</v>
      </c>
      <c r="G5663" s="33" t="s">
        <v>450</v>
      </c>
    </row>
    <row r="5664" ht="15.75" customHeight="1">
      <c r="A5664" s="33" t="s">
        <v>9650</v>
      </c>
      <c r="B5664" s="33" t="s">
        <v>2308</v>
      </c>
      <c r="C5664" s="39">
        <v>46232.0</v>
      </c>
      <c r="D5664" s="33" t="s">
        <v>440</v>
      </c>
      <c r="E5664" s="40">
        <v>135.91</v>
      </c>
      <c r="F5664" s="40">
        <v>0.0</v>
      </c>
      <c r="G5664" s="33" t="s">
        <v>450</v>
      </c>
    </row>
    <row r="5665" ht="15.75" customHeight="1">
      <c r="A5665" s="33" t="s">
        <v>9651</v>
      </c>
      <c r="B5665" s="33" t="s">
        <v>608</v>
      </c>
      <c r="C5665" s="39">
        <v>45932.0</v>
      </c>
      <c r="D5665" s="33" t="s">
        <v>461</v>
      </c>
      <c r="E5665" s="40">
        <v>72.1</v>
      </c>
      <c r="F5665" s="40">
        <v>1.3</v>
      </c>
      <c r="G5665" s="33" t="s">
        <v>450</v>
      </c>
    </row>
    <row r="5666" ht="15.75" customHeight="1">
      <c r="A5666" s="33" t="s">
        <v>9652</v>
      </c>
      <c r="B5666" s="33" t="s">
        <v>293</v>
      </c>
      <c r="C5666" s="39">
        <v>45666.0</v>
      </c>
      <c r="D5666" s="33" t="s">
        <v>479</v>
      </c>
      <c r="E5666" s="40">
        <v>12.24</v>
      </c>
      <c r="F5666" s="40">
        <v>0.07</v>
      </c>
      <c r="G5666" s="33" t="s">
        <v>450</v>
      </c>
    </row>
    <row r="5667" ht="15.75" customHeight="1">
      <c r="A5667" s="33" t="s">
        <v>9653</v>
      </c>
      <c r="B5667" s="33" t="s">
        <v>817</v>
      </c>
      <c r="C5667" s="39">
        <v>46184.0</v>
      </c>
      <c r="D5667" s="33" t="s">
        <v>428</v>
      </c>
      <c r="E5667" s="40">
        <v>100.6</v>
      </c>
      <c r="F5667" s="40">
        <v>0.0</v>
      </c>
      <c r="G5667" s="33" t="s">
        <v>450</v>
      </c>
    </row>
    <row r="5668" ht="15.75" customHeight="1">
      <c r="A5668" s="33" t="s">
        <v>9654</v>
      </c>
      <c r="B5668" s="33" t="s">
        <v>511</v>
      </c>
      <c r="C5668" s="39">
        <v>46182.0</v>
      </c>
      <c r="D5668" s="33" t="s">
        <v>479</v>
      </c>
      <c r="E5668" s="40">
        <v>52.26</v>
      </c>
      <c r="F5668" s="40">
        <v>0.94</v>
      </c>
      <c r="G5668" s="33" t="s">
        <v>450</v>
      </c>
    </row>
    <row r="5669" ht="15.75" customHeight="1">
      <c r="A5669" s="33" t="s">
        <v>9655</v>
      </c>
      <c r="B5669" s="33" t="s">
        <v>2741</v>
      </c>
      <c r="C5669" s="39">
        <v>46242.0</v>
      </c>
      <c r="D5669" s="33" t="s">
        <v>461</v>
      </c>
      <c r="E5669" s="40">
        <v>39.16</v>
      </c>
      <c r="F5669" s="40">
        <v>0.46</v>
      </c>
      <c r="G5669" s="33" t="s">
        <v>450</v>
      </c>
    </row>
    <row r="5670" ht="15.75" customHeight="1">
      <c r="A5670" s="33" t="s">
        <v>9656</v>
      </c>
      <c r="B5670" s="33" t="s">
        <v>801</v>
      </c>
      <c r="C5670" s="39">
        <v>45733.0</v>
      </c>
      <c r="D5670" s="33" t="s">
        <v>479</v>
      </c>
      <c r="E5670" s="40">
        <v>127.04</v>
      </c>
      <c r="F5670" s="40">
        <v>1.92</v>
      </c>
      <c r="G5670" s="33" t="s">
        <v>442</v>
      </c>
    </row>
    <row r="5671" ht="15.75" customHeight="1">
      <c r="A5671" s="33" t="s">
        <v>9657</v>
      </c>
      <c r="B5671" s="33" t="s">
        <v>1294</v>
      </c>
      <c r="C5671" s="39">
        <v>46170.0</v>
      </c>
      <c r="D5671" s="33" t="s">
        <v>440</v>
      </c>
      <c r="E5671" s="40">
        <v>126.41</v>
      </c>
      <c r="F5671" s="40">
        <v>0.0</v>
      </c>
      <c r="G5671" s="33" t="s">
        <v>450</v>
      </c>
    </row>
    <row r="5672" ht="15.75" customHeight="1">
      <c r="A5672" s="33" t="s">
        <v>9658</v>
      </c>
      <c r="B5672" s="33" t="s">
        <v>3305</v>
      </c>
      <c r="C5672" s="39">
        <v>45865.0</v>
      </c>
      <c r="D5672" s="33" t="s">
        <v>440</v>
      </c>
      <c r="E5672" s="40">
        <v>86.7</v>
      </c>
      <c r="F5672" s="40">
        <v>0.0</v>
      </c>
      <c r="G5672" s="33" t="s">
        <v>442</v>
      </c>
    </row>
    <row r="5673" ht="15.75" customHeight="1">
      <c r="A5673" s="33" t="s">
        <v>9659</v>
      </c>
      <c r="B5673" s="33" t="s">
        <v>594</v>
      </c>
      <c r="C5673" s="39">
        <v>46168.0</v>
      </c>
      <c r="D5673" s="33" t="s">
        <v>428</v>
      </c>
      <c r="E5673" s="40">
        <v>62.9</v>
      </c>
      <c r="F5673" s="40">
        <v>0.0</v>
      </c>
      <c r="G5673" s="33" t="s">
        <v>450</v>
      </c>
    </row>
    <row r="5674" ht="15.75" customHeight="1">
      <c r="A5674" s="33" t="s">
        <v>9660</v>
      </c>
      <c r="B5674" s="33" t="s">
        <v>2394</v>
      </c>
      <c r="C5674" s="39">
        <v>46242.0</v>
      </c>
      <c r="D5674" s="33" t="s">
        <v>428</v>
      </c>
      <c r="E5674" s="40">
        <v>54.06</v>
      </c>
      <c r="F5674" s="40">
        <v>0.0</v>
      </c>
      <c r="G5674" s="33" t="s">
        <v>431</v>
      </c>
    </row>
    <row r="5675" ht="15.75" customHeight="1">
      <c r="A5675" s="33" t="s">
        <v>9661</v>
      </c>
      <c r="B5675" s="33" t="s">
        <v>3612</v>
      </c>
      <c r="C5675" s="39">
        <v>45778.0</v>
      </c>
      <c r="D5675" s="33" t="s">
        <v>440</v>
      </c>
      <c r="E5675" s="40">
        <v>24.26</v>
      </c>
      <c r="F5675" s="40">
        <v>0.0</v>
      </c>
      <c r="G5675" s="33" t="s">
        <v>450</v>
      </c>
    </row>
    <row r="5676" ht="15.75" customHeight="1">
      <c r="A5676" s="33" t="s">
        <v>9662</v>
      </c>
      <c r="B5676" s="33" t="s">
        <v>1232</v>
      </c>
      <c r="C5676" s="39">
        <v>45883.0</v>
      </c>
      <c r="D5676" s="33" t="s">
        <v>428</v>
      </c>
      <c r="E5676" s="40">
        <v>5.61</v>
      </c>
      <c r="F5676" s="40">
        <v>0.0</v>
      </c>
      <c r="G5676" s="33" t="s">
        <v>442</v>
      </c>
    </row>
    <row r="5677" ht="15.75" customHeight="1">
      <c r="A5677" s="33" t="s">
        <v>9663</v>
      </c>
      <c r="B5677" s="33" t="s">
        <v>1805</v>
      </c>
      <c r="C5677" s="39">
        <v>45821.0</v>
      </c>
      <c r="D5677" s="33" t="s">
        <v>479</v>
      </c>
      <c r="E5677" s="40">
        <v>57.21</v>
      </c>
      <c r="F5677" s="40">
        <v>0.91</v>
      </c>
      <c r="G5677" s="33" t="s">
        <v>450</v>
      </c>
    </row>
    <row r="5678" ht="15.75" customHeight="1">
      <c r="A5678" s="33" t="s">
        <v>9664</v>
      </c>
      <c r="B5678" s="33" t="s">
        <v>1095</v>
      </c>
      <c r="C5678" s="39">
        <v>45842.0</v>
      </c>
      <c r="D5678" s="33" t="s">
        <v>435</v>
      </c>
      <c r="E5678" s="40">
        <v>58.23</v>
      </c>
      <c r="F5678" s="40">
        <v>0.0</v>
      </c>
      <c r="G5678" s="33" t="s">
        <v>450</v>
      </c>
    </row>
    <row r="5679" ht="15.75" customHeight="1">
      <c r="A5679" s="33" t="s">
        <v>9665</v>
      </c>
      <c r="B5679" s="33" t="s">
        <v>291</v>
      </c>
      <c r="C5679" s="39">
        <v>46019.0</v>
      </c>
      <c r="D5679" s="33" t="s">
        <v>461</v>
      </c>
      <c r="E5679" s="40">
        <v>36.8</v>
      </c>
      <c r="F5679" s="40">
        <v>0.45</v>
      </c>
      <c r="G5679" s="33" t="s">
        <v>450</v>
      </c>
    </row>
    <row r="5680" ht="15.75" customHeight="1">
      <c r="A5680" s="33" t="s">
        <v>9666</v>
      </c>
      <c r="B5680" s="33" t="s">
        <v>572</v>
      </c>
      <c r="C5680" s="39">
        <v>45908.0</v>
      </c>
      <c r="D5680" s="33" t="s">
        <v>435</v>
      </c>
      <c r="E5680" s="40">
        <v>178.61</v>
      </c>
      <c r="F5680" s="40">
        <v>0.0</v>
      </c>
      <c r="G5680" s="33" t="s">
        <v>450</v>
      </c>
    </row>
    <row r="5681" ht="15.75" customHeight="1">
      <c r="A5681" s="33" t="s">
        <v>9667</v>
      </c>
      <c r="B5681" s="33" t="s">
        <v>875</v>
      </c>
      <c r="C5681" s="39">
        <v>46056.0</v>
      </c>
      <c r="D5681" s="33" t="s">
        <v>428</v>
      </c>
      <c r="E5681" s="40">
        <v>50.73</v>
      </c>
      <c r="F5681" s="40">
        <v>0.0</v>
      </c>
      <c r="G5681" s="33" t="s">
        <v>431</v>
      </c>
    </row>
    <row r="5682" ht="15.75" customHeight="1">
      <c r="A5682" s="33" t="s">
        <v>9668</v>
      </c>
      <c r="B5682" s="33" t="s">
        <v>2622</v>
      </c>
      <c r="C5682" s="39">
        <v>46067.0</v>
      </c>
      <c r="D5682" s="33" t="s">
        <v>479</v>
      </c>
      <c r="E5682" s="40">
        <v>85.92</v>
      </c>
      <c r="F5682" s="40">
        <v>0.63</v>
      </c>
      <c r="G5682" s="33" t="s">
        <v>450</v>
      </c>
    </row>
    <row r="5683" ht="15.75" customHeight="1">
      <c r="A5683" s="33" t="s">
        <v>9669</v>
      </c>
      <c r="B5683" s="33" t="s">
        <v>1259</v>
      </c>
      <c r="C5683" s="39">
        <v>45781.0</v>
      </c>
      <c r="D5683" s="33" t="s">
        <v>428</v>
      </c>
      <c r="E5683" s="40">
        <v>99.36</v>
      </c>
      <c r="F5683" s="40">
        <v>0.0</v>
      </c>
      <c r="G5683" s="33" t="s">
        <v>450</v>
      </c>
    </row>
    <row r="5684" ht="15.75" customHeight="1">
      <c r="A5684" s="33" t="s">
        <v>9670</v>
      </c>
      <c r="B5684" s="33" t="s">
        <v>533</v>
      </c>
      <c r="C5684" s="39">
        <v>45684.0</v>
      </c>
      <c r="D5684" s="33" t="s">
        <v>479</v>
      </c>
      <c r="E5684" s="40">
        <v>109.42</v>
      </c>
      <c r="F5684" s="40">
        <v>1.87</v>
      </c>
      <c r="G5684" s="33" t="s">
        <v>450</v>
      </c>
    </row>
    <row r="5685" ht="15.75" customHeight="1">
      <c r="A5685" s="33" t="s">
        <v>9671</v>
      </c>
      <c r="B5685" s="33" t="s">
        <v>2110</v>
      </c>
      <c r="C5685" s="39">
        <v>46110.0</v>
      </c>
      <c r="D5685" s="33" t="s">
        <v>435</v>
      </c>
      <c r="E5685" s="40">
        <v>45.53</v>
      </c>
      <c r="F5685" s="40">
        <v>0.0</v>
      </c>
      <c r="G5685" s="33" t="s">
        <v>442</v>
      </c>
    </row>
    <row r="5686" ht="15.75" customHeight="1">
      <c r="A5686" s="33" t="s">
        <v>9672</v>
      </c>
      <c r="B5686" s="33" t="s">
        <v>1452</v>
      </c>
      <c r="C5686" s="39">
        <v>45768.0</v>
      </c>
      <c r="D5686" s="33" t="s">
        <v>461</v>
      </c>
      <c r="E5686" s="40">
        <v>61.56</v>
      </c>
      <c r="F5686" s="40">
        <v>1.02</v>
      </c>
      <c r="G5686" s="33" t="s">
        <v>450</v>
      </c>
    </row>
    <row r="5687" ht="15.75" customHeight="1">
      <c r="A5687" s="33" t="s">
        <v>9673</v>
      </c>
      <c r="B5687" s="33" t="s">
        <v>213</v>
      </c>
      <c r="C5687" s="39">
        <v>45779.0</v>
      </c>
      <c r="D5687" s="33" t="s">
        <v>461</v>
      </c>
      <c r="E5687" s="40">
        <v>79.66</v>
      </c>
      <c r="F5687" s="40">
        <v>1.45</v>
      </c>
      <c r="G5687" s="33" t="s">
        <v>450</v>
      </c>
    </row>
    <row r="5688" ht="15.75" customHeight="1">
      <c r="A5688" s="33" t="s">
        <v>9674</v>
      </c>
      <c r="B5688" s="33" t="s">
        <v>1056</v>
      </c>
      <c r="C5688" s="39">
        <v>46023.0</v>
      </c>
      <c r="D5688" s="33" t="s">
        <v>440</v>
      </c>
      <c r="E5688" s="40">
        <v>45.76</v>
      </c>
      <c r="F5688" s="40">
        <v>0.0</v>
      </c>
      <c r="G5688" s="33" t="s">
        <v>450</v>
      </c>
    </row>
    <row r="5689" ht="15.75" customHeight="1">
      <c r="A5689" s="33" t="s">
        <v>9675</v>
      </c>
      <c r="B5689" s="33" t="s">
        <v>297</v>
      </c>
      <c r="C5689" s="39">
        <v>45817.0</v>
      </c>
      <c r="D5689" s="33" t="s">
        <v>440</v>
      </c>
      <c r="E5689" s="40">
        <v>167.23</v>
      </c>
      <c r="F5689" s="40">
        <v>0.0</v>
      </c>
      <c r="G5689" s="33" t="s">
        <v>431</v>
      </c>
    </row>
    <row r="5690" ht="15.75" customHeight="1">
      <c r="A5690" s="33" t="s">
        <v>9676</v>
      </c>
      <c r="B5690" s="33" t="s">
        <v>668</v>
      </c>
      <c r="C5690" s="39">
        <v>45773.0</v>
      </c>
      <c r="D5690" s="33" t="s">
        <v>428</v>
      </c>
      <c r="E5690" s="40">
        <v>311.62</v>
      </c>
      <c r="F5690" s="40">
        <v>0.0</v>
      </c>
      <c r="G5690" s="33" t="s">
        <v>450</v>
      </c>
    </row>
    <row r="5691" ht="15.75" customHeight="1">
      <c r="A5691" s="33" t="s">
        <v>9677</v>
      </c>
      <c r="B5691" s="33" t="s">
        <v>3807</v>
      </c>
      <c r="C5691" s="39">
        <v>45844.0</v>
      </c>
      <c r="D5691" s="33" t="s">
        <v>461</v>
      </c>
      <c r="E5691" s="40">
        <v>97.34</v>
      </c>
      <c r="F5691" s="40">
        <v>1.09</v>
      </c>
      <c r="G5691" s="33" t="s">
        <v>450</v>
      </c>
    </row>
    <row r="5692" ht="15.75" customHeight="1">
      <c r="A5692" s="33" t="s">
        <v>9678</v>
      </c>
      <c r="B5692" s="33" t="s">
        <v>1476</v>
      </c>
      <c r="C5692" s="39">
        <v>45975.0</v>
      </c>
      <c r="D5692" s="33" t="s">
        <v>440</v>
      </c>
      <c r="E5692" s="40">
        <v>96.65</v>
      </c>
      <c r="F5692" s="40">
        <v>0.0</v>
      </c>
      <c r="G5692" s="33" t="s">
        <v>450</v>
      </c>
    </row>
    <row r="5693" ht="15.75" customHeight="1">
      <c r="A5693" s="33" t="s">
        <v>9679</v>
      </c>
      <c r="B5693" s="33" t="s">
        <v>2447</v>
      </c>
      <c r="C5693" s="39">
        <v>46171.0</v>
      </c>
      <c r="D5693" s="33" t="s">
        <v>461</v>
      </c>
      <c r="E5693" s="40">
        <v>159.18</v>
      </c>
      <c r="F5693" s="40">
        <v>1.13</v>
      </c>
      <c r="G5693" s="33" t="s">
        <v>450</v>
      </c>
    </row>
    <row r="5694" ht="15.75" customHeight="1">
      <c r="A5694" s="33" t="s">
        <v>9680</v>
      </c>
      <c r="B5694" s="33" t="s">
        <v>1158</v>
      </c>
      <c r="C5694" s="39">
        <v>46258.0</v>
      </c>
      <c r="D5694" s="33" t="s">
        <v>440</v>
      </c>
      <c r="E5694" s="40">
        <v>136.49</v>
      </c>
      <c r="F5694" s="40">
        <v>0.0</v>
      </c>
      <c r="G5694" s="33" t="s">
        <v>431</v>
      </c>
    </row>
    <row r="5695" ht="15.75" customHeight="1">
      <c r="A5695" s="33" t="s">
        <v>9681</v>
      </c>
      <c r="B5695" s="33" t="s">
        <v>1118</v>
      </c>
      <c r="C5695" s="39">
        <v>46102.0</v>
      </c>
      <c r="D5695" s="33" t="s">
        <v>435</v>
      </c>
      <c r="E5695" s="40">
        <v>77.1</v>
      </c>
      <c r="F5695" s="40">
        <v>0.0</v>
      </c>
      <c r="G5695" s="33" t="s">
        <v>442</v>
      </c>
    </row>
    <row r="5696" ht="15.75" customHeight="1">
      <c r="A5696" s="33" t="s">
        <v>9682</v>
      </c>
      <c r="B5696" s="33" t="s">
        <v>1533</v>
      </c>
      <c r="C5696" s="39">
        <v>46203.0</v>
      </c>
      <c r="D5696" s="33" t="s">
        <v>461</v>
      </c>
      <c r="E5696" s="40">
        <v>229.86</v>
      </c>
      <c r="F5696" s="40">
        <v>1.45</v>
      </c>
      <c r="G5696" s="33" t="s">
        <v>450</v>
      </c>
    </row>
    <row r="5697" ht="15.75" customHeight="1">
      <c r="A5697" s="33" t="s">
        <v>9683</v>
      </c>
      <c r="B5697" s="33" t="s">
        <v>2221</v>
      </c>
      <c r="C5697" s="39">
        <v>45980.0</v>
      </c>
      <c r="D5697" s="33" t="s">
        <v>428</v>
      </c>
      <c r="E5697" s="40">
        <v>47.65</v>
      </c>
      <c r="F5697" s="40">
        <v>0.0</v>
      </c>
      <c r="G5697" s="33" t="s">
        <v>450</v>
      </c>
    </row>
    <row r="5698" ht="15.75" customHeight="1">
      <c r="A5698" s="33" t="s">
        <v>9684</v>
      </c>
      <c r="B5698" s="33" t="s">
        <v>539</v>
      </c>
      <c r="C5698" s="39">
        <v>45905.0</v>
      </c>
      <c r="D5698" s="33" t="s">
        <v>428</v>
      </c>
      <c r="E5698" s="40">
        <v>127.92</v>
      </c>
      <c r="F5698" s="40">
        <v>0.0</v>
      </c>
      <c r="G5698" s="33" t="s">
        <v>450</v>
      </c>
    </row>
    <row r="5699" ht="15.75" customHeight="1">
      <c r="A5699" s="33" t="s">
        <v>9685</v>
      </c>
      <c r="B5699" s="33" t="s">
        <v>649</v>
      </c>
      <c r="C5699" s="39">
        <v>46155.0</v>
      </c>
      <c r="D5699" s="33" t="s">
        <v>479</v>
      </c>
      <c r="E5699" s="40">
        <v>61.15</v>
      </c>
      <c r="F5699" s="40">
        <v>1.15</v>
      </c>
      <c r="G5699" s="33" t="s">
        <v>431</v>
      </c>
    </row>
    <row r="5700" ht="15.75" customHeight="1">
      <c r="A5700" s="33" t="s">
        <v>9686</v>
      </c>
      <c r="B5700" s="33" t="s">
        <v>1649</v>
      </c>
      <c r="C5700" s="39">
        <v>45841.0</v>
      </c>
      <c r="D5700" s="33" t="s">
        <v>435</v>
      </c>
      <c r="E5700" s="40">
        <v>105.71</v>
      </c>
      <c r="F5700" s="40">
        <v>0.0</v>
      </c>
      <c r="G5700" s="33" t="s">
        <v>450</v>
      </c>
    </row>
    <row r="5701" ht="15.75" customHeight="1">
      <c r="A5701" s="33" t="s">
        <v>9687</v>
      </c>
      <c r="B5701" s="33" t="s">
        <v>671</v>
      </c>
      <c r="C5701" s="39">
        <v>46151.0</v>
      </c>
      <c r="D5701" s="33" t="s">
        <v>479</v>
      </c>
      <c r="E5701" s="40">
        <v>56.38</v>
      </c>
      <c r="F5701" s="40">
        <v>1.01</v>
      </c>
      <c r="G5701" s="33" t="s">
        <v>450</v>
      </c>
    </row>
    <row r="5702" ht="15.75" customHeight="1">
      <c r="A5702" s="33" t="s">
        <v>9688</v>
      </c>
      <c r="B5702" s="33" t="s">
        <v>2048</v>
      </c>
      <c r="C5702" s="39">
        <v>46263.0</v>
      </c>
      <c r="D5702" s="33" t="s">
        <v>461</v>
      </c>
      <c r="E5702" s="40">
        <v>224.91</v>
      </c>
      <c r="F5702" s="40">
        <v>2.97</v>
      </c>
      <c r="G5702" s="33" t="s">
        <v>450</v>
      </c>
    </row>
    <row r="5703" ht="15.75" customHeight="1">
      <c r="A5703" s="33" t="s">
        <v>9689</v>
      </c>
      <c r="B5703" s="33" t="s">
        <v>245</v>
      </c>
      <c r="C5703" s="39">
        <v>45894.0</v>
      </c>
      <c r="D5703" s="33" t="s">
        <v>428</v>
      </c>
      <c r="E5703" s="40">
        <v>164.54</v>
      </c>
      <c r="F5703" s="40">
        <v>0.0</v>
      </c>
      <c r="G5703" s="33" t="s">
        <v>431</v>
      </c>
    </row>
    <row r="5704" ht="15.75" customHeight="1">
      <c r="A5704" s="33" t="s">
        <v>9690</v>
      </c>
      <c r="B5704" s="33" t="s">
        <v>711</v>
      </c>
      <c r="C5704" s="39">
        <v>46042.0</v>
      </c>
      <c r="D5704" s="33" t="s">
        <v>435</v>
      </c>
      <c r="E5704" s="40">
        <v>101.86</v>
      </c>
      <c r="F5704" s="40">
        <v>0.0</v>
      </c>
      <c r="G5704" s="33" t="s">
        <v>442</v>
      </c>
    </row>
    <row r="5705" ht="15.75" customHeight="1">
      <c r="A5705" s="33" t="s">
        <v>9691</v>
      </c>
      <c r="B5705" s="33" t="s">
        <v>2826</v>
      </c>
      <c r="C5705" s="39">
        <v>46132.0</v>
      </c>
      <c r="D5705" s="33" t="s">
        <v>461</v>
      </c>
      <c r="E5705" s="40">
        <v>138.04</v>
      </c>
      <c r="F5705" s="40">
        <v>1.42</v>
      </c>
      <c r="G5705" s="33" t="s">
        <v>431</v>
      </c>
    </row>
    <row r="5706" ht="15.75" customHeight="1">
      <c r="A5706" s="33" t="s">
        <v>9692</v>
      </c>
      <c r="B5706" s="33" t="s">
        <v>1331</v>
      </c>
      <c r="C5706" s="39">
        <v>46133.0</v>
      </c>
      <c r="D5706" s="33" t="s">
        <v>479</v>
      </c>
      <c r="E5706" s="40">
        <v>36.97</v>
      </c>
      <c r="F5706" s="40">
        <v>0.63</v>
      </c>
      <c r="G5706" s="33" t="s">
        <v>442</v>
      </c>
    </row>
    <row r="5707" ht="15.75" customHeight="1">
      <c r="A5707" s="33" t="s">
        <v>9693</v>
      </c>
      <c r="B5707" s="33" t="s">
        <v>1528</v>
      </c>
      <c r="C5707" s="39">
        <v>45783.0</v>
      </c>
      <c r="D5707" s="33" t="s">
        <v>479</v>
      </c>
      <c r="E5707" s="40">
        <v>20.33</v>
      </c>
      <c r="F5707" s="40">
        <v>0.15</v>
      </c>
      <c r="G5707" s="33" t="s">
        <v>450</v>
      </c>
    </row>
    <row r="5708" ht="15.75" customHeight="1">
      <c r="A5708" s="33" t="s">
        <v>9694</v>
      </c>
      <c r="B5708" s="33" t="s">
        <v>815</v>
      </c>
      <c r="C5708" s="39">
        <v>46242.0</v>
      </c>
      <c r="D5708" s="33" t="s">
        <v>435</v>
      </c>
      <c r="E5708" s="40">
        <v>46.17</v>
      </c>
      <c r="F5708" s="40">
        <v>0.0</v>
      </c>
      <c r="G5708" s="33" t="s">
        <v>450</v>
      </c>
    </row>
    <row r="5709" ht="15.75" customHeight="1">
      <c r="A5709" s="33" t="s">
        <v>9695</v>
      </c>
      <c r="B5709" s="33" t="s">
        <v>2158</v>
      </c>
      <c r="C5709" s="39">
        <v>45963.0</v>
      </c>
      <c r="D5709" s="33" t="s">
        <v>435</v>
      </c>
      <c r="E5709" s="40">
        <v>220.68</v>
      </c>
      <c r="F5709" s="40">
        <v>0.0</v>
      </c>
      <c r="G5709" s="33" t="s">
        <v>431</v>
      </c>
    </row>
    <row r="5710" ht="15.75" customHeight="1">
      <c r="A5710" s="33" t="s">
        <v>9696</v>
      </c>
      <c r="B5710" s="33" t="s">
        <v>2154</v>
      </c>
      <c r="C5710" s="39">
        <v>45683.0</v>
      </c>
      <c r="D5710" s="33" t="s">
        <v>461</v>
      </c>
      <c r="E5710" s="40">
        <v>56.21</v>
      </c>
      <c r="F5710" s="40">
        <v>0.8</v>
      </c>
      <c r="G5710" s="33" t="s">
        <v>442</v>
      </c>
    </row>
    <row r="5711" ht="15.75" customHeight="1">
      <c r="A5711" s="33" t="s">
        <v>9697</v>
      </c>
      <c r="B5711" s="33" t="s">
        <v>659</v>
      </c>
      <c r="C5711" s="39">
        <v>45729.0</v>
      </c>
      <c r="D5711" s="33" t="s">
        <v>435</v>
      </c>
      <c r="E5711" s="40">
        <v>144.21</v>
      </c>
      <c r="F5711" s="40">
        <v>0.0</v>
      </c>
      <c r="G5711" s="33" t="s">
        <v>450</v>
      </c>
    </row>
    <row r="5712" ht="15.75" customHeight="1">
      <c r="A5712" s="33" t="s">
        <v>9698</v>
      </c>
      <c r="B5712" s="33" t="s">
        <v>863</v>
      </c>
      <c r="C5712" s="39">
        <v>46099.0</v>
      </c>
      <c r="D5712" s="33" t="s">
        <v>461</v>
      </c>
      <c r="E5712" s="40">
        <v>65.58</v>
      </c>
      <c r="F5712" s="40">
        <v>0.39</v>
      </c>
      <c r="G5712" s="33" t="s">
        <v>431</v>
      </c>
    </row>
    <row r="5713" ht="15.75" customHeight="1">
      <c r="A5713" s="33" t="s">
        <v>9699</v>
      </c>
      <c r="B5713" s="33" t="s">
        <v>2433</v>
      </c>
      <c r="C5713" s="39">
        <v>45917.0</v>
      </c>
      <c r="D5713" s="33" t="s">
        <v>435</v>
      </c>
      <c r="E5713" s="40">
        <v>68.78</v>
      </c>
      <c r="F5713" s="40">
        <v>0.0</v>
      </c>
      <c r="G5713" s="33" t="s">
        <v>442</v>
      </c>
    </row>
    <row r="5714" ht="15.75" customHeight="1">
      <c r="A5714" s="33" t="s">
        <v>9700</v>
      </c>
      <c r="B5714" s="33" t="s">
        <v>1476</v>
      </c>
      <c r="C5714" s="39">
        <v>45723.0</v>
      </c>
      <c r="D5714" s="33" t="s">
        <v>428</v>
      </c>
      <c r="E5714" s="40">
        <v>56.86</v>
      </c>
      <c r="F5714" s="40">
        <v>0.0</v>
      </c>
      <c r="G5714" s="33" t="s">
        <v>442</v>
      </c>
    </row>
    <row r="5715" ht="15.75" customHeight="1">
      <c r="A5715" s="33" t="s">
        <v>9701</v>
      </c>
      <c r="B5715" s="33" t="s">
        <v>848</v>
      </c>
      <c r="C5715" s="39">
        <v>45973.0</v>
      </c>
      <c r="D5715" s="33" t="s">
        <v>440</v>
      </c>
      <c r="E5715" s="40">
        <v>53.81</v>
      </c>
      <c r="F5715" s="40">
        <v>0.0</v>
      </c>
      <c r="G5715" s="33" t="s">
        <v>450</v>
      </c>
    </row>
    <row r="5716" ht="15.75" customHeight="1">
      <c r="A5716" s="33" t="s">
        <v>9702</v>
      </c>
      <c r="B5716" s="33" t="s">
        <v>3092</v>
      </c>
      <c r="C5716" s="39">
        <v>46021.0</v>
      </c>
      <c r="D5716" s="33" t="s">
        <v>479</v>
      </c>
      <c r="E5716" s="40">
        <v>137.1</v>
      </c>
      <c r="F5716" s="40">
        <v>1.25</v>
      </c>
      <c r="G5716" s="33" t="s">
        <v>450</v>
      </c>
    </row>
    <row r="5717" ht="15.75" customHeight="1">
      <c r="A5717" s="33" t="s">
        <v>9703</v>
      </c>
      <c r="B5717" s="33" t="s">
        <v>303</v>
      </c>
      <c r="C5717" s="39">
        <v>45706.0</v>
      </c>
      <c r="D5717" s="33" t="s">
        <v>440</v>
      </c>
      <c r="E5717" s="40">
        <v>54.5</v>
      </c>
      <c r="F5717" s="40">
        <v>0.0</v>
      </c>
      <c r="G5717" s="33" t="s">
        <v>450</v>
      </c>
    </row>
    <row r="5718" ht="15.75" customHeight="1">
      <c r="A5718" s="33" t="s">
        <v>9704</v>
      </c>
      <c r="B5718" s="33" t="s">
        <v>2715</v>
      </c>
      <c r="C5718" s="39">
        <v>45870.0</v>
      </c>
      <c r="D5718" s="33" t="s">
        <v>479</v>
      </c>
      <c r="E5718" s="40">
        <v>53.29</v>
      </c>
      <c r="F5718" s="40">
        <v>0.74</v>
      </c>
      <c r="G5718" s="33" t="s">
        <v>450</v>
      </c>
    </row>
    <row r="5719" ht="15.75" customHeight="1">
      <c r="A5719" s="33" t="s">
        <v>9705</v>
      </c>
      <c r="B5719" s="33" t="s">
        <v>297</v>
      </c>
      <c r="C5719" s="39">
        <v>45938.0</v>
      </c>
      <c r="D5719" s="33" t="s">
        <v>479</v>
      </c>
      <c r="E5719" s="40">
        <v>77.79</v>
      </c>
      <c r="F5719" s="40">
        <v>1.06</v>
      </c>
      <c r="G5719" s="33" t="s">
        <v>450</v>
      </c>
    </row>
    <row r="5720" ht="15.75" customHeight="1">
      <c r="A5720" s="33" t="s">
        <v>9706</v>
      </c>
      <c r="B5720" s="33" t="s">
        <v>1352</v>
      </c>
      <c r="C5720" s="39">
        <v>46131.0</v>
      </c>
      <c r="D5720" s="33" t="s">
        <v>461</v>
      </c>
      <c r="E5720" s="40">
        <v>61.66</v>
      </c>
      <c r="F5720" s="40">
        <v>1.08</v>
      </c>
      <c r="G5720" s="33" t="s">
        <v>450</v>
      </c>
    </row>
    <row r="5721" ht="15.75" customHeight="1">
      <c r="A5721" s="33" t="s">
        <v>9707</v>
      </c>
      <c r="B5721" s="33" t="s">
        <v>2187</v>
      </c>
      <c r="C5721" s="39">
        <v>46053.0</v>
      </c>
      <c r="D5721" s="33" t="s">
        <v>461</v>
      </c>
      <c r="E5721" s="40">
        <v>39.74</v>
      </c>
      <c r="F5721" s="40">
        <v>0.79</v>
      </c>
      <c r="G5721" s="33" t="s">
        <v>450</v>
      </c>
    </row>
    <row r="5722" ht="15.75" customHeight="1">
      <c r="A5722" s="33" t="s">
        <v>9708</v>
      </c>
      <c r="B5722" s="33" t="s">
        <v>1409</v>
      </c>
      <c r="C5722" s="39">
        <v>45710.0</v>
      </c>
      <c r="D5722" s="33" t="s">
        <v>428</v>
      </c>
      <c r="E5722" s="40">
        <v>126.75</v>
      </c>
      <c r="F5722" s="40">
        <v>0.0</v>
      </c>
      <c r="G5722" s="33" t="s">
        <v>450</v>
      </c>
    </row>
    <row r="5723" ht="15.75" customHeight="1">
      <c r="A5723" s="33" t="s">
        <v>9709</v>
      </c>
      <c r="B5723" s="33" t="s">
        <v>929</v>
      </c>
      <c r="C5723" s="39">
        <v>46030.0</v>
      </c>
      <c r="D5723" s="33" t="s">
        <v>435</v>
      </c>
      <c r="E5723" s="40">
        <v>91.48</v>
      </c>
      <c r="F5723" s="40">
        <v>0.0</v>
      </c>
      <c r="G5723" s="33" t="s">
        <v>442</v>
      </c>
    </row>
    <row r="5724" ht="15.75" customHeight="1">
      <c r="A5724" s="33" t="s">
        <v>9710</v>
      </c>
      <c r="B5724" s="33" t="s">
        <v>581</v>
      </c>
      <c r="C5724" s="39">
        <v>46205.0</v>
      </c>
      <c r="D5724" s="33" t="s">
        <v>428</v>
      </c>
      <c r="E5724" s="40">
        <v>51.71</v>
      </c>
      <c r="F5724" s="40">
        <v>0.0</v>
      </c>
      <c r="G5724" s="33" t="s">
        <v>450</v>
      </c>
    </row>
    <row r="5725" ht="15.75" customHeight="1">
      <c r="A5725" s="33" t="s">
        <v>9711</v>
      </c>
      <c r="B5725" s="33" t="s">
        <v>864</v>
      </c>
      <c r="C5725" s="39">
        <v>45690.0</v>
      </c>
      <c r="D5725" s="33" t="s">
        <v>461</v>
      </c>
      <c r="E5725" s="40">
        <v>39.84</v>
      </c>
      <c r="F5725" s="40">
        <v>0.31</v>
      </c>
      <c r="G5725" s="33" t="s">
        <v>450</v>
      </c>
    </row>
    <row r="5726" ht="15.75" customHeight="1">
      <c r="A5726" s="33" t="s">
        <v>9712</v>
      </c>
      <c r="B5726" s="33" t="s">
        <v>1045</v>
      </c>
      <c r="C5726" s="39">
        <v>46256.0</v>
      </c>
      <c r="D5726" s="33" t="s">
        <v>440</v>
      </c>
      <c r="E5726" s="40">
        <v>161.36</v>
      </c>
      <c r="F5726" s="40">
        <v>0.0</v>
      </c>
      <c r="G5726" s="33" t="s">
        <v>450</v>
      </c>
    </row>
    <row r="5727" ht="15.75" customHeight="1">
      <c r="A5727" s="33" t="s">
        <v>9713</v>
      </c>
      <c r="B5727" s="33" t="s">
        <v>2177</v>
      </c>
      <c r="C5727" s="39">
        <v>45715.0</v>
      </c>
      <c r="D5727" s="33" t="s">
        <v>428</v>
      </c>
      <c r="E5727" s="40">
        <v>26.82</v>
      </c>
      <c r="F5727" s="40">
        <v>0.0</v>
      </c>
      <c r="G5727" s="33" t="s">
        <v>450</v>
      </c>
    </row>
    <row r="5728" ht="15.75" customHeight="1">
      <c r="A5728" s="33" t="s">
        <v>9714</v>
      </c>
      <c r="B5728" s="33" t="s">
        <v>572</v>
      </c>
      <c r="C5728" s="39">
        <v>46035.0</v>
      </c>
      <c r="D5728" s="33" t="s">
        <v>461</v>
      </c>
      <c r="E5728" s="40">
        <v>115.35</v>
      </c>
      <c r="F5728" s="40">
        <v>1.55</v>
      </c>
      <c r="G5728" s="33" t="s">
        <v>450</v>
      </c>
    </row>
    <row r="5729" ht="15.75" customHeight="1">
      <c r="A5729" s="33" t="s">
        <v>9715</v>
      </c>
      <c r="B5729" s="33" t="s">
        <v>587</v>
      </c>
      <c r="C5729" s="39">
        <v>45871.0</v>
      </c>
      <c r="D5729" s="33" t="s">
        <v>435</v>
      </c>
      <c r="E5729" s="40">
        <v>11.73</v>
      </c>
      <c r="F5729" s="40">
        <v>0.0</v>
      </c>
      <c r="G5729" s="33" t="s">
        <v>450</v>
      </c>
    </row>
    <row r="5730" ht="15.75" customHeight="1">
      <c r="A5730" s="33" t="s">
        <v>9716</v>
      </c>
      <c r="B5730" s="33" t="s">
        <v>1382</v>
      </c>
      <c r="C5730" s="39">
        <v>46101.0</v>
      </c>
      <c r="D5730" s="33" t="s">
        <v>435</v>
      </c>
      <c r="E5730" s="40">
        <v>83.69</v>
      </c>
      <c r="F5730" s="40">
        <v>0.0</v>
      </c>
      <c r="G5730" s="33" t="s">
        <v>450</v>
      </c>
    </row>
    <row r="5731" ht="15.75" customHeight="1">
      <c r="A5731" s="33" t="s">
        <v>9717</v>
      </c>
      <c r="B5731" s="33" t="s">
        <v>186</v>
      </c>
      <c r="C5731" s="39">
        <v>46169.0</v>
      </c>
      <c r="D5731" s="33" t="s">
        <v>461</v>
      </c>
      <c r="E5731" s="40">
        <v>85.46</v>
      </c>
      <c r="F5731" s="40">
        <v>1.35</v>
      </c>
      <c r="G5731" s="33" t="s">
        <v>442</v>
      </c>
    </row>
    <row r="5732" ht="15.75" customHeight="1">
      <c r="A5732" s="33" t="s">
        <v>9718</v>
      </c>
      <c r="B5732" s="33" t="s">
        <v>1346</v>
      </c>
      <c r="C5732" s="39">
        <v>46175.0</v>
      </c>
      <c r="D5732" s="33" t="s">
        <v>461</v>
      </c>
      <c r="E5732" s="40">
        <v>22.47</v>
      </c>
      <c r="F5732" s="40">
        <v>0.42</v>
      </c>
      <c r="G5732" s="33" t="s">
        <v>450</v>
      </c>
    </row>
    <row r="5733" ht="15.75" customHeight="1">
      <c r="A5733" s="33" t="s">
        <v>9719</v>
      </c>
      <c r="B5733" s="33" t="s">
        <v>268</v>
      </c>
      <c r="C5733" s="39">
        <v>46185.0</v>
      </c>
      <c r="D5733" s="33" t="s">
        <v>435</v>
      </c>
      <c r="E5733" s="40">
        <v>24.32</v>
      </c>
      <c r="F5733" s="40">
        <v>0.0</v>
      </c>
      <c r="G5733" s="33" t="s">
        <v>450</v>
      </c>
    </row>
    <row r="5734" ht="15.75" customHeight="1">
      <c r="A5734" s="33" t="s">
        <v>9720</v>
      </c>
      <c r="B5734" s="33" t="s">
        <v>575</v>
      </c>
      <c r="C5734" s="39">
        <v>46153.0</v>
      </c>
      <c r="D5734" s="33" t="s">
        <v>461</v>
      </c>
      <c r="E5734" s="40">
        <v>87.66</v>
      </c>
      <c r="F5734" s="40">
        <v>0.77</v>
      </c>
      <c r="G5734" s="33" t="s">
        <v>442</v>
      </c>
    </row>
    <row r="5735" ht="15.75" customHeight="1">
      <c r="A5735" s="33" t="s">
        <v>9721</v>
      </c>
      <c r="B5735" s="33" t="s">
        <v>606</v>
      </c>
      <c r="C5735" s="39">
        <v>45845.0</v>
      </c>
      <c r="D5735" s="33" t="s">
        <v>479</v>
      </c>
      <c r="E5735" s="40">
        <v>23.62</v>
      </c>
      <c r="F5735" s="40">
        <v>0.18</v>
      </c>
      <c r="G5735" s="33" t="s">
        <v>450</v>
      </c>
    </row>
    <row r="5736" ht="15.75" customHeight="1">
      <c r="A5736" s="33" t="s">
        <v>9722</v>
      </c>
      <c r="B5736" s="33" t="s">
        <v>2723</v>
      </c>
      <c r="C5736" s="39">
        <v>45940.0</v>
      </c>
      <c r="D5736" s="33" t="s">
        <v>428</v>
      </c>
      <c r="E5736" s="40">
        <v>184.78</v>
      </c>
      <c r="F5736" s="40">
        <v>0.0</v>
      </c>
      <c r="G5736" s="33" t="s">
        <v>442</v>
      </c>
    </row>
    <row r="5737" ht="15.75" customHeight="1">
      <c r="A5737" s="33" t="s">
        <v>9723</v>
      </c>
      <c r="B5737" s="33" t="s">
        <v>360</v>
      </c>
      <c r="C5737" s="39">
        <v>46094.0</v>
      </c>
      <c r="D5737" s="33" t="s">
        <v>461</v>
      </c>
      <c r="E5737" s="40">
        <v>52.25</v>
      </c>
      <c r="F5737" s="40">
        <v>0.45</v>
      </c>
      <c r="G5737" s="33" t="s">
        <v>431</v>
      </c>
    </row>
    <row r="5738" ht="15.75" customHeight="1">
      <c r="A5738" s="33" t="s">
        <v>9724</v>
      </c>
      <c r="B5738" s="33" t="s">
        <v>576</v>
      </c>
      <c r="C5738" s="39">
        <v>45760.0</v>
      </c>
      <c r="D5738" s="33" t="s">
        <v>428</v>
      </c>
      <c r="E5738" s="40">
        <v>206.52</v>
      </c>
      <c r="F5738" s="40">
        <v>0.0</v>
      </c>
      <c r="G5738" s="33" t="s">
        <v>450</v>
      </c>
    </row>
    <row r="5739" ht="15.75" customHeight="1">
      <c r="A5739" s="33" t="s">
        <v>9725</v>
      </c>
      <c r="B5739" s="33" t="s">
        <v>1222</v>
      </c>
      <c r="C5739" s="39">
        <v>46008.0</v>
      </c>
      <c r="D5739" s="33" t="s">
        <v>435</v>
      </c>
      <c r="E5739" s="40">
        <v>177.22</v>
      </c>
      <c r="F5739" s="40">
        <v>0.0</v>
      </c>
      <c r="G5739" s="33" t="s">
        <v>431</v>
      </c>
    </row>
    <row r="5740" ht="15.75" customHeight="1">
      <c r="A5740" s="33" t="s">
        <v>9726</v>
      </c>
      <c r="B5740" s="33" t="s">
        <v>434</v>
      </c>
      <c r="C5740" s="39">
        <v>45979.0</v>
      </c>
      <c r="D5740" s="33" t="s">
        <v>461</v>
      </c>
      <c r="E5740" s="40">
        <v>70.92</v>
      </c>
      <c r="F5740" s="40">
        <v>0.67</v>
      </c>
      <c r="G5740" s="33" t="s">
        <v>431</v>
      </c>
    </row>
    <row r="5741" ht="15.75" customHeight="1">
      <c r="A5741" s="33" t="s">
        <v>9727</v>
      </c>
      <c r="B5741" s="33" t="s">
        <v>306</v>
      </c>
      <c r="C5741" s="39">
        <v>46254.0</v>
      </c>
      <c r="D5741" s="33" t="s">
        <v>440</v>
      </c>
      <c r="E5741" s="40">
        <v>89.8</v>
      </c>
      <c r="F5741" s="40">
        <v>0.0</v>
      </c>
      <c r="G5741" s="33" t="s">
        <v>450</v>
      </c>
    </row>
    <row r="5742" ht="15.75" customHeight="1">
      <c r="A5742" s="33" t="s">
        <v>9728</v>
      </c>
      <c r="B5742" s="33" t="s">
        <v>2615</v>
      </c>
      <c r="C5742" s="39">
        <v>45688.0</v>
      </c>
      <c r="D5742" s="33" t="s">
        <v>479</v>
      </c>
      <c r="E5742" s="40">
        <v>154.82</v>
      </c>
      <c r="F5742" s="40">
        <v>2.51</v>
      </c>
      <c r="G5742" s="33" t="s">
        <v>450</v>
      </c>
    </row>
    <row r="5743" ht="15.75" customHeight="1">
      <c r="A5743" s="33" t="s">
        <v>9729</v>
      </c>
      <c r="B5743" s="33" t="s">
        <v>1669</v>
      </c>
      <c r="C5743" s="39">
        <v>45715.0</v>
      </c>
      <c r="D5743" s="33" t="s">
        <v>428</v>
      </c>
      <c r="E5743" s="40">
        <v>31.15</v>
      </c>
      <c r="F5743" s="40">
        <v>0.0</v>
      </c>
      <c r="G5743" s="33" t="s">
        <v>450</v>
      </c>
    </row>
    <row r="5744" ht="15.75" customHeight="1">
      <c r="A5744" s="33" t="s">
        <v>9730</v>
      </c>
      <c r="B5744" s="33" t="s">
        <v>1955</v>
      </c>
      <c r="C5744" s="39">
        <v>45676.0</v>
      </c>
      <c r="D5744" s="33" t="s">
        <v>428</v>
      </c>
      <c r="E5744" s="40">
        <v>56.14</v>
      </c>
      <c r="F5744" s="40">
        <v>0.0</v>
      </c>
      <c r="G5744" s="33" t="s">
        <v>450</v>
      </c>
    </row>
    <row r="5745" ht="15.75" customHeight="1">
      <c r="A5745" s="33" t="s">
        <v>9731</v>
      </c>
      <c r="B5745" s="33" t="s">
        <v>2757</v>
      </c>
      <c r="C5745" s="39">
        <v>45990.0</v>
      </c>
      <c r="D5745" s="33" t="s">
        <v>440</v>
      </c>
      <c r="E5745" s="40">
        <v>203.07</v>
      </c>
      <c r="F5745" s="40">
        <v>0.0</v>
      </c>
      <c r="G5745" s="33" t="s">
        <v>450</v>
      </c>
    </row>
    <row r="5746" ht="15.75" customHeight="1">
      <c r="A5746" s="33" t="s">
        <v>9732</v>
      </c>
      <c r="B5746" s="33" t="s">
        <v>1742</v>
      </c>
      <c r="C5746" s="39">
        <v>45992.0</v>
      </c>
      <c r="D5746" s="33" t="s">
        <v>440</v>
      </c>
      <c r="E5746" s="40">
        <v>142.73</v>
      </c>
      <c r="F5746" s="40">
        <v>0.0</v>
      </c>
      <c r="G5746" s="33" t="s">
        <v>442</v>
      </c>
    </row>
    <row r="5747" ht="15.75" customHeight="1">
      <c r="A5747" s="33" t="s">
        <v>9733</v>
      </c>
      <c r="B5747" s="33" t="s">
        <v>2816</v>
      </c>
      <c r="C5747" s="39">
        <v>46017.0</v>
      </c>
      <c r="D5747" s="33" t="s">
        <v>461</v>
      </c>
      <c r="E5747" s="40">
        <v>64.28</v>
      </c>
      <c r="F5747" s="40">
        <v>1.06</v>
      </c>
      <c r="G5747" s="33" t="s">
        <v>450</v>
      </c>
    </row>
    <row r="5748" ht="15.75" customHeight="1">
      <c r="A5748" s="33" t="s">
        <v>9734</v>
      </c>
      <c r="B5748" s="33" t="s">
        <v>504</v>
      </c>
      <c r="C5748" s="39">
        <v>45804.0</v>
      </c>
      <c r="D5748" s="33" t="s">
        <v>428</v>
      </c>
      <c r="E5748" s="40">
        <v>90.38</v>
      </c>
      <c r="F5748" s="40">
        <v>0.0</v>
      </c>
      <c r="G5748" s="33" t="s">
        <v>450</v>
      </c>
    </row>
    <row r="5749" ht="15.75" customHeight="1">
      <c r="A5749" s="33" t="s">
        <v>9735</v>
      </c>
      <c r="B5749" s="33" t="s">
        <v>1856</v>
      </c>
      <c r="C5749" s="39">
        <v>45844.0</v>
      </c>
      <c r="D5749" s="33" t="s">
        <v>461</v>
      </c>
      <c r="E5749" s="40">
        <v>44.99</v>
      </c>
      <c r="F5749" s="40">
        <v>0.83</v>
      </c>
      <c r="G5749" s="33" t="s">
        <v>450</v>
      </c>
    </row>
    <row r="5750" ht="15.75" customHeight="1">
      <c r="A5750" s="33" t="s">
        <v>9736</v>
      </c>
      <c r="B5750" s="33" t="s">
        <v>1906</v>
      </c>
      <c r="C5750" s="39">
        <v>45911.0</v>
      </c>
      <c r="D5750" s="33" t="s">
        <v>435</v>
      </c>
      <c r="E5750" s="40">
        <v>60.05</v>
      </c>
      <c r="F5750" s="40">
        <v>0.0</v>
      </c>
      <c r="G5750" s="33" t="s">
        <v>431</v>
      </c>
    </row>
    <row r="5751" ht="15.75" customHeight="1">
      <c r="A5751" s="33" t="s">
        <v>9737</v>
      </c>
      <c r="B5751" s="33" t="s">
        <v>1259</v>
      </c>
      <c r="C5751" s="39">
        <v>45686.0</v>
      </c>
      <c r="D5751" s="33" t="s">
        <v>435</v>
      </c>
      <c r="E5751" s="40">
        <v>114.07</v>
      </c>
      <c r="F5751" s="40">
        <v>0.0</v>
      </c>
      <c r="G5751" s="33" t="s">
        <v>431</v>
      </c>
    </row>
    <row r="5752" ht="15.75" customHeight="1">
      <c r="A5752" s="33" t="s">
        <v>9738</v>
      </c>
      <c r="B5752" s="33" t="s">
        <v>2515</v>
      </c>
      <c r="C5752" s="39">
        <v>46114.0</v>
      </c>
      <c r="D5752" s="33" t="s">
        <v>461</v>
      </c>
      <c r="E5752" s="40">
        <v>60.21</v>
      </c>
      <c r="F5752" s="40">
        <v>0.95</v>
      </c>
      <c r="G5752" s="33" t="s">
        <v>450</v>
      </c>
    </row>
    <row r="5753" ht="15.75" customHeight="1">
      <c r="A5753" s="33" t="s">
        <v>9739</v>
      </c>
      <c r="B5753" s="33" t="s">
        <v>1994</v>
      </c>
      <c r="C5753" s="39">
        <v>45689.0</v>
      </c>
      <c r="D5753" s="33" t="s">
        <v>461</v>
      </c>
      <c r="E5753" s="40">
        <v>127.06</v>
      </c>
      <c r="F5753" s="40">
        <v>0.89</v>
      </c>
      <c r="G5753" s="33" t="s">
        <v>450</v>
      </c>
    </row>
    <row r="5754" ht="15.75" customHeight="1">
      <c r="A5754" s="33" t="s">
        <v>9740</v>
      </c>
      <c r="B5754" s="33" t="s">
        <v>1530</v>
      </c>
      <c r="C5754" s="39">
        <v>46062.0</v>
      </c>
      <c r="D5754" s="33" t="s">
        <v>428</v>
      </c>
      <c r="E5754" s="40">
        <v>23.63</v>
      </c>
      <c r="F5754" s="40">
        <v>0.0</v>
      </c>
      <c r="G5754" s="33" t="s">
        <v>431</v>
      </c>
    </row>
    <row r="5755" ht="15.75" customHeight="1">
      <c r="A5755" s="33" t="s">
        <v>9741</v>
      </c>
      <c r="B5755" s="33" t="s">
        <v>2957</v>
      </c>
      <c r="C5755" s="39">
        <v>45933.0</v>
      </c>
      <c r="D5755" s="33" t="s">
        <v>479</v>
      </c>
      <c r="E5755" s="40">
        <v>113.15</v>
      </c>
      <c r="F5755" s="40">
        <v>1.83</v>
      </c>
      <c r="G5755" s="33" t="s">
        <v>450</v>
      </c>
    </row>
    <row r="5756" ht="15.75" customHeight="1">
      <c r="A5756" s="33" t="s">
        <v>9742</v>
      </c>
      <c r="B5756" s="33" t="s">
        <v>1906</v>
      </c>
      <c r="C5756" s="39">
        <v>46264.0</v>
      </c>
      <c r="D5756" s="33" t="s">
        <v>479</v>
      </c>
      <c r="E5756" s="40">
        <v>34.45</v>
      </c>
      <c r="F5756" s="40">
        <v>0.6</v>
      </c>
      <c r="G5756" s="33" t="s">
        <v>442</v>
      </c>
    </row>
    <row r="5757" ht="15.75" customHeight="1">
      <c r="A5757" s="33" t="s">
        <v>9743</v>
      </c>
      <c r="B5757" s="33" t="s">
        <v>2221</v>
      </c>
      <c r="C5757" s="39">
        <v>46078.0</v>
      </c>
      <c r="D5757" s="33" t="s">
        <v>435</v>
      </c>
      <c r="E5757" s="40">
        <v>69.4</v>
      </c>
      <c r="F5757" s="40">
        <v>0.0</v>
      </c>
      <c r="G5757" s="33" t="s">
        <v>450</v>
      </c>
    </row>
    <row r="5758" ht="15.75" customHeight="1">
      <c r="A5758" s="33" t="s">
        <v>9744</v>
      </c>
      <c r="B5758" s="33" t="s">
        <v>705</v>
      </c>
      <c r="C5758" s="39">
        <v>45946.0</v>
      </c>
      <c r="D5758" s="33" t="s">
        <v>461</v>
      </c>
      <c r="E5758" s="40">
        <v>42.74</v>
      </c>
      <c r="F5758" s="40">
        <v>0.33</v>
      </c>
      <c r="G5758" s="33" t="s">
        <v>442</v>
      </c>
    </row>
    <row r="5759" ht="15.75" customHeight="1">
      <c r="A5759" s="33" t="s">
        <v>9745</v>
      </c>
      <c r="B5759" s="33" t="s">
        <v>769</v>
      </c>
      <c r="C5759" s="39">
        <v>46083.0</v>
      </c>
      <c r="D5759" s="33" t="s">
        <v>428</v>
      </c>
      <c r="E5759" s="40">
        <v>113.37</v>
      </c>
      <c r="F5759" s="40">
        <v>0.0</v>
      </c>
      <c r="G5759" s="33" t="s">
        <v>431</v>
      </c>
    </row>
    <row r="5760" ht="15.75" customHeight="1">
      <c r="A5760" s="33" t="s">
        <v>9746</v>
      </c>
      <c r="B5760" s="33" t="s">
        <v>2327</v>
      </c>
      <c r="C5760" s="39">
        <v>45729.0</v>
      </c>
      <c r="D5760" s="33" t="s">
        <v>435</v>
      </c>
      <c r="E5760" s="40">
        <v>26.02</v>
      </c>
      <c r="F5760" s="40">
        <v>0.0</v>
      </c>
      <c r="G5760" s="33" t="s">
        <v>450</v>
      </c>
    </row>
    <row r="5761" ht="15.75" customHeight="1">
      <c r="A5761" s="33" t="s">
        <v>9747</v>
      </c>
      <c r="B5761" s="33" t="s">
        <v>1941</v>
      </c>
      <c r="C5761" s="39">
        <v>45767.0</v>
      </c>
      <c r="D5761" s="33" t="s">
        <v>479</v>
      </c>
      <c r="E5761" s="40">
        <v>128.13</v>
      </c>
      <c r="F5761" s="40">
        <v>2.22</v>
      </c>
      <c r="G5761" s="33" t="s">
        <v>442</v>
      </c>
    </row>
    <row r="5762" ht="15.75" customHeight="1">
      <c r="A5762" s="33" t="s">
        <v>9748</v>
      </c>
      <c r="B5762" s="33" t="s">
        <v>705</v>
      </c>
      <c r="C5762" s="39">
        <v>45960.0</v>
      </c>
      <c r="D5762" s="33" t="s">
        <v>440</v>
      </c>
      <c r="E5762" s="40">
        <v>77.17</v>
      </c>
      <c r="F5762" s="40">
        <v>0.0</v>
      </c>
      <c r="G5762" s="33" t="s">
        <v>450</v>
      </c>
    </row>
    <row r="5763" ht="15.75" customHeight="1">
      <c r="A5763" s="33" t="s">
        <v>9749</v>
      </c>
      <c r="B5763" s="33" t="s">
        <v>880</v>
      </c>
      <c r="C5763" s="39">
        <v>46178.0</v>
      </c>
      <c r="D5763" s="33" t="s">
        <v>461</v>
      </c>
      <c r="E5763" s="40">
        <v>64.91</v>
      </c>
      <c r="F5763" s="40">
        <v>0.44</v>
      </c>
      <c r="G5763" s="33" t="s">
        <v>450</v>
      </c>
    </row>
    <row r="5764" ht="15.75" customHeight="1">
      <c r="A5764" s="33" t="s">
        <v>9750</v>
      </c>
      <c r="B5764" s="33" t="s">
        <v>255</v>
      </c>
      <c r="C5764" s="39">
        <v>46155.0</v>
      </c>
      <c r="D5764" s="33" t="s">
        <v>461</v>
      </c>
      <c r="E5764" s="40">
        <v>47.69</v>
      </c>
      <c r="F5764" s="40">
        <v>0.7</v>
      </c>
      <c r="G5764" s="33" t="s">
        <v>450</v>
      </c>
    </row>
    <row r="5765" ht="15.75" customHeight="1">
      <c r="A5765" s="33" t="s">
        <v>9751</v>
      </c>
      <c r="B5765" s="33" t="s">
        <v>1222</v>
      </c>
      <c r="C5765" s="39">
        <v>45886.0</v>
      </c>
      <c r="D5765" s="33" t="s">
        <v>440</v>
      </c>
      <c r="E5765" s="40">
        <v>55.34</v>
      </c>
      <c r="F5765" s="40">
        <v>0.0</v>
      </c>
      <c r="G5765" s="33" t="s">
        <v>442</v>
      </c>
    </row>
    <row r="5766" ht="15.75" customHeight="1">
      <c r="A5766" s="33" t="s">
        <v>9752</v>
      </c>
      <c r="B5766" s="33" t="s">
        <v>713</v>
      </c>
      <c r="C5766" s="39">
        <v>45830.0</v>
      </c>
      <c r="D5766" s="33" t="s">
        <v>428</v>
      </c>
      <c r="E5766" s="40">
        <v>174.58</v>
      </c>
      <c r="F5766" s="40">
        <v>0.0</v>
      </c>
      <c r="G5766" s="33" t="s">
        <v>442</v>
      </c>
    </row>
    <row r="5767" ht="15.75" customHeight="1">
      <c r="A5767" s="33" t="s">
        <v>9753</v>
      </c>
      <c r="B5767" s="33" t="s">
        <v>1289</v>
      </c>
      <c r="C5767" s="39">
        <v>46243.0</v>
      </c>
      <c r="D5767" s="33" t="s">
        <v>435</v>
      </c>
      <c r="E5767" s="40">
        <v>46.89</v>
      </c>
      <c r="F5767" s="40">
        <v>0.0</v>
      </c>
      <c r="G5767" s="33" t="s">
        <v>431</v>
      </c>
    </row>
    <row r="5768" ht="15.75" customHeight="1">
      <c r="A5768" s="33" t="s">
        <v>9754</v>
      </c>
      <c r="B5768" s="33" t="s">
        <v>1700</v>
      </c>
      <c r="C5768" s="39">
        <v>46001.0</v>
      </c>
      <c r="D5768" s="33" t="s">
        <v>461</v>
      </c>
      <c r="E5768" s="40">
        <v>175.44</v>
      </c>
      <c r="F5768" s="40">
        <v>1.29</v>
      </c>
      <c r="G5768" s="33" t="s">
        <v>450</v>
      </c>
    </row>
    <row r="5769" ht="15.75" customHeight="1">
      <c r="A5769" s="33" t="s">
        <v>9755</v>
      </c>
      <c r="B5769" s="33" t="s">
        <v>936</v>
      </c>
      <c r="C5769" s="39">
        <v>45729.0</v>
      </c>
      <c r="D5769" s="33" t="s">
        <v>461</v>
      </c>
      <c r="E5769" s="40">
        <v>213.85</v>
      </c>
      <c r="F5769" s="40">
        <v>1.4</v>
      </c>
      <c r="G5769" s="33" t="s">
        <v>442</v>
      </c>
    </row>
    <row r="5770" ht="15.75" customHeight="1">
      <c r="A5770" s="33" t="s">
        <v>9756</v>
      </c>
      <c r="B5770" s="33" t="s">
        <v>728</v>
      </c>
      <c r="C5770" s="39">
        <v>45794.0</v>
      </c>
      <c r="D5770" s="33" t="s">
        <v>435</v>
      </c>
      <c r="E5770" s="40">
        <v>63.78</v>
      </c>
      <c r="F5770" s="40">
        <v>0.0</v>
      </c>
      <c r="G5770" s="33" t="s">
        <v>450</v>
      </c>
    </row>
    <row r="5771" ht="15.75" customHeight="1">
      <c r="A5771" s="33" t="s">
        <v>9757</v>
      </c>
      <c r="B5771" s="33" t="s">
        <v>2340</v>
      </c>
      <c r="C5771" s="39">
        <v>46165.0</v>
      </c>
      <c r="D5771" s="33" t="s">
        <v>461</v>
      </c>
      <c r="E5771" s="40">
        <v>20.31</v>
      </c>
      <c r="F5771" s="40">
        <v>0.36</v>
      </c>
      <c r="G5771" s="33" t="s">
        <v>450</v>
      </c>
    </row>
    <row r="5772" ht="15.75" customHeight="1">
      <c r="A5772" s="33" t="s">
        <v>9758</v>
      </c>
      <c r="B5772" s="33" t="s">
        <v>492</v>
      </c>
      <c r="C5772" s="39">
        <v>46203.0</v>
      </c>
      <c r="D5772" s="33" t="s">
        <v>440</v>
      </c>
      <c r="E5772" s="40">
        <v>147.21</v>
      </c>
      <c r="F5772" s="40">
        <v>0.0</v>
      </c>
      <c r="G5772" s="33" t="s">
        <v>450</v>
      </c>
    </row>
    <row r="5773" ht="15.75" customHeight="1">
      <c r="A5773" s="33" t="s">
        <v>9759</v>
      </c>
      <c r="B5773" s="33" t="s">
        <v>1605</v>
      </c>
      <c r="C5773" s="39">
        <v>46209.0</v>
      </c>
      <c r="D5773" s="33" t="s">
        <v>440</v>
      </c>
      <c r="E5773" s="40">
        <v>146.1</v>
      </c>
      <c r="F5773" s="40">
        <v>0.0</v>
      </c>
      <c r="G5773" s="33" t="s">
        <v>450</v>
      </c>
    </row>
    <row r="5774" ht="15.75" customHeight="1">
      <c r="A5774" s="33" t="s">
        <v>9760</v>
      </c>
      <c r="B5774" s="33" t="s">
        <v>665</v>
      </c>
      <c r="C5774" s="39">
        <v>45662.0</v>
      </c>
      <c r="D5774" s="33" t="s">
        <v>435</v>
      </c>
      <c r="E5774" s="40">
        <v>177.14</v>
      </c>
      <c r="F5774" s="40">
        <v>0.0</v>
      </c>
      <c r="G5774" s="33" t="s">
        <v>450</v>
      </c>
    </row>
    <row r="5775" ht="15.75" customHeight="1">
      <c r="A5775" s="33" t="s">
        <v>9761</v>
      </c>
      <c r="B5775" s="33" t="s">
        <v>819</v>
      </c>
      <c r="C5775" s="39">
        <v>46157.0</v>
      </c>
      <c r="D5775" s="33" t="s">
        <v>461</v>
      </c>
      <c r="E5775" s="40">
        <v>73.21</v>
      </c>
      <c r="F5775" s="40">
        <v>1.06</v>
      </c>
      <c r="G5775" s="33" t="s">
        <v>431</v>
      </c>
    </row>
    <row r="5776" ht="15.75" customHeight="1">
      <c r="A5776" s="33" t="s">
        <v>9762</v>
      </c>
      <c r="B5776" s="33" t="s">
        <v>665</v>
      </c>
      <c r="C5776" s="39">
        <v>45725.0</v>
      </c>
      <c r="D5776" s="33" t="s">
        <v>428</v>
      </c>
      <c r="E5776" s="40">
        <v>97.01</v>
      </c>
      <c r="F5776" s="40">
        <v>0.0</v>
      </c>
      <c r="G5776" s="33" t="s">
        <v>431</v>
      </c>
    </row>
    <row r="5777" ht="15.75" customHeight="1">
      <c r="A5777" s="33" t="s">
        <v>9763</v>
      </c>
      <c r="B5777" s="33" t="s">
        <v>2132</v>
      </c>
      <c r="C5777" s="39">
        <v>46148.0</v>
      </c>
      <c r="D5777" s="33" t="s">
        <v>479</v>
      </c>
      <c r="E5777" s="40">
        <v>54.78</v>
      </c>
      <c r="F5777" s="40">
        <v>0.94</v>
      </c>
      <c r="G5777" s="33" t="s">
        <v>450</v>
      </c>
    </row>
    <row r="5778" ht="15.75" customHeight="1">
      <c r="A5778" s="33" t="s">
        <v>9764</v>
      </c>
      <c r="B5778" s="33" t="s">
        <v>303</v>
      </c>
      <c r="C5778" s="39">
        <v>46193.0</v>
      </c>
      <c r="D5778" s="33" t="s">
        <v>461</v>
      </c>
      <c r="E5778" s="40">
        <v>52.91</v>
      </c>
      <c r="F5778" s="40">
        <v>0.94</v>
      </c>
      <c r="G5778" s="33" t="s">
        <v>450</v>
      </c>
    </row>
    <row r="5779" ht="15.75" customHeight="1">
      <c r="A5779" s="33" t="s">
        <v>9765</v>
      </c>
      <c r="B5779" s="33" t="s">
        <v>721</v>
      </c>
      <c r="C5779" s="39">
        <v>45877.0</v>
      </c>
      <c r="D5779" s="33" t="s">
        <v>440</v>
      </c>
      <c r="E5779" s="40">
        <v>93.47</v>
      </c>
      <c r="F5779" s="40">
        <v>0.0</v>
      </c>
      <c r="G5779" s="33" t="s">
        <v>450</v>
      </c>
    </row>
    <row r="5780" ht="15.75" customHeight="1">
      <c r="A5780" s="33" t="s">
        <v>9766</v>
      </c>
      <c r="B5780" s="33" t="s">
        <v>721</v>
      </c>
      <c r="C5780" s="39">
        <v>45775.0</v>
      </c>
      <c r="D5780" s="33" t="s">
        <v>479</v>
      </c>
      <c r="E5780" s="40">
        <v>155.78</v>
      </c>
      <c r="F5780" s="40">
        <v>0.85</v>
      </c>
      <c r="G5780" s="33" t="s">
        <v>431</v>
      </c>
    </row>
    <row r="5781" ht="15.75" customHeight="1">
      <c r="A5781" s="33" t="s">
        <v>9767</v>
      </c>
      <c r="B5781" s="33" t="s">
        <v>1806</v>
      </c>
      <c r="C5781" s="39">
        <v>46090.0</v>
      </c>
      <c r="D5781" s="33" t="s">
        <v>461</v>
      </c>
      <c r="E5781" s="40">
        <v>133.29</v>
      </c>
      <c r="F5781" s="40">
        <v>1.7</v>
      </c>
      <c r="G5781" s="33" t="s">
        <v>442</v>
      </c>
    </row>
    <row r="5782" ht="15.75" customHeight="1">
      <c r="A5782" s="33" t="s">
        <v>9768</v>
      </c>
      <c r="B5782" s="33" t="s">
        <v>2394</v>
      </c>
      <c r="C5782" s="39">
        <v>45699.0</v>
      </c>
      <c r="D5782" s="33" t="s">
        <v>479</v>
      </c>
      <c r="E5782" s="40">
        <v>79.72</v>
      </c>
      <c r="F5782" s="40">
        <v>0.65</v>
      </c>
      <c r="G5782" s="33" t="s">
        <v>450</v>
      </c>
    </row>
    <row r="5783" ht="15.75" customHeight="1">
      <c r="A5783" s="33" t="s">
        <v>9769</v>
      </c>
      <c r="B5783" s="33" t="s">
        <v>204</v>
      </c>
      <c r="C5783" s="39">
        <v>46009.0</v>
      </c>
      <c r="D5783" s="33" t="s">
        <v>461</v>
      </c>
      <c r="E5783" s="40">
        <v>164.57</v>
      </c>
      <c r="F5783" s="40">
        <v>1.92</v>
      </c>
      <c r="G5783" s="33" t="s">
        <v>442</v>
      </c>
    </row>
    <row r="5784" ht="15.75" customHeight="1">
      <c r="A5784" s="33" t="s">
        <v>9770</v>
      </c>
      <c r="B5784" s="33" t="s">
        <v>2816</v>
      </c>
      <c r="C5784" s="39">
        <v>45859.0</v>
      </c>
      <c r="D5784" s="33" t="s">
        <v>435</v>
      </c>
      <c r="E5784" s="40">
        <v>26.62</v>
      </c>
      <c r="F5784" s="40">
        <v>0.0</v>
      </c>
      <c r="G5784" s="33" t="s">
        <v>450</v>
      </c>
    </row>
    <row r="5785" ht="15.75" customHeight="1">
      <c r="A5785" s="33" t="s">
        <v>9771</v>
      </c>
      <c r="B5785" s="33" t="s">
        <v>1957</v>
      </c>
      <c r="C5785" s="39">
        <v>45915.0</v>
      </c>
      <c r="D5785" s="33" t="s">
        <v>479</v>
      </c>
      <c r="E5785" s="40">
        <v>331.74</v>
      </c>
      <c r="F5785" s="40">
        <v>1.93</v>
      </c>
      <c r="G5785" s="33" t="s">
        <v>450</v>
      </c>
    </row>
    <row r="5786" ht="15.75" customHeight="1">
      <c r="A5786" s="33" t="s">
        <v>9772</v>
      </c>
      <c r="B5786" s="33" t="s">
        <v>1216</v>
      </c>
      <c r="C5786" s="39">
        <v>46159.0</v>
      </c>
      <c r="D5786" s="33" t="s">
        <v>428</v>
      </c>
      <c r="E5786" s="40">
        <v>29.3</v>
      </c>
      <c r="F5786" s="40">
        <v>0.0</v>
      </c>
      <c r="G5786" s="33" t="s">
        <v>442</v>
      </c>
    </row>
    <row r="5787" ht="15.75" customHeight="1">
      <c r="A5787" s="33" t="s">
        <v>9773</v>
      </c>
      <c r="B5787" s="33" t="s">
        <v>732</v>
      </c>
      <c r="C5787" s="39">
        <v>46260.0</v>
      </c>
      <c r="D5787" s="33" t="s">
        <v>461</v>
      </c>
      <c r="E5787" s="40">
        <v>74.96</v>
      </c>
      <c r="F5787" s="40">
        <v>0.52</v>
      </c>
      <c r="G5787" s="33" t="s">
        <v>450</v>
      </c>
    </row>
    <row r="5788" ht="15.75" customHeight="1">
      <c r="A5788" s="33" t="s">
        <v>9774</v>
      </c>
      <c r="B5788" s="33" t="s">
        <v>1737</v>
      </c>
      <c r="C5788" s="39">
        <v>45902.0</v>
      </c>
      <c r="D5788" s="33" t="s">
        <v>440</v>
      </c>
      <c r="E5788" s="40">
        <v>92.42</v>
      </c>
      <c r="F5788" s="40">
        <v>0.0</v>
      </c>
      <c r="G5788" s="33" t="s">
        <v>442</v>
      </c>
    </row>
    <row r="5789" ht="15.75" customHeight="1">
      <c r="A5789" s="33" t="s">
        <v>9775</v>
      </c>
      <c r="B5789" s="33" t="s">
        <v>1981</v>
      </c>
      <c r="C5789" s="39">
        <v>45834.0</v>
      </c>
      <c r="D5789" s="33" t="s">
        <v>479</v>
      </c>
      <c r="E5789" s="40">
        <v>94.97</v>
      </c>
      <c r="F5789" s="40">
        <v>0.85</v>
      </c>
      <c r="G5789" s="33" t="s">
        <v>450</v>
      </c>
    </row>
    <row r="5790" ht="15.75" customHeight="1">
      <c r="A5790" s="33" t="s">
        <v>9776</v>
      </c>
      <c r="B5790" s="33" t="s">
        <v>858</v>
      </c>
      <c r="C5790" s="39">
        <v>46164.0</v>
      </c>
      <c r="D5790" s="33" t="s">
        <v>461</v>
      </c>
      <c r="E5790" s="40">
        <v>153.74</v>
      </c>
      <c r="F5790" s="40">
        <v>1.7</v>
      </c>
      <c r="G5790" s="33" t="s">
        <v>450</v>
      </c>
    </row>
    <row r="5791" ht="15.75" customHeight="1">
      <c r="A5791" s="33" t="s">
        <v>9777</v>
      </c>
      <c r="B5791" s="33" t="s">
        <v>872</v>
      </c>
      <c r="C5791" s="39">
        <v>45908.0</v>
      </c>
      <c r="D5791" s="33" t="s">
        <v>428</v>
      </c>
      <c r="E5791" s="40">
        <v>38.97</v>
      </c>
      <c r="F5791" s="40">
        <v>0.0</v>
      </c>
      <c r="G5791" s="33" t="s">
        <v>450</v>
      </c>
    </row>
    <row r="5792" ht="15.75" customHeight="1">
      <c r="A5792" s="33" t="s">
        <v>9778</v>
      </c>
      <c r="B5792" s="33" t="s">
        <v>1737</v>
      </c>
      <c r="C5792" s="39">
        <v>45779.0</v>
      </c>
      <c r="D5792" s="33" t="s">
        <v>428</v>
      </c>
      <c r="E5792" s="40">
        <v>99.54</v>
      </c>
      <c r="F5792" s="40">
        <v>0.0</v>
      </c>
      <c r="G5792" s="33" t="s">
        <v>450</v>
      </c>
    </row>
    <row r="5793" ht="15.75" customHeight="1">
      <c r="A5793" s="33" t="s">
        <v>9779</v>
      </c>
      <c r="B5793" s="33" t="s">
        <v>1998</v>
      </c>
      <c r="C5793" s="39">
        <v>46206.0</v>
      </c>
      <c r="D5793" s="33" t="s">
        <v>428</v>
      </c>
      <c r="E5793" s="40">
        <v>125.91</v>
      </c>
      <c r="F5793" s="40">
        <v>0.0</v>
      </c>
      <c r="G5793" s="33" t="s">
        <v>450</v>
      </c>
    </row>
    <row r="5794" ht="15.75" customHeight="1">
      <c r="A5794" s="33" t="s">
        <v>9780</v>
      </c>
      <c r="B5794" s="33" t="s">
        <v>1245</v>
      </c>
      <c r="C5794" s="39">
        <v>46259.0</v>
      </c>
      <c r="D5794" s="33" t="s">
        <v>461</v>
      </c>
      <c r="E5794" s="40">
        <v>168.73</v>
      </c>
      <c r="F5794" s="40">
        <v>3.2</v>
      </c>
      <c r="G5794" s="33" t="s">
        <v>442</v>
      </c>
    </row>
    <row r="5795" ht="15.75" customHeight="1">
      <c r="A5795" s="33" t="s">
        <v>9781</v>
      </c>
      <c r="B5795" s="33" t="s">
        <v>553</v>
      </c>
      <c r="C5795" s="39">
        <v>45833.0</v>
      </c>
      <c r="D5795" s="33" t="s">
        <v>440</v>
      </c>
      <c r="E5795" s="40">
        <v>63.24</v>
      </c>
      <c r="F5795" s="40">
        <v>0.0</v>
      </c>
      <c r="G5795" s="33" t="s">
        <v>450</v>
      </c>
    </row>
    <row r="5796" ht="15.75" customHeight="1">
      <c r="A5796" s="33" t="s">
        <v>9782</v>
      </c>
      <c r="B5796" s="33" t="s">
        <v>530</v>
      </c>
      <c r="C5796" s="39">
        <v>45753.0</v>
      </c>
      <c r="D5796" s="33" t="s">
        <v>440</v>
      </c>
      <c r="E5796" s="40">
        <v>86.37</v>
      </c>
      <c r="F5796" s="40">
        <v>0.0</v>
      </c>
      <c r="G5796" s="33" t="s">
        <v>450</v>
      </c>
    </row>
    <row r="5797" ht="15.75" customHeight="1">
      <c r="A5797" s="33" t="s">
        <v>9783</v>
      </c>
      <c r="B5797" s="33" t="s">
        <v>1637</v>
      </c>
      <c r="C5797" s="39">
        <v>45750.0</v>
      </c>
      <c r="D5797" s="33" t="s">
        <v>479</v>
      </c>
      <c r="E5797" s="40">
        <v>78.01</v>
      </c>
      <c r="F5797" s="40">
        <v>0.96</v>
      </c>
      <c r="G5797" s="33" t="s">
        <v>450</v>
      </c>
    </row>
    <row r="5798" ht="15.75" customHeight="1">
      <c r="A5798" s="33" t="s">
        <v>9784</v>
      </c>
      <c r="B5798" s="33" t="s">
        <v>186</v>
      </c>
      <c r="C5798" s="39">
        <v>46021.0</v>
      </c>
      <c r="D5798" s="33" t="s">
        <v>479</v>
      </c>
      <c r="E5798" s="40">
        <v>121.75</v>
      </c>
      <c r="F5798" s="40">
        <v>0.79</v>
      </c>
      <c r="G5798" s="33" t="s">
        <v>450</v>
      </c>
    </row>
    <row r="5799" ht="15.75" customHeight="1">
      <c r="A5799" s="33" t="s">
        <v>9785</v>
      </c>
      <c r="B5799" s="33" t="s">
        <v>530</v>
      </c>
      <c r="C5799" s="39">
        <v>45846.0</v>
      </c>
      <c r="D5799" s="33" t="s">
        <v>428</v>
      </c>
      <c r="E5799" s="40">
        <v>122.31</v>
      </c>
      <c r="F5799" s="40">
        <v>0.0</v>
      </c>
      <c r="G5799" s="33" t="s">
        <v>450</v>
      </c>
    </row>
    <row r="5800" ht="15.75" customHeight="1">
      <c r="A5800" s="33" t="s">
        <v>9786</v>
      </c>
      <c r="B5800" s="33" t="s">
        <v>3807</v>
      </c>
      <c r="C5800" s="39">
        <v>46036.0</v>
      </c>
      <c r="D5800" s="33" t="s">
        <v>428</v>
      </c>
      <c r="E5800" s="40">
        <v>61.25</v>
      </c>
      <c r="F5800" s="40">
        <v>0.0</v>
      </c>
      <c r="G5800" s="33" t="s">
        <v>450</v>
      </c>
    </row>
    <row r="5801" ht="15.75" customHeight="1">
      <c r="A5801" s="33" t="s">
        <v>9787</v>
      </c>
      <c r="B5801" s="33" t="s">
        <v>662</v>
      </c>
      <c r="C5801" s="39">
        <v>46118.0</v>
      </c>
      <c r="D5801" s="33" t="s">
        <v>428</v>
      </c>
      <c r="E5801" s="40">
        <v>76.92</v>
      </c>
      <c r="F5801" s="40">
        <v>0.0</v>
      </c>
      <c r="G5801" s="33" t="s">
        <v>431</v>
      </c>
    </row>
    <row r="5802" ht="15.75" customHeight="1">
      <c r="A5802" s="33" t="s">
        <v>9788</v>
      </c>
      <c r="B5802" s="33" t="s">
        <v>1716</v>
      </c>
      <c r="C5802" s="39">
        <v>45661.0</v>
      </c>
      <c r="D5802" s="33" t="s">
        <v>461</v>
      </c>
      <c r="E5802" s="40">
        <v>81.17</v>
      </c>
      <c r="F5802" s="40">
        <v>0.98</v>
      </c>
      <c r="G5802" s="33" t="s">
        <v>450</v>
      </c>
    </row>
    <row r="5803" ht="15.75" customHeight="1">
      <c r="A5803" s="33" t="s">
        <v>9789</v>
      </c>
      <c r="B5803" s="33" t="s">
        <v>2268</v>
      </c>
      <c r="C5803" s="39">
        <v>46179.0</v>
      </c>
      <c r="D5803" s="33" t="s">
        <v>435</v>
      </c>
      <c r="E5803" s="40">
        <v>33.75</v>
      </c>
      <c r="F5803" s="40">
        <v>0.0</v>
      </c>
      <c r="G5803" s="33" t="s">
        <v>450</v>
      </c>
    </row>
    <row r="5804" ht="15.75" customHeight="1">
      <c r="A5804" s="33" t="s">
        <v>9790</v>
      </c>
      <c r="B5804" s="33" t="s">
        <v>1256</v>
      </c>
      <c r="C5804" s="39">
        <v>45675.0</v>
      </c>
      <c r="D5804" s="33" t="s">
        <v>435</v>
      </c>
      <c r="E5804" s="40">
        <v>103.47</v>
      </c>
      <c r="F5804" s="40">
        <v>0.0</v>
      </c>
      <c r="G5804" s="33" t="s">
        <v>450</v>
      </c>
    </row>
    <row r="5805" ht="15.75" customHeight="1">
      <c r="A5805" s="33" t="s">
        <v>9791</v>
      </c>
      <c r="B5805" s="33" t="s">
        <v>489</v>
      </c>
      <c r="C5805" s="39">
        <v>45727.0</v>
      </c>
      <c r="D5805" s="33" t="s">
        <v>440</v>
      </c>
      <c r="E5805" s="40">
        <v>100.65</v>
      </c>
      <c r="F5805" s="40">
        <v>0.0</v>
      </c>
      <c r="G5805" s="33" t="s">
        <v>450</v>
      </c>
    </row>
    <row r="5806" ht="15.75" customHeight="1">
      <c r="A5806" s="33" t="s">
        <v>9792</v>
      </c>
      <c r="B5806" s="33" t="s">
        <v>1669</v>
      </c>
      <c r="C5806" s="39">
        <v>46097.0</v>
      </c>
      <c r="D5806" s="33" t="s">
        <v>461</v>
      </c>
      <c r="E5806" s="40">
        <v>34.06</v>
      </c>
      <c r="F5806" s="40">
        <v>0.22</v>
      </c>
      <c r="G5806" s="33" t="s">
        <v>431</v>
      </c>
    </row>
    <row r="5807" ht="15.75" customHeight="1">
      <c r="A5807" s="33" t="s">
        <v>9793</v>
      </c>
      <c r="B5807" s="33" t="s">
        <v>1721</v>
      </c>
      <c r="C5807" s="39">
        <v>46035.0</v>
      </c>
      <c r="D5807" s="33" t="s">
        <v>440</v>
      </c>
      <c r="E5807" s="40">
        <v>108.37</v>
      </c>
      <c r="F5807" s="40">
        <v>0.0</v>
      </c>
      <c r="G5807" s="33" t="s">
        <v>450</v>
      </c>
    </row>
    <row r="5808" ht="15.75" customHeight="1">
      <c r="A5808" s="33" t="s">
        <v>9794</v>
      </c>
      <c r="B5808" s="33" t="s">
        <v>1517</v>
      </c>
      <c r="C5808" s="39">
        <v>46251.0</v>
      </c>
      <c r="D5808" s="33" t="s">
        <v>461</v>
      </c>
      <c r="E5808" s="40">
        <v>362.13</v>
      </c>
      <c r="F5808" s="40">
        <v>2.04</v>
      </c>
      <c r="G5808" s="33" t="s">
        <v>450</v>
      </c>
    </row>
    <row r="5809" ht="15.75" customHeight="1">
      <c r="A5809" s="33" t="s">
        <v>9795</v>
      </c>
      <c r="B5809" s="33" t="s">
        <v>949</v>
      </c>
      <c r="C5809" s="39">
        <v>46002.0</v>
      </c>
      <c r="D5809" s="33" t="s">
        <v>428</v>
      </c>
      <c r="E5809" s="40">
        <v>42.78</v>
      </c>
      <c r="F5809" s="40">
        <v>0.0</v>
      </c>
      <c r="G5809" s="33" t="s">
        <v>450</v>
      </c>
    </row>
    <row r="5810" ht="15.75" customHeight="1">
      <c r="A5810" s="33" t="s">
        <v>9796</v>
      </c>
      <c r="B5810" s="33" t="s">
        <v>2110</v>
      </c>
      <c r="C5810" s="39">
        <v>45911.0</v>
      </c>
      <c r="D5810" s="33" t="s">
        <v>440</v>
      </c>
      <c r="E5810" s="40">
        <v>33.76</v>
      </c>
      <c r="F5810" s="40">
        <v>0.0</v>
      </c>
      <c r="G5810" s="33" t="s">
        <v>442</v>
      </c>
    </row>
    <row r="5811" ht="15.75" customHeight="1">
      <c r="A5811" s="33" t="s">
        <v>9797</v>
      </c>
      <c r="B5811" s="33" t="s">
        <v>790</v>
      </c>
      <c r="C5811" s="39">
        <v>46063.0</v>
      </c>
      <c r="D5811" s="33" t="s">
        <v>428</v>
      </c>
      <c r="E5811" s="40">
        <v>124.82</v>
      </c>
      <c r="F5811" s="40">
        <v>0.0</v>
      </c>
      <c r="G5811" s="33" t="s">
        <v>450</v>
      </c>
    </row>
    <row r="5812" ht="15.75" customHeight="1">
      <c r="A5812" s="33" t="s">
        <v>9798</v>
      </c>
      <c r="B5812" s="33" t="s">
        <v>1735</v>
      </c>
      <c r="C5812" s="39">
        <v>46120.0</v>
      </c>
      <c r="D5812" s="33" t="s">
        <v>479</v>
      </c>
      <c r="E5812" s="40">
        <v>60.96</v>
      </c>
      <c r="F5812" s="40">
        <v>1.2</v>
      </c>
      <c r="G5812" s="33" t="s">
        <v>450</v>
      </c>
    </row>
    <row r="5813" ht="15.75" customHeight="1">
      <c r="A5813" s="33" t="s">
        <v>9799</v>
      </c>
      <c r="B5813" s="33" t="s">
        <v>1251</v>
      </c>
      <c r="C5813" s="39">
        <v>46065.0</v>
      </c>
      <c r="D5813" s="33" t="s">
        <v>428</v>
      </c>
      <c r="E5813" s="40">
        <v>154.07</v>
      </c>
      <c r="F5813" s="40">
        <v>0.0</v>
      </c>
      <c r="G5813" s="33" t="s">
        <v>431</v>
      </c>
    </row>
    <row r="5814" ht="15.75" customHeight="1">
      <c r="A5814" s="33" t="s">
        <v>9800</v>
      </c>
      <c r="B5814" s="33" t="s">
        <v>1500</v>
      </c>
      <c r="C5814" s="39">
        <v>45882.0</v>
      </c>
      <c r="D5814" s="33" t="s">
        <v>435</v>
      </c>
      <c r="E5814" s="40">
        <v>74.25</v>
      </c>
      <c r="F5814" s="40">
        <v>0.0</v>
      </c>
      <c r="G5814" s="33" t="s">
        <v>450</v>
      </c>
    </row>
    <row r="5815" ht="15.75" customHeight="1">
      <c r="A5815" s="33" t="s">
        <v>9801</v>
      </c>
      <c r="B5815" s="33" t="s">
        <v>1076</v>
      </c>
      <c r="C5815" s="39">
        <v>46240.0</v>
      </c>
      <c r="D5815" s="33" t="s">
        <v>440</v>
      </c>
      <c r="E5815" s="40">
        <v>49.95</v>
      </c>
      <c r="F5815" s="40">
        <v>0.0</v>
      </c>
      <c r="G5815" s="33" t="s">
        <v>442</v>
      </c>
    </row>
    <row r="5816" ht="15.75" customHeight="1">
      <c r="A5816" s="33" t="s">
        <v>9802</v>
      </c>
      <c r="B5816" s="33" t="s">
        <v>737</v>
      </c>
      <c r="C5816" s="39">
        <v>45841.0</v>
      </c>
      <c r="D5816" s="33" t="s">
        <v>428</v>
      </c>
      <c r="E5816" s="40">
        <v>73.35</v>
      </c>
      <c r="F5816" s="40">
        <v>0.0</v>
      </c>
      <c r="G5816" s="33" t="s">
        <v>431</v>
      </c>
    </row>
    <row r="5817" ht="15.75" customHeight="1">
      <c r="A5817" s="33" t="s">
        <v>9803</v>
      </c>
      <c r="B5817" s="33" t="s">
        <v>649</v>
      </c>
      <c r="C5817" s="39">
        <v>45868.0</v>
      </c>
      <c r="D5817" s="33" t="s">
        <v>428</v>
      </c>
      <c r="E5817" s="40">
        <v>122.28</v>
      </c>
      <c r="F5817" s="40">
        <v>0.0</v>
      </c>
      <c r="G5817" s="33" t="s">
        <v>450</v>
      </c>
    </row>
    <row r="5818" ht="15.75" customHeight="1">
      <c r="A5818" s="33" t="s">
        <v>9804</v>
      </c>
      <c r="B5818" s="33" t="s">
        <v>1207</v>
      </c>
      <c r="C5818" s="39">
        <v>45826.0</v>
      </c>
      <c r="D5818" s="33" t="s">
        <v>479</v>
      </c>
      <c r="E5818" s="40">
        <v>119.43</v>
      </c>
      <c r="F5818" s="40">
        <v>2.16</v>
      </c>
      <c r="G5818" s="33" t="s">
        <v>450</v>
      </c>
    </row>
    <row r="5819" ht="15.75" customHeight="1">
      <c r="A5819" s="33" t="s">
        <v>9805</v>
      </c>
      <c r="B5819" s="33" t="s">
        <v>1881</v>
      </c>
      <c r="C5819" s="39">
        <v>45839.0</v>
      </c>
      <c r="D5819" s="33" t="s">
        <v>435</v>
      </c>
      <c r="E5819" s="40">
        <v>24.03</v>
      </c>
      <c r="F5819" s="40">
        <v>0.0</v>
      </c>
      <c r="G5819" s="33" t="s">
        <v>450</v>
      </c>
    </row>
    <row r="5820" ht="15.75" customHeight="1">
      <c r="A5820" s="33" t="s">
        <v>9806</v>
      </c>
      <c r="B5820" s="33" t="s">
        <v>1158</v>
      </c>
      <c r="C5820" s="39">
        <v>45787.0</v>
      </c>
      <c r="D5820" s="33" t="s">
        <v>435</v>
      </c>
      <c r="E5820" s="40">
        <v>122.04</v>
      </c>
      <c r="F5820" s="40">
        <v>0.0</v>
      </c>
      <c r="G5820" s="33" t="s">
        <v>442</v>
      </c>
    </row>
    <row r="5821" ht="15.75" customHeight="1">
      <c r="A5821" s="33" t="s">
        <v>9807</v>
      </c>
      <c r="B5821" s="33" t="s">
        <v>1452</v>
      </c>
      <c r="C5821" s="39">
        <v>46010.0</v>
      </c>
      <c r="D5821" s="33" t="s">
        <v>479</v>
      </c>
      <c r="E5821" s="40">
        <v>82.91</v>
      </c>
      <c r="F5821" s="40">
        <v>0.91</v>
      </c>
      <c r="G5821" s="33" t="s">
        <v>450</v>
      </c>
    </row>
    <row r="5822" ht="15.75" customHeight="1">
      <c r="A5822" s="33" t="s">
        <v>9808</v>
      </c>
      <c r="B5822" s="33" t="s">
        <v>1819</v>
      </c>
      <c r="C5822" s="39">
        <v>46100.0</v>
      </c>
      <c r="D5822" s="33" t="s">
        <v>428</v>
      </c>
      <c r="E5822" s="40">
        <v>87.94</v>
      </c>
      <c r="F5822" s="40">
        <v>0.0</v>
      </c>
      <c r="G5822" s="33" t="s">
        <v>431</v>
      </c>
    </row>
    <row r="5823" ht="15.75" customHeight="1">
      <c r="A5823" s="33" t="s">
        <v>9809</v>
      </c>
      <c r="B5823" s="33" t="s">
        <v>407</v>
      </c>
      <c r="C5823" s="39">
        <v>45918.0</v>
      </c>
      <c r="D5823" s="33" t="s">
        <v>440</v>
      </c>
      <c r="E5823" s="40">
        <v>103.53</v>
      </c>
      <c r="F5823" s="40">
        <v>0.0</v>
      </c>
      <c r="G5823" s="33" t="s">
        <v>450</v>
      </c>
    </row>
    <row r="5824" ht="15.75" customHeight="1">
      <c r="A5824" s="33" t="s">
        <v>9810</v>
      </c>
      <c r="B5824" s="33" t="s">
        <v>220</v>
      </c>
      <c r="C5824" s="39">
        <v>46218.0</v>
      </c>
      <c r="D5824" s="33" t="s">
        <v>428</v>
      </c>
      <c r="E5824" s="40">
        <v>33.22</v>
      </c>
      <c r="F5824" s="40">
        <v>0.0</v>
      </c>
      <c r="G5824" s="33" t="s">
        <v>450</v>
      </c>
    </row>
    <row r="5825" ht="15.75" customHeight="1">
      <c r="A5825" s="33" t="s">
        <v>9811</v>
      </c>
      <c r="B5825" s="33" t="s">
        <v>658</v>
      </c>
      <c r="C5825" s="39">
        <v>45945.0</v>
      </c>
      <c r="D5825" s="33" t="s">
        <v>479</v>
      </c>
      <c r="E5825" s="40">
        <v>23.12</v>
      </c>
      <c r="F5825" s="40">
        <v>0.35</v>
      </c>
      <c r="G5825" s="33" t="s">
        <v>450</v>
      </c>
    </row>
    <row r="5826" ht="15.75" customHeight="1">
      <c r="A5826" s="33" t="s">
        <v>9812</v>
      </c>
      <c r="B5826" s="33" t="s">
        <v>3552</v>
      </c>
      <c r="C5826" s="39">
        <v>45941.0</v>
      </c>
      <c r="D5826" s="33" t="s">
        <v>435</v>
      </c>
      <c r="E5826" s="40">
        <v>24.8</v>
      </c>
      <c r="F5826" s="40">
        <v>0.0</v>
      </c>
      <c r="G5826" s="33" t="s">
        <v>442</v>
      </c>
    </row>
    <row r="5827" ht="15.75" customHeight="1">
      <c r="A5827" s="33" t="s">
        <v>9813</v>
      </c>
      <c r="B5827" s="33" t="s">
        <v>1076</v>
      </c>
      <c r="C5827" s="39">
        <v>45700.0</v>
      </c>
      <c r="D5827" s="33" t="s">
        <v>479</v>
      </c>
      <c r="E5827" s="40">
        <v>147.75</v>
      </c>
      <c r="F5827" s="40">
        <v>2.1</v>
      </c>
      <c r="G5827" s="33" t="s">
        <v>450</v>
      </c>
    </row>
    <row r="5828" ht="15.75" customHeight="1">
      <c r="A5828" s="33" t="s">
        <v>9814</v>
      </c>
      <c r="B5828" s="33" t="s">
        <v>1140</v>
      </c>
      <c r="C5828" s="39">
        <v>46206.0</v>
      </c>
      <c r="D5828" s="33" t="s">
        <v>440</v>
      </c>
      <c r="E5828" s="40">
        <v>146.92</v>
      </c>
      <c r="F5828" s="40">
        <v>0.0</v>
      </c>
      <c r="G5828" s="33" t="s">
        <v>431</v>
      </c>
    </row>
    <row r="5829" ht="15.75" customHeight="1">
      <c r="A5829" s="33" t="s">
        <v>9815</v>
      </c>
      <c r="B5829" s="33" t="s">
        <v>2161</v>
      </c>
      <c r="C5829" s="39">
        <v>45747.0</v>
      </c>
      <c r="D5829" s="33" t="s">
        <v>440</v>
      </c>
      <c r="E5829" s="40">
        <v>7.82</v>
      </c>
      <c r="F5829" s="40">
        <v>0.0</v>
      </c>
      <c r="G5829" s="33" t="s">
        <v>450</v>
      </c>
    </row>
    <row r="5830" ht="15.75" customHeight="1">
      <c r="A5830" s="33" t="s">
        <v>9816</v>
      </c>
      <c r="B5830" s="33" t="s">
        <v>2478</v>
      </c>
      <c r="C5830" s="39">
        <v>45757.0</v>
      </c>
      <c r="D5830" s="33" t="s">
        <v>461</v>
      </c>
      <c r="E5830" s="40">
        <v>76.79</v>
      </c>
      <c r="F5830" s="40">
        <v>0.84</v>
      </c>
      <c r="G5830" s="33" t="s">
        <v>431</v>
      </c>
    </row>
    <row r="5831" ht="15.75" customHeight="1">
      <c r="A5831" s="33" t="s">
        <v>9817</v>
      </c>
      <c r="B5831" s="33" t="s">
        <v>2375</v>
      </c>
      <c r="C5831" s="39">
        <v>46225.0</v>
      </c>
      <c r="D5831" s="33" t="s">
        <v>440</v>
      </c>
      <c r="E5831" s="40">
        <v>53.59</v>
      </c>
      <c r="F5831" s="40">
        <v>0.0</v>
      </c>
      <c r="G5831" s="33" t="s">
        <v>450</v>
      </c>
    </row>
    <row r="5832" ht="15.75" customHeight="1">
      <c r="A5832" s="33" t="s">
        <v>9818</v>
      </c>
      <c r="B5832" s="33" t="s">
        <v>1616</v>
      </c>
      <c r="C5832" s="39">
        <v>45973.0</v>
      </c>
      <c r="D5832" s="33" t="s">
        <v>428</v>
      </c>
      <c r="E5832" s="40">
        <v>36.93</v>
      </c>
      <c r="F5832" s="40">
        <v>0.0</v>
      </c>
      <c r="G5832" s="33" t="s">
        <v>450</v>
      </c>
    </row>
    <row r="5833" ht="15.75" customHeight="1">
      <c r="A5833" s="33" t="s">
        <v>9819</v>
      </c>
      <c r="B5833" s="33" t="s">
        <v>2433</v>
      </c>
      <c r="C5833" s="39">
        <v>45699.0</v>
      </c>
      <c r="D5833" s="33" t="s">
        <v>428</v>
      </c>
      <c r="E5833" s="40">
        <v>167.41</v>
      </c>
      <c r="F5833" s="40">
        <v>0.0</v>
      </c>
      <c r="G5833" s="33" t="s">
        <v>431</v>
      </c>
    </row>
    <row r="5834" ht="15.75" customHeight="1">
      <c r="A5834" s="33" t="s">
        <v>9820</v>
      </c>
      <c r="B5834" s="33" t="s">
        <v>697</v>
      </c>
      <c r="C5834" s="39">
        <v>45926.0</v>
      </c>
      <c r="D5834" s="33" t="s">
        <v>461</v>
      </c>
      <c r="E5834" s="40">
        <v>189.76</v>
      </c>
      <c r="F5834" s="40">
        <v>3.28</v>
      </c>
      <c r="G5834" s="33" t="s">
        <v>450</v>
      </c>
    </row>
    <row r="5835" ht="15.75" customHeight="1">
      <c r="A5835" s="33" t="s">
        <v>9821</v>
      </c>
      <c r="B5835" s="33" t="s">
        <v>870</v>
      </c>
      <c r="C5835" s="39">
        <v>46016.0</v>
      </c>
      <c r="D5835" s="33" t="s">
        <v>435</v>
      </c>
      <c r="E5835" s="40">
        <v>90.99</v>
      </c>
      <c r="F5835" s="40">
        <v>0.0</v>
      </c>
      <c r="G5835" s="33" t="s">
        <v>450</v>
      </c>
    </row>
    <row r="5836" ht="15.75" customHeight="1">
      <c r="A5836" s="33" t="s">
        <v>9822</v>
      </c>
      <c r="B5836" s="33" t="s">
        <v>2040</v>
      </c>
      <c r="C5836" s="39">
        <v>45664.0</v>
      </c>
      <c r="D5836" s="33" t="s">
        <v>428</v>
      </c>
      <c r="E5836" s="40">
        <v>51.07</v>
      </c>
      <c r="F5836" s="40">
        <v>0.0</v>
      </c>
      <c r="G5836" s="33" t="s">
        <v>442</v>
      </c>
    </row>
    <row r="5837" ht="15.75" customHeight="1">
      <c r="A5837" s="33" t="s">
        <v>9823</v>
      </c>
      <c r="B5837" s="33" t="s">
        <v>2317</v>
      </c>
      <c r="C5837" s="39">
        <v>46116.0</v>
      </c>
      <c r="D5837" s="33" t="s">
        <v>479</v>
      </c>
      <c r="E5837" s="40">
        <v>58.52</v>
      </c>
      <c r="F5837" s="40">
        <v>1.16</v>
      </c>
      <c r="G5837" s="33" t="s">
        <v>431</v>
      </c>
    </row>
    <row r="5838" ht="15.75" customHeight="1">
      <c r="A5838" s="33" t="s">
        <v>9824</v>
      </c>
      <c r="B5838" s="33" t="s">
        <v>311</v>
      </c>
      <c r="C5838" s="39">
        <v>46063.0</v>
      </c>
      <c r="D5838" s="33" t="s">
        <v>461</v>
      </c>
      <c r="E5838" s="40">
        <v>31.83</v>
      </c>
      <c r="F5838" s="40">
        <v>0.18</v>
      </c>
      <c r="G5838" s="33" t="s">
        <v>450</v>
      </c>
    </row>
    <row r="5839" ht="15.75" customHeight="1">
      <c r="A5839" s="33" t="s">
        <v>9825</v>
      </c>
      <c r="B5839" s="33" t="s">
        <v>3092</v>
      </c>
      <c r="C5839" s="39">
        <v>45665.0</v>
      </c>
      <c r="D5839" s="33" t="s">
        <v>435</v>
      </c>
      <c r="E5839" s="40">
        <v>57.78</v>
      </c>
      <c r="F5839" s="40">
        <v>0.0</v>
      </c>
      <c r="G5839" s="33" t="s">
        <v>450</v>
      </c>
    </row>
    <row r="5840" ht="15.75" customHeight="1">
      <c r="A5840" s="33" t="s">
        <v>9826</v>
      </c>
      <c r="B5840" s="33" t="s">
        <v>478</v>
      </c>
      <c r="C5840" s="39">
        <v>46033.0</v>
      </c>
      <c r="D5840" s="33" t="s">
        <v>461</v>
      </c>
      <c r="E5840" s="40">
        <v>41.09</v>
      </c>
      <c r="F5840" s="40">
        <v>0.68</v>
      </c>
      <c r="G5840" s="33" t="s">
        <v>450</v>
      </c>
    </row>
    <row r="5841" ht="15.75" customHeight="1">
      <c r="A5841" s="33" t="s">
        <v>9827</v>
      </c>
      <c r="B5841" s="33" t="s">
        <v>527</v>
      </c>
      <c r="C5841" s="39">
        <v>45793.0</v>
      </c>
      <c r="D5841" s="33" t="s">
        <v>440</v>
      </c>
      <c r="E5841" s="40">
        <v>181.63</v>
      </c>
      <c r="F5841" s="40">
        <v>0.0</v>
      </c>
      <c r="G5841" s="33" t="s">
        <v>442</v>
      </c>
    </row>
    <row r="5842" ht="15.75" customHeight="1">
      <c r="A5842" s="33" t="s">
        <v>9828</v>
      </c>
      <c r="B5842" s="33" t="s">
        <v>2327</v>
      </c>
      <c r="C5842" s="39">
        <v>46103.0</v>
      </c>
      <c r="D5842" s="33" t="s">
        <v>461</v>
      </c>
      <c r="E5842" s="40">
        <v>15.81</v>
      </c>
      <c r="F5842" s="40">
        <v>0.1</v>
      </c>
      <c r="G5842" s="33" t="s">
        <v>450</v>
      </c>
    </row>
    <row r="5843" ht="15.75" customHeight="1">
      <c r="A5843" s="33" t="s">
        <v>9829</v>
      </c>
      <c r="B5843" s="33" t="s">
        <v>658</v>
      </c>
      <c r="C5843" s="39">
        <v>45886.0</v>
      </c>
      <c r="D5843" s="33" t="s">
        <v>440</v>
      </c>
      <c r="E5843" s="40">
        <v>136.59</v>
      </c>
      <c r="F5843" s="40">
        <v>0.0</v>
      </c>
      <c r="G5843" s="33" t="s">
        <v>442</v>
      </c>
    </row>
    <row r="5844" ht="15.75" customHeight="1">
      <c r="A5844" s="33" t="s">
        <v>9830</v>
      </c>
      <c r="B5844" s="33" t="s">
        <v>389</v>
      </c>
      <c r="C5844" s="39">
        <v>45780.0</v>
      </c>
      <c r="D5844" s="33" t="s">
        <v>428</v>
      </c>
      <c r="E5844" s="40">
        <v>38.85</v>
      </c>
      <c r="F5844" s="40">
        <v>0.0</v>
      </c>
      <c r="G5844" s="33" t="s">
        <v>442</v>
      </c>
    </row>
    <row r="5845" ht="15.75" customHeight="1">
      <c r="A5845" s="33" t="s">
        <v>9831</v>
      </c>
      <c r="B5845" s="33" t="s">
        <v>1340</v>
      </c>
      <c r="C5845" s="39">
        <v>45965.0</v>
      </c>
      <c r="D5845" s="33" t="s">
        <v>461</v>
      </c>
      <c r="E5845" s="40">
        <v>121.29</v>
      </c>
      <c r="F5845" s="40">
        <v>1.02</v>
      </c>
      <c r="G5845" s="33" t="s">
        <v>431</v>
      </c>
    </row>
    <row r="5846" ht="15.75" customHeight="1">
      <c r="A5846" s="33" t="s">
        <v>9832</v>
      </c>
      <c r="B5846" s="33" t="s">
        <v>1598</v>
      </c>
      <c r="C5846" s="39">
        <v>45926.0</v>
      </c>
      <c r="D5846" s="33" t="s">
        <v>479</v>
      </c>
      <c r="E5846" s="40">
        <v>71.07</v>
      </c>
      <c r="F5846" s="40">
        <v>0.73</v>
      </c>
      <c r="G5846" s="33" t="s">
        <v>450</v>
      </c>
    </row>
    <row r="5847" ht="15.75" customHeight="1">
      <c r="A5847" s="33" t="s">
        <v>9833</v>
      </c>
      <c r="B5847" s="33" t="s">
        <v>1421</v>
      </c>
      <c r="C5847" s="39">
        <v>45865.0</v>
      </c>
      <c r="D5847" s="33" t="s">
        <v>479</v>
      </c>
      <c r="E5847" s="40">
        <v>138.05</v>
      </c>
      <c r="F5847" s="40">
        <v>1.51</v>
      </c>
      <c r="G5847" s="33" t="s">
        <v>442</v>
      </c>
    </row>
    <row r="5848" ht="15.75" customHeight="1">
      <c r="A5848" s="33" t="s">
        <v>9834</v>
      </c>
      <c r="B5848" s="33" t="s">
        <v>2757</v>
      </c>
      <c r="C5848" s="39">
        <v>46191.0</v>
      </c>
      <c r="D5848" s="33" t="s">
        <v>435</v>
      </c>
      <c r="E5848" s="40">
        <v>25.9</v>
      </c>
      <c r="F5848" s="40">
        <v>0.0</v>
      </c>
      <c r="G5848" s="33" t="s">
        <v>450</v>
      </c>
    </row>
    <row r="5849" ht="15.75" customHeight="1">
      <c r="A5849" s="33" t="s">
        <v>9835</v>
      </c>
      <c r="B5849" s="33" t="s">
        <v>3344</v>
      </c>
      <c r="C5849" s="39">
        <v>46051.0</v>
      </c>
      <c r="D5849" s="33" t="s">
        <v>440</v>
      </c>
      <c r="E5849" s="40">
        <v>49.26</v>
      </c>
      <c r="F5849" s="40">
        <v>0.0</v>
      </c>
      <c r="G5849" s="33" t="s">
        <v>450</v>
      </c>
    </row>
    <row r="5850" ht="15.75" customHeight="1">
      <c r="A5850" s="33" t="s">
        <v>9836</v>
      </c>
      <c r="B5850" s="33" t="s">
        <v>540</v>
      </c>
      <c r="C5850" s="39">
        <v>45953.0</v>
      </c>
      <c r="D5850" s="33" t="s">
        <v>461</v>
      </c>
      <c r="E5850" s="40">
        <v>61.3</v>
      </c>
      <c r="F5850" s="40">
        <v>0.36</v>
      </c>
      <c r="G5850" s="33" t="s">
        <v>442</v>
      </c>
    </row>
    <row r="5851" ht="15.75" customHeight="1">
      <c r="A5851" s="33" t="s">
        <v>9837</v>
      </c>
      <c r="B5851" s="33" t="s">
        <v>1906</v>
      </c>
      <c r="C5851" s="39">
        <v>45795.0</v>
      </c>
      <c r="D5851" s="33" t="s">
        <v>428</v>
      </c>
      <c r="E5851" s="40">
        <v>82.3</v>
      </c>
      <c r="F5851" s="40">
        <v>0.0</v>
      </c>
      <c r="G5851" s="33" t="s">
        <v>450</v>
      </c>
    </row>
    <row r="5852" ht="15.75" customHeight="1">
      <c r="A5852" s="33" t="s">
        <v>9838</v>
      </c>
      <c r="B5852" s="33" t="s">
        <v>381</v>
      </c>
      <c r="C5852" s="39">
        <v>46003.0</v>
      </c>
      <c r="D5852" s="33" t="s">
        <v>428</v>
      </c>
      <c r="E5852" s="40">
        <v>81.41</v>
      </c>
      <c r="F5852" s="40">
        <v>0.0</v>
      </c>
      <c r="G5852" s="33" t="s">
        <v>442</v>
      </c>
    </row>
    <row r="5853" ht="15.75" customHeight="1">
      <c r="A5853" s="33" t="s">
        <v>9839</v>
      </c>
      <c r="B5853" s="33" t="s">
        <v>1383</v>
      </c>
      <c r="C5853" s="39">
        <v>45673.0</v>
      </c>
      <c r="D5853" s="33" t="s">
        <v>435</v>
      </c>
      <c r="E5853" s="40">
        <v>31.56</v>
      </c>
      <c r="F5853" s="40">
        <v>0.0</v>
      </c>
      <c r="G5853" s="33" t="s">
        <v>431</v>
      </c>
    </row>
    <row r="5854" ht="15.75" customHeight="1">
      <c r="A5854" s="33" t="s">
        <v>9840</v>
      </c>
      <c r="B5854" s="33" t="s">
        <v>1259</v>
      </c>
      <c r="C5854" s="39">
        <v>46195.0</v>
      </c>
      <c r="D5854" s="33" t="s">
        <v>440</v>
      </c>
      <c r="E5854" s="40">
        <v>24.24</v>
      </c>
      <c r="F5854" s="40">
        <v>0.0</v>
      </c>
      <c r="G5854" s="33" t="s">
        <v>450</v>
      </c>
    </row>
    <row r="5855" ht="15.75" customHeight="1">
      <c r="A5855" s="33" t="s">
        <v>9841</v>
      </c>
      <c r="B5855" s="33" t="s">
        <v>833</v>
      </c>
      <c r="C5855" s="39">
        <v>45658.0</v>
      </c>
      <c r="D5855" s="33" t="s">
        <v>461</v>
      </c>
      <c r="E5855" s="40">
        <v>64.2</v>
      </c>
      <c r="F5855" s="40">
        <v>1.08</v>
      </c>
      <c r="G5855" s="33" t="s">
        <v>450</v>
      </c>
    </row>
    <row r="5856" ht="15.75" customHeight="1">
      <c r="A5856" s="33" t="s">
        <v>9842</v>
      </c>
      <c r="B5856" s="33" t="s">
        <v>1140</v>
      </c>
      <c r="C5856" s="39">
        <v>46082.0</v>
      </c>
      <c r="D5856" s="33" t="s">
        <v>440</v>
      </c>
      <c r="E5856" s="40">
        <v>74.72</v>
      </c>
      <c r="F5856" s="40">
        <v>0.0</v>
      </c>
      <c r="G5856" s="33" t="s">
        <v>450</v>
      </c>
    </row>
    <row r="5857" ht="15.75" customHeight="1">
      <c r="A5857" s="33" t="s">
        <v>9843</v>
      </c>
      <c r="B5857" s="33" t="s">
        <v>870</v>
      </c>
      <c r="C5857" s="39">
        <v>45867.0</v>
      </c>
      <c r="D5857" s="33" t="s">
        <v>440</v>
      </c>
      <c r="E5857" s="40">
        <v>61.56</v>
      </c>
      <c r="F5857" s="40">
        <v>0.0</v>
      </c>
      <c r="G5857" s="33" t="s">
        <v>431</v>
      </c>
    </row>
    <row r="5858" ht="15.75" customHeight="1">
      <c r="A5858" s="33" t="s">
        <v>9844</v>
      </c>
      <c r="B5858" s="33" t="s">
        <v>1023</v>
      </c>
      <c r="C5858" s="39">
        <v>46094.0</v>
      </c>
      <c r="D5858" s="33" t="s">
        <v>440</v>
      </c>
      <c r="E5858" s="40">
        <v>15.77</v>
      </c>
      <c r="F5858" s="40">
        <v>0.0</v>
      </c>
      <c r="G5858" s="33" t="s">
        <v>431</v>
      </c>
    </row>
    <row r="5859" ht="15.75" customHeight="1">
      <c r="A5859" s="33" t="s">
        <v>9845</v>
      </c>
      <c r="B5859" s="33" t="s">
        <v>2741</v>
      </c>
      <c r="C5859" s="39">
        <v>45877.0</v>
      </c>
      <c r="D5859" s="33" t="s">
        <v>428</v>
      </c>
      <c r="E5859" s="40">
        <v>77.11</v>
      </c>
      <c r="F5859" s="40">
        <v>0.0</v>
      </c>
      <c r="G5859" s="33" t="s">
        <v>431</v>
      </c>
    </row>
    <row r="5860" ht="15.75" customHeight="1">
      <c r="A5860" s="33" t="s">
        <v>9846</v>
      </c>
      <c r="B5860" s="33" t="s">
        <v>225</v>
      </c>
      <c r="C5860" s="39">
        <v>45673.0</v>
      </c>
      <c r="D5860" s="33" t="s">
        <v>428</v>
      </c>
      <c r="E5860" s="40">
        <v>107.27</v>
      </c>
      <c r="F5860" s="40">
        <v>0.0</v>
      </c>
      <c r="G5860" s="33" t="s">
        <v>431</v>
      </c>
    </row>
    <row r="5861" ht="15.75" customHeight="1">
      <c r="A5861" s="33" t="s">
        <v>9847</v>
      </c>
      <c r="B5861" s="33" t="s">
        <v>1235</v>
      </c>
      <c r="C5861" s="39">
        <v>46233.0</v>
      </c>
      <c r="D5861" s="33" t="s">
        <v>435</v>
      </c>
      <c r="E5861" s="40">
        <v>90.88</v>
      </c>
      <c r="F5861" s="40">
        <v>0.0</v>
      </c>
      <c r="G5861" s="33" t="s">
        <v>450</v>
      </c>
    </row>
    <row r="5862" ht="15.75" customHeight="1">
      <c r="A5862" s="33" t="s">
        <v>9848</v>
      </c>
      <c r="B5862" s="33" t="s">
        <v>234</v>
      </c>
      <c r="C5862" s="39">
        <v>46122.0</v>
      </c>
      <c r="D5862" s="33" t="s">
        <v>428</v>
      </c>
      <c r="E5862" s="40">
        <v>69.17</v>
      </c>
      <c r="F5862" s="40">
        <v>0.0</v>
      </c>
      <c r="G5862" s="33" t="s">
        <v>450</v>
      </c>
    </row>
    <row r="5863" ht="15.75" customHeight="1">
      <c r="A5863" s="33" t="s">
        <v>9849</v>
      </c>
      <c r="B5863" s="33" t="s">
        <v>1102</v>
      </c>
      <c r="C5863" s="39">
        <v>45685.0</v>
      </c>
      <c r="D5863" s="33" t="s">
        <v>479</v>
      </c>
      <c r="E5863" s="40">
        <v>85.7</v>
      </c>
      <c r="F5863" s="40">
        <v>0.6</v>
      </c>
      <c r="G5863" s="33" t="s">
        <v>431</v>
      </c>
    </row>
    <row r="5864" ht="15.75" customHeight="1">
      <c r="A5864" s="33" t="s">
        <v>9850</v>
      </c>
      <c r="B5864" s="33" t="s">
        <v>1998</v>
      </c>
      <c r="C5864" s="39">
        <v>45677.0</v>
      </c>
      <c r="D5864" s="33" t="s">
        <v>428</v>
      </c>
      <c r="E5864" s="40">
        <v>42.34</v>
      </c>
      <c r="F5864" s="40">
        <v>0.0</v>
      </c>
      <c r="G5864" s="33" t="s">
        <v>442</v>
      </c>
    </row>
    <row r="5865" ht="15.75" customHeight="1">
      <c r="A5865" s="33" t="s">
        <v>9851</v>
      </c>
      <c r="B5865" s="33" t="s">
        <v>763</v>
      </c>
      <c r="C5865" s="39">
        <v>45979.0</v>
      </c>
      <c r="D5865" s="33" t="s">
        <v>461</v>
      </c>
      <c r="E5865" s="40">
        <v>167.52</v>
      </c>
      <c r="F5865" s="40">
        <v>2.2</v>
      </c>
      <c r="G5865" s="33" t="s">
        <v>450</v>
      </c>
    </row>
    <row r="5866" ht="15.75" customHeight="1">
      <c r="A5866" s="33" t="s">
        <v>9852</v>
      </c>
      <c r="B5866" s="33" t="s">
        <v>1488</v>
      </c>
      <c r="C5866" s="39">
        <v>46238.0</v>
      </c>
      <c r="D5866" s="33" t="s">
        <v>461</v>
      </c>
      <c r="E5866" s="40">
        <v>52.77</v>
      </c>
      <c r="F5866" s="40">
        <v>0.27</v>
      </c>
      <c r="G5866" s="33" t="s">
        <v>450</v>
      </c>
    </row>
    <row r="5867" ht="15.75" customHeight="1">
      <c r="A5867" s="33" t="s">
        <v>9853</v>
      </c>
      <c r="B5867" s="33" t="s">
        <v>3934</v>
      </c>
      <c r="C5867" s="39">
        <v>46008.0</v>
      </c>
      <c r="D5867" s="33" t="s">
        <v>479</v>
      </c>
      <c r="E5867" s="40">
        <v>109.62</v>
      </c>
      <c r="F5867" s="40">
        <v>2.1</v>
      </c>
      <c r="G5867" s="33" t="s">
        <v>450</v>
      </c>
    </row>
    <row r="5868" ht="15.75" customHeight="1">
      <c r="A5868" s="33" t="s">
        <v>9854</v>
      </c>
      <c r="B5868" s="33" t="s">
        <v>901</v>
      </c>
      <c r="C5868" s="39">
        <v>45664.0</v>
      </c>
      <c r="D5868" s="33" t="s">
        <v>461</v>
      </c>
      <c r="E5868" s="40">
        <v>67.13</v>
      </c>
      <c r="F5868" s="40">
        <v>0.47</v>
      </c>
      <c r="G5868" s="33" t="s">
        <v>450</v>
      </c>
    </row>
    <row r="5869" ht="15.75" customHeight="1">
      <c r="A5869" s="33" t="s">
        <v>9855</v>
      </c>
      <c r="B5869" s="33" t="s">
        <v>518</v>
      </c>
      <c r="C5869" s="39">
        <v>46082.0</v>
      </c>
      <c r="D5869" s="33" t="s">
        <v>428</v>
      </c>
      <c r="E5869" s="40">
        <v>142.12</v>
      </c>
      <c r="F5869" s="40">
        <v>0.0</v>
      </c>
      <c r="G5869" s="33" t="s">
        <v>442</v>
      </c>
    </row>
    <row r="5870" ht="15.75" customHeight="1">
      <c r="A5870" s="33" t="s">
        <v>9856</v>
      </c>
      <c r="B5870" s="33" t="s">
        <v>659</v>
      </c>
      <c r="C5870" s="39">
        <v>45917.0</v>
      </c>
      <c r="D5870" s="33" t="s">
        <v>479</v>
      </c>
      <c r="E5870" s="40">
        <v>51.83</v>
      </c>
      <c r="F5870" s="40">
        <v>0.52</v>
      </c>
      <c r="G5870" s="33" t="s">
        <v>450</v>
      </c>
    </row>
    <row r="5871" ht="15.75" customHeight="1">
      <c r="A5871" s="33" t="s">
        <v>9857</v>
      </c>
      <c r="B5871" s="33" t="s">
        <v>1758</v>
      </c>
      <c r="C5871" s="39">
        <v>46045.0</v>
      </c>
      <c r="D5871" s="33" t="s">
        <v>435</v>
      </c>
      <c r="E5871" s="40">
        <v>142.98</v>
      </c>
      <c r="F5871" s="40">
        <v>0.0</v>
      </c>
      <c r="G5871" s="33" t="s">
        <v>431</v>
      </c>
    </row>
    <row r="5872" ht="15.75" customHeight="1">
      <c r="A5872" s="33" t="s">
        <v>9858</v>
      </c>
      <c r="B5872" s="33" t="s">
        <v>790</v>
      </c>
      <c r="C5872" s="39">
        <v>45870.0</v>
      </c>
      <c r="D5872" s="33" t="s">
        <v>435</v>
      </c>
      <c r="E5872" s="40">
        <v>181.86</v>
      </c>
      <c r="F5872" s="40">
        <v>0.0</v>
      </c>
      <c r="G5872" s="33" t="s">
        <v>431</v>
      </c>
    </row>
    <row r="5873" ht="15.75" customHeight="1">
      <c r="A5873" s="33" t="s">
        <v>9859</v>
      </c>
      <c r="B5873" s="33" t="s">
        <v>1640</v>
      </c>
      <c r="C5873" s="39">
        <v>45662.0</v>
      </c>
      <c r="D5873" s="33" t="s">
        <v>479</v>
      </c>
      <c r="E5873" s="40">
        <v>39.63</v>
      </c>
      <c r="F5873" s="40">
        <v>0.23</v>
      </c>
      <c r="G5873" s="33" t="s">
        <v>450</v>
      </c>
    </row>
    <row r="5874" ht="15.75" customHeight="1">
      <c r="A5874" s="33" t="s">
        <v>9860</v>
      </c>
      <c r="B5874" s="33" t="s">
        <v>1674</v>
      </c>
      <c r="C5874" s="39">
        <v>45669.0</v>
      </c>
      <c r="D5874" s="33" t="s">
        <v>479</v>
      </c>
      <c r="E5874" s="40">
        <v>132.85</v>
      </c>
      <c r="F5874" s="40">
        <v>2.02</v>
      </c>
      <c r="G5874" s="33" t="s">
        <v>450</v>
      </c>
    </row>
    <row r="5875" ht="15.75" customHeight="1">
      <c r="A5875" s="33" t="s">
        <v>9861</v>
      </c>
      <c r="B5875" s="33" t="s">
        <v>2188</v>
      </c>
      <c r="C5875" s="39">
        <v>46041.0</v>
      </c>
      <c r="D5875" s="33" t="s">
        <v>428</v>
      </c>
      <c r="E5875" s="40">
        <v>208.86</v>
      </c>
      <c r="F5875" s="40">
        <v>0.0</v>
      </c>
      <c r="G5875" s="33" t="s">
        <v>450</v>
      </c>
    </row>
    <row r="5876" ht="15.75" customHeight="1">
      <c r="A5876" s="33" t="s">
        <v>9862</v>
      </c>
      <c r="B5876" s="33" t="s">
        <v>546</v>
      </c>
      <c r="C5876" s="39">
        <v>46043.0</v>
      </c>
      <c r="D5876" s="33" t="s">
        <v>435</v>
      </c>
      <c r="E5876" s="40">
        <v>95.96</v>
      </c>
      <c r="F5876" s="40">
        <v>0.0</v>
      </c>
      <c r="G5876" s="33" t="s">
        <v>450</v>
      </c>
    </row>
    <row r="5877" ht="15.75" customHeight="1">
      <c r="A5877" s="33" t="s">
        <v>9863</v>
      </c>
      <c r="B5877" s="33" t="s">
        <v>3452</v>
      </c>
      <c r="C5877" s="39">
        <v>45853.0</v>
      </c>
      <c r="D5877" s="33" t="s">
        <v>428</v>
      </c>
      <c r="E5877" s="40">
        <v>160.29</v>
      </c>
      <c r="F5877" s="40">
        <v>0.0</v>
      </c>
      <c r="G5877" s="33" t="s">
        <v>442</v>
      </c>
    </row>
    <row r="5878" ht="15.75" customHeight="1">
      <c r="A5878" s="33" t="s">
        <v>9864</v>
      </c>
      <c r="B5878" s="33" t="s">
        <v>1842</v>
      </c>
      <c r="C5878" s="39">
        <v>45707.0</v>
      </c>
      <c r="D5878" s="33" t="s">
        <v>435</v>
      </c>
      <c r="E5878" s="40">
        <v>184.58</v>
      </c>
      <c r="F5878" s="40">
        <v>0.0</v>
      </c>
      <c r="G5878" s="33" t="s">
        <v>442</v>
      </c>
    </row>
    <row r="5879" ht="15.75" customHeight="1">
      <c r="A5879" s="33" t="s">
        <v>9865</v>
      </c>
      <c r="B5879" s="33" t="s">
        <v>1183</v>
      </c>
      <c r="C5879" s="39">
        <v>46127.0</v>
      </c>
      <c r="D5879" s="33" t="s">
        <v>479</v>
      </c>
      <c r="E5879" s="40">
        <v>145.92</v>
      </c>
      <c r="F5879" s="40">
        <v>1.07</v>
      </c>
      <c r="G5879" s="33" t="s">
        <v>442</v>
      </c>
    </row>
    <row r="5880" ht="15.75" customHeight="1">
      <c r="A5880" s="33" t="s">
        <v>9866</v>
      </c>
      <c r="B5880" s="33" t="s">
        <v>444</v>
      </c>
      <c r="C5880" s="39">
        <v>45749.0</v>
      </c>
      <c r="D5880" s="33" t="s">
        <v>479</v>
      </c>
      <c r="E5880" s="40">
        <v>43.18</v>
      </c>
      <c r="F5880" s="40">
        <v>0.62</v>
      </c>
      <c r="G5880" s="33" t="s">
        <v>431</v>
      </c>
    </row>
    <row r="5881" ht="15.75" customHeight="1">
      <c r="A5881" s="33" t="s">
        <v>9867</v>
      </c>
      <c r="B5881" s="33" t="s">
        <v>777</v>
      </c>
      <c r="C5881" s="39">
        <v>45772.0</v>
      </c>
      <c r="D5881" s="33" t="s">
        <v>479</v>
      </c>
      <c r="E5881" s="40">
        <v>105.24</v>
      </c>
      <c r="F5881" s="40">
        <v>2.08</v>
      </c>
      <c r="G5881" s="33" t="s">
        <v>442</v>
      </c>
    </row>
    <row r="5882" ht="15.75" customHeight="1">
      <c r="A5882" s="33" t="s">
        <v>9868</v>
      </c>
      <c r="B5882" s="33" t="s">
        <v>1669</v>
      </c>
      <c r="C5882" s="39">
        <v>45932.0</v>
      </c>
      <c r="D5882" s="33" t="s">
        <v>435</v>
      </c>
      <c r="E5882" s="40">
        <v>114.34</v>
      </c>
      <c r="F5882" s="40">
        <v>0.0</v>
      </c>
      <c r="G5882" s="33" t="s">
        <v>450</v>
      </c>
    </row>
    <row r="5883" ht="15.75" customHeight="1">
      <c r="A5883" s="33" t="s">
        <v>9869</v>
      </c>
      <c r="B5883" s="33" t="s">
        <v>2729</v>
      </c>
      <c r="C5883" s="39">
        <v>46092.0</v>
      </c>
      <c r="D5883" s="33" t="s">
        <v>461</v>
      </c>
      <c r="E5883" s="40">
        <v>13.69</v>
      </c>
      <c r="F5883" s="40">
        <v>0.22</v>
      </c>
      <c r="G5883" s="33" t="s">
        <v>450</v>
      </c>
    </row>
    <row r="5884" ht="15.75" customHeight="1">
      <c r="A5884" s="33" t="s">
        <v>9870</v>
      </c>
      <c r="B5884" s="33" t="s">
        <v>1656</v>
      </c>
      <c r="C5884" s="39">
        <v>46262.0</v>
      </c>
      <c r="D5884" s="33" t="s">
        <v>435</v>
      </c>
      <c r="E5884" s="40">
        <v>71.27</v>
      </c>
      <c r="F5884" s="40">
        <v>0.0</v>
      </c>
      <c r="G5884" s="33" t="s">
        <v>450</v>
      </c>
    </row>
    <row r="5885" ht="15.75" customHeight="1">
      <c r="A5885" s="33" t="s">
        <v>9871</v>
      </c>
      <c r="B5885" s="33" t="s">
        <v>3985</v>
      </c>
      <c r="C5885" s="39">
        <v>46037.0</v>
      </c>
      <c r="D5885" s="33" t="s">
        <v>461</v>
      </c>
      <c r="E5885" s="40">
        <v>86.06</v>
      </c>
      <c r="F5885" s="40">
        <v>1.56</v>
      </c>
      <c r="G5885" s="33" t="s">
        <v>450</v>
      </c>
    </row>
    <row r="5886" ht="15.75" customHeight="1">
      <c r="A5886" s="33" t="s">
        <v>9872</v>
      </c>
      <c r="B5886" s="33" t="s">
        <v>675</v>
      </c>
      <c r="C5886" s="39">
        <v>46240.0</v>
      </c>
      <c r="D5886" s="33" t="s">
        <v>479</v>
      </c>
      <c r="E5886" s="40">
        <v>108.61</v>
      </c>
      <c r="F5886" s="40">
        <v>1.4</v>
      </c>
      <c r="G5886" s="33" t="s">
        <v>431</v>
      </c>
    </row>
    <row r="5887" ht="15.75" customHeight="1">
      <c r="A5887" s="33" t="s">
        <v>9873</v>
      </c>
      <c r="B5887" s="33" t="s">
        <v>1462</v>
      </c>
      <c r="C5887" s="39">
        <v>46053.0</v>
      </c>
      <c r="D5887" s="33" t="s">
        <v>428</v>
      </c>
      <c r="E5887" s="40">
        <v>34.39</v>
      </c>
      <c r="F5887" s="40">
        <v>0.0</v>
      </c>
      <c r="G5887" s="33" t="s">
        <v>450</v>
      </c>
    </row>
    <row r="5888" ht="15.75" customHeight="1">
      <c r="A5888" s="33" t="s">
        <v>9874</v>
      </c>
      <c r="B5888" s="33" t="s">
        <v>1598</v>
      </c>
      <c r="C5888" s="39">
        <v>46172.0</v>
      </c>
      <c r="D5888" s="33" t="s">
        <v>428</v>
      </c>
      <c r="E5888" s="40">
        <v>67.12</v>
      </c>
      <c r="F5888" s="40">
        <v>0.0</v>
      </c>
      <c r="G5888" s="33" t="s">
        <v>450</v>
      </c>
    </row>
    <row r="5889" ht="15.75" customHeight="1">
      <c r="A5889" s="33" t="s">
        <v>9875</v>
      </c>
      <c r="B5889" s="33" t="s">
        <v>1700</v>
      </c>
      <c r="C5889" s="39">
        <v>45764.0</v>
      </c>
      <c r="D5889" s="33" t="s">
        <v>428</v>
      </c>
      <c r="E5889" s="40">
        <v>90.86</v>
      </c>
      <c r="F5889" s="40">
        <v>0.0</v>
      </c>
      <c r="G5889" s="33" t="s">
        <v>450</v>
      </c>
    </row>
    <row r="5890" ht="15.75" customHeight="1">
      <c r="A5890" s="33" t="s">
        <v>9876</v>
      </c>
      <c r="B5890" s="33" t="s">
        <v>2075</v>
      </c>
      <c r="C5890" s="39">
        <v>45692.0</v>
      </c>
      <c r="D5890" s="33" t="s">
        <v>479</v>
      </c>
      <c r="E5890" s="40">
        <v>57.03</v>
      </c>
      <c r="F5890" s="40">
        <v>1.0</v>
      </c>
      <c r="G5890" s="33" t="s">
        <v>450</v>
      </c>
    </row>
    <row r="5891" ht="15.75" customHeight="1">
      <c r="A5891" s="33" t="s">
        <v>9877</v>
      </c>
      <c r="B5891" s="33" t="s">
        <v>2116</v>
      </c>
      <c r="C5891" s="39">
        <v>46064.0</v>
      </c>
      <c r="D5891" s="33" t="s">
        <v>479</v>
      </c>
      <c r="E5891" s="40">
        <v>13.35</v>
      </c>
      <c r="F5891" s="40">
        <v>0.15</v>
      </c>
      <c r="G5891" s="33" t="s">
        <v>431</v>
      </c>
    </row>
    <row r="5892" ht="15.75" customHeight="1">
      <c r="A5892" s="33" t="s">
        <v>9878</v>
      </c>
      <c r="B5892" s="33" t="s">
        <v>701</v>
      </c>
      <c r="C5892" s="39">
        <v>46249.0</v>
      </c>
      <c r="D5892" s="33" t="s">
        <v>461</v>
      </c>
      <c r="E5892" s="40">
        <v>172.71</v>
      </c>
      <c r="F5892" s="40">
        <v>1.55</v>
      </c>
      <c r="G5892" s="33" t="s">
        <v>450</v>
      </c>
    </row>
    <row r="5893" ht="15.75" customHeight="1">
      <c r="A5893" s="33" t="s">
        <v>9879</v>
      </c>
      <c r="B5893" s="33" t="s">
        <v>1137</v>
      </c>
      <c r="C5893" s="39">
        <v>46105.0</v>
      </c>
      <c r="D5893" s="33" t="s">
        <v>461</v>
      </c>
      <c r="E5893" s="40">
        <v>257.66</v>
      </c>
      <c r="F5893" s="40">
        <v>4.55</v>
      </c>
      <c r="G5893" s="33" t="s">
        <v>450</v>
      </c>
    </row>
    <row r="5894" ht="15.75" customHeight="1">
      <c r="A5894" s="33" t="s">
        <v>9880</v>
      </c>
      <c r="B5894" s="33" t="s">
        <v>2678</v>
      </c>
      <c r="C5894" s="39">
        <v>45866.0</v>
      </c>
      <c r="D5894" s="33" t="s">
        <v>461</v>
      </c>
      <c r="E5894" s="40">
        <v>99.6</v>
      </c>
      <c r="F5894" s="40">
        <v>0.66</v>
      </c>
      <c r="G5894" s="33" t="s">
        <v>450</v>
      </c>
    </row>
    <row r="5895" ht="15.75" customHeight="1">
      <c r="A5895" s="33" t="s">
        <v>9881</v>
      </c>
      <c r="B5895" s="33" t="s">
        <v>659</v>
      </c>
      <c r="C5895" s="39">
        <v>45955.0</v>
      </c>
      <c r="D5895" s="33" t="s">
        <v>479</v>
      </c>
      <c r="E5895" s="40">
        <v>100.91</v>
      </c>
      <c r="F5895" s="40">
        <v>1.98</v>
      </c>
      <c r="G5895" s="33" t="s">
        <v>450</v>
      </c>
    </row>
    <row r="5896" ht="15.75" customHeight="1">
      <c r="A5896" s="33" t="s">
        <v>9882</v>
      </c>
      <c r="B5896" s="33" t="s">
        <v>3179</v>
      </c>
      <c r="C5896" s="39">
        <v>45726.0</v>
      </c>
      <c r="D5896" s="33" t="s">
        <v>479</v>
      </c>
      <c r="E5896" s="40">
        <v>75.2</v>
      </c>
      <c r="F5896" s="40">
        <v>1.45</v>
      </c>
      <c r="G5896" s="33" t="s">
        <v>431</v>
      </c>
    </row>
    <row r="5897" ht="15.75" customHeight="1">
      <c r="A5897" s="33" t="s">
        <v>9883</v>
      </c>
      <c r="B5897" s="33" t="s">
        <v>308</v>
      </c>
      <c r="C5897" s="39">
        <v>45864.0</v>
      </c>
      <c r="D5897" s="33" t="s">
        <v>435</v>
      </c>
      <c r="E5897" s="40">
        <v>24.54</v>
      </c>
      <c r="F5897" s="40">
        <v>0.0</v>
      </c>
      <c r="G5897" s="33" t="s">
        <v>431</v>
      </c>
    </row>
    <row r="5898" ht="15.75" customHeight="1">
      <c r="A5898" s="33" t="s">
        <v>9884</v>
      </c>
      <c r="B5898" s="33" t="s">
        <v>1462</v>
      </c>
      <c r="C5898" s="39">
        <v>46072.0</v>
      </c>
      <c r="D5898" s="33" t="s">
        <v>435</v>
      </c>
      <c r="E5898" s="40">
        <v>17.68</v>
      </c>
      <c r="F5898" s="40">
        <v>0.0</v>
      </c>
      <c r="G5898" s="33" t="s">
        <v>450</v>
      </c>
    </row>
    <row r="5899" ht="15.75" customHeight="1">
      <c r="A5899" s="33" t="s">
        <v>9885</v>
      </c>
      <c r="B5899" s="33" t="s">
        <v>913</v>
      </c>
      <c r="C5899" s="39">
        <v>45759.0</v>
      </c>
      <c r="D5899" s="33" t="s">
        <v>428</v>
      </c>
      <c r="E5899" s="40">
        <v>164.01</v>
      </c>
      <c r="F5899" s="40">
        <v>0.0</v>
      </c>
      <c r="G5899" s="33" t="s">
        <v>450</v>
      </c>
    </row>
    <row r="5900" ht="15.75" customHeight="1">
      <c r="A5900" s="33" t="s">
        <v>9886</v>
      </c>
      <c r="B5900" s="33" t="s">
        <v>1995</v>
      </c>
      <c r="C5900" s="39">
        <v>45950.0</v>
      </c>
      <c r="D5900" s="33" t="s">
        <v>428</v>
      </c>
      <c r="E5900" s="40">
        <v>239.64</v>
      </c>
      <c r="F5900" s="40">
        <v>0.0</v>
      </c>
      <c r="G5900" s="33" t="s">
        <v>431</v>
      </c>
    </row>
    <row r="5901" ht="15.75" customHeight="1">
      <c r="A5901" s="33" t="s">
        <v>9887</v>
      </c>
      <c r="B5901" s="33" t="s">
        <v>835</v>
      </c>
      <c r="C5901" s="39">
        <v>45834.0</v>
      </c>
      <c r="D5901" s="33" t="s">
        <v>461</v>
      </c>
      <c r="E5901" s="40">
        <v>106.47</v>
      </c>
      <c r="F5901" s="40">
        <v>1.95</v>
      </c>
      <c r="G5901" s="33" t="s">
        <v>442</v>
      </c>
    </row>
    <row r="5902" ht="15.75" customHeight="1">
      <c r="A5902" s="33" t="s">
        <v>9888</v>
      </c>
      <c r="B5902" s="33" t="s">
        <v>1217</v>
      </c>
      <c r="C5902" s="39">
        <v>45955.0</v>
      </c>
      <c r="D5902" s="33" t="s">
        <v>440</v>
      </c>
      <c r="E5902" s="40">
        <v>56.48</v>
      </c>
      <c r="F5902" s="40">
        <v>0.0</v>
      </c>
      <c r="G5902" s="33" t="s">
        <v>450</v>
      </c>
    </row>
    <row r="5903" ht="15.75" customHeight="1">
      <c r="A5903" s="33" t="s">
        <v>9889</v>
      </c>
      <c r="B5903" s="33" t="s">
        <v>1375</v>
      </c>
      <c r="C5903" s="39">
        <v>46121.0</v>
      </c>
      <c r="D5903" s="33" t="s">
        <v>435</v>
      </c>
      <c r="E5903" s="40">
        <v>67.09</v>
      </c>
      <c r="F5903" s="40">
        <v>0.0</v>
      </c>
      <c r="G5903" s="33" t="s">
        <v>450</v>
      </c>
    </row>
    <row r="5904" ht="15.75" customHeight="1">
      <c r="A5904" s="33" t="s">
        <v>9890</v>
      </c>
      <c r="B5904" s="33" t="s">
        <v>2327</v>
      </c>
      <c r="C5904" s="39">
        <v>46195.0</v>
      </c>
      <c r="D5904" s="33" t="s">
        <v>435</v>
      </c>
      <c r="E5904" s="40">
        <v>117.28</v>
      </c>
      <c r="F5904" s="40">
        <v>0.0</v>
      </c>
      <c r="G5904" s="33" t="s">
        <v>442</v>
      </c>
    </row>
    <row r="5905" ht="15.75" customHeight="1">
      <c r="A5905" s="33" t="s">
        <v>9891</v>
      </c>
      <c r="B5905" s="33" t="s">
        <v>1884</v>
      </c>
      <c r="C5905" s="39">
        <v>45906.0</v>
      </c>
      <c r="D5905" s="33" t="s">
        <v>461</v>
      </c>
      <c r="E5905" s="40">
        <v>158.37</v>
      </c>
      <c r="F5905" s="40">
        <v>2.4</v>
      </c>
      <c r="G5905" s="33" t="s">
        <v>450</v>
      </c>
    </row>
    <row r="5906" ht="15.75" customHeight="1">
      <c r="A5906" s="33" t="s">
        <v>9892</v>
      </c>
      <c r="B5906" s="33" t="s">
        <v>1828</v>
      </c>
      <c r="C5906" s="39">
        <v>46160.0</v>
      </c>
      <c r="D5906" s="33" t="s">
        <v>461</v>
      </c>
      <c r="E5906" s="40">
        <v>76.25</v>
      </c>
      <c r="F5906" s="40">
        <v>1.19</v>
      </c>
      <c r="G5906" s="33" t="s">
        <v>450</v>
      </c>
    </row>
    <row r="5907" ht="15.75" customHeight="1">
      <c r="A5907" s="33" t="s">
        <v>9893</v>
      </c>
      <c r="B5907" s="33" t="s">
        <v>594</v>
      </c>
      <c r="C5907" s="39">
        <v>46084.0</v>
      </c>
      <c r="D5907" s="33" t="s">
        <v>440</v>
      </c>
      <c r="E5907" s="40">
        <v>60.35</v>
      </c>
      <c r="F5907" s="40">
        <v>0.0</v>
      </c>
      <c r="G5907" s="33" t="s">
        <v>442</v>
      </c>
    </row>
    <row r="5908" ht="15.75" customHeight="1">
      <c r="A5908" s="33" t="s">
        <v>9894</v>
      </c>
      <c r="B5908" s="33" t="s">
        <v>2199</v>
      </c>
      <c r="C5908" s="39">
        <v>46217.0</v>
      </c>
      <c r="D5908" s="33" t="s">
        <v>435</v>
      </c>
      <c r="E5908" s="40">
        <v>33.91</v>
      </c>
      <c r="F5908" s="40">
        <v>0.0</v>
      </c>
      <c r="G5908" s="33" t="s">
        <v>431</v>
      </c>
    </row>
    <row r="5909" ht="15.75" customHeight="1">
      <c r="A5909" s="33" t="s">
        <v>9895</v>
      </c>
      <c r="B5909" s="33" t="s">
        <v>1547</v>
      </c>
      <c r="C5909" s="39">
        <v>46107.0</v>
      </c>
      <c r="D5909" s="33" t="s">
        <v>435</v>
      </c>
      <c r="E5909" s="40">
        <v>51.57</v>
      </c>
      <c r="F5909" s="40">
        <v>0.0</v>
      </c>
      <c r="G5909" s="33" t="s">
        <v>431</v>
      </c>
    </row>
    <row r="5910" ht="15.75" customHeight="1">
      <c r="A5910" s="33" t="s">
        <v>9896</v>
      </c>
      <c r="B5910" s="33" t="s">
        <v>1135</v>
      </c>
      <c r="C5910" s="39">
        <v>45992.0</v>
      </c>
      <c r="D5910" s="33" t="s">
        <v>461</v>
      </c>
      <c r="E5910" s="40">
        <v>112.39</v>
      </c>
      <c r="F5910" s="40">
        <v>0.89</v>
      </c>
      <c r="G5910" s="33" t="s">
        <v>431</v>
      </c>
    </row>
    <row r="5911" ht="15.75" customHeight="1">
      <c r="A5911" s="33" t="s">
        <v>9897</v>
      </c>
      <c r="B5911" s="33" t="s">
        <v>314</v>
      </c>
      <c r="C5911" s="39">
        <v>46067.0</v>
      </c>
      <c r="D5911" s="33" t="s">
        <v>461</v>
      </c>
      <c r="E5911" s="40">
        <v>95.1</v>
      </c>
      <c r="F5911" s="40">
        <v>0.88</v>
      </c>
      <c r="G5911" s="33" t="s">
        <v>442</v>
      </c>
    </row>
    <row r="5912" ht="15.75" customHeight="1">
      <c r="A5912" s="33" t="s">
        <v>9898</v>
      </c>
      <c r="B5912" s="33" t="s">
        <v>1300</v>
      </c>
      <c r="C5912" s="39">
        <v>45850.0</v>
      </c>
      <c r="D5912" s="33" t="s">
        <v>440</v>
      </c>
      <c r="E5912" s="40">
        <v>89.47</v>
      </c>
      <c r="F5912" s="40">
        <v>0.0</v>
      </c>
      <c r="G5912" s="33" t="s">
        <v>442</v>
      </c>
    </row>
    <row r="5913" ht="15.75" customHeight="1">
      <c r="A5913" s="33" t="s">
        <v>9899</v>
      </c>
      <c r="B5913" s="33" t="s">
        <v>2826</v>
      </c>
      <c r="C5913" s="39">
        <v>46066.0</v>
      </c>
      <c r="D5913" s="33" t="s">
        <v>461</v>
      </c>
      <c r="E5913" s="40">
        <v>35.03</v>
      </c>
      <c r="F5913" s="40">
        <v>0.57</v>
      </c>
      <c r="G5913" s="33" t="s">
        <v>450</v>
      </c>
    </row>
    <row r="5914" ht="15.75" customHeight="1">
      <c r="A5914" s="33" t="s">
        <v>9900</v>
      </c>
      <c r="B5914" s="33" t="s">
        <v>721</v>
      </c>
      <c r="C5914" s="39">
        <v>46088.0</v>
      </c>
      <c r="D5914" s="33" t="s">
        <v>428</v>
      </c>
      <c r="E5914" s="40">
        <v>64.51</v>
      </c>
      <c r="F5914" s="40">
        <v>0.0</v>
      </c>
      <c r="G5914" s="33" t="s">
        <v>450</v>
      </c>
    </row>
    <row r="5915" ht="15.75" customHeight="1">
      <c r="A5915" s="33" t="s">
        <v>9901</v>
      </c>
      <c r="B5915" s="33" t="s">
        <v>258</v>
      </c>
      <c r="C5915" s="39">
        <v>46028.0</v>
      </c>
      <c r="D5915" s="33" t="s">
        <v>479</v>
      </c>
      <c r="E5915" s="40">
        <v>134.05</v>
      </c>
      <c r="F5915" s="40">
        <v>1.28</v>
      </c>
      <c r="G5915" s="33" t="s">
        <v>450</v>
      </c>
    </row>
    <row r="5916" ht="15.75" customHeight="1">
      <c r="A5916" s="33" t="s">
        <v>9902</v>
      </c>
      <c r="B5916" s="33" t="s">
        <v>268</v>
      </c>
      <c r="C5916" s="39">
        <v>45720.0</v>
      </c>
      <c r="D5916" s="33" t="s">
        <v>440</v>
      </c>
      <c r="E5916" s="40">
        <v>198.15</v>
      </c>
      <c r="F5916" s="40">
        <v>0.0</v>
      </c>
      <c r="G5916" s="33" t="s">
        <v>450</v>
      </c>
    </row>
    <row r="5917" ht="15.75" customHeight="1">
      <c r="A5917" s="33" t="s">
        <v>9903</v>
      </c>
      <c r="B5917" s="33" t="s">
        <v>1721</v>
      </c>
      <c r="C5917" s="39">
        <v>45972.0</v>
      </c>
      <c r="D5917" s="33" t="s">
        <v>435</v>
      </c>
      <c r="E5917" s="40">
        <v>129.51</v>
      </c>
      <c r="F5917" s="40">
        <v>0.0</v>
      </c>
      <c r="G5917" s="33" t="s">
        <v>431</v>
      </c>
    </row>
    <row r="5918" ht="15.75" customHeight="1">
      <c r="A5918" s="33" t="s">
        <v>9904</v>
      </c>
      <c r="B5918" s="33" t="s">
        <v>1834</v>
      </c>
      <c r="C5918" s="39">
        <v>46089.0</v>
      </c>
      <c r="D5918" s="33" t="s">
        <v>461</v>
      </c>
      <c r="E5918" s="40">
        <v>157.96</v>
      </c>
      <c r="F5918" s="40">
        <v>3.05</v>
      </c>
      <c r="G5918" s="33" t="s">
        <v>450</v>
      </c>
    </row>
    <row r="5919" ht="15.75" customHeight="1">
      <c r="A5919" s="33" t="s">
        <v>9905</v>
      </c>
      <c r="B5919" s="33" t="s">
        <v>1239</v>
      </c>
      <c r="C5919" s="39">
        <v>45778.0</v>
      </c>
      <c r="D5919" s="33" t="s">
        <v>479</v>
      </c>
      <c r="E5919" s="40">
        <v>13.77</v>
      </c>
      <c r="F5919" s="40">
        <v>0.25</v>
      </c>
      <c r="G5919" s="33" t="s">
        <v>450</v>
      </c>
    </row>
    <row r="5920" ht="15.75" customHeight="1">
      <c r="A5920" s="33" t="s">
        <v>9906</v>
      </c>
      <c r="B5920" s="33" t="s">
        <v>2508</v>
      </c>
      <c r="C5920" s="39">
        <v>46135.0</v>
      </c>
      <c r="D5920" s="33" t="s">
        <v>440</v>
      </c>
      <c r="E5920" s="40">
        <v>176.36</v>
      </c>
      <c r="F5920" s="40">
        <v>0.0</v>
      </c>
      <c r="G5920" s="33" t="s">
        <v>450</v>
      </c>
    </row>
    <row r="5921" ht="15.75" customHeight="1">
      <c r="A5921" s="33" t="s">
        <v>9907</v>
      </c>
      <c r="B5921" s="33" t="s">
        <v>1979</v>
      </c>
      <c r="C5921" s="39">
        <v>46169.0</v>
      </c>
      <c r="D5921" s="33" t="s">
        <v>435</v>
      </c>
      <c r="E5921" s="40">
        <v>105.43</v>
      </c>
      <c r="F5921" s="40">
        <v>0.0</v>
      </c>
      <c r="G5921" s="33" t="s">
        <v>450</v>
      </c>
    </row>
    <row r="5922" ht="15.75" customHeight="1">
      <c r="A5922" s="33" t="s">
        <v>9908</v>
      </c>
      <c r="B5922" s="33" t="s">
        <v>1405</v>
      </c>
      <c r="C5922" s="39">
        <v>45985.0</v>
      </c>
      <c r="D5922" s="33" t="s">
        <v>428</v>
      </c>
      <c r="E5922" s="40">
        <v>90.1</v>
      </c>
      <c r="F5922" s="40">
        <v>0.0</v>
      </c>
      <c r="G5922" s="33" t="s">
        <v>450</v>
      </c>
    </row>
    <row r="5923" ht="15.75" customHeight="1">
      <c r="A5923" s="33" t="s">
        <v>9909</v>
      </c>
      <c r="B5923" s="33" t="s">
        <v>1693</v>
      </c>
      <c r="C5923" s="39">
        <v>46243.0</v>
      </c>
      <c r="D5923" s="33" t="s">
        <v>428</v>
      </c>
      <c r="E5923" s="40">
        <v>96.72</v>
      </c>
      <c r="F5923" s="40">
        <v>0.0</v>
      </c>
      <c r="G5923" s="33" t="s">
        <v>450</v>
      </c>
    </row>
    <row r="5924" ht="15.75" customHeight="1">
      <c r="A5924" s="33" t="s">
        <v>9910</v>
      </c>
      <c r="B5924" s="33" t="s">
        <v>2234</v>
      </c>
      <c r="C5924" s="39">
        <v>46178.0</v>
      </c>
      <c r="D5924" s="33" t="s">
        <v>479</v>
      </c>
      <c r="E5924" s="40">
        <v>223.8</v>
      </c>
      <c r="F5924" s="40">
        <v>1.92</v>
      </c>
      <c r="G5924" s="33" t="s">
        <v>450</v>
      </c>
    </row>
    <row r="5925" ht="15.75" customHeight="1">
      <c r="A5925" s="33" t="s">
        <v>9911</v>
      </c>
      <c r="B5925" s="33" t="s">
        <v>1077</v>
      </c>
      <c r="C5925" s="39">
        <v>45941.0</v>
      </c>
      <c r="D5925" s="33" t="s">
        <v>440</v>
      </c>
      <c r="E5925" s="40">
        <v>54.72</v>
      </c>
      <c r="F5925" s="40">
        <v>0.0</v>
      </c>
      <c r="G5925" s="33" t="s">
        <v>450</v>
      </c>
    </row>
    <row r="5926" ht="15.75" customHeight="1">
      <c r="A5926" s="33" t="s">
        <v>9912</v>
      </c>
      <c r="B5926" s="33" t="s">
        <v>1244</v>
      </c>
      <c r="C5926" s="39">
        <v>46194.0</v>
      </c>
      <c r="D5926" s="33" t="s">
        <v>461</v>
      </c>
      <c r="E5926" s="40">
        <v>96.79</v>
      </c>
      <c r="F5926" s="40">
        <v>0.7</v>
      </c>
      <c r="G5926" s="33" t="s">
        <v>442</v>
      </c>
    </row>
    <row r="5927" ht="15.75" customHeight="1">
      <c r="A5927" s="33" t="s">
        <v>9913</v>
      </c>
      <c r="B5927" s="33" t="s">
        <v>2589</v>
      </c>
      <c r="C5927" s="39">
        <v>46224.0</v>
      </c>
      <c r="D5927" s="33" t="s">
        <v>428</v>
      </c>
      <c r="E5927" s="40">
        <v>70.54</v>
      </c>
      <c r="F5927" s="40">
        <v>0.0</v>
      </c>
      <c r="G5927" s="33" t="s">
        <v>450</v>
      </c>
    </row>
    <row r="5928" ht="15.75" customHeight="1">
      <c r="A5928" s="33" t="s">
        <v>9914</v>
      </c>
      <c r="B5928" s="33" t="s">
        <v>195</v>
      </c>
      <c r="C5928" s="39">
        <v>45723.0</v>
      </c>
      <c r="D5928" s="33" t="s">
        <v>479</v>
      </c>
      <c r="E5928" s="40">
        <v>36.74</v>
      </c>
      <c r="F5928" s="40">
        <v>0.36</v>
      </c>
      <c r="G5928" s="33" t="s">
        <v>431</v>
      </c>
    </row>
    <row r="5929" ht="15.75" customHeight="1">
      <c r="A5929" s="33" t="s">
        <v>9915</v>
      </c>
      <c r="B5929" s="33" t="s">
        <v>1527</v>
      </c>
      <c r="C5929" s="39">
        <v>46263.0</v>
      </c>
      <c r="D5929" s="33" t="s">
        <v>435</v>
      </c>
      <c r="E5929" s="40">
        <v>20.49</v>
      </c>
      <c r="F5929" s="40">
        <v>0.0</v>
      </c>
      <c r="G5929" s="33" t="s">
        <v>431</v>
      </c>
    </row>
    <row r="5930" ht="15.75" customHeight="1">
      <c r="A5930" s="33" t="s">
        <v>9916</v>
      </c>
      <c r="B5930" s="33" t="s">
        <v>1137</v>
      </c>
      <c r="C5930" s="39">
        <v>45661.0</v>
      </c>
      <c r="D5930" s="33" t="s">
        <v>435</v>
      </c>
      <c r="E5930" s="40">
        <v>36.22</v>
      </c>
      <c r="F5930" s="40">
        <v>0.0</v>
      </c>
      <c r="G5930" s="33" t="s">
        <v>442</v>
      </c>
    </row>
    <row r="5931" ht="15.75" customHeight="1">
      <c r="A5931" s="33" t="s">
        <v>9917</v>
      </c>
      <c r="B5931" s="33" t="s">
        <v>1581</v>
      </c>
      <c r="C5931" s="39">
        <v>45953.0</v>
      </c>
      <c r="D5931" s="33" t="s">
        <v>435</v>
      </c>
      <c r="E5931" s="40">
        <v>44.51</v>
      </c>
      <c r="F5931" s="40">
        <v>0.0</v>
      </c>
      <c r="G5931" s="33" t="s">
        <v>450</v>
      </c>
    </row>
    <row r="5932" ht="15.75" customHeight="1">
      <c r="A5932" s="33" t="s">
        <v>9918</v>
      </c>
      <c r="B5932" s="33" t="s">
        <v>2197</v>
      </c>
      <c r="C5932" s="39">
        <v>46227.0</v>
      </c>
      <c r="D5932" s="33" t="s">
        <v>479</v>
      </c>
      <c r="E5932" s="40">
        <v>72.92</v>
      </c>
      <c r="F5932" s="40">
        <v>0.86</v>
      </c>
      <c r="G5932" s="33" t="s">
        <v>442</v>
      </c>
    </row>
    <row r="5933" ht="15.75" customHeight="1">
      <c r="A5933" s="33" t="s">
        <v>9919</v>
      </c>
      <c r="B5933" s="33" t="s">
        <v>1303</v>
      </c>
      <c r="C5933" s="39">
        <v>46097.0</v>
      </c>
      <c r="D5933" s="33" t="s">
        <v>479</v>
      </c>
      <c r="E5933" s="40">
        <v>157.97</v>
      </c>
      <c r="F5933" s="40">
        <v>1.88</v>
      </c>
      <c r="G5933" s="33" t="s">
        <v>450</v>
      </c>
    </row>
    <row r="5934" ht="15.75" customHeight="1">
      <c r="A5934" s="33" t="s">
        <v>9920</v>
      </c>
      <c r="B5934" s="33" t="s">
        <v>2917</v>
      </c>
      <c r="C5934" s="39">
        <v>45819.0</v>
      </c>
      <c r="D5934" s="33" t="s">
        <v>479</v>
      </c>
      <c r="E5934" s="40">
        <v>36.32</v>
      </c>
      <c r="F5934" s="40">
        <v>0.73</v>
      </c>
      <c r="G5934" s="33" t="s">
        <v>431</v>
      </c>
    </row>
    <row r="5935" ht="15.75" customHeight="1">
      <c r="A5935" s="33" t="s">
        <v>9921</v>
      </c>
      <c r="B5935" s="33" t="s">
        <v>444</v>
      </c>
      <c r="C5935" s="39">
        <v>46048.0</v>
      </c>
      <c r="D5935" s="33" t="s">
        <v>461</v>
      </c>
      <c r="E5935" s="40">
        <v>43.86</v>
      </c>
      <c r="F5935" s="40">
        <v>0.44</v>
      </c>
      <c r="G5935" s="33" t="s">
        <v>431</v>
      </c>
    </row>
    <row r="5936" ht="15.75" customHeight="1">
      <c r="A5936" s="33" t="s">
        <v>9922</v>
      </c>
      <c r="B5936" s="33" t="s">
        <v>2826</v>
      </c>
      <c r="C5936" s="39">
        <v>45788.0</v>
      </c>
      <c r="D5936" s="33" t="s">
        <v>435</v>
      </c>
      <c r="E5936" s="40">
        <v>220.74</v>
      </c>
      <c r="F5936" s="40">
        <v>0.0</v>
      </c>
      <c r="G5936" s="33" t="s">
        <v>442</v>
      </c>
    </row>
    <row r="5937" ht="15.75" customHeight="1">
      <c r="A5937" s="33" t="s">
        <v>9923</v>
      </c>
      <c r="B5937" s="33" t="s">
        <v>3807</v>
      </c>
      <c r="C5937" s="39">
        <v>45802.0</v>
      </c>
      <c r="D5937" s="33" t="s">
        <v>428</v>
      </c>
      <c r="E5937" s="40">
        <v>56.12</v>
      </c>
      <c r="F5937" s="40">
        <v>0.0</v>
      </c>
      <c r="G5937" s="33" t="s">
        <v>431</v>
      </c>
    </row>
    <row r="5938" ht="15.75" customHeight="1">
      <c r="A5938" s="33" t="s">
        <v>9924</v>
      </c>
      <c r="B5938" s="33" t="s">
        <v>600</v>
      </c>
      <c r="C5938" s="39">
        <v>46211.0</v>
      </c>
      <c r="D5938" s="33" t="s">
        <v>440</v>
      </c>
      <c r="E5938" s="40">
        <v>48.39</v>
      </c>
      <c r="F5938" s="40">
        <v>0.0</v>
      </c>
      <c r="G5938" s="33" t="s">
        <v>450</v>
      </c>
    </row>
    <row r="5939" ht="15.75" customHeight="1">
      <c r="A5939" s="33" t="s">
        <v>9925</v>
      </c>
      <c r="B5939" s="33" t="s">
        <v>1132</v>
      </c>
      <c r="C5939" s="39">
        <v>45686.0</v>
      </c>
      <c r="D5939" s="33" t="s">
        <v>479</v>
      </c>
      <c r="E5939" s="40">
        <v>49.89</v>
      </c>
      <c r="F5939" s="40">
        <v>0.91</v>
      </c>
      <c r="G5939" s="33" t="s">
        <v>431</v>
      </c>
    </row>
    <row r="5940" ht="15.75" customHeight="1">
      <c r="A5940" s="33" t="s">
        <v>9926</v>
      </c>
      <c r="B5940" s="33" t="s">
        <v>1725</v>
      </c>
      <c r="C5940" s="39">
        <v>46242.0</v>
      </c>
      <c r="D5940" s="33" t="s">
        <v>440</v>
      </c>
      <c r="E5940" s="40">
        <v>84.99</v>
      </c>
      <c r="F5940" s="40">
        <v>0.0</v>
      </c>
      <c r="G5940" s="33" t="s">
        <v>450</v>
      </c>
    </row>
    <row r="5941" ht="15.75" customHeight="1">
      <c r="A5941" s="33" t="s">
        <v>9927</v>
      </c>
      <c r="B5941" s="33" t="s">
        <v>3633</v>
      </c>
      <c r="C5941" s="39">
        <v>45933.0</v>
      </c>
      <c r="D5941" s="33" t="s">
        <v>440</v>
      </c>
      <c r="E5941" s="40">
        <v>73.55</v>
      </c>
      <c r="F5941" s="40">
        <v>0.0</v>
      </c>
      <c r="G5941" s="33" t="s">
        <v>442</v>
      </c>
    </row>
    <row r="5942" ht="15.75" customHeight="1">
      <c r="A5942" s="33" t="s">
        <v>9928</v>
      </c>
      <c r="B5942" s="33" t="s">
        <v>364</v>
      </c>
      <c r="C5942" s="39">
        <v>45697.0</v>
      </c>
      <c r="D5942" s="33" t="s">
        <v>428</v>
      </c>
      <c r="E5942" s="40">
        <v>45.61</v>
      </c>
      <c r="F5942" s="40">
        <v>0.0</v>
      </c>
      <c r="G5942" s="33" t="s">
        <v>450</v>
      </c>
    </row>
    <row r="5943" ht="15.75" customHeight="1">
      <c r="A5943" s="33" t="s">
        <v>9929</v>
      </c>
      <c r="B5943" s="33" t="s">
        <v>2314</v>
      </c>
      <c r="C5943" s="39">
        <v>46135.0</v>
      </c>
      <c r="D5943" s="33" t="s">
        <v>435</v>
      </c>
      <c r="E5943" s="40">
        <v>58.65</v>
      </c>
      <c r="F5943" s="40">
        <v>0.0</v>
      </c>
      <c r="G5943" s="33" t="s">
        <v>431</v>
      </c>
    </row>
    <row r="5944" ht="15.75" customHeight="1">
      <c r="A5944" s="33" t="s">
        <v>9930</v>
      </c>
      <c r="B5944" s="33" t="s">
        <v>566</v>
      </c>
      <c r="C5944" s="39">
        <v>45687.0</v>
      </c>
      <c r="D5944" s="33" t="s">
        <v>479</v>
      </c>
      <c r="E5944" s="40">
        <v>136.92</v>
      </c>
      <c r="F5944" s="40">
        <v>1.52</v>
      </c>
      <c r="G5944" s="33" t="s">
        <v>450</v>
      </c>
    </row>
    <row r="5945" ht="15.75" customHeight="1">
      <c r="A5945" s="33" t="s">
        <v>9931</v>
      </c>
      <c r="B5945" s="33" t="s">
        <v>2002</v>
      </c>
      <c r="C5945" s="39">
        <v>45855.0</v>
      </c>
      <c r="D5945" s="33" t="s">
        <v>479</v>
      </c>
      <c r="E5945" s="40">
        <v>93.15</v>
      </c>
      <c r="F5945" s="40">
        <v>1.15</v>
      </c>
      <c r="G5945" s="33" t="s">
        <v>450</v>
      </c>
    </row>
    <row r="5946" ht="15.75" customHeight="1">
      <c r="A5946" s="33" t="s">
        <v>9932</v>
      </c>
      <c r="B5946" s="33" t="s">
        <v>378</v>
      </c>
      <c r="C5946" s="39">
        <v>45804.0</v>
      </c>
      <c r="D5946" s="33" t="s">
        <v>479</v>
      </c>
      <c r="E5946" s="40">
        <v>185.93</v>
      </c>
      <c r="F5946" s="40">
        <v>2.38</v>
      </c>
      <c r="G5946" s="33" t="s">
        <v>450</v>
      </c>
    </row>
    <row r="5947" ht="15.75" customHeight="1">
      <c r="A5947" s="33" t="s">
        <v>9933</v>
      </c>
      <c r="B5947" s="33" t="s">
        <v>1806</v>
      </c>
      <c r="C5947" s="39">
        <v>46134.0</v>
      </c>
      <c r="D5947" s="33" t="s">
        <v>440</v>
      </c>
      <c r="E5947" s="40">
        <v>63.44</v>
      </c>
      <c r="F5947" s="40">
        <v>0.0</v>
      </c>
      <c r="G5947" s="33" t="s">
        <v>431</v>
      </c>
    </row>
    <row r="5948" ht="15.75" customHeight="1">
      <c r="A5948" s="33" t="s">
        <v>9934</v>
      </c>
      <c r="B5948" s="33" t="s">
        <v>665</v>
      </c>
      <c r="C5948" s="39">
        <v>45898.0</v>
      </c>
      <c r="D5948" s="33" t="s">
        <v>440</v>
      </c>
      <c r="E5948" s="40">
        <v>136.56</v>
      </c>
      <c r="F5948" s="40">
        <v>0.0</v>
      </c>
      <c r="G5948" s="33" t="s">
        <v>431</v>
      </c>
    </row>
    <row r="5949" ht="15.75" customHeight="1">
      <c r="A5949" s="33" t="s">
        <v>9935</v>
      </c>
      <c r="B5949" s="33" t="s">
        <v>1393</v>
      </c>
      <c r="C5949" s="39">
        <v>46055.0</v>
      </c>
      <c r="D5949" s="33" t="s">
        <v>428</v>
      </c>
      <c r="E5949" s="40">
        <v>139.82</v>
      </c>
      <c r="F5949" s="40">
        <v>0.0</v>
      </c>
      <c r="G5949" s="33" t="s">
        <v>450</v>
      </c>
    </row>
    <row r="5950" ht="15.75" customHeight="1">
      <c r="A5950" s="33" t="s">
        <v>9936</v>
      </c>
      <c r="B5950" s="33" t="s">
        <v>1077</v>
      </c>
      <c r="C5950" s="39">
        <v>45701.0</v>
      </c>
      <c r="D5950" s="33" t="s">
        <v>440</v>
      </c>
      <c r="E5950" s="40">
        <v>43.35</v>
      </c>
      <c r="F5950" s="40">
        <v>0.0</v>
      </c>
      <c r="G5950" s="33" t="s">
        <v>450</v>
      </c>
    </row>
    <row r="5951" ht="15.75" customHeight="1">
      <c r="A5951" s="33" t="s">
        <v>9937</v>
      </c>
      <c r="B5951" s="33" t="s">
        <v>1979</v>
      </c>
      <c r="C5951" s="39">
        <v>46080.0</v>
      </c>
      <c r="D5951" s="33" t="s">
        <v>479</v>
      </c>
      <c r="E5951" s="40">
        <v>102.04</v>
      </c>
      <c r="F5951" s="40">
        <v>1.43</v>
      </c>
      <c r="G5951" s="33" t="s">
        <v>450</v>
      </c>
    </row>
    <row r="5952" ht="15.75" customHeight="1">
      <c r="A5952" s="33" t="s">
        <v>9938</v>
      </c>
      <c r="B5952" s="33" t="s">
        <v>3179</v>
      </c>
      <c r="C5952" s="39">
        <v>46089.0</v>
      </c>
      <c r="D5952" s="33" t="s">
        <v>440</v>
      </c>
      <c r="E5952" s="40">
        <v>80.68</v>
      </c>
      <c r="F5952" s="40">
        <v>0.0</v>
      </c>
      <c r="G5952" s="33" t="s">
        <v>450</v>
      </c>
    </row>
    <row r="5953" ht="15.75" customHeight="1">
      <c r="A5953" s="33" t="s">
        <v>9939</v>
      </c>
      <c r="B5953" s="33" t="s">
        <v>2676</v>
      </c>
      <c r="C5953" s="39">
        <v>45831.0</v>
      </c>
      <c r="D5953" s="33" t="s">
        <v>461</v>
      </c>
      <c r="E5953" s="40">
        <v>14.64</v>
      </c>
      <c r="F5953" s="40">
        <v>0.18</v>
      </c>
      <c r="G5953" s="33" t="s">
        <v>450</v>
      </c>
    </row>
    <row r="5954" ht="15.75" customHeight="1">
      <c r="A5954" s="33" t="s">
        <v>9940</v>
      </c>
      <c r="B5954" s="33" t="s">
        <v>327</v>
      </c>
      <c r="C5954" s="39">
        <v>46192.0</v>
      </c>
      <c r="D5954" s="33" t="s">
        <v>428</v>
      </c>
      <c r="E5954" s="40">
        <v>21.6</v>
      </c>
      <c r="F5954" s="40">
        <v>0.0</v>
      </c>
      <c r="G5954" s="33" t="s">
        <v>450</v>
      </c>
    </row>
    <row r="5955" ht="15.75" customHeight="1">
      <c r="A5955" s="33" t="s">
        <v>9941</v>
      </c>
      <c r="B5955" s="33" t="s">
        <v>3613</v>
      </c>
      <c r="C5955" s="39">
        <v>45943.0</v>
      </c>
      <c r="D5955" s="33" t="s">
        <v>428</v>
      </c>
      <c r="E5955" s="40">
        <v>87.35</v>
      </c>
      <c r="F5955" s="40">
        <v>0.0</v>
      </c>
      <c r="G5955" s="33" t="s">
        <v>450</v>
      </c>
    </row>
    <row r="5956" ht="15.75" customHeight="1">
      <c r="A5956" s="33" t="s">
        <v>9942</v>
      </c>
      <c r="B5956" s="33" t="s">
        <v>2917</v>
      </c>
      <c r="C5956" s="39">
        <v>46063.0</v>
      </c>
      <c r="D5956" s="33" t="s">
        <v>435</v>
      </c>
      <c r="E5956" s="40">
        <v>15.95</v>
      </c>
      <c r="F5956" s="40">
        <v>0.0</v>
      </c>
      <c r="G5956" s="33" t="s">
        <v>450</v>
      </c>
    </row>
    <row r="5957" ht="15.75" customHeight="1">
      <c r="A5957" s="33" t="s">
        <v>9943</v>
      </c>
      <c r="B5957" s="33" t="s">
        <v>888</v>
      </c>
      <c r="C5957" s="39">
        <v>45768.0</v>
      </c>
      <c r="D5957" s="33" t="s">
        <v>435</v>
      </c>
      <c r="E5957" s="40">
        <v>12.37</v>
      </c>
      <c r="F5957" s="40">
        <v>0.0</v>
      </c>
      <c r="G5957" s="33" t="s">
        <v>442</v>
      </c>
    </row>
    <row r="5958" ht="15.75" customHeight="1">
      <c r="A5958" s="33" t="s">
        <v>9944</v>
      </c>
      <c r="B5958" s="33" t="s">
        <v>2809</v>
      </c>
      <c r="C5958" s="39">
        <v>46224.0</v>
      </c>
      <c r="D5958" s="33" t="s">
        <v>440</v>
      </c>
      <c r="E5958" s="40">
        <v>79.25</v>
      </c>
      <c r="F5958" s="40">
        <v>0.0</v>
      </c>
      <c r="G5958" s="33" t="s">
        <v>431</v>
      </c>
    </row>
    <row r="5959" ht="15.75" customHeight="1">
      <c r="A5959" s="33" t="s">
        <v>9945</v>
      </c>
      <c r="B5959" s="33" t="s">
        <v>1375</v>
      </c>
      <c r="C5959" s="39">
        <v>45807.0</v>
      </c>
      <c r="D5959" s="33" t="s">
        <v>479</v>
      </c>
      <c r="E5959" s="40">
        <v>6.97</v>
      </c>
      <c r="F5959" s="40">
        <v>0.11</v>
      </c>
      <c r="G5959" s="33" t="s">
        <v>431</v>
      </c>
    </row>
    <row r="5960" ht="15.75" customHeight="1">
      <c r="A5960" s="33" t="s">
        <v>9946</v>
      </c>
      <c r="B5960" s="33" t="s">
        <v>2268</v>
      </c>
      <c r="C5960" s="39">
        <v>46038.0</v>
      </c>
      <c r="D5960" s="33" t="s">
        <v>435</v>
      </c>
      <c r="E5960" s="40">
        <v>31.5</v>
      </c>
      <c r="F5960" s="40">
        <v>0.0</v>
      </c>
      <c r="G5960" s="33" t="s">
        <v>431</v>
      </c>
    </row>
    <row r="5961" ht="15.75" customHeight="1">
      <c r="A5961" s="33" t="s">
        <v>9947</v>
      </c>
      <c r="B5961" s="33" t="s">
        <v>1503</v>
      </c>
      <c r="C5961" s="39">
        <v>45712.0</v>
      </c>
      <c r="D5961" s="33" t="s">
        <v>428</v>
      </c>
      <c r="E5961" s="40">
        <v>78.99</v>
      </c>
      <c r="F5961" s="40">
        <v>0.0</v>
      </c>
      <c r="G5961" s="33" t="s">
        <v>450</v>
      </c>
    </row>
    <row r="5962" ht="15.75" customHeight="1">
      <c r="A5962" s="33" t="s">
        <v>9948</v>
      </c>
      <c r="B5962" s="33" t="s">
        <v>236</v>
      </c>
      <c r="C5962" s="39">
        <v>45685.0</v>
      </c>
      <c r="D5962" s="33" t="s">
        <v>428</v>
      </c>
      <c r="E5962" s="40">
        <v>69.31</v>
      </c>
      <c r="F5962" s="40">
        <v>0.0</v>
      </c>
      <c r="G5962" s="33" t="s">
        <v>450</v>
      </c>
    </row>
    <row r="5963" ht="15.75" customHeight="1">
      <c r="A5963" s="33" t="s">
        <v>9949</v>
      </c>
      <c r="B5963" s="33" t="s">
        <v>411</v>
      </c>
      <c r="C5963" s="39">
        <v>45734.0</v>
      </c>
      <c r="D5963" s="33" t="s">
        <v>479</v>
      </c>
      <c r="E5963" s="40">
        <v>69.29</v>
      </c>
      <c r="F5963" s="40">
        <v>0.51</v>
      </c>
      <c r="G5963" s="33" t="s">
        <v>431</v>
      </c>
    </row>
    <row r="5964" ht="15.75" customHeight="1">
      <c r="A5964" s="33" t="s">
        <v>9950</v>
      </c>
      <c r="B5964" s="33" t="s">
        <v>497</v>
      </c>
      <c r="C5964" s="39">
        <v>46230.0</v>
      </c>
      <c r="D5964" s="33" t="s">
        <v>461</v>
      </c>
      <c r="E5964" s="40">
        <v>115.85</v>
      </c>
      <c r="F5964" s="40">
        <v>1.15</v>
      </c>
      <c r="G5964" s="33" t="s">
        <v>450</v>
      </c>
    </row>
    <row r="5965" ht="15.75" customHeight="1">
      <c r="A5965" s="33" t="s">
        <v>9951</v>
      </c>
      <c r="B5965" s="33" t="s">
        <v>1598</v>
      </c>
      <c r="C5965" s="39">
        <v>45785.0</v>
      </c>
      <c r="D5965" s="33" t="s">
        <v>479</v>
      </c>
      <c r="E5965" s="40">
        <v>150.44</v>
      </c>
      <c r="F5965" s="40">
        <v>1.81</v>
      </c>
      <c r="G5965" s="33" t="s">
        <v>442</v>
      </c>
    </row>
    <row r="5966" ht="15.75" customHeight="1">
      <c r="A5966" s="33" t="s">
        <v>9952</v>
      </c>
      <c r="B5966" s="33" t="s">
        <v>2826</v>
      </c>
      <c r="C5966" s="39">
        <v>46191.0</v>
      </c>
      <c r="D5966" s="33" t="s">
        <v>461</v>
      </c>
      <c r="E5966" s="40">
        <v>160.95</v>
      </c>
      <c r="F5966" s="40">
        <v>1.24</v>
      </c>
      <c r="G5966" s="33" t="s">
        <v>450</v>
      </c>
    </row>
    <row r="5967" ht="15.75" customHeight="1">
      <c r="A5967" s="33" t="s">
        <v>9953</v>
      </c>
      <c r="B5967" s="33" t="s">
        <v>572</v>
      </c>
      <c r="C5967" s="39">
        <v>46010.0</v>
      </c>
      <c r="D5967" s="33" t="s">
        <v>428</v>
      </c>
      <c r="E5967" s="40">
        <v>233.57</v>
      </c>
      <c r="F5967" s="40">
        <v>0.0</v>
      </c>
      <c r="G5967" s="33" t="s">
        <v>450</v>
      </c>
    </row>
    <row r="5968" ht="15.75" customHeight="1">
      <c r="A5968" s="33" t="s">
        <v>9954</v>
      </c>
      <c r="B5968" s="33" t="s">
        <v>1488</v>
      </c>
      <c r="C5968" s="39">
        <v>45711.0</v>
      </c>
      <c r="D5968" s="33" t="s">
        <v>435</v>
      </c>
      <c r="E5968" s="40">
        <v>8.08</v>
      </c>
      <c r="F5968" s="40">
        <v>0.0</v>
      </c>
      <c r="G5968" s="33" t="s">
        <v>442</v>
      </c>
    </row>
    <row r="5969" ht="15.75" customHeight="1">
      <c r="A5969" s="33" t="s">
        <v>9955</v>
      </c>
      <c r="B5969" s="33" t="s">
        <v>1130</v>
      </c>
      <c r="C5969" s="39">
        <v>45925.0</v>
      </c>
      <c r="D5969" s="33" t="s">
        <v>440</v>
      </c>
      <c r="E5969" s="40">
        <v>40.85</v>
      </c>
      <c r="F5969" s="40">
        <v>0.0</v>
      </c>
      <c r="G5969" s="33" t="s">
        <v>442</v>
      </c>
    </row>
    <row r="5970" ht="15.75" customHeight="1">
      <c r="A5970" s="33" t="s">
        <v>9956</v>
      </c>
      <c r="B5970" s="33" t="s">
        <v>786</v>
      </c>
      <c r="C5970" s="39">
        <v>45948.0</v>
      </c>
      <c r="D5970" s="33" t="s">
        <v>479</v>
      </c>
      <c r="E5970" s="40">
        <v>29.64</v>
      </c>
      <c r="F5970" s="40">
        <v>0.33</v>
      </c>
      <c r="G5970" s="33" t="s">
        <v>450</v>
      </c>
    </row>
    <row r="5971" ht="15.75" customHeight="1">
      <c r="A5971" s="33" t="s">
        <v>9957</v>
      </c>
      <c r="B5971" s="33" t="s">
        <v>684</v>
      </c>
      <c r="C5971" s="39">
        <v>45820.0</v>
      </c>
      <c r="D5971" s="33" t="s">
        <v>428</v>
      </c>
      <c r="E5971" s="40">
        <v>238.43</v>
      </c>
      <c r="F5971" s="40">
        <v>0.0</v>
      </c>
      <c r="G5971" s="33" t="s">
        <v>450</v>
      </c>
    </row>
    <row r="5972" ht="15.75" customHeight="1">
      <c r="A5972" s="33" t="s">
        <v>9958</v>
      </c>
      <c r="B5972" s="33" t="s">
        <v>1368</v>
      </c>
      <c r="C5972" s="39">
        <v>46024.0</v>
      </c>
      <c r="D5972" s="33" t="s">
        <v>479</v>
      </c>
      <c r="E5972" s="40">
        <v>80.25</v>
      </c>
      <c r="F5972" s="40">
        <v>0.85</v>
      </c>
      <c r="G5972" s="33" t="s">
        <v>431</v>
      </c>
    </row>
    <row r="5973" ht="15.75" customHeight="1">
      <c r="A5973" s="33" t="s">
        <v>9959</v>
      </c>
      <c r="B5973" s="33" t="s">
        <v>540</v>
      </c>
      <c r="C5973" s="39">
        <v>46180.0</v>
      </c>
      <c r="D5973" s="33" t="s">
        <v>440</v>
      </c>
      <c r="E5973" s="40">
        <v>71.96</v>
      </c>
      <c r="F5973" s="40">
        <v>0.0</v>
      </c>
      <c r="G5973" s="33" t="s">
        <v>450</v>
      </c>
    </row>
    <row r="5974" ht="15.75" customHeight="1">
      <c r="A5974" s="33" t="s">
        <v>9960</v>
      </c>
      <c r="B5974" s="33" t="s">
        <v>872</v>
      </c>
      <c r="C5974" s="39">
        <v>46194.0</v>
      </c>
      <c r="D5974" s="33" t="s">
        <v>435</v>
      </c>
      <c r="E5974" s="40">
        <v>53.59</v>
      </c>
      <c r="F5974" s="40">
        <v>0.0</v>
      </c>
      <c r="G5974" s="33" t="s">
        <v>431</v>
      </c>
    </row>
    <row r="5975" ht="15.75" customHeight="1">
      <c r="A5975" s="33" t="s">
        <v>9961</v>
      </c>
      <c r="B5975" s="33" t="s">
        <v>3407</v>
      </c>
      <c r="C5975" s="39">
        <v>45976.0</v>
      </c>
      <c r="D5975" s="33" t="s">
        <v>479</v>
      </c>
      <c r="E5975" s="40">
        <v>51.29</v>
      </c>
      <c r="F5975" s="40">
        <v>0.67</v>
      </c>
      <c r="G5975" s="33" t="s">
        <v>450</v>
      </c>
    </row>
    <row r="5976" ht="15.75" customHeight="1">
      <c r="A5976" s="33" t="s">
        <v>9962</v>
      </c>
      <c r="B5976" s="33" t="s">
        <v>696</v>
      </c>
      <c r="C5976" s="39">
        <v>46200.0</v>
      </c>
      <c r="D5976" s="33" t="s">
        <v>440</v>
      </c>
      <c r="E5976" s="40">
        <v>51.03</v>
      </c>
      <c r="F5976" s="40">
        <v>0.0</v>
      </c>
      <c r="G5976" s="33" t="s">
        <v>431</v>
      </c>
    </row>
    <row r="5977" ht="15.75" customHeight="1">
      <c r="A5977" s="33" t="s">
        <v>9963</v>
      </c>
      <c r="B5977" s="33" t="s">
        <v>1737</v>
      </c>
      <c r="C5977" s="39">
        <v>46218.0</v>
      </c>
      <c r="D5977" s="33" t="s">
        <v>440</v>
      </c>
      <c r="E5977" s="40">
        <v>54.63</v>
      </c>
      <c r="F5977" s="40">
        <v>0.0</v>
      </c>
      <c r="G5977" s="33" t="s">
        <v>431</v>
      </c>
    </row>
    <row r="5978" ht="15.75" customHeight="1">
      <c r="A5978" s="33" t="s">
        <v>9964</v>
      </c>
      <c r="B5978" s="33" t="s">
        <v>2299</v>
      </c>
      <c r="C5978" s="39">
        <v>45711.0</v>
      </c>
      <c r="D5978" s="33" t="s">
        <v>428</v>
      </c>
      <c r="E5978" s="40">
        <v>50.38</v>
      </c>
      <c r="F5978" s="40">
        <v>0.0</v>
      </c>
      <c r="G5978" s="33" t="s">
        <v>442</v>
      </c>
    </row>
    <row r="5979" ht="15.75" customHeight="1">
      <c r="A5979" s="33" t="s">
        <v>9965</v>
      </c>
      <c r="B5979" s="33" t="s">
        <v>1344</v>
      </c>
      <c r="C5979" s="39">
        <v>46043.0</v>
      </c>
      <c r="D5979" s="33" t="s">
        <v>479</v>
      </c>
      <c r="E5979" s="40">
        <v>202.31</v>
      </c>
      <c r="F5979" s="40">
        <v>1.03</v>
      </c>
      <c r="G5979" s="33" t="s">
        <v>450</v>
      </c>
    </row>
    <row r="5980" ht="15.75" customHeight="1">
      <c r="A5980" s="33" t="s">
        <v>9966</v>
      </c>
      <c r="B5980" s="33" t="s">
        <v>1887</v>
      </c>
      <c r="C5980" s="39">
        <v>46127.0</v>
      </c>
      <c r="D5980" s="33" t="s">
        <v>435</v>
      </c>
      <c r="E5980" s="40">
        <v>291.78</v>
      </c>
      <c r="F5980" s="40">
        <v>0.0</v>
      </c>
      <c r="G5980" s="33" t="s">
        <v>431</v>
      </c>
    </row>
    <row r="5981" ht="15.75" customHeight="1">
      <c r="A5981" s="33" t="s">
        <v>9967</v>
      </c>
      <c r="B5981" s="33" t="s">
        <v>1346</v>
      </c>
      <c r="C5981" s="39">
        <v>45667.0</v>
      </c>
      <c r="D5981" s="33" t="s">
        <v>435</v>
      </c>
      <c r="E5981" s="40">
        <v>280.42</v>
      </c>
      <c r="F5981" s="40">
        <v>0.0</v>
      </c>
      <c r="G5981" s="33" t="s">
        <v>450</v>
      </c>
    </row>
    <row r="5982" ht="15.75" customHeight="1">
      <c r="A5982" s="33" t="s">
        <v>9968</v>
      </c>
      <c r="B5982" s="33" t="s">
        <v>240</v>
      </c>
      <c r="C5982" s="39">
        <v>46024.0</v>
      </c>
      <c r="D5982" s="33" t="s">
        <v>440</v>
      </c>
      <c r="E5982" s="40">
        <v>13.96</v>
      </c>
      <c r="F5982" s="40">
        <v>0.0</v>
      </c>
      <c r="G5982" s="33" t="s">
        <v>450</v>
      </c>
    </row>
    <row r="5983" ht="15.75" customHeight="1">
      <c r="A5983" s="33" t="s">
        <v>9969</v>
      </c>
      <c r="B5983" s="33" t="s">
        <v>1375</v>
      </c>
      <c r="C5983" s="39">
        <v>46212.0</v>
      </c>
      <c r="D5983" s="33" t="s">
        <v>435</v>
      </c>
      <c r="E5983" s="40">
        <v>45.09</v>
      </c>
      <c r="F5983" s="40">
        <v>0.0</v>
      </c>
      <c r="G5983" s="33" t="s">
        <v>450</v>
      </c>
    </row>
    <row r="5984" ht="15.75" customHeight="1">
      <c r="A5984" s="33" t="s">
        <v>9970</v>
      </c>
      <c r="B5984" s="33" t="s">
        <v>2362</v>
      </c>
      <c r="C5984" s="39">
        <v>45820.0</v>
      </c>
      <c r="D5984" s="33" t="s">
        <v>479</v>
      </c>
      <c r="E5984" s="40">
        <v>10.53</v>
      </c>
      <c r="F5984" s="40">
        <v>0.16</v>
      </c>
      <c r="G5984" s="33" t="s">
        <v>450</v>
      </c>
    </row>
    <row r="5985" ht="15.75" customHeight="1">
      <c r="A5985" s="33" t="s">
        <v>9971</v>
      </c>
      <c r="B5985" s="33" t="s">
        <v>790</v>
      </c>
      <c r="C5985" s="39">
        <v>46178.0</v>
      </c>
      <c r="D5985" s="33" t="s">
        <v>479</v>
      </c>
      <c r="E5985" s="40">
        <v>287.1</v>
      </c>
      <c r="F5985" s="40">
        <v>3.78</v>
      </c>
      <c r="G5985" s="33" t="s">
        <v>442</v>
      </c>
    </row>
    <row r="5986" ht="15.75" customHeight="1">
      <c r="A5986" s="33" t="s">
        <v>9972</v>
      </c>
      <c r="B5986" s="33" t="s">
        <v>1266</v>
      </c>
      <c r="C5986" s="39">
        <v>46224.0</v>
      </c>
      <c r="D5986" s="33" t="s">
        <v>428</v>
      </c>
      <c r="E5986" s="40">
        <v>99.84</v>
      </c>
      <c r="F5986" s="40">
        <v>0.0</v>
      </c>
      <c r="G5986" s="33" t="s">
        <v>450</v>
      </c>
    </row>
    <row r="5987" ht="15.75" customHeight="1">
      <c r="A5987" s="33" t="s">
        <v>9973</v>
      </c>
      <c r="B5987" s="33" t="s">
        <v>1052</v>
      </c>
      <c r="C5987" s="39">
        <v>46043.0</v>
      </c>
      <c r="D5987" s="33" t="s">
        <v>440</v>
      </c>
      <c r="E5987" s="40">
        <v>134.04</v>
      </c>
      <c r="F5987" s="40">
        <v>0.0</v>
      </c>
      <c r="G5987" s="33" t="s">
        <v>431</v>
      </c>
    </row>
    <row r="5988" ht="15.75" customHeight="1">
      <c r="A5988" s="33" t="s">
        <v>9974</v>
      </c>
      <c r="B5988" s="33" t="s">
        <v>3633</v>
      </c>
      <c r="C5988" s="39">
        <v>46040.0</v>
      </c>
      <c r="D5988" s="33" t="s">
        <v>440</v>
      </c>
      <c r="E5988" s="40">
        <v>67.6</v>
      </c>
      <c r="F5988" s="40">
        <v>0.0</v>
      </c>
      <c r="G5988" s="33" t="s">
        <v>450</v>
      </c>
    </row>
    <row r="5989" ht="15.75" customHeight="1">
      <c r="A5989" s="33" t="s">
        <v>9975</v>
      </c>
      <c r="B5989" s="33" t="s">
        <v>308</v>
      </c>
      <c r="C5989" s="39">
        <v>45982.0</v>
      </c>
      <c r="D5989" s="33" t="s">
        <v>461</v>
      </c>
      <c r="E5989" s="40">
        <v>72.2</v>
      </c>
      <c r="F5989" s="40">
        <v>0.54</v>
      </c>
      <c r="G5989" s="33" t="s">
        <v>450</v>
      </c>
    </row>
    <row r="5990" ht="15.75" customHeight="1">
      <c r="A5990" s="33" t="s">
        <v>9976</v>
      </c>
      <c r="B5990" s="33" t="s">
        <v>1183</v>
      </c>
      <c r="C5990" s="39">
        <v>45906.0</v>
      </c>
      <c r="D5990" s="33" t="s">
        <v>461</v>
      </c>
      <c r="E5990" s="40">
        <v>172.73</v>
      </c>
      <c r="F5990" s="40">
        <v>1.25</v>
      </c>
      <c r="G5990" s="33" t="s">
        <v>431</v>
      </c>
    </row>
    <row r="5991" ht="15.75" customHeight="1">
      <c r="A5991" s="33" t="s">
        <v>9977</v>
      </c>
      <c r="B5991" s="33" t="s">
        <v>530</v>
      </c>
      <c r="C5991" s="39">
        <v>45932.0</v>
      </c>
      <c r="D5991" s="33" t="s">
        <v>435</v>
      </c>
      <c r="E5991" s="40">
        <v>79.67</v>
      </c>
      <c r="F5991" s="40">
        <v>0.0</v>
      </c>
      <c r="G5991" s="33" t="s">
        <v>431</v>
      </c>
    </row>
    <row r="5992" ht="15.75" customHeight="1">
      <c r="A5992" s="33" t="s">
        <v>9978</v>
      </c>
      <c r="B5992" s="33" t="s">
        <v>240</v>
      </c>
      <c r="C5992" s="39">
        <v>45975.0</v>
      </c>
      <c r="D5992" s="33" t="s">
        <v>435</v>
      </c>
      <c r="E5992" s="40">
        <v>82.18</v>
      </c>
      <c r="F5992" s="40">
        <v>0.0</v>
      </c>
      <c r="G5992" s="33" t="s">
        <v>431</v>
      </c>
    </row>
    <row r="5993" ht="15.75" customHeight="1">
      <c r="A5993" s="33" t="s">
        <v>9979</v>
      </c>
      <c r="B5993" s="33" t="s">
        <v>1102</v>
      </c>
      <c r="C5993" s="39">
        <v>45950.0</v>
      </c>
      <c r="D5993" s="33" t="s">
        <v>435</v>
      </c>
      <c r="E5993" s="40">
        <v>126.22</v>
      </c>
      <c r="F5993" s="40">
        <v>0.0</v>
      </c>
      <c r="G5993" s="33" t="s">
        <v>442</v>
      </c>
    </row>
    <row r="5994" ht="15.75" customHeight="1">
      <c r="A5994" s="33" t="s">
        <v>9980</v>
      </c>
      <c r="B5994" s="33" t="s">
        <v>2165</v>
      </c>
      <c r="C5994" s="39">
        <v>46159.0</v>
      </c>
      <c r="D5994" s="33" t="s">
        <v>461</v>
      </c>
      <c r="E5994" s="40">
        <v>115.74</v>
      </c>
      <c r="F5994" s="40">
        <v>0.72</v>
      </c>
      <c r="G5994" s="33" t="s">
        <v>450</v>
      </c>
    </row>
    <row r="5995" ht="15.75" customHeight="1">
      <c r="A5995" s="33" t="s">
        <v>9981</v>
      </c>
      <c r="B5995" s="33" t="s">
        <v>3864</v>
      </c>
      <c r="C5995" s="39">
        <v>46124.0</v>
      </c>
      <c r="D5995" s="33" t="s">
        <v>440</v>
      </c>
      <c r="E5995" s="40">
        <v>77.61</v>
      </c>
      <c r="F5995" s="40">
        <v>0.0</v>
      </c>
      <c r="G5995" s="33" t="s">
        <v>450</v>
      </c>
    </row>
    <row r="5996" ht="15.75" customHeight="1">
      <c r="A5996" s="33" t="s">
        <v>9982</v>
      </c>
      <c r="B5996" s="33" t="s">
        <v>880</v>
      </c>
      <c r="C5996" s="39">
        <v>45868.0</v>
      </c>
      <c r="D5996" s="33" t="s">
        <v>428</v>
      </c>
      <c r="E5996" s="40">
        <v>52.5</v>
      </c>
      <c r="F5996" s="40">
        <v>0.0</v>
      </c>
      <c r="G5996" s="33" t="s">
        <v>450</v>
      </c>
    </row>
    <row r="5997" ht="15.75" customHeight="1">
      <c r="A5997" s="33" t="s">
        <v>9983</v>
      </c>
      <c r="B5997" s="33" t="s">
        <v>1137</v>
      </c>
      <c r="C5997" s="39">
        <v>45969.0</v>
      </c>
      <c r="D5997" s="33" t="s">
        <v>479</v>
      </c>
      <c r="E5997" s="40">
        <v>49.3</v>
      </c>
      <c r="F5997" s="40">
        <v>0.43</v>
      </c>
      <c r="G5997" s="33" t="s">
        <v>450</v>
      </c>
    </row>
    <row r="5998" ht="15.75" customHeight="1">
      <c r="A5998" s="33" t="s">
        <v>9984</v>
      </c>
      <c r="B5998" s="33" t="s">
        <v>3195</v>
      </c>
      <c r="C5998" s="39">
        <v>45788.0</v>
      </c>
      <c r="D5998" s="33" t="s">
        <v>428</v>
      </c>
      <c r="E5998" s="40">
        <v>162.65</v>
      </c>
      <c r="F5998" s="40">
        <v>0.0</v>
      </c>
      <c r="G5998" s="33" t="s">
        <v>450</v>
      </c>
    </row>
    <row r="5999" ht="15.75" customHeight="1">
      <c r="A5999" s="33" t="s">
        <v>9985</v>
      </c>
      <c r="B5999" s="33" t="s">
        <v>870</v>
      </c>
      <c r="C5999" s="39">
        <v>45764.0</v>
      </c>
      <c r="D5999" s="33" t="s">
        <v>440</v>
      </c>
      <c r="E5999" s="40">
        <v>83.52</v>
      </c>
      <c r="F5999" s="40">
        <v>0.0</v>
      </c>
      <c r="G5999" s="33" t="s">
        <v>450</v>
      </c>
    </row>
    <row r="6000" ht="15.75" customHeight="1">
      <c r="A6000" s="33" t="s">
        <v>9986</v>
      </c>
      <c r="B6000" s="33" t="s">
        <v>1352</v>
      </c>
      <c r="C6000" s="39">
        <v>45881.0</v>
      </c>
      <c r="D6000" s="33" t="s">
        <v>479</v>
      </c>
      <c r="E6000" s="40">
        <v>40.07</v>
      </c>
      <c r="F6000" s="40">
        <v>0.32</v>
      </c>
      <c r="G6000" s="33" t="s">
        <v>442</v>
      </c>
    </row>
    <row r="6001" ht="15.75" customHeight="1">
      <c r="A6001" s="33" t="s">
        <v>9987</v>
      </c>
      <c r="B6001" s="33" t="s">
        <v>1113</v>
      </c>
      <c r="C6001" s="39">
        <v>45693.0</v>
      </c>
      <c r="D6001" s="33" t="s">
        <v>435</v>
      </c>
      <c r="E6001" s="40">
        <v>144.68</v>
      </c>
      <c r="F6001" s="40">
        <v>0.0</v>
      </c>
      <c r="G6001" s="33" t="s">
        <v>442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3.0"/>
    <col customWidth="1" min="3" max="3" width="12.0"/>
    <col customWidth="1" min="4" max="4" width="13.0"/>
    <col customWidth="1" min="5" max="5" width="16.0"/>
    <col customWidth="1" min="6" max="26" width="8.71"/>
  </cols>
  <sheetData>
    <row r="1">
      <c r="A1" s="38" t="s">
        <v>3617</v>
      </c>
      <c r="B1" s="38" t="s">
        <v>160</v>
      </c>
      <c r="C1" s="38" t="s">
        <v>3620</v>
      </c>
      <c r="D1" s="38" t="s">
        <v>3621</v>
      </c>
      <c r="E1" s="38" t="s">
        <v>165</v>
      </c>
    </row>
    <row r="2">
      <c r="A2" s="33" t="s">
        <v>3623</v>
      </c>
      <c r="B2" s="33" t="s">
        <v>177</v>
      </c>
      <c r="C2" s="39">
        <v>46062.0</v>
      </c>
      <c r="D2" s="40">
        <v>6461.33</v>
      </c>
      <c r="E2" s="33" t="s">
        <v>180</v>
      </c>
    </row>
    <row r="3">
      <c r="A3" s="33" t="s">
        <v>3625</v>
      </c>
      <c r="B3" s="33" t="s">
        <v>183</v>
      </c>
      <c r="C3" s="39">
        <v>46148.0</v>
      </c>
      <c r="D3" s="40">
        <v>2662.1</v>
      </c>
      <c r="E3" s="33" t="s">
        <v>180</v>
      </c>
    </row>
    <row r="4">
      <c r="A4" s="33" t="s">
        <v>3627</v>
      </c>
      <c r="B4" s="33" t="s">
        <v>186</v>
      </c>
      <c r="C4" s="39">
        <v>46176.0</v>
      </c>
      <c r="D4" s="40">
        <v>1292.8</v>
      </c>
      <c r="E4" s="33" t="s">
        <v>180</v>
      </c>
    </row>
    <row r="5">
      <c r="A5" s="33" t="s">
        <v>3629</v>
      </c>
      <c r="B5" s="33" t="s">
        <v>191</v>
      </c>
      <c r="C5" s="39">
        <v>46203.0</v>
      </c>
      <c r="D5" s="40">
        <v>805.81</v>
      </c>
      <c r="E5" s="33" t="s">
        <v>180</v>
      </c>
    </row>
    <row r="6">
      <c r="A6" s="33" t="s">
        <v>3631</v>
      </c>
      <c r="B6" s="33" t="s">
        <v>192</v>
      </c>
      <c r="C6" s="39">
        <v>46053.0</v>
      </c>
      <c r="D6" s="40">
        <v>1529.63</v>
      </c>
      <c r="E6" s="33" t="s">
        <v>180</v>
      </c>
    </row>
    <row r="7">
      <c r="A7" s="33" t="s">
        <v>3634</v>
      </c>
      <c r="B7" s="33" t="s">
        <v>195</v>
      </c>
      <c r="C7" s="39">
        <v>46192.0</v>
      </c>
      <c r="D7" s="40">
        <v>3355.08</v>
      </c>
      <c r="E7" s="33" t="s">
        <v>180</v>
      </c>
    </row>
    <row r="8">
      <c r="A8" s="33" t="s">
        <v>3635</v>
      </c>
      <c r="B8" s="33" t="s">
        <v>199</v>
      </c>
      <c r="C8" s="39">
        <v>45990.0</v>
      </c>
      <c r="D8" s="40">
        <v>2409.75</v>
      </c>
      <c r="E8" s="33" t="s">
        <v>180</v>
      </c>
    </row>
    <row r="9">
      <c r="A9" s="33" t="s">
        <v>3637</v>
      </c>
      <c r="B9" s="33" t="s">
        <v>201</v>
      </c>
      <c r="C9" s="39">
        <v>46111.0</v>
      </c>
      <c r="D9" s="40">
        <v>2109.01</v>
      </c>
      <c r="E9" s="33" t="s">
        <v>180</v>
      </c>
    </row>
    <row r="10">
      <c r="A10" s="33" t="s">
        <v>3638</v>
      </c>
      <c r="B10" s="33" t="s">
        <v>204</v>
      </c>
      <c r="C10" s="39">
        <v>46093.0</v>
      </c>
      <c r="D10" s="40">
        <v>1651.33</v>
      </c>
      <c r="E10" s="33" t="s">
        <v>180</v>
      </c>
    </row>
    <row r="11">
      <c r="A11" s="33" t="s">
        <v>3639</v>
      </c>
      <c r="B11" s="33" t="s">
        <v>206</v>
      </c>
      <c r="C11" s="39">
        <v>45842.0</v>
      </c>
      <c r="D11" s="40">
        <v>2296.73</v>
      </c>
      <c r="E11" s="33" t="s">
        <v>180</v>
      </c>
    </row>
    <row r="12">
      <c r="A12" s="33" t="s">
        <v>3641</v>
      </c>
      <c r="B12" s="33" t="s">
        <v>208</v>
      </c>
      <c r="C12" s="39">
        <v>46167.0</v>
      </c>
      <c r="D12" s="40">
        <v>504.91</v>
      </c>
      <c r="E12" s="33" t="s">
        <v>180</v>
      </c>
    </row>
    <row r="13">
      <c r="A13" s="33" t="s">
        <v>3643</v>
      </c>
      <c r="B13" s="33" t="s">
        <v>213</v>
      </c>
      <c r="C13" s="39">
        <v>46260.0</v>
      </c>
      <c r="D13" s="40">
        <v>1381.27</v>
      </c>
      <c r="E13" s="33" t="s">
        <v>180</v>
      </c>
    </row>
    <row r="14">
      <c r="A14" s="33" t="s">
        <v>3645</v>
      </c>
      <c r="B14" s="33" t="s">
        <v>220</v>
      </c>
      <c r="C14" s="39">
        <v>46264.0</v>
      </c>
      <c r="D14" s="40">
        <v>1320.1</v>
      </c>
      <c r="E14" s="33" t="s">
        <v>180</v>
      </c>
    </row>
    <row r="15">
      <c r="A15" s="33" t="s">
        <v>3647</v>
      </c>
      <c r="B15" s="33" t="s">
        <v>225</v>
      </c>
      <c r="C15" s="39">
        <v>46147.0</v>
      </c>
      <c r="D15" s="40">
        <v>1365.17</v>
      </c>
      <c r="E15" s="33" t="s">
        <v>180</v>
      </c>
    </row>
    <row r="16">
      <c r="A16" s="33" t="s">
        <v>3649</v>
      </c>
      <c r="B16" s="33" t="s">
        <v>231</v>
      </c>
      <c r="C16" s="39">
        <v>46253.0</v>
      </c>
      <c r="D16" s="40">
        <v>2992.15</v>
      </c>
      <c r="E16" s="33" t="s">
        <v>180</v>
      </c>
    </row>
    <row r="17">
      <c r="A17" s="33" t="s">
        <v>3653</v>
      </c>
      <c r="B17" s="33" t="s">
        <v>236</v>
      </c>
      <c r="C17" s="39">
        <v>46176.0</v>
      </c>
      <c r="D17" s="40">
        <v>462.11</v>
      </c>
      <c r="E17" s="33" t="s">
        <v>180</v>
      </c>
    </row>
    <row r="18">
      <c r="A18" s="33" t="s">
        <v>3654</v>
      </c>
      <c r="B18" s="33" t="s">
        <v>240</v>
      </c>
      <c r="C18" s="39">
        <v>46014.0</v>
      </c>
      <c r="D18" s="40">
        <v>1365.3</v>
      </c>
      <c r="E18" s="33" t="s">
        <v>180</v>
      </c>
    </row>
    <row r="19">
      <c r="A19" s="33" t="s">
        <v>3657</v>
      </c>
      <c r="B19" s="33" t="s">
        <v>246</v>
      </c>
      <c r="C19" s="39">
        <v>46213.0</v>
      </c>
      <c r="D19" s="40">
        <v>1872.57</v>
      </c>
      <c r="E19" s="33" t="s">
        <v>180</v>
      </c>
    </row>
    <row r="20">
      <c r="A20" s="33" t="s">
        <v>3658</v>
      </c>
      <c r="B20" s="33" t="s">
        <v>251</v>
      </c>
      <c r="C20" s="39">
        <v>46222.0</v>
      </c>
      <c r="D20" s="40">
        <v>1627.99</v>
      </c>
      <c r="E20" s="33" t="s">
        <v>180</v>
      </c>
    </row>
    <row r="21" ht="15.75" customHeight="1">
      <c r="A21" s="33" t="s">
        <v>3661</v>
      </c>
      <c r="B21" s="33" t="s">
        <v>255</v>
      </c>
      <c r="C21" s="39">
        <v>46119.0</v>
      </c>
      <c r="D21" s="40">
        <v>1674.7</v>
      </c>
      <c r="E21" s="33" t="s">
        <v>180</v>
      </c>
    </row>
    <row r="22" ht="15.75" customHeight="1">
      <c r="A22" s="33" t="s">
        <v>3663</v>
      </c>
      <c r="B22" s="33" t="s">
        <v>261</v>
      </c>
      <c r="C22" s="39">
        <v>45998.0</v>
      </c>
      <c r="D22" s="40">
        <v>439.5</v>
      </c>
      <c r="E22" s="33" t="s">
        <v>180</v>
      </c>
    </row>
    <row r="23" ht="15.75" customHeight="1">
      <c r="A23" s="33" t="s">
        <v>3666</v>
      </c>
      <c r="B23" s="33" t="s">
        <v>265</v>
      </c>
      <c r="C23" s="39">
        <v>45853.0</v>
      </c>
      <c r="D23" s="40">
        <v>2258.01</v>
      </c>
      <c r="E23" s="33" t="s">
        <v>180</v>
      </c>
    </row>
    <row r="24" ht="15.75" customHeight="1">
      <c r="A24" s="33" t="s">
        <v>3667</v>
      </c>
      <c r="B24" s="33" t="s">
        <v>268</v>
      </c>
      <c r="C24" s="39">
        <v>46222.0</v>
      </c>
      <c r="D24" s="40">
        <v>571.79</v>
      </c>
      <c r="E24" s="33" t="s">
        <v>180</v>
      </c>
    </row>
    <row r="25" ht="15.75" customHeight="1">
      <c r="A25" s="33" t="s">
        <v>3670</v>
      </c>
      <c r="B25" s="33" t="s">
        <v>273</v>
      </c>
      <c r="C25" s="39">
        <v>46246.0</v>
      </c>
      <c r="D25" s="40">
        <v>771.91</v>
      </c>
      <c r="E25" s="33" t="s">
        <v>180</v>
      </c>
    </row>
    <row r="26" ht="15.75" customHeight="1">
      <c r="A26" s="33" t="s">
        <v>3672</v>
      </c>
      <c r="B26" s="33" t="s">
        <v>276</v>
      </c>
      <c r="C26" s="39">
        <v>46052.0</v>
      </c>
      <c r="D26" s="40">
        <v>2973.0</v>
      </c>
      <c r="E26" s="33" t="s">
        <v>180</v>
      </c>
    </row>
    <row r="27" ht="15.75" customHeight="1">
      <c r="A27" s="33" t="s">
        <v>3674</v>
      </c>
      <c r="B27" s="33" t="s">
        <v>279</v>
      </c>
      <c r="C27" s="39">
        <v>46087.0</v>
      </c>
      <c r="D27" s="40">
        <v>1862.86</v>
      </c>
      <c r="E27" s="33" t="s">
        <v>180</v>
      </c>
    </row>
    <row r="28" ht="15.75" customHeight="1">
      <c r="A28" s="33" t="s">
        <v>3677</v>
      </c>
      <c r="B28" s="33" t="s">
        <v>282</v>
      </c>
      <c r="C28" s="39">
        <v>46185.0</v>
      </c>
      <c r="D28" s="40">
        <v>1176.03</v>
      </c>
      <c r="E28" s="33" t="s">
        <v>180</v>
      </c>
    </row>
    <row r="29" ht="15.75" customHeight="1">
      <c r="A29" s="33" t="s">
        <v>3679</v>
      </c>
      <c r="B29" s="33" t="s">
        <v>288</v>
      </c>
      <c r="C29" s="39">
        <v>46208.0</v>
      </c>
      <c r="D29" s="40">
        <v>5493.76</v>
      </c>
      <c r="E29" s="33" t="s">
        <v>180</v>
      </c>
    </row>
    <row r="30" ht="15.75" customHeight="1">
      <c r="A30" s="33" t="s">
        <v>3680</v>
      </c>
      <c r="B30" s="33" t="s">
        <v>291</v>
      </c>
      <c r="C30" s="39">
        <v>46165.0</v>
      </c>
      <c r="D30" s="40">
        <v>1386.56</v>
      </c>
      <c r="E30" s="33" t="s">
        <v>180</v>
      </c>
    </row>
    <row r="31" ht="15.75" customHeight="1">
      <c r="A31" s="33" t="s">
        <v>3682</v>
      </c>
      <c r="B31" s="33" t="s">
        <v>297</v>
      </c>
      <c r="C31" s="39">
        <v>45756.0</v>
      </c>
      <c r="D31" s="40">
        <v>750.72</v>
      </c>
      <c r="E31" s="33" t="s">
        <v>180</v>
      </c>
    </row>
    <row r="32" ht="15.75" customHeight="1">
      <c r="A32" s="33" t="s">
        <v>3684</v>
      </c>
      <c r="B32" s="33" t="s">
        <v>300</v>
      </c>
      <c r="C32" s="39">
        <v>46028.0</v>
      </c>
      <c r="D32" s="40">
        <v>342.85</v>
      </c>
      <c r="E32" s="33" t="s">
        <v>180</v>
      </c>
    </row>
    <row r="33" ht="15.75" customHeight="1">
      <c r="A33" s="33" t="s">
        <v>3686</v>
      </c>
      <c r="B33" s="33" t="s">
        <v>303</v>
      </c>
      <c r="C33" s="39">
        <v>46207.0</v>
      </c>
      <c r="D33" s="40">
        <v>3337.16</v>
      </c>
      <c r="E33" s="33" t="s">
        <v>180</v>
      </c>
    </row>
    <row r="34" ht="15.75" customHeight="1">
      <c r="A34" s="33" t="s">
        <v>3689</v>
      </c>
      <c r="B34" s="33" t="s">
        <v>306</v>
      </c>
      <c r="C34" s="39">
        <v>46101.0</v>
      </c>
      <c r="D34" s="40">
        <v>2812.36</v>
      </c>
      <c r="E34" s="33" t="s">
        <v>180</v>
      </c>
    </row>
    <row r="35" ht="15.75" customHeight="1">
      <c r="A35" s="33" t="s">
        <v>3691</v>
      </c>
      <c r="B35" s="33" t="s">
        <v>309</v>
      </c>
      <c r="C35" s="39">
        <v>46185.0</v>
      </c>
      <c r="D35" s="40">
        <v>1764.66</v>
      </c>
      <c r="E35" s="33" t="s">
        <v>180</v>
      </c>
    </row>
    <row r="36" ht="15.75" customHeight="1">
      <c r="A36" s="33" t="s">
        <v>3694</v>
      </c>
      <c r="B36" s="33" t="s">
        <v>312</v>
      </c>
      <c r="C36" s="39">
        <v>46184.0</v>
      </c>
      <c r="D36" s="40">
        <v>990.47</v>
      </c>
      <c r="E36" s="33" t="s">
        <v>180</v>
      </c>
    </row>
    <row r="37" ht="15.75" customHeight="1">
      <c r="A37" s="33" t="s">
        <v>3697</v>
      </c>
      <c r="B37" s="33" t="s">
        <v>315</v>
      </c>
      <c r="C37" s="39">
        <v>46036.0</v>
      </c>
      <c r="D37" s="40">
        <v>2501.59</v>
      </c>
      <c r="E37" s="33" t="s">
        <v>180</v>
      </c>
    </row>
    <row r="38" ht="15.75" customHeight="1">
      <c r="A38" s="33" t="s">
        <v>3699</v>
      </c>
      <c r="B38" s="33" t="s">
        <v>318</v>
      </c>
      <c r="C38" s="39">
        <v>46082.0</v>
      </c>
      <c r="D38" s="40">
        <v>2725.3</v>
      </c>
      <c r="E38" s="33" t="s">
        <v>180</v>
      </c>
    </row>
    <row r="39" ht="15.75" customHeight="1">
      <c r="A39" s="33" t="s">
        <v>3701</v>
      </c>
      <c r="B39" s="33" t="s">
        <v>322</v>
      </c>
      <c r="C39" s="39">
        <v>45954.0</v>
      </c>
      <c r="D39" s="40">
        <v>114.27</v>
      </c>
      <c r="E39" s="33" t="s">
        <v>180</v>
      </c>
    </row>
    <row r="40" ht="15.75" customHeight="1">
      <c r="A40" s="33" t="s">
        <v>3702</v>
      </c>
      <c r="B40" s="33" t="s">
        <v>324</v>
      </c>
      <c r="C40" s="39">
        <v>46162.0</v>
      </c>
      <c r="D40" s="40">
        <v>740.24</v>
      </c>
      <c r="E40" s="33" t="s">
        <v>180</v>
      </c>
    </row>
    <row r="41" ht="15.75" customHeight="1">
      <c r="A41" s="33" t="s">
        <v>3704</v>
      </c>
      <c r="B41" s="33" t="s">
        <v>327</v>
      </c>
      <c r="C41" s="39">
        <v>46158.0</v>
      </c>
      <c r="D41" s="40">
        <v>3004.91</v>
      </c>
      <c r="E41" s="33" t="s">
        <v>330</v>
      </c>
    </row>
    <row r="42" ht="15.75" customHeight="1">
      <c r="A42" s="33" t="s">
        <v>3706</v>
      </c>
      <c r="B42" s="33" t="s">
        <v>337</v>
      </c>
      <c r="C42" s="39">
        <v>45714.0</v>
      </c>
      <c r="D42" s="40">
        <v>577.64</v>
      </c>
      <c r="E42" s="33" t="s">
        <v>180</v>
      </c>
    </row>
    <row r="43" ht="15.75" customHeight="1">
      <c r="A43" s="33" t="s">
        <v>3708</v>
      </c>
      <c r="B43" s="33" t="s">
        <v>344</v>
      </c>
      <c r="C43" s="39">
        <v>46253.0</v>
      </c>
      <c r="D43" s="40">
        <v>1337.23</v>
      </c>
      <c r="E43" s="33" t="s">
        <v>180</v>
      </c>
    </row>
    <row r="44" ht="15.75" customHeight="1">
      <c r="A44" s="33" t="s">
        <v>3711</v>
      </c>
      <c r="B44" s="33" t="s">
        <v>350</v>
      </c>
      <c r="C44" s="39">
        <v>46108.0</v>
      </c>
      <c r="D44" s="40">
        <v>1655.33</v>
      </c>
      <c r="E44" s="33" t="s">
        <v>330</v>
      </c>
    </row>
    <row r="45" ht="15.75" customHeight="1">
      <c r="A45" s="33" t="s">
        <v>3712</v>
      </c>
      <c r="B45" s="33" t="s">
        <v>352</v>
      </c>
      <c r="C45" s="39">
        <v>46227.0</v>
      </c>
      <c r="D45" s="40">
        <v>946.83</v>
      </c>
      <c r="E45" s="33" t="s">
        <v>180</v>
      </c>
    </row>
    <row r="46" ht="15.75" customHeight="1">
      <c r="A46" s="33" t="s">
        <v>3716</v>
      </c>
      <c r="B46" s="33" t="s">
        <v>356</v>
      </c>
      <c r="C46" s="39">
        <v>46253.0</v>
      </c>
      <c r="D46" s="40">
        <v>1918.14</v>
      </c>
      <c r="E46" s="33" t="s">
        <v>180</v>
      </c>
    </row>
    <row r="47" ht="15.75" customHeight="1">
      <c r="A47" s="33" t="s">
        <v>3717</v>
      </c>
      <c r="B47" s="33" t="s">
        <v>360</v>
      </c>
      <c r="C47" s="39">
        <v>46181.0</v>
      </c>
      <c r="D47" s="40">
        <v>954.15</v>
      </c>
      <c r="E47" s="33" t="s">
        <v>180</v>
      </c>
    </row>
    <row r="48" ht="15.75" customHeight="1">
      <c r="A48" s="33" t="s">
        <v>3720</v>
      </c>
      <c r="B48" s="33" t="s">
        <v>364</v>
      </c>
      <c r="C48" s="39">
        <v>46163.0</v>
      </c>
      <c r="D48" s="40">
        <v>744.35</v>
      </c>
      <c r="E48" s="33" t="s">
        <v>180</v>
      </c>
    </row>
    <row r="49" ht="15.75" customHeight="1">
      <c r="A49" s="33" t="s">
        <v>3722</v>
      </c>
      <c r="B49" s="33" t="s">
        <v>374</v>
      </c>
      <c r="C49" s="39">
        <v>45939.0</v>
      </c>
      <c r="D49" s="40">
        <v>542.97</v>
      </c>
      <c r="E49" s="33" t="s">
        <v>180</v>
      </c>
    </row>
    <row r="50" ht="15.75" customHeight="1">
      <c r="A50" s="33" t="s">
        <v>3724</v>
      </c>
      <c r="B50" s="33" t="s">
        <v>382</v>
      </c>
      <c r="C50" s="39">
        <v>46139.0</v>
      </c>
      <c r="D50" s="40">
        <v>535.87</v>
      </c>
      <c r="E50" s="33" t="s">
        <v>180</v>
      </c>
    </row>
    <row r="51" ht="15.75" customHeight="1">
      <c r="A51" s="33" t="s">
        <v>3726</v>
      </c>
      <c r="B51" s="33" t="s">
        <v>391</v>
      </c>
      <c r="C51" s="39">
        <v>46133.0</v>
      </c>
      <c r="D51" s="40">
        <v>3307.27</v>
      </c>
      <c r="E51" s="33" t="s">
        <v>180</v>
      </c>
    </row>
    <row r="52" ht="15.75" customHeight="1">
      <c r="A52" s="33" t="s">
        <v>3727</v>
      </c>
      <c r="B52" s="33" t="s">
        <v>398</v>
      </c>
      <c r="C52" s="39">
        <v>46003.0</v>
      </c>
      <c r="D52" s="40">
        <v>2619.35</v>
      </c>
      <c r="E52" s="33" t="s">
        <v>180</v>
      </c>
    </row>
    <row r="53" ht="15.75" customHeight="1">
      <c r="A53" s="33" t="s">
        <v>3730</v>
      </c>
      <c r="B53" s="33" t="s">
        <v>402</v>
      </c>
      <c r="C53" s="39">
        <v>46197.0</v>
      </c>
      <c r="D53" s="40">
        <v>1843.62</v>
      </c>
      <c r="E53" s="33" t="s">
        <v>180</v>
      </c>
    </row>
    <row r="54" ht="15.75" customHeight="1">
      <c r="A54" s="33" t="s">
        <v>3732</v>
      </c>
      <c r="B54" s="33" t="s">
        <v>408</v>
      </c>
      <c r="C54" s="39">
        <v>46261.0</v>
      </c>
      <c r="D54" s="40">
        <v>1633.61</v>
      </c>
      <c r="E54" s="33" t="s">
        <v>180</v>
      </c>
    </row>
    <row r="55" ht="15.75" customHeight="1">
      <c r="A55" s="33" t="s">
        <v>3733</v>
      </c>
      <c r="B55" s="33" t="s">
        <v>411</v>
      </c>
      <c r="C55" s="39">
        <v>46263.0</v>
      </c>
      <c r="D55" s="40">
        <v>5437.82</v>
      </c>
      <c r="E55" s="33" t="s">
        <v>180</v>
      </c>
    </row>
    <row r="56" ht="15.75" customHeight="1">
      <c r="A56" s="33" t="s">
        <v>3735</v>
      </c>
      <c r="B56" s="33" t="s">
        <v>349</v>
      </c>
      <c r="C56" s="39">
        <v>46254.0</v>
      </c>
      <c r="D56" s="40">
        <v>3048.3</v>
      </c>
      <c r="E56" s="33" t="s">
        <v>330</v>
      </c>
    </row>
    <row r="57" ht="15.75" customHeight="1">
      <c r="A57" s="33" t="s">
        <v>3736</v>
      </c>
      <c r="B57" s="33" t="s">
        <v>441</v>
      </c>
      <c r="C57" s="39">
        <v>46247.0</v>
      </c>
      <c r="D57" s="40">
        <v>3934.94</v>
      </c>
      <c r="E57" s="33" t="s">
        <v>180</v>
      </c>
    </row>
    <row r="58" ht="15.75" customHeight="1">
      <c r="A58" s="33" t="s">
        <v>3739</v>
      </c>
      <c r="B58" s="33" t="s">
        <v>448</v>
      </c>
      <c r="C58" s="39">
        <v>46227.0</v>
      </c>
      <c r="D58" s="40">
        <v>1711.38</v>
      </c>
      <c r="E58" s="33" t="s">
        <v>180</v>
      </c>
    </row>
    <row r="59" ht="15.75" customHeight="1">
      <c r="A59" s="33" t="s">
        <v>3740</v>
      </c>
      <c r="B59" s="33" t="s">
        <v>470</v>
      </c>
      <c r="C59" s="39">
        <v>46039.0</v>
      </c>
      <c r="D59" s="40">
        <v>925.05</v>
      </c>
      <c r="E59" s="33" t="s">
        <v>180</v>
      </c>
    </row>
    <row r="60" ht="15.75" customHeight="1">
      <c r="A60" s="33" t="s">
        <v>3742</v>
      </c>
      <c r="B60" s="33" t="s">
        <v>475</v>
      </c>
      <c r="C60" s="39">
        <v>46188.0</v>
      </c>
      <c r="D60" s="40">
        <v>716.93</v>
      </c>
      <c r="E60" s="33" t="s">
        <v>180</v>
      </c>
    </row>
    <row r="61" ht="15.75" customHeight="1">
      <c r="A61" s="33" t="s">
        <v>3744</v>
      </c>
      <c r="B61" s="33" t="s">
        <v>484</v>
      </c>
      <c r="C61" s="39">
        <v>46020.0</v>
      </c>
      <c r="D61" s="40">
        <v>813.8</v>
      </c>
      <c r="E61" s="33" t="s">
        <v>180</v>
      </c>
    </row>
    <row r="62" ht="15.75" customHeight="1">
      <c r="A62" s="33" t="s">
        <v>3746</v>
      </c>
      <c r="B62" s="33" t="s">
        <v>492</v>
      </c>
      <c r="C62" s="39">
        <v>46225.0</v>
      </c>
      <c r="D62" s="40">
        <v>1022.62</v>
      </c>
      <c r="E62" s="33" t="s">
        <v>180</v>
      </c>
    </row>
    <row r="63" ht="15.75" customHeight="1">
      <c r="A63" s="33" t="s">
        <v>3747</v>
      </c>
      <c r="B63" s="33" t="s">
        <v>499</v>
      </c>
      <c r="C63" s="39">
        <v>46051.0</v>
      </c>
      <c r="D63" s="40">
        <v>1665.42</v>
      </c>
      <c r="E63" s="33" t="s">
        <v>180</v>
      </c>
    </row>
    <row r="64" ht="15.75" customHeight="1">
      <c r="A64" s="33" t="s">
        <v>3749</v>
      </c>
      <c r="B64" s="33" t="s">
        <v>527</v>
      </c>
      <c r="C64" s="39">
        <v>46092.0</v>
      </c>
      <c r="D64" s="40">
        <v>1872.55</v>
      </c>
      <c r="E64" s="33" t="s">
        <v>180</v>
      </c>
    </row>
    <row r="65" ht="15.75" customHeight="1">
      <c r="A65" s="33" t="s">
        <v>3751</v>
      </c>
      <c r="B65" s="33" t="s">
        <v>536</v>
      </c>
      <c r="C65" s="39">
        <v>46004.0</v>
      </c>
      <c r="D65" s="40">
        <v>1346.61</v>
      </c>
      <c r="E65" s="33" t="s">
        <v>180</v>
      </c>
    </row>
    <row r="66" ht="15.75" customHeight="1">
      <c r="A66" s="33" t="s">
        <v>3752</v>
      </c>
      <c r="B66" s="33" t="s">
        <v>540</v>
      </c>
      <c r="C66" s="39">
        <v>45820.0</v>
      </c>
      <c r="D66" s="40">
        <v>1211.32</v>
      </c>
      <c r="E66" s="33" t="s">
        <v>180</v>
      </c>
    </row>
    <row r="67" ht="15.75" customHeight="1">
      <c r="A67" s="33" t="s">
        <v>3754</v>
      </c>
      <c r="B67" s="33" t="s">
        <v>546</v>
      </c>
      <c r="C67" s="39">
        <v>46232.0</v>
      </c>
      <c r="D67" s="40">
        <v>605.29</v>
      </c>
      <c r="E67" s="33" t="s">
        <v>180</v>
      </c>
    </row>
    <row r="68" ht="15.75" customHeight="1">
      <c r="A68" s="33" t="s">
        <v>3756</v>
      </c>
      <c r="B68" s="33" t="s">
        <v>287</v>
      </c>
      <c r="C68" s="39">
        <v>46209.0</v>
      </c>
      <c r="D68" s="40">
        <v>5555.08</v>
      </c>
      <c r="E68" s="33" t="s">
        <v>180</v>
      </c>
    </row>
    <row r="69" ht="15.75" customHeight="1">
      <c r="A69" s="33" t="s">
        <v>3757</v>
      </c>
      <c r="B69" s="33" t="s">
        <v>563</v>
      </c>
      <c r="C69" s="39">
        <v>46262.0</v>
      </c>
      <c r="D69" s="40">
        <v>479.72</v>
      </c>
      <c r="E69" s="33" t="s">
        <v>180</v>
      </c>
    </row>
    <row r="70" ht="15.75" customHeight="1">
      <c r="A70" s="33" t="s">
        <v>3760</v>
      </c>
      <c r="B70" s="33" t="s">
        <v>566</v>
      </c>
      <c r="C70" s="39">
        <v>46099.0</v>
      </c>
      <c r="D70" s="40">
        <v>4520.42</v>
      </c>
      <c r="E70" s="33" t="s">
        <v>180</v>
      </c>
    </row>
    <row r="71" ht="15.75" customHeight="1">
      <c r="A71" s="33" t="s">
        <v>3761</v>
      </c>
      <c r="B71" s="33" t="s">
        <v>572</v>
      </c>
      <c r="C71" s="39">
        <v>45920.0</v>
      </c>
      <c r="D71" s="40">
        <v>1363.77</v>
      </c>
      <c r="E71" s="33" t="s">
        <v>180</v>
      </c>
    </row>
    <row r="72" ht="15.75" customHeight="1">
      <c r="A72" s="33" t="s">
        <v>3764</v>
      </c>
      <c r="B72" s="33" t="s">
        <v>576</v>
      </c>
      <c r="C72" s="39">
        <v>46225.0</v>
      </c>
      <c r="D72" s="40">
        <v>1319.15</v>
      </c>
      <c r="E72" s="33" t="s">
        <v>330</v>
      </c>
    </row>
    <row r="73" ht="15.75" customHeight="1">
      <c r="A73" s="33" t="s">
        <v>3766</v>
      </c>
      <c r="B73" s="33" t="s">
        <v>583</v>
      </c>
      <c r="C73" s="39">
        <v>46120.0</v>
      </c>
      <c r="D73" s="40">
        <v>957.87</v>
      </c>
      <c r="E73" s="33" t="s">
        <v>180</v>
      </c>
    </row>
    <row r="74" ht="15.75" customHeight="1">
      <c r="A74" s="33" t="s">
        <v>3767</v>
      </c>
      <c r="B74" s="33" t="s">
        <v>342</v>
      </c>
      <c r="C74" s="39">
        <v>46253.0</v>
      </c>
      <c r="D74" s="40">
        <v>2530.3</v>
      </c>
      <c r="E74" s="33" t="s">
        <v>180</v>
      </c>
    </row>
    <row r="75" ht="15.75" customHeight="1">
      <c r="A75" s="33" t="s">
        <v>3770</v>
      </c>
      <c r="B75" s="33" t="s">
        <v>597</v>
      </c>
      <c r="C75" s="39">
        <v>46010.0</v>
      </c>
      <c r="D75" s="40">
        <v>772.64</v>
      </c>
      <c r="E75" s="33" t="s">
        <v>180</v>
      </c>
    </row>
    <row r="76" ht="15.75" customHeight="1">
      <c r="A76" s="33" t="s">
        <v>3771</v>
      </c>
      <c r="B76" s="33" t="s">
        <v>605</v>
      </c>
      <c r="C76" s="39">
        <v>46130.0</v>
      </c>
      <c r="D76" s="40">
        <v>1718.86</v>
      </c>
      <c r="E76" s="33" t="s">
        <v>180</v>
      </c>
    </row>
    <row r="77" ht="15.75" customHeight="1">
      <c r="A77" s="33" t="s">
        <v>3773</v>
      </c>
      <c r="B77" s="33" t="s">
        <v>618</v>
      </c>
      <c r="C77" s="39">
        <v>46227.0</v>
      </c>
      <c r="D77" s="40">
        <v>2331.59</v>
      </c>
      <c r="E77" s="33" t="s">
        <v>180</v>
      </c>
    </row>
    <row r="78" ht="15.75" customHeight="1">
      <c r="A78" s="33" t="s">
        <v>3775</v>
      </c>
      <c r="B78" s="33" t="s">
        <v>625</v>
      </c>
      <c r="C78" s="39">
        <v>46055.0</v>
      </c>
      <c r="D78" s="40">
        <v>234.2</v>
      </c>
      <c r="E78" s="33" t="s">
        <v>180</v>
      </c>
    </row>
    <row r="79" ht="15.75" customHeight="1">
      <c r="A79" s="33" t="s">
        <v>3777</v>
      </c>
      <c r="B79" s="33" t="s">
        <v>311</v>
      </c>
      <c r="C79" s="39">
        <v>46235.0</v>
      </c>
      <c r="D79" s="40">
        <v>1072.45</v>
      </c>
      <c r="E79" s="33" t="s">
        <v>180</v>
      </c>
    </row>
    <row r="80" ht="15.75" customHeight="1">
      <c r="A80" s="33" t="s">
        <v>3779</v>
      </c>
      <c r="B80" s="33" t="s">
        <v>638</v>
      </c>
      <c r="C80" s="39">
        <v>46215.0</v>
      </c>
      <c r="D80" s="40">
        <v>5754.24</v>
      </c>
      <c r="E80" s="33" t="s">
        <v>180</v>
      </c>
    </row>
    <row r="81" ht="15.75" customHeight="1">
      <c r="A81" s="33" t="s">
        <v>3781</v>
      </c>
      <c r="B81" s="33" t="s">
        <v>644</v>
      </c>
      <c r="C81" s="39">
        <v>45930.0</v>
      </c>
      <c r="D81" s="40">
        <v>1005.27</v>
      </c>
      <c r="E81" s="33" t="s">
        <v>180</v>
      </c>
    </row>
    <row r="82" ht="15.75" customHeight="1">
      <c r="A82" s="33" t="s">
        <v>3783</v>
      </c>
      <c r="B82" s="33" t="s">
        <v>652</v>
      </c>
      <c r="C82" s="39">
        <v>46228.0</v>
      </c>
      <c r="D82" s="40">
        <v>845.01</v>
      </c>
      <c r="E82" s="33" t="s">
        <v>180</v>
      </c>
    </row>
    <row r="83" ht="15.75" customHeight="1">
      <c r="A83" s="33" t="s">
        <v>3785</v>
      </c>
      <c r="B83" s="33" t="s">
        <v>658</v>
      </c>
      <c r="C83" s="39">
        <v>45855.0</v>
      </c>
      <c r="D83" s="40">
        <v>1172.03</v>
      </c>
      <c r="E83" s="33" t="s">
        <v>330</v>
      </c>
    </row>
    <row r="84" ht="15.75" customHeight="1">
      <c r="A84" s="33" t="s">
        <v>3787</v>
      </c>
      <c r="B84" s="33" t="s">
        <v>664</v>
      </c>
      <c r="C84" s="39">
        <v>46142.0</v>
      </c>
      <c r="D84" s="40">
        <v>6591.5</v>
      </c>
      <c r="E84" s="33" t="s">
        <v>180</v>
      </c>
    </row>
    <row r="85" ht="15.75" customHeight="1">
      <c r="A85" s="33" t="s">
        <v>3789</v>
      </c>
      <c r="B85" s="33" t="s">
        <v>668</v>
      </c>
      <c r="C85" s="39">
        <v>46202.0</v>
      </c>
      <c r="D85" s="40">
        <v>4567.76</v>
      </c>
      <c r="E85" s="33" t="s">
        <v>180</v>
      </c>
    </row>
    <row r="86" ht="15.75" customHeight="1">
      <c r="A86" s="33" t="s">
        <v>3791</v>
      </c>
      <c r="B86" s="33" t="s">
        <v>676</v>
      </c>
      <c r="C86" s="39">
        <v>46242.0</v>
      </c>
      <c r="D86" s="40">
        <v>1563.09</v>
      </c>
      <c r="E86" s="33" t="s">
        <v>180</v>
      </c>
    </row>
    <row r="87" ht="15.75" customHeight="1">
      <c r="A87" s="33" t="s">
        <v>3794</v>
      </c>
      <c r="B87" s="33" t="s">
        <v>680</v>
      </c>
      <c r="C87" s="39">
        <v>45992.0</v>
      </c>
      <c r="D87" s="40">
        <v>3256.36</v>
      </c>
      <c r="E87" s="33" t="s">
        <v>180</v>
      </c>
    </row>
    <row r="88" ht="15.75" customHeight="1">
      <c r="A88" s="33" t="s">
        <v>3795</v>
      </c>
      <c r="B88" s="33" t="s">
        <v>690</v>
      </c>
      <c r="C88" s="39">
        <v>46264.0</v>
      </c>
      <c r="D88" s="40">
        <v>1546.24</v>
      </c>
      <c r="E88" s="33" t="s">
        <v>180</v>
      </c>
    </row>
    <row r="89" ht="15.75" customHeight="1">
      <c r="A89" s="33" t="s">
        <v>3798</v>
      </c>
      <c r="B89" s="33" t="s">
        <v>697</v>
      </c>
      <c r="C89" s="39">
        <v>46105.0</v>
      </c>
      <c r="D89" s="40">
        <v>1727.52</v>
      </c>
      <c r="E89" s="33" t="s">
        <v>180</v>
      </c>
    </row>
    <row r="90" ht="15.75" customHeight="1">
      <c r="A90" s="33" t="s">
        <v>3799</v>
      </c>
      <c r="B90" s="33" t="s">
        <v>705</v>
      </c>
      <c r="C90" s="39">
        <v>46191.0</v>
      </c>
      <c r="D90" s="40">
        <v>2166.53</v>
      </c>
      <c r="E90" s="33" t="s">
        <v>330</v>
      </c>
    </row>
    <row r="91" ht="15.75" customHeight="1">
      <c r="A91" s="33" t="s">
        <v>3802</v>
      </c>
      <c r="B91" s="33" t="s">
        <v>655</v>
      </c>
      <c r="C91" s="39">
        <v>45843.0</v>
      </c>
      <c r="D91" s="40">
        <v>2765.91</v>
      </c>
      <c r="E91" s="33" t="s">
        <v>180</v>
      </c>
    </row>
    <row r="92" ht="15.75" customHeight="1">
      <c r="A92" s="33" t="s">
        <v>3803</v>
      </c>
      <c r="B92" s="33" t="s">
        <v>671</v>
      </c>
      <c r="C92" s="39">
        <v>46258.0</v>
      </c>
      <c r="D92" s="40">
        <v>1167.1</v>
      </c>
      <c r="E92" s="33" t="s">
        <v>180</v>
      </c>
    </row>
    <row r="93" ht="15.75" customHeight="1">
      <c r="A93" s="33" t="s">
        <v>3806</v>
      </c>
      <c r="B93" s="33" t="s">
        <v>726</v>
      </c>
      <c r="C93" s="39">
        <v>46157.0</v>
      </c>
      <c r="D93" s="40">
        <v>810.6</v>
      </c>
      <c r="E93" s="33" t="s">
        <v>180</v>
      </c>
    </row>
    <row r="94" ht="15.75" customHeight="1">
      <c r="A94" s="33" t="s">
        <v>3808</v>
      </c>
      <c r="B94" s="33" t="s">
        <v>733</v>
      </c>
      <c r="C94" s="39">
        <v>46133.0</v>
      </c>
      <c r="D94" s="40">
        <v>2269.01</v>
      </c>
      <c r="E94" s="33" t="s">
        <v>180</v>
      </c>
    </row>
    <row r="95" ht="15.75" customHeight="1">
      <c r="A95" s="33" t="s">
        <v>3811</v>
      </c>
      <c r="B95" s="33" t="s">
        <v>742</v>
      </c>
      <c r="C95" s="39">
        <v>46083.0</v>
      </c>
      <c r="D95" s="40">
        <v>609.52</v>
      </c>
      <c r="E95" s="33" t="s">
        <v>180</v>
      </c>
    </row>
    <row r="96" ht="15.75" customHeight="1">
      <c r="A96" s="33" t="s">
        <v>3812</v>
      </c>
      <c r="B96" s="33" t="s">
        <v>750</v>
      </c>
      <c r="C96" s="39">
        <v>46165.0</v>
      </c>
      <c r="D96" s="40">
        <v>1515.77</v>
      </c>
      <c r="E96" s="33" t="s">
        <v>180</v>
      </c>
    </row>
    <row r="97" ht="15.75" customHeight="1">
      <c r="A97" s="33" t="s">
        <v>3814</v>
      </c>
      <c r="B97" s="33" t="s">
        <v>765</v>
      </c>
      <c r="C97" s="39">
        <v>46171.0</v>
      </c>
      <c r="D97" s="40">
        <v>1423.43</v>
      </c>
      <c r="E97" s="33" t="s">
        <v>180</v>
      </c>
    </row>
    <row r="98" ht="15.75" customHeight="1">
      <c r="A98" s="33" t="s">
        <v>3815</v>
      </c>
      <c r="B98" s="33" t="s">
        <v>386</v>
      </c>
      <c r="C98" s="39">
        <v>46199.0</v>
      </c>
      <c r="D98" s="40">
        <v>318.88</v>
      </c>
      <c r="E98" s="33" t="s">
        <v>180</v>
      </c>
    </row>
    <row r="99" ht="15.75" customHeight="1">
      <c r="A99" s="33" t="s">
        <v>3818</v>
      </c>
      <c r="B99" s="33" t="s">
        <v>590</v>
      </c>
      <c r="C99" s="39">
        <v>46068.0</v>
      </c>
      <c r="D99" s="40">
        <v>819.21</v>
      </c>
      <c r="E99" s="33" t="s">
        <v>180</v>
      </c>
    </row>
    <row r="100" ht="15.75" customHeight="1">
      <c r="A100" s="33" t="s">
        <v>3819</v>
      </c>
      <c r="B100" s="33" t="s">
        <v>769</v>
      </c>
      <c r="C100" s="39">
        <v>46019.0</v>
      </c>
      <c r="D100" s="40">
        <v>1549.52</v>
      </c>
      <c r="E100" s="33" t="s">
        <v>180</v>
      </c>
    </row>
    <row r="101" ht="15.75" customHeight="1">
      <c r="A101" s="33" t="s">
        <v>3821</v>
      </c>
      <c r="B101" s="33" t="s">
        <v>594</v>
      </c>
      <c r="C101" s="39">
        <v>46024.0</v>
      </c>
      <c r="D101" s="40">
        <v>55.86</v>
      </c>
      <c r="E101" s="33" t="s">
        <v>180</v>
      </c>
    </row>
    <row r="102" ht="15.75" customHeight="1">
      <c r="A102" s="33" t="s">
        <v>3822</v>
      </c>
      <c r="B102" s="33" t="s">
        <v>848</v>
      </c>
      <c r="C102" s="39">
        <v>46115.0</v>
      </c>
      <c r="D102" s="40">
        <v>3006.28</v>
      </c>
      <c r="E102" s="33" t="s">
        <v>180</v>
      </c>
    </row>
    <row r="103" ht="15.75" customHeight="1">
      <c r="A103" s="33" t="s">
        <v>3824</v>
      </c>
      <c r="B103" s="33" t="s">
        <v>864</v>
      </c>
      <c r="C103" s="39">
        <v>45871.0</v>
      </c>
      <c r="D103" s="40">
        <v>750.99</v>
      </c>
      <c r="E103" s="33" t="s">
        <v>180</v>
      </c>
    </row>
    <row r="104" ht="15.75" customHeight="1">
      <c r="A104" s="33" t="s">
        <v>3825</v>
      </c>
      <c r="B104" s="33" t="s">
        <v>876</v>
      </c>
      <c r="C104" s="39">
        <v>46257.0</v>
      </c>
      <c r="D104" s="40">
        <v>2476.53</v>
      </c>
      <c r="E104" s="33" t="s">
        <v>180</v>
      </c>
    </row>
    <row r="105" ht="15.75" customHeight="1">
      <c r="A105" s="33" t="s">
        <v>3827</v>
      </c>
      <c r="B105" s="33" t="s">
        <v>901</v>
      </c>
      <c r="C105" s="39">
        <v>46217.0</v>
      </c>
      <c r="D105" s="40">
        <v>1036.56</v>
      </c>
      <c r="E105" s="33" t="s">
        <v>180</v>
      </c>
    </row>
    <row r="106" ht="15.75" customHeight="1">
      <c r="A106" s="33" t="s">
        <v>3828</v>
      </c>
      <c r="B106" s="33" t="s">
        <v>913</v>
      </c>
      <c r="C106" s="39">
        <v>46218.0</v>
      </c>
      <c r="D106" s="40">
        <v>5088.33</v>
      </c>
      <c r="E106" s="33" t="s">
        <v>330</v>
      </c>
    </row>
    <row r="107" ht="15.75" customHeight="1">
      <c r="A107" s="33" t="s">
        <v>3830</v>
      </c>
      <c r="B107" s="33" t="s">
        <v>790</v>
      </c>
      <c r="C107" s="39">
        <v>46156.0</v>
      </c>
      <c r="D107" s="40">
        <v>1621.33</v>
      </c>
      <c r="E107" s="33" t="s">
        <v>180</v>
      </c>
    </row>
    <row r="108" ht="15.75" customHeight="1">
      <c r="A108" s="33" t="s">
        <v>3832</v>
      </c>
      <c r="B108" s="33" t="s">
        <v>467</v>
      </c>
      <c r="C108" s="39">
        <v>46058.0</v>
      </c>
      <c r="D108" s="40">
        <v>2773.76</v>
      </c>
      <c r="E108" s="33" t="s">
        <v>180</v>
      </c>
    </row>
    <row r="109" ht="15.75" customHeight="1">
      <c r="A109" s="33" t="s">
        <v>3834</v>
      </c>
      <c r="B109" s="33" t="s">
        <v>908</v>
      </c>
      <c r="C109" s="39">
        <v>46252.0</v>
      </c>
      <c r="D109" s="40">
        <v>1042.81</v>
      </c>
      <c r="E109" s="33" t="s">
        <v>180</v>
      </c>
    </row>
    <row r="110" ht="15.75" customHeight="1">
      <c r="A110" s="33" t="s">
        <v>3836</v>
      </c>
      <c r="B110" s="33" t="s">
        <v>953</v>
      </c>
      <c r="C110" s="39">
        <v>46013.0</v>
      </c>
      <c r="D110" s="40">
        <v>4203.7</v>
      </c>
      <c r="E110" s="33" t="s">
        <v>180</v>
      </c>
    </row>
    <row r="111" ht="15.75" customHeight="1">
      <c r="A111" s="33" t="s">
        <v>3837</v>
      </c>
      <c r="B111" s="33" t="s">
        <v>863</v>
      </c>
      <c r="C111" s="39">
        <v>46234.0</v>
      </c>
      <c r="D111" s="40">
        <v>7438.36</v>
      </c>
      <c r="E111" s="33" t="s">
        <v>180</v>
      </c>
    </row>
    <row r="112" ht="15.75" customHeight="1">
      <c r="A112" s="33" t="s">
        <v>3839</v>
      </c>
      <c r="B112" s="33" t="s">
        <v>825</v>
      </c>
      <c r="C112" s="39">
        <v>46239.0</v>
      </c>
      <c r="D112" s="40">
        <v>784.57</v>
      </c>
      <c r="E112" s="33" t="s">
        <v>180</v>
      </c>
    </row>
    <row r="113" ht="15.75" customHeight="1">
      <c r="A113" s="33" t="s">
        <v>3841</v>
      </c>
      <c r="B113" s="33" t="s">
        <v>983</v>
      </c>
      <c r="C113" s="39">
        <v>46023.0</v>
      </c>
      <c r="D113" s="40">
        <v>949.62</v>
      </c>
      <c r="E113" s="33" t="s">
        <v>180</v>
      </c>
    </row>
    <row r="114" ht="15.75" customHeight="1">
      <c r="A114" s="33" t="s">
        <v>3843</v>
      </c>
      <c r="B114" s="33" t="s">
        <v>993</v>
      </c>
      <c r="C114" s="39">
        <v>46091.0</v>
      </c>
      <c r="D114" s="40">
        <v>1303.55</v>
      </c>
      <c r="E114" s="33" t="s">
        <v>180</v>
      </c>
    </row>
    <row r="115" ht="15.75" customHeight="1">
      <c r="A115" s="33" t="s">
        <v>3845</v>
      </c>
      <c r="B115" s="33" t="s">
        <v>828</v>
      </c>
      <c r="C115" s="39">
        <v>46250.0</v>
      </c>
      <c r="D115" s="40">
        <v>3797.5</v>
      </c>
      <c r="E115" s="33" t="s">
        <v>180</v>
      </c>
    </row>
    <row r="116" ht="15.75" customHeight="1">
      <c r="A116" s="33" t="s">
        <v>3848</v>
      </c>
      <c r="B116" s="33" t="s">
        <v>1014</v>
      </c>
      <c r="C116" s="39">
        <v>46173.0</v>
      </c>
      <c r="D116" s="40">
        <v>575.7</v>
      </c>
      <c r="E116" s="33" t="s">
        <v>180</v>
      </c>
    </row>
    <row r="117" ht="15.75" customHeight="1">
      <c r="A117" s="33" t="s">
        <v>3849</v>
      </c>
      <c r="B117" s="33" t="s">
        <v>1025</v>
      </c>
      <c r="C117" s="39">
        <v>45917.0</v>
      </c>
      <c r="D117" s="40">
        <v>598.57</v>
      </c>
      <c r="E117" s="33" t="s">
        <v>180</v>
      </c>
    </row>
    <row r="118" ht="15.75" customHeight="1">
      <c r="A118" s="33" t="s">
        <v>3852</v>
      </c>
      <c r="B118" s="33" t="s">
        <v>1040</v>
      </c>
      <c r="C118" s="39">
        <v>46220.0</v>
      </c>
      <c r="D118" s="40">
        <v>530.99</v>
      </c>
      <c r="E118" s="33" t="s">
        <v>180</v>
      </c>
    </row>
    <row r="119" ht="15.75" customHeight="1">
      <c r="A119" s="33" t="s">
        <v>3855</v>
      </c>
      <c r="B119" s="33" t="s">
        <v>1052</v>
      </c>
      <c r="C119" s="39">
        <v>46227.0</v>
      </c>
      <c r="D119" s="40">
        <v>453.55</v>
      </c>
      <c r="E119" s="33" t="s">
        <v>180</v>
      </c>
    </row>
    <row r="120" ht="15.75" customHeight="1">
      <c r="A120" s="33" t="s">
        <v>3856</v>
      </c>
      <c r="B120" s="33" t="s">
        <v>1069</v>
      </c>
      <c r="C120" s="39">
        <v>46232.0</v>
      </c>
      <c r="D120" s="40">
        <v>795.12</v>
      </c>
      <c r="E120" s="33" t="s">
        <v>180</v>
      </c>
    </row>
    <row r="121" ht="15.75" customHeight="1">
      <c r="A121" s="33" t="s">
        <v>3858</v>
      </c>
      <c r="B121" s="33" t="s">
        <v>1118</v>
      </c>
      <c r="C121" s="39">
        <v>46120.0</v>
      </c>
      <c r="D121" s="40">
        <v>1722.02</v>
      </c>
      <c r="E121" s="33" t="s">
        <v>180</v>
      </c>
    </row>
    <row r="122" ht="15.75" customHeight="1">
      <c r="A122" s="33" t="s">
        <v>3859</v>
      </c>
      <c r="B122" s="33" t="s">
        <v>754</v>
      </c>
      <c r="C122" s="39">
        <v>46022.0</v>
      </c>
      <c r="D122" s="40">
        <v>7808.12</v>
      </c>
      <c r="E122" s="33" t="s">
        <v>180</v>
      </c>
    </row>
    <row r="123" ht="15.75" customHeight="1">
      <c r="A123" s="33" t="s">
        <v>3861</v>
      </c>
      <c r="B123" s="33" t="s">
        <v>1140</v>
      </c>
      <c r="C123" s="39">
        <v>46112.0</v>
      </c>
      <c r="D123" s="40">
        <v>518.27</v>
      </c>
      <c r="E123" s="33" t="s">
        <v>180</v>
      </c>
    </row>
    <row r="124" ht="15.75" customHeight="1">
      <c r="A124" s="33" t="s">
        <v>3863</v>
      </c>
      <c r="B124" s="33" t="s">
        <v>642</v>
      </c>
      <c r="C124" s="39">
        <v>45937.0</v>
      </c>
      <c r="D124" s="40">
        <v>1674.38</v>
      </c>
      <c r="E124" s="33" t="s">
        <v>180</v>
      </c>
    </row>
    <row r="125" ht="15.75" customHeight="1">
      <c r="A125" s="33" t="s">
        <v>3866</v>
      </c>
      <c r="B125" s="33" t="s">
        <v>1165</v>
      </c>
      <c r="C125" s="39">
        <v>46261.0</v>
      </c>
      <c r="D125" s="40">
        <v>2207.54</v>
      </c>
      <c r="E125" s="33" t="s">
        <v>180</v>
      </c>
    </row>
    <row r="126" ht="15.75" customHeight="1">
      <c r="A126" s="33" t="s">
        <v>3868</v>
      </c>
      <c r="B126" s="33" t="s">
        <v>1179</v>
      </c>
      <c r="C126" s="39">
        <v>46130.0</v>
      </c>
      <c r="D126" s="40">
        <v>1342.01</v>
      </c>
      <c r="E126" s="33" t="s">
        <v>180</v>
      </c>
    </row>
    <row r="127" ht="15.75" customHeight="1">
      <c r="A127" s="33" t="s">
        <v>3870</v>
      </c>
      <c r="B127" s="33" t="s">
        <v>763</v>
      </c>
      <c r="C127" s="39">
        <v>45883.0</v>
      </c>
      <c r="D127" s="40">
        <v>1836.54</v>
      </c>
      <c r="E127" s="33" t="s">
        <v>180</v>
      </c>
    </row>
    <row r="128" ht="15.75" customHeight="1">
      <c r="A128" s="33" t="s">
        <v>3872</v>
      </c>
      <c r="B128" s="33" t="s">
        <v>1207</v>
      </c>
      <c r="C128" s="39">
        <v>46197.0</v>
      </c>
      <c r="D128" s="40">
        <v>1116.29</v>
      </c>
      <c r="E128" s="33" t="s">
        <v>180</v>
      </c>
    </row>
    <row r="129" ht="15.75" customHeight="1">
      <c r="A129" s="33" t="s">
        <v>3874</v>
      </c>
      <c r="B129" s="33" t="s">
        <v>1217</v>
      </c>
      <c r="C129" s="39">
        <v>46262.0</v>
      </c>
      <c r="D129" s="40">
        <v>899.25</v>
      </c>
      <c r="E129" s="33" t="s">
        <v>180</v>
      </c>
    </row>
    <row r="130" ht="15.75" customHeight="1">
      <c r="A130" s="33" t="s">
        <v>3876</v>
      </c>
      <c r="B130" s="33" t="s">
        <v>1249</v>
      </c>
      <c r="C130" s="39">
        <v>45929.0</v>
      </c>
      <c r="D130" s="40">
        <v>1222.23</v>
      </c>
      <c r="E130" s="33" t="s">
        <v>180</v>
      </c>
    </row>
    <row r="131" ht="15.75" customHeight="1">
      <c r="A131" s="33" t="s">
        <v>3877</v>
      </c>
      <c r="B131" s="33" t="s">
        <v>1269</v>
      </c>
      <c r="C131" s="39">
        <v>46178.0</v>
      </c>
      <c r="D131" s="40">
        <v>3306.95</v>
      </c>
      <c r="E131" s="33" t="s">
        <v>180</v>
      </c>
    </row>
    <row r="132" ht="15.75" customHeight="1">
      <c r="A132" s="33" t="s">
        <v>3879</v>
      </c>
      <c r="B132" s="33" t="s">
        <v>732</v>
      </c>
      <c r="C132" s="39">
        <v>46200.0</v>
      </c>
      <c r="D132" s="40">
        <v>2598.1</v>
      </c>
      <c r="E132" s="33" t="s">
        <v>180</v>
      </c>
    </row>
    <row r="133" ht="15.75" customHeight="1">
      <c r="A133" s="33" t="s">
        <v>3882</v>
      </c>
      <c r="B133" s="33" t="s">
        <v>651</v>
      </c>
      <c r="C133" s="39">
        <v>46220.0</v>
      </c>
      <c r="D133" s="40">
        <v>1478.44</v>
      </c>
      <c r="E133" s="33" t="s">
        <v>180</v>
      </c>
    </row>
    <row r="134" ht="15.75" customHeight="1">
      <c r="A134" s="33" t="s">
        <v>3884</v>
      </c>
      <c r="B134" s="33" t="s">
        <v>1344</v>
      </c>
      <c r="C134" s="39">
        <v>46253.0</v>
      </c>
      <c r="D134" s="40">
        <v>521.2</v>
      </c>
      <c r="E134" s="33" t="s">
        <v>180</v>
      </c>
    </row>
    <row r="135" ht="15.75" customHeight="1">
      <c r="A135" s="33" t="s">
        <v>3885</v>
      </c>
      <c r="B135" s="33" t="s">
        <v>1352</v>
      </c>
      <c r="C135" s="39">
        <v>46155.0</v>
      </c>
      <c r="D135" s="40">
        <v>368.32</v>
      </c>
      <c r="E135" s="33" t="s">
        <v>180</v>
      </c>
    </row>
    <row r="136" ht="15.75" customHeight="1">
      <c r="A136" s="33" t="s">
        <v>3888</v>
      </c>
      <c r="B136" s="33" t="s">
        <v>239</v>
      </c>
      <c r="C136" s="39">
        <v>46035.0</v>
      </c>
      <c r="D136" s="40">
        <v>1202.0</v>
      </c>
      <c r="E136" s="33" t="s">
        <v>180</v>
      </c>
    </row>
    <row r="137" ht="15.75" customHeight="1">
      <c r="A137" s="33" t="s">
        <v>3890</v>
      </c>
      <c r="B137" s="33" t="s">
        <v>675</v>
      </c>
      <c r="C137" s="39">
        <v>46222.0</v>
      </c>
      <c r="D137" s="40">
        <v>2424.54</v>
      </c>
      <c r="E137" s="33" t="s">
        <v>180</v>
      </c>
    </row>
    <row r="138" ht="15.75" customHeight="1">
      <c r="A138" s="33" t="s">
        <v>3892</v>
      </c>
      <c r="B138" s="33" t="s">
        <v>1375</v>
      </c>
      <c r="C138" s="39">
        <v>46264.0</v>
      </c>
      <c r="D138" s="40">
        <v>2241.75</v>
      </c>
      <c r="E138" s="33" t="s">
        <v>180</v>
      </c>
    </row>
    <row r="139" ht="15.75" customHeight="1">
      <c r="A139" s="33" t="s">
        <v>3893</v>
      </c>
      <c r="B139" s="33" t="s">
        <v>1383</v>
      </c>
      <c r="C139" s="39">
        <v>46113.0</v>
      </c>
      <c r="D139" s="40">
        <v>2060.67</v>
      </c>
      <c r="E139" s="33" t="s">
        <v>180</v>
      </c>
    </row>
    <row r="140" ht="15.75" customHeight="1">
      <c r="A140" s="33" t="s">
        <v>3896</v>
      </c>
      <c r="B140" s="33" t="s">
        <v>1392</v>
      </c>
      <c r="C140" s="39">
        <v>46220.0</v>
      </c>
      <c r="D140" s="40">
        <v>461.67</v>
      </c>
      <c r="E140" s="33" t="s">
        <v>180</v>
      </c>
    </row>
    <row r="141" ht="15.75" customHeight="1">
      <c r="A141" s="33" t="s">
        <v>3899</v>
      </c>
      <c r="B141" s="33" t="s">
        <v>1400</v>
      </c>
      <c r="C141" s="39">
        <v>45906.0</v>
      </c>
      <c r="D141" s="40">
        <v>2882.25</v>
      </c>
      <c r="E141" s="33" t="s">
        <v>180</v>
      </c>
    </row>
    <row r="142" ht="15.75" customHeight="1">
      <c r="A142" s="33" t="s">
        <v>3900</v>
      </c>
      <c r="B142" s="33" t="s">
        <v>1408</v>
      </c>
      <c r="C142" s="39">
        <v>45956.0</v>
      </c>
      <c r="D142" s="40">
        <v>1892.99</v>
      </c>
      <c r="E142" s="33" t="s">
        <v>180</v>
      </c>
    </row>
    <row r="143" ht="15.75" customHeight="1">
      <c r="A143" s="33" t="s">
        <v>3903</v>
      </c>
      <c r="B143" s="33" t="s">
        <v>460</v>
      </c>
      <c r="C143" s="39">
        <v>46261.0</v>
      </c>
      <c r="D143" s="40">
        <v>742.59</v>
      </c>
      <c r="E143" s="33" t="s">
        <v>180</v>
      </c>
    </row>
    <row r="144" ht="15.75" customHeight="1">
      <c r="A144" s="33" t="s">
        <v>3906</v>
      </c>
      <c r="B144" s="33" t="s">
        <v>1422</v>
      </c>
      <c r="C144" s="39">
        <v>46166.0</v>
      </c>
      <c r="D144" s="40">
        <v>3059.4</v>
      </c>
      <c r="E144" s="33" t="s">
        <v>180</v>
      </c>
    </row>
    <row r="145" ht="15.75" customHeight="1">
      <c r="A145" s="33" t="s">
        <v>3908</v>
      </c>
      <c r="B145" s="33" t="s">
        <v>852</v>
      </c>
      <c r="C145" s="39">
        <v>45999.0</v>
      </c>
      <c r="D145" s="40">
        <v>662.45</v>
      </c>
      <c r="E145" s="33" t="s">
        <v>180</v>
      </c>
    </row>
    <row r="146" ht="15.75" customHeight="1">
      <c r="A146" s="33" t="s">
        <v>3910</v>
      </c>
      <c r="B146" s="33" t="s">
        <v>1435</v>
      </c>
      <c r="C146" s="39">
        <v>45987.0</v>
      </c>
      <c r="D146" s="40">
        <v>2054.67</v>
      </c>
      <c r="E146" s="33" t="s">
        <v>180</v>
      </c>
    </row>
    <row r="147" ht="15.75" customHeight="1">
      <c r="A147" s="33" t="s">
        <v>3912</v>
      </c>
      <c r="B147" s="33" t="s">
        <v>1443</v>
      </c>
      <c r="C147" s="39">
        <v>46058.0</v>
      </c>
      <c r="D147" s="40">
        <v>937.76</v>
      </c>
      <c r="E147" s="33" t="s">
        <v>180</v>
      </c>
    </row>
    <row r="148" ht="15.75" customHeight="1">
      <c r="A148" s="33" t="s">
        <v>3914</v>
      </c>
      <c r="B148" s="33" t="s">
        <v>1452</v>
      </c>
      <c r="C148" s="39">
        <v>46096.0</v>
      </c>
      <c r="D148" s="40">
        <v>1302.68</v>
      </c>
      <c r="E148" s="33" t="s">
        <v>180</v>
      </c>
    </row>
    <row r="149" ht="15.75" customHeight="1">
      <c r="A149" s="33" t="s">
        <v>3917</v>
      </c>
      <c r="B149" s="33" t="s">
        <v>606</v>
      </c>
      <c r="C149" s="39">
        <v>46136.0</v>
      </c>
      <c r="D149" s="40">
        <v>2213.46</v>
      </c>
      <c r="E149" s="33" t="s">
        <v>180</v>
      </c>
    </row>
    <row r="150" ht="15.75" customHeight="1">
      <c r="A150" s="33" t="s">
        <v>3918</v>
      </c>
      <c r="B150" s="33" t="s">
        <v>1475</v>
      </c>
      <c r="C150" s="39">
        <v>46169.0</v>
      </c>
      <c r="D150" s="40">
        <v>1715.56</v>
      </c>
      <c r="E150" s="33" t="s">
        <v>180</v>
      </c>
    </row>
    <row r="151" ht="15.75" customHeight="1">
      <c r="A151" s="33" t="s">
        <v>3920</v>
      </c>
      <c r="B151" s="33" t="s">
        <v>1482</v>
      </c>
      <c r="C151" s="39">
        <v>46194.0</v>
      </c>
      <c r="D151" s="40">
        <v>1516.59</v>
      </c>
      <c r="E151" s="33" t="s">
        <v>180</v>
      </c>
    </row>
    <row r="152" ht="15.75" customHeight="1">
      <c r="A152" s="33" t="s">
        <v>3921</v>
      </c>
      <c r="B152" s="33" t="s">
        <v>1490</v>
      </c>
      <c r="C152" s="39">
        <v>46130.0</v>
      </c>
      <c r="D152" s="40">
        <v>788.7</v>
      </c>
      <c r="E152" s="33" t="s">
        <v>180</v>
      </c>
    </row>
    <row r="153" ht="15.75" customHeight="1">
      <c r="A153" s="33" t="s">
        <v>3924</v>
      </c>
      <c r="B153" s="33" t="s">
        <v>1300</v>
      </c>
      <c r="C153" s="39">
        <v>46224.0</v>
      </c>
      <c r="D153" s="40">
        <v>885.14</v>
      </c>
      <c r="E153" s="33" t="s">
        <v>180</v>
      </c>
    </row>
    <row r="154" ht="15.75" customHeight="1">
      <c r="A154" s="33" t="s">
        <v>3925</v>
      </c>
      <c r="B154" s="33" t="s">
        <v>700</v>
      </c>
      <c r="C154" s="39">
        <v>46259.0</v>
      </c>
      <c r="D154" s="40">
        <v>928.61</v>
      </c>
      <c r="E154" s="33" t="s">
        <v>180</v>
      </c>
    </row>
    <row r="155" ht="15.75" customHeight="1">
      <c r="A155" s="33" t="s">
        <v>3929</v>
      </c>
      <c r="B155" s="33" t="s">
        <v>1517</v>
      </c>
      <c r="C155" s="39">
        <v>45976.0</v>
      </c>
      <c r="D155" s="40">
        <v>3254.19</v>
      </c>
      <c r="E155" s="33" t="s">
        <v>180</v>
      </c>
    </row>
    <row r="156" ht="15.75" customHeight="1">
      <c r="A156" s="33" t="s">
        <v>3930</v>
      </c>
      <c r="B156" s="33" t="s">
        <v>1528</v>
      </c>
      <c r="C156" s="39">
        <v>46024.0</v>
      </c>
      <c r="D156" s="40">
        <v>5658.94</v>
      </c>
      <c r="E156" s="33" t="s">
        <v>180</v>
      </c>
    </row>
    <row r="157" ht="15.75" customHeight="1">
      <c r="A157" s="33" t="s">
        <v>3932</v>
      </c>
      <c r="B157" s="33" t="s">
        <v>1547</v>
      </c>
      <c r="C157" s="39">
        <v>46176.0</v>
      </c>
      <c r="D157" s="40">
        <v>798.81</v>
      </c>
      <c r="E157" s="33" t="s">
        <v>180</v>
      </c>
    </row>
    <row r="158" ht="15.75" customHeight="1">
      <c r="A158" s="33" t="s">
        <v>3935</v>
      </c>
      <c r="B158" s="33" t="s">
        <v>600</v>
      </c>
      <c r="C158" s="39">
        <v>46021.0</v>
      </c>
      <c r="D158" s="40">
        <v>4384.04</v>
      </c>
      <c r="E158" s="33" t="s">
        <v>330</v>
      </c>
    </row>
    <row r="159" ht="15.75" customHeight="1">
      <c r="A159" s="33" t="s">
        <v>3938</v>
      </c>
      <c r="B159" s="33" t="s">
        <v>1158</v>
      </c>
      <c r="C159" s="39">
        <v>45830.0</v>
      </c>
      <c r="D159" s="40">
        <v>709.69</v>
      </c>
      <c r="E159" s="33" t="s">
        <v>180</v>
      </c>
    </row>
    <row r="160" ht="15.75" customHeight="1">
      <c r="A160" s="33" t="s">
        <v>3940</v>
      </c>
      <c r="B160" s="33" t="s">
        <v>719</v>
      </c>
      <c r="C160" s="39">
        <v>46228.0</v>
      </c>
      <c r="D160" s="40">
        <v>2060.52</v>
      </c>
      <c r="E160" s="33" t="s">
        <v>180</v>
      </c>
    </row>
    <row r="161" ht="15.75" customHeight="1">
      <c r="A161" s="33" t="s">
        <v>3942</v>
      </c>
      <c r="B161" s="33" t="s">
        <v>1416</v>
      </c>
      <c r="C161" s="39">
        <v>45903.0</v>
      </c>
      <c r="D161" s="40">
        <v>683.05</v>
      </c>
      <c r="E161" s="33" t="s">
        <v>180</v>
      </c>
    </row>
    <row r="162" ht="15.75" customHeight="1">
      <c r="A162" s="33" t="s">
        <v>3943</v>
      </c>
      <c r="B162" s="33" t="s">
        <v>880</v>
      </c>
      <c r="C162" s="39">
        <v>46157.0</v>
      </c>
      <c r="D162" s="40">
        <v>3479.1</v>
      </c>
      <c r="E162" s="33" t="s">
        <v>180</v>
      </c>
    </row>
    <row r="163" ht="15.75" customHeight="1">
      <c r="A163" s="33" t="s">
        <v>3946</v>
      </c>
      <c r="B163" s="33" t="s">
        <v>1600</v>
      </c>
      <c r="C163" s="39">
        <v>46178.0</v>
      </c>
      <c r="D163" s="40">
        <v>2883.46</v>
      </c>
      <c r="E163" s="33" t="s">
        <v>180</v>
      </c>
    </row>
    <row r="164" ht="15.75" customHeight="1">
      <c r="A164" s="33" t="s">
        <v>3947</v>
      </c>
      <c r="B164" s="33" t="s">
        <v>711</v>
      </c>
      <c r="C164" s="39">
        <v>46140.0</v>
      </c>
      <c r="D164" s="40">
        <v>3342.5</v>
      </c>
      <c r="E164" s="33" t="s">
        <v>180</v>
      </c>
    </row>
    <row r="165" ht="15.75" customHeight="1">
      <c r="A165" s="33" t="s">
        <v>3950</v>
      </c>
      <c r="B165" s="33" t="s">
        <v>1610</v>
      </c>
      <c r="C165" s="39">
        <v>46117.0</v>
      </c>
      <c r="D165" s="40">
        <v>1114.97</v>
      </c>
      <c r="E165" s="33" t="s">
        <v>180</v>
      </c>
    </row>
    <row r="166" ht="15.75" customHeight="1">
      <c r="A166" s="33" t="s">
        <v>3951</v>
      </c>
      <c r="B166" s="33" t="s">
        <v>1618</v>
      </c>
      <c r="C166" s="39">
        <v>46240.0</v>
      </c>
      <c r="D166" s="40">
        <v>817.37</v>
      </c>
      <c r="E166" s="33" t="s">
        <v>180</v>
      </c>
    </row>
    <row r="167" ht="15.75" customHeight="1">
      <c r="A167" s="33" t="s">
        <v>3953</v>
      </c>
      <c r="B167" s="33" t="s">
        <v>362</v>
      </c>
      <c r="C167" s="39">
        <v>46017.0</v>
      </c>
      <c r="D167" s="40">
        <v>3249.52</v>
      </c>
      <c r="E167" s="33" t="s">
        <v>180</v>
      </c>
    </row>
    <row r="168" ht="15.75" customHeight="1">
      <c r="A168" s="33" t="s">
        <v>3955</v>
      </c>
      <c r="B168" s="33" t="s">
        <v>1629</v>
      </c>
      <c r="C168" s="39">
        <v>46188.0</v>
      </c>
      <c r="D168" s="40">
        <v>1462.66</v>
      </c>
      <c r="E168" s="33" t="s">
        <v>180</v>
      </c>
    </row>
    <row r="169" ht="15.75" customHeight="1">
      <c r="A169" s="33" t="s">
        <v>3956</v>
      </c>
      <c r="B169" s="33" t="s">
        <v>1157</v>
      </c>
      <c r="C169" s="39">
        <v>46002.0</v>
      </c>
      <c r="D169" s="40">
        <v>1476.28</v>
      </c>
      <c r="E169" s="33" t="s">
        <v>180</v>
      </c>
    </row>
    <row r="170" ht="15.75" customHeight="1">
      <c r="A170" s="33" t="s">
        <v>3959</v>
      </c>
      <c r="B170" s="33" t="s">
        <v>1640</v>
      </c>
      <c r="C170" s="39">
        <v>46261.0</v>
      </c>
      <c r="D170" s="40">
        <v>1100.78</v>
      </c>
      <c r="E170" s="33" t="s">
        <v>180</v>
      </c>
    </row>
    <row r="171" ht="15.75" customHeight="1">
      <c r="A171" s="33" t="s">
        <v>3960</v>
      </c>
      <c r="B171" s="33" t="s">
        <v>1649</v>
      </c>
      <c r="C171" s="39">
        <v>46252.0</v>
      </c>
      <c r="D171" s="40">
        <v>1381.6</v>
      </c>
      <c r="E171" s="33" t="s">
        <v>180</v>
      </c>
    </row>
    <row r="172" ht="15.75" customHeight="1">
      <c r="A172" s="33" t="s">
        <v>3963</v>
      </c>
      <c r="B172" s="33" t="s">
        <v>1656</v>
      </c>
      <c r="C172" s="39">
        <v>45998.0</v>
      </c>
      <c r="D172" s="40">
        <v>3262.03</v>
      </c>
      <c r="E172" s="33" t="s">
        <v>330</v>
      </c>
    </row>
    <row r="173" ht="15.75" customHeight="1">
      <c r="A173" s="33" t="s">
        <v>3964</v>
      </c>
      <c r="B173" s="33" t="s">
        <v>996</v>
      </c>
      <c r="C173" s="39">
        <v>46235.0</v>
      </c>
      <c r="D173" s="40">
        <v>1014.92</v>
      </c>
      <c r="E173" s="33" t="s">
        <v>180</v>
      </c>
    </row>
    <row r="174" ht="15.75" customHeight="1">
      <c r="A174" s="33" t="s">
        <v>3966</v>
      </c>
      <c r="B174" s="33" t="s">
        <v>723</v>
      </c>
      <c r="C174" s="39">
        <v>46136.0</v>
      </c>
      <c r="D174" s="40">
        <v>996.3</v>
      </c>
      <c r="E174" s="33" t="s">
        <v>180</v>
      </c>
    </row>
    <row r="175" ht="15.75" customHeight="1">
      <c r="A175" s="33" t="s">
        <v>3967</v>
      </c>
      <c r="B175" s="33" t="s">
        <v>1235</v>
      </c>
      <c r="C175" s="39">
        <v>46045.0</v>
      </c>
      <c r="D175" s="40">
        <v>835.0</v>
      </c>
      <c r="E175" s="33" t="s">
        <v>180</v>
      </c>
    </row>
    <row r="176" ht="15.75" customHeight="1">
      <c r="A176" s="33" t="s">
        <v>3969</v>
      </c>
      <c r="B176" s="33" t="s">
        <v>920</v>
      </c>
      <c r="C176" s="39">
        <v>46186.0</v>
      </c>
      <c r="D176" s="40">
        <v>1368.68</v>
      </c>
      <c r="E176" s="33" t="s">
        <v>180</v>
      </c>
    </row>
    <row r="177" ht="15.75" customHeight="1">
      <c r="A177" s="33" t="s">
        <v>3970</v>
      </c>
      <c r="B177" s="33" t="s">
        <v>1127</v>
      </c>
      <c r="C177" s="39">
        <v>46250.0</v>
      </c>
      <c r="D177" s="40">
        <v>3441.61</v>
      </c>
      <c r="E177" s="33" t="s">
        <v>180</v>
      </c>
    </row>
    <row r="178" ht="15.75" customHeight="1">
      <c r="A178" s="33" t="s">
        <v>3972</v>
      </c>
      <c r="B178" s="33" t="s">
        <v>808</v>
      </c>
      <c r="C178" s="39">
        <v>45832.0</v>
      </c>
      <c r="D178" s="40">
        <v>824.12</v>
      </c>
      <c r="E178" s="33" t="s">
        <v>180</v>
      </c>
    </row>
    <row r="179" ht="15.75" customHeight="1">
      <c r="A179" s="33" t="s">
        <v>3973</v>
      </c>
      <c r="B179" s="33" t="s">
        <v>1200</v>
      </c>
      <c r="C179" s="39">
        <v>46165.0</v>
      </c>
      <c r="D179" s="40">
        <v>947.91</v>
      </c>
      <c r="E179" s="33" t="s">
        <v>180</v>
      </c>
    </row>
    <row r="180" ht="15.75" customHeight="1">
      <c r="A180" s="33" t="s">
        <v>3975</v>
      </c>
      <c r="B180" s="33" t="s">
        <v>1730</v>
      </c>
      <c r="C180" s="39">
        <v>45829.0</v>
      </c>
      <c r="D180" s="40">
        <v>4395.75</v>
      </c>
      <c r="E180" s="33" t="s">
        <v>180</v>
      </c>
    </row>
    <row r="181" ht="15.75" customHeight="1">
      <c r="A181" s="33" t="s">
        <v>3977</v>
      </c>
      <c r="B181" s="33" t="s">
        <v>992</v>
      </c>
      <c r="C181" s="39">
        <v>46249.0</v>
      </c>
      <c r="D181" s="40">
        <v>930.67</v>
      </c>
      <c r="E181" s="33" t="s">
        <v>180</v>
      </c>
    </row>
    <row r="182" ht="15.75" customHeight="1">
      <c r="A182" s="33" t="s">
        <v>3979</v>
      </c>
      <c r="B182" s="33" t="s">
        <v>1743</v>
      </c>
      <c r="C182" s="39">
        <v>46247.0</v>
      </c>
      <c r="D182" s="40">
        <v>1620.58</v>
      </c>
      <c r="E182" s="33" t="s">
        <v>180</v>
      </c>
    </row>
    <row r="183" ht="15.75" customHeight="1">
      <c r="A183" s="33" t="s">
        <v>3981</v>
      </c>
      <c r="B183" s="33" t="s">
        <v>1294</v>
      </c>
      <c r="C183" s="39">
        <v>46019.0</v>
      </c>
      <c r="D183" s="40">
        <v>4967.03</v>
      </c>
      <c r="E183" s="33" t="s">
        <v>180</v>
      </c>
    </row>
    <row r="184" ht="15.75" customHeight="1">
      <c r="A184" s="33" t="s">
        <v>3982</v>
      </c>
      <c r="B184" s="33" t="s">
        <v>1087</v>
      </c>
      <c r="C184" s="39">
        <v>46248.0</v>
      </c>
      <c r="D184" s="40">
        <v>1395.81</v>
      </c>
      <c r="E184" s="33" t="s">
        <v>180</v>
      </c>
    </row>
    <row r="185" ht="15.75" customHeight="1">
      <c r="A185" s="33" t="s">
        <v>3984</v>
      </c>
      <c r="B185" s="33" t="s">
        <v>1065</v>
      </c>
      <c r="C185" s="39">
        <v>45988.0</v>
      </c>
      <c r="D185" s="40">
        <v>5988.34</v>
      </c>
      <c r="E185" s="33" t="s">
        <v>180</v>
      </c>
    </row>
    <row r="186" ht="15.75" customHeight="1">
      <c r="A186" s="33" t="s">
        <v>3987</v>
      </c>
      <c r="B186" s="33" t="s">
        <v>464</v>
      </c>
      <c r="C186" s="39">
        <v>45914.0</v>
      </c>
      <c r="D186" s="40">
        <v>784.09</v>
      </c>
      <c r="E186" s="33" t="s">
        <v>180</v>
      </c>
    </row>
    <row r="187" ht="15.75" customHeight="1">
      <c r="A187" s="33" t="s">
        <v>3988</v>
      </c>
      <c r="B187" s="33" t="s">
        <v>1776</v>
      </c>
      <c r="C187" s="39">
        <v>45992.0</v>
      </c>
      <c r="D187" s="40">
        <v>5777.89</v>
      </c>
      <c r="E187" s="33" t="s">
        <v>180</v>
      </c>
    </row>
    <row r="188" ht="15.75" customHeight="1">
      <c r="A188" s="33" t="s">
        <v>3991</v>
      </c>
      <c r="B188" s="33" t="s">
        <v>518</v>
      </c>
      <c r="C188" s="39">
        <v>46235.0</v>
      </c>
      <c r="D188" s="40">
        <v>1352.86</v>
      </c>
      <c r="E188" s="33" t="s">
        <v>180</v>
      </c>
    </row>
    <row r="189" ht="15.75" customHeight="1">
      <c r="A189" s="33" t="s">
        <v>3992</v>
      </c>
      <c r="B189" s="33" t="s">
        <v>1785</v>
      </c>
      <c r="C189" s="39">
        <v>46249.0</v>
      </c>
      <c r="D189" s="40">
        <v>202.11</v>
      </c>
      <c r="E189" s="33" t="s">
        <v>180</v>
      </c>
    </row>
    <row r="190" ht="15.75" customHeight="1">
      <c r="A190" s="33" t="s">
        <v>3994</v>
      </c>
      <c r="B190" s="33" t="s">
        <v>1792</v>
      </c>
      <c r="C190" s="39">
        <v>46071.0</v>
      </c>
      <c r="D190" s="40">
        <v>286.69</v>
      </c>
      <c r="E190" s="33" t="s">
        <v>180</v>
      </c>
    </row>
    <row r="191" ht="15.75" customHeight="1">
      <c r="A191" s="33" t="s">
        <v>3997</v>
      </c>
      <c r="B191" s="33" t="s">
        <v>1799</v>
      </c>
      <c r="C191" s="39">
        <v>46191.0</v>
      </c>
      <c r="D191" s="40">
        <v>1124.87</v>
      </c>
      <c r="E191" s="33" t="s">
        <v>180</v>
      </c>
    </row>
    <row r="192" ht="15.75" customHeight="1">
      <c r="A192" s="33" t="s">
        <v>3998</v>
      </c>
      <c r="B192" s="33" t="s">
        <v>1805</v>
      </c>
      <c r="C192" s="39">
        <v>46242.0</v>
      </c>
      <c r="D192" s="40">
        <v>1910.19</v>
      </c>
      <c r="E192" s="33" t="s">
        <v>180</v>
      </c>
    </row>
    <row r="193" ht="15.75" customHeight="1">
      <c r="A193" s="33" t="s">
        <v>4001</v>
      </c>
      <c r="B193" s="33" t="s">
        <v>1812</v>
      </c>
      <c r="C193" s="39">
        <v>46130.0</v>
      </c>
      <c r="D193" s="40">
        <v>1453.22</v>
      </c>
      <c r="E193" s="33" t="s">
        <v>180</v>
      </c>
    </row>
    <row r="194" ht="15.75" customHeight="1">
      <c r="A194" s="33" t="s">
        <v>4002</v>
      </c>
      <c r="B194" s="33" t="s">
        <v>1789</v>
      </c>
      <c r="C194" s="39">
        <v>46175.0</v>
      </c>
      <c r="D194" s="40">
        <v>3765.43</v>
      </c>
      <c r="E194" s="33" t="s">
        <v>180</v>
      </c>
    </row>
    <row r="195" ht="15.75" customHeight="1">
      <c r="A195" s="33" t="s">
        <v>4004</v>
      </c>
      <c r="B195" s="33" t="s">
        <v>753</v>
      </c>
      <c r="C195" s="39">
        <v>45970.0</v>
      </c>
      <c r="D195" s="40">
        <v>2221.7</v>
      </c>
      <c r="E195" s="33" t="s">
        <v>180</v>
      </c>
    </row>
    <row r="196" ht="15.75" customHeight="1">
      <c r="A196" s="33" t="s">
        <v>4005</v>
      </c>
      <c r="B196" s="33" t="s">
        <v>1834</v>
      </c>
      <c r="C196" s="39">
        <v>46202.0</v>
      </c>
      <c r="D196" s="40">
        <v>1294.52</v>
      </c>
      <c r="E196" s="33" t="s">
        <v>180</v>
      </c>
    </row>
    <row r="197" ht="15.75" customHeight="1">
      <c r="A197" s="33" t="s">
        <v>4007</v>
      </c>
      <c r="B197" s="33" t="s">
        <v>959</v>
      </c>
      <c r="C197" s="39">
        <v>46050.0</v>
      </c>
      <c r="D197" s="40">
        <v>1793.12</v>
      </c>
      <c r="E197" s="33" t="s">
        <v>180</v>
      </c>
    </row>
    <row r="198" ht="15.75" customHeight="1">
      <c r="A198" s="33" t="s">
        <v>4012</v>
      </c>
      <c r="B198" s="33" t="s">
        <v>299</v>
      </c>
      <c r="C198" s="39">
        <v>46156.0</v>
      </c>
      <c r="D198" s="40">
        <v>1179.64</v>
      </c>
      <c r="E198" s="33" t="s">
        <v>180</v>
      </c>
    </row>
    <row r="199" ht="15.75" customHeight="1">
      <c r="A199" s="33" t="s">
        <v>4013</v>
      </c>
      <c r="B199" s="33" t="s">
        <v>887</v>
      </c>
      <c r="C199" s="39">
        <v>46173.0</v>
      </c>
      <c r="D199" s="40">
        <v>2296.22</v>
      </c>
      <c r="E199" s="33" t="s">
        <v>180</v>
      </c>
    </row>
    <row r="200" ht="15.75" customHeight="1">
      <c r="A200" s="33" t="s">
        <v>4015</v>
      </c>
      <c r="B200" s="33" t="s">
        <v>389</v>
      </c>
      <c r="C200" s="39">
        <v>45948.0</v>
      </c>
      <c r="D200" s="40">
        <v>857.72</v>
      </c>
      <c r="E200" s="33" t="s">
        <v>180</v>
      </c>
    </row>
    <row r="201" ht="15.75" customHeight="1">
      <c r="A201" s="33" t="s">
        <v>4016</v>
      </c>
      <c r="B201" s="33" t="s">
        <v>1076</v>
      </c>
      <c r="C201" s="39">
        <v>46253.0</v>
      </c>
      <c r="D201" s="40">
        <v>2322.95</v>
      </c>
      <c r="E201" s="33" t="s">
        <v>180</v>
      </c>
    </row>
    <row r="202" ht="15.75" customHeight="1">
      <c r="A202" s="33" t="s">
        <v>4018</v>
      </c>
      <c r="B202" s="33" t="s">
        <v>952</v>
      </c>
      <c r="C202" s="39">
        <v>46049.0</v>
      </c>
      <c r="D202" s="40">
        <v>1414.22</v>
      </c>
      <c r="E202" s="33" t="s">
        <v>180</v>
      </c>
    </row>
    <row r="203" ht="15.75" customHeight="1">
      <c r="A203" s="33" t="s">
        <v>4020</v>
      </c>
      <c r="B203" s="33" t="s">
        <v>1862</v>
      </c>
      <c r="C203" s="39">
        <v>46252.0</v>
      </c>
      <c r="D203" s="40">
        <v>1149.72</v>
      </c>
      <c r="E203" s="33" t="s">
        <v>180</v>
      </c>
    </row>
    <row r="204" ht="15.75" customHeight="1">
      <c r="A204" s="33" t="s">
        <v>4021</v>
      </c>
      <c r="B204" s="33" t="s">
        <v>1605</v>
      </c>
      <c r="C204" s="39">
        <v>46175.0</v>
      </c>
      <c r="D204" s="40">
        <v>3695.95</v>
      </c>
      <c r="E204" s="33" t="s">
        <v>180</v>
      </c>
    </row>
    <row r="205" ht="15.75" customHeight="1">
      <c r="A205" s="33" t="s">
        <v>4023</v>
      </c>
      <c r="B205" s="33" t="s">
        <v>1868</v>
      </c>
      <c r="C205" s="39">
        <v>46240.0</v>
      </c>
      <c r="D205" s="40">
        <v>4932.63</v>
      </c>
      <c r="E205" s="33" t="s">
        <v>180</v>
      </c>
    </row>
    <row r="206" ht="15.75" customHeight="1">
      <c r="A206" s="33" t="s">
        <v>4025</v>
      </c>
      <c r="B206" s="33" t="s">
        <v>1878</v>
      </c>
      <c r="C206" s="39">
        <v>46179.0</v>
      </c>
      <c r="D206" s="40">
        <v>1850.36</v>
      </c>
      <c r="E206" s="33" t="s">
        <v>180</v>
      </c>
    </row>
    <row r="207" ht="15.75" customHeight="1">
      <c r="A207" s="33" t="s">
        <v>4026</v>
      </c>
      <c r="B207" s="33" t="s">
        <v>1884</v>
      </c>
      <c r="C207" s="39">
        <v>45996.0</v>
      </c>
      <c r="D207" s="40">
        <v>1239.35</v>
      </c>
      <c r="E207" s="33" t="s">
        <v>180</v>
      </c>
    </row>
    <row r="208" ht="15.75" customHeight="1">
      <c r="A208" s="33" t="s">
        <v>4030</v>
      </c>
      <c r="B208" s="33" t="s">
        <v>696</v>
      </c>
      <c r="C208" s="39">
        <v>46160.0</v>
      </c>
      <c r="D208" s="40">
        <v>1263.05</v>
      </c>
      <c r="E208" s="33" t="s">
        <v>180</v>
      </c>
    </row>
    <row r="209" ht="15.75" customHeight="1">
      <c r="A209" s="33" t="s">
        <v>4031</v>
      </c>
      <c r="B209" s="33" t="s">
        <v>271</v>
      </c>
      <c r="C209" s="39">
        <v>45823.0</v>
      </c>
      <c r="D209" s="40">
        <v>1254.03</v>
      </c>
      <c r="E209" s="33" t="s">
        <v>180</v>
      </c>
    </row>
    <row r="210" ht="15.75" customHeight="1">
      <c r="A210" s="33" t="s">
        <v>4034</v>
      </c>
      <c r="B210" s="33" t="s">
        <v>1711</v>
      </c>
      <c r="C210" s="39">
        <v>46223.0</v>
      </c>
      <c r="D210" s="40">
        <v>86.48</v>
      </c>
      <c r="E210" s="33" t="s">
        <v>180</v>
      </c>
    </row>
    <row r="211" ht="15.75" customHeight="1">
      <c r="A211" s="33" t="s">
        <v>4036</v>
      </c>
      <c r="B211" s="33" t="s">
        <v>1909</v>
      </c>
      <c r="C211" s="39">
        <v>46083.0</v>
      </c>
      <c r="D211" s="40">
        <v>2489.36</v>
      </c>
      <c r="E211" s="33" t="s">
        <v>180</v>
      </c>
    </row>
    <row r="212" ht="15.75" customHeight="1">
      <c r="A212" s="33" t="s">
        <v>4037</v>
      </c>
      <c r="B212" s="33" t="s">
        <v>543</v>
      </c>
      <c r="C212" s="39">
        <v>46033.0</v>
      </c>
      <c r="D212" s="40">
        <v>2059.11</v>
      </c>
      <c r="E212" s="33" t="s">
        <v>180</v>
      </c>
    </row>
    <row r="213" ht="15.75" customHeight="1">
      <c r="A213" s="33" t="s">
        <v>4039</v>
      </c>
      <c r="B213" s="33" t="s">
        <v>627</v>
      </c>
      <c r="C213" s="39">
        <v>46213.0</v>
      </c>
      <c r="D213" s="40">
        <v>1721.4</v>
      </c>
      <c r="E213" s="33" t="s">
        <v>180</v>
      </c>
    </row>
    <row r="214" ht="15.75" customHeight="1">
      <c r="A214" s="33" t="s">
        <v>4042</v>
      </c>
      <c r="B214" s="33" t="s">
        <v>1936</v>
      </c>
      <c r="C214" s="39">
        <v>46158.0</v>
      </c>
      <c r="D214" s="40">
        <v>2958.4</v>
      </c>
      <c r="E214" s="33" t="s">
        <v>180</v>
      </c>
    </row>
    <row r="215" ht="15.75" customHeight="1">
      <c r="A215" s="33" t="s">
        <v>4043</v>
      </c>
      <c r="B215" s="33" t="s">
        <v>1944</v>
      </c>
      <c r="C215" s="39">
        <v>46167.0</v>
      </c>
      <c r="D215" s="40">
        <v>650.9</v>
      </c>
      <c r="E215" s="33" t="s">
        <v>180</v>
      </c>
    </row>
    <row r="216" ht="15.75" customHeight="1">
      <c r="A216" s="33" t="s">
        <v>4045</v>
      </c>
      <c r="B216" s="33" t="s">
        <v>646</v>
      </c>
      <c r="C216" s="39">
        <v>46039.0</v>
      </c>
      <c r="D216" s="40">
        <v>212.49</v>
      </c>
      <c r="E216" s="33" t="s">
        <v>180</v>
      </c>
    </row>
    <row r="217" ht="15.75" customHeight="1">
      <c r="A217" s="33" t="s">
        <v>4047</v>
      </c>
      <c r="B217" s="33" t="s">
        <v>623</v>
      </c>
      <c r="C217" s="39">
        <v>46148.0</v>
      </c>
      <c r="D217" s="40">
        <v>1214.96</v>
      </c>
      <c r="E217" s="33" t="s">
        <v>180</v>
      </c>
    </row>
    <row r="218" ht="15.75" customHeight="1">
      <c r="A218" s="33" t="s">
        <v>4048</v>
      </c>
      <c r="B218" s="33" t="s">
        <v>916</v>
      </c>
      <c r="C218" s="39">
        <v>46111.0</v>
      </c>
      <c r="D218" s="40">
        <v>2621.81</v>
      </c>
      <c r="E218" s="33" t="s">
        <v>180</v>
      </c>
    </row>
    <row r="219" ht="15.75" customHeight="1">
      <c r="A219" s="33" t="s">
        <v>4050</v>
      </c>
      <c r="B219" s="33" t="s">
        <v>556</v>
      </c>
      <c r="C219" s="39">
        <v>46264.0</v>
      </c>
      <c r="D219" s="40">
        <v>1821.66</v>
      </c>
      <c r="E219" s="33" t="s">
        <v>180</v>
      </c>
    </row>
    <row r="220" ht="15.75" customHeight="1">
      <c r="A220" s="33" t="s">
        <v>4052</v>
      </c>
      <c r="B220" s="33" t="s">
        <v>504</v>
      </c>
      <c r="C220" s="39">
        <v>46127.0</v>
      </c>
      <c r="D220" s="40">
        <v>1467.78</v>
      </c>
      <c r="E220" s="33" t="s">
        <v>180</v>
      </c>
    </row>
    <row r="221" ht="15.75" customHeight="1">
      <c r="A221" s="33" t="s">
        <v>4054</v>
      </c>
      <c r="B221" s="33" t="s">
        <v>1977</v>
      </c>
      <c r="C221" s="39">
        <v>45832.0</v>
      </c>
      <c r="D221" s="40">
        <v>5067.55</v>
      </c>
      <c r="E221" s="33" t="s">
        <v>180</v>
      </c>
    </row>
    <row r="222" ht="15.75" customHeight="1">
      <c r="A222" s="33" t="s">
        <v>4055</v>
      </c>
      <c r="B222" s="33" t="s">
        <v>822</v>
      </c>
      <c r="C222" s="39">
        <v>46260.0</v>
      </c>
      <c r="D222" s="40">
        <v>3964.78</v>
      </c>
      <c r="E222" s="33" t="s">
        <v>330</v>
      </c>
    </row>
    <row r="223" ht="15.75" customHeight="1">
      <c r="A223" s="33" t="s">
        <v>4057</v>
      </c>
      <c r="B223" s="33" t="s">
        <v>1995</v>
      </c>
      <c r="C223" s="39">
        <v>45953.0</v>
      </c>
      <c r="D223" s="40">
        <v>2815.27</v>
      </c>
      <c r="E223" s="33" t="s">
        <v>180</v>
      </c>
    </row>
    <row r="224" ht="15.75" customHeight="1">
      <c r="A224" s="33" t="s">
        <v>4059</v>
      </c>
      <c r="B224" s="33" t="s">
        <v>1763</v>
      </c>
      <c r="C224" s="39">
        <v>46085.0</v>
      </c>
      <c r="D224" s="40">
        <v>1402.2</v>
      </c>
      <c r="E224" s="33" t="s">
        <v>330</v>
      </c>
    </row>
    <row r="225" ht="15.75" customHeight="1">
      <c r="A225" s="33" t="s">
        <v>4061</v>
      </c>
      <c r="B225" s="33" t="s">
        <v>2009</v>
      </c>
      <c r="C225" s="39">
        <v>45958.0</v>
      </c>
      <c r="D225" s="40">
        <v>8234.33</v>
      </c>
      <c r="E225" s="33" t="s">
        <v>180</v>
      </c>
    </row>
    <row r="226" ht="15.75" customHeight="1">
      <c r="A226" s="33" t="s">
        <v>4064</v>
      </c>
      <c r="B226" s="33" t="s">
        <v>1023</v>
      </c>
      <c r="C226" s="39">
        <v>46175.0</v>
      </c>
      <c r="D226" s="40">
        <v>700.78</v>
      </c>
      <c r="E226" s="33" t="s">
        <v>180</v>
      </c>
    </row>
    <row r="227" ht="15.75" customHeight="1">
      <c r="A227" s="33" t="s">
        <v>4067</v>
      </c>
      <c r="B227" s="33" t="s">
        <v>2019</v>
      </c>
      <c r="C227" s="39">
        <v>46228.0</v>
      </c>
      <c r="D227" s="40">
        <v>3402.91</v>
      </c>
      <c r="E227" s="33" t="s">
        <v>180</v>
      </c>
    </row>
    <row r="228" ht="15.75" customHeight="1">
      <c r="A228" s="33" t="s">
        <v>4069</v>
      </c>
      <c r="B228" s="33" t="s">
        <v>2023</v>
      </c>
      <c r="C228" s="39">
        <v>46258.0</v>
      </c>
      <c r="D228" s="40">
        <v>3571.42</v>
      </c>
      <c r="E228" s="33" t="s">
        <v>180</v>
      </c>
    </row>
    <row r="229" ht="15.75" customHeight="1">
      <c r="A229" s="33" t="s">
        <v>4071</v>
      </c>
      <c r="B229" s="33" t="s">
        <v>511</v>
      </c>
      <c r="C229" s="39">
        <v>46193.0</v>
      </c>
      <c r="D229" s="40">
        <v>1151.02</v>
      </c>
      <c r="E229" s="33" t="s">
        <v>180</v>
      </c>
    </row>
    <row r="230" ht="15.75" customHeight="1">
      <c r="A230" s="33" t="s">
        <v>4073</v>
      </c>
      <c r="B230" s="33" t="s">
        <v>447</v>
      </c>
      <c r="C230" s="39">
        <v>46150.0</v>
      </c>
      <c r="D230" s="40">
        <v>4095.45</v>
      </c>
      <c r="E230" s="33" t="s">
        <v>180</v>
      </c>
    </row>
    <row r="231" ht="15.75" customHeight="1">
      <c r="A231" s="33" t="s">
        <v>4076</v>
      </c>
      <c r="B231" s="33" t="s">
        <v>1303</v>
      </c>
      <c r="C231" s="39">
        <v>46192.0</v>
      </c>
      <c r="D231" s="40">
        <v>652.51</v>
      </c>
      <c r="E231" s="33" t="s">
        <v>180</v>
      </c>
    </row>
    <row r="232" ht="15.75" customHeight="1">
      <c r="A232" s="33" t="s">
        <v>4077</v>
      </c>
      <c r="B232" s="33" t="s">
        <v>2053</v>
      </c>
      <c r="C232" s="39">
        <v>45828.0</v>
      </c>
      <c r="D232" s="40">
        <v>2233.5</v>
      </c>
      <c r="E232" s="33" t="s">
        <v>180</v>
      </c>
    </row>
    <row r="233" ht="15.75" customHeight="1">
      <c r="A233" s="33" t="s">
        <v>4079</v>
      </c>
      <c r="B233" s="33" t="s">
        <v>1893</v>
      </c>
      <c r="C233" s="39">
        <v>45860.0</v>
      </c>
      <c r="D233" s="40">
        <v>3275.2</v>
      </c>
      <c r="E233" s="33" t="s">
        <v>180</v>
      </c>
    </row>
    <row r="234" ht="15.75" customHeight="1">
      <c r="A234" s="33" t="s">
        <v>4080</v>
      </c>
      <c r="B234" s="33" t="s">
        <v>1108</v>
      </c>
      <c r="C234" s="39">
        <v>46074.0</v>
      </c>
      <c r="D234" s="40">
        <v>2158.43</v>
      </c>
      <c r="E234" s="33" t="s">
        <v>180</v>
      </c>
    </row>
    <row r="235" ht="15.75" customHeight="1">
      <c r="A235" s="33" t="s">
        <v>4083</v>
      </c>
      <c r="B235" s="33" t="s">
        <v>1096</v>
      </c>
      <c r="C235" s="39">
        <v>46220.0</v>
      </c>
      <c r="D235" s="40">
        <v>454.01</v>
      </c>
      <c r="E235" s="33" t="s">
        <v>180</v>
      </c>
    </row>
    <row r="236" ht="15.75" customHeight="1">
      <c r="A236" s="33" t="s">
        <v>4084</v>
      </c>
      <c r="B236" s="33" t="s">
        <v>1555</v>
      </c>
      <c r="C236" s="39">
        <v>46230.0</v>
      </c>
      <c r="D236" s="40">
        <v>3230.47</v>
      </c>
      <c r="E236" s="33" t="s">
        <v>180</v>
      </c>
    </row>
    <row r="237" ht="15.75" customHeight="1">
      <c r="A237" s="33" t="s">
        <v>4086</v>
      </c>
      <c r="B237" s="33" t="s">
        <v>2088</v>
      </c>
      <c r="C237" s="39">
        <v>45938.0</v>
      </c>
      <c r="D237" s="40">
        <v>3968.05</v>
      </c>
      <c r="E237" s="33" t="s">
        <v>180</v>
      </c>
    </row>
    <row r="238" ht="15.75" customHeight="1">
      <c r="A238" s="33" t="s">
        <v>4089</v>
      </c>
      <c r="B238" s="33" t="s">
        <v>2092</v>
      </c>
      <c r="C238" s="39">
        <v>45799.0</v>
      </c>
      <c r="D238" s="40">
        <v>1939.57</v>
      </c>
      <c r="E238" s="33" t="s">
        <v>180</v>
      </c>
    </row>
    <row r="239" ht="15.75" customHeight="1">
      <c r="A239" s="33" t="s">
        <v>4090</v>
      </c>
      <c r="B239" s="33" t="s">
        <v>2098</v>
      </c>
      <c r="C239" s="39">
        <v>46067.0</v>
      </c>
      <c r="D239" s="40">
        <v>333.73</v>
      </c>
      <c r="E239" s="33" t="s">
        <v>180</v>
      </c>
    </row>
    <row r="240" ht="15.75" customHeight="1">
      <c r="A240" s="33" t="s">
        <v>4093</v>
      </c>
      <c r="B240" s="33" t="s">
        <v>375</v>
      </c>
      <c r="C240" s="39">
        <v>45970.0</v>
      </c>
      <c r="D240" s="40">
        <v>1856.4</v>
      </c>
      <c r="E240" s="33" t="s">
        <v>330</v>
      </c>
    </row>
    <row r="241" ht="15.75" customHeight="1">
      <c r="A241" s="33" t="s">
        <v>4094</v>
      </c>
      <c r="B241" s="33" t="s">
        <v>2104</v>
      </c>
      <c r="C241" s="39">
        <v>46201.0</v>
      </c>
      <c r="D241" s="40">
        <v>1070.63</v>
      </c>
      <c r="E241" s="33" t="s">
        <v>180</v>
      </c>
    </row>
    <row r="242" ht="15.75" customHeight="1">
      <c r="A242" s="33" t="s">
        <v>4096</v>
      </c>
      <c r="B242" s="33" t="s">
        <v>2110</v>
      </c>
      <c r="C242" s="39">
        <v>46089.0</v>
      </c>
      <c r="D242" s="40">
        <v>1780.74</v>
      </c>
      <c r="E242" s="33" t="s">
        <v>180</v>
      </c>
    </row>
    <row r="243" ht="15.75" customHeight="1">
      <c r="A243" s="33" t="s">
        <v>4098</v>
      </c>
      <c r="B243" s="33" t="s">
        <v>1183</v>
      </c>
      <c r="C243" s="39">
        <v>46222.0</v>
      </c>
      <c r="D243" s="40">
        <v>2775.44</v>
      </c>
      <c r="E243" s="33" t="s">
        <v>330</v>
      </c>
    </row>
    <row r="244" ht="15.75" customHeight="1">
      <c r="A244" s="33" t="s">
        <v>4100</v>
      </c>
      <c r="B244" s="33" t="s">
        <v>1462</v>
      </c>
      <c r="C244" s="39">
        <v>46263.0</v>
      </c>
      <c r="D244" s="40">
        <v>605.48</v>
      </c>
      <c r="E244" s="33" t="s">
        <v>180</v>
      </c>
    </row>
    <row r="245" ht="15.75" customHeight="1">
      <c r="A245" s="33" t="s">
        <v>4102</v>
      </c>
      <c r="B245" s="33" t="s">
        <v>571</v>
      </c>
      <c r="C245" s="39">
        <v>45870.0</v>
      </c>
      <c r="D245" s="40">
        <v>4517.41</v>
      </c>
      <c r="E245" s="33" t="s">
        <v>180</v>
      </c>
    </row>
    <row r="246" ht="15.75" customHeight="1">
      <c r="A246" s="33" t="s">
        <v>4106</v>
      </c>
      <c r="B246" s="33" t="s">
        <v>1705</v>
      </c>
      <c r="C246" s="39">
        <v>46035.0</v>
      </c>
      <c r="D246" s="40">
        <v>1353.27</v>
      </c>
      <c r="E246" s="33" t="s">
        <v>180</v>
      </c>
    </row>
    <row r="247" ht="15.75" customHeight="1">
      <c r="A247" s="33" t="s">
        <v>4108</v>
      </c>
      <c r="B247" s="33" t="s">
        <v>2132</v>
      </c>
      <c r="C247" s="39">
        <v>46151.0</v>
      </c>
      <c r="D247" s="40">
        <v>1967.87</v>
      </c>
      <c r="E247" s="33" t="s">
        <v>180</v>
      </c>
    </row>
    <row r="248" ht="15.75" customHeight="1">
      <c r="A248" s="33" t="s">
        <v>4109</v>
      </c>
      <c r="B248" s="33" t="s">
        <v>1470</v>
      </c>
      <c r="C248" s="39">
        <v>45960.0</v>
      </c>
      <c r="D248" s="40">
        <v>1168.05</v>
      </c>
      <c r="E248" s="33" t="s">
        <v>180</v>
      </c>
    </row>
    <row r="249" ht="15.75" customHeight="1">
      <c r="A249" s="33" t="s">
        <v>4111</v>
      </c>
      <c r="B249" s="33" t="s">
        <v>257</v>
      </c>
      <c r="C249" s="39">
        <v>46226.0</v>
      </c>
      <c r="D249" s="40">
        <v>2774.92</v>
      </c>
      <c r="E249" s="33" t="s">
        <v>180</v>
      </c>
    </row>
    <row r="250" ht="15.75" customHeight="1">
      <c r="A250" s="33" t="s">
        <v>4114</v>
      </c>
      <c r="B250" s="33" t="s">
        <v>2066</v>
      </c>
      <c r="C250" s="39">
        <v>46261.0</v>
      </c>
      <c r="D250" s="40">
        <v>4515.94</v>
      </c>
      <c r="E250" s="33" t="s">
        <v>180</v>
      </c>
    </row>
    <row r="251" ht="15.75" customHeight="1">
      <c r="A251" s="33" t="s">
        <v>4117</v>
      </c>
      <c r="B251" s="33" t="s">
        <v>1402</v>
      </c>
      <c r="C251" s="39">
        <v>46218.0</v>
      </c>
      <c r="D251" s="40">
        <v>900.92</v>
      </c>
      <c r="E251" s="33" t="s">
        <v>330</v>
      </c>
    </row>
    <row r="252" ht="15.75" customHeight="1">
      <c r="A252" s="33" t="s">
        <v>4119</v>
      </c>
      <c r="B252" s="33" t="s">
        <v>2158</v>
      </c>
      <c r="C252" s="39">
        <v>46197.0</v>
      </c>
      <c r="D252" s="40">
        <v>2522.28</v>
      </c>
      <c r="E252" s="33" t="s">
        <v>180</v>
      </c>
    </row>
    <row r="253" ht="15.75" customHeight="1">
      <c r="A253" s="33" t="s">
        <v>4121</v>
      </c>
      <c r="B253" s="33" t="s">
        <v>250</v>
      </c>
      <c r="C253" s="39">
        <v>46244.0</v>
      </c>
      <c r="D253" s="40">
        <v>1009.48</v>
      </c>
      <c r="E253" s="33" t="s">
        <v>180</v>
      </c>
    </row>
    <row r="254" ht="15.75" customHeight="1">
      <c r="A254" s="33" t="s">
        <v>4123</v>
      </c>
      <c r="B254" s="33" t="s">
        <v>1244</v>
      </c>
      <c r="C254" s="39">
        <v>46009.0</v>
      </c>
      <c r="D254" s="40">
        <v>2728.91</v>
      </c>
      <c r="E254" s="33" t="s">
        <v>180</v>
      </c>
    </row>
    <row r="255" ht="15.75" customHeight="1">
      <c r="A255" s="33" t="s">
        <v>4125</v>
      </c>
      <c r="B255" s="33" t="s">
        <v>2172</v>
      </c>
      <c r="C255" s="39">
        <v>46227.0</v>
      </c>
      <c r="D255" s="40">
        <v>1748.77</v>
      </c>
      <c r="E255" s="33" t="s">
        <v>180</v>
      </c>
    </row>
    <row r="256" ht="15.75" customHeight="1">
      <c r="A256" s="33" t="s">
        <v>4127</v>
      </c>
      <c r="B256" s="33" t="s">
        <v>1368</v>
      </c>
      <c r="C256" s="39">
        <v>46119.0</v>
      </c>
      <c r="D256" s="40">
        <v>3148.07</v>
      </c>
      <c r="E256" s="33" t="s">
        <v>180</v>
      </c>
    </row>
    <row r="257" ht="15.75" customHeight="1">
      <c r="A257" s="33" t="s">
        <v>4128</v>
      </c>
      <c r="B257" s="33" t="s">
        <v>2183</v>
      </c>
      <c r="C257" s="39">
        <v>45907.0</v>
      </c>
      <c r="D257" s="40">
        <v>2088.44</v>
      </c>
      <c r="E257" s="33" t="s">
        <v>180</v>
      </c>
    </row>
    <row r="258" ht="15.75" customHeight="1">
      <c r="A258" s="33" t="s">
        <v>4131</v>
      </c>
      <c r="B258" s="33" t="s">
        <v>2187</v>
      </c>
      <c r="C258" s="39">
        <v>46221.0</v>
      </c>
      <c r="D258" s="40">
        <v>6225.81</v>
      </c>
      <c r="E258" s="33" t="s">
        <v>180</v>
      </c>
    </row>
    <row r="259" ht="15.75" customHeight="1">
      <c r="A259" s="33" t="s">
        <v>4132</v>
      </c>
      <c r="B259" s="33" t="s">
        <v>1176</v>
      </c>
      <c r="C259" s="39">
        <v>45919.0</v>
      </c>
      <c r="D259" s="40">
        <v>1175.98</v>
      </c>
      <c r="E259" s="33" t="s">
        <v>180</v>
      </c>
    </row>
    <row r="260" ht="15.75" customHeight="1">
      <c r="A260" s="33" t="s">
        <v>4134</v>
      </c>
      <c r="B260" s="33" t="s">
        <v>2197</v>
      </c>
      <c r="C260" s="39">
        <v>46030.0</v>
      </c>
      <c r="D260" s="40">
        <v>554.36</v>
      </c>
      <c r="E260" s="33" t="s">
        <v>180</v>
      </c>
    </row>
    <row r="261" ht="15.75" customHeight="1">
      <c r="A261" s="33" t="s">
        <v>4137</v>
      </c>
      <c r="B261" s="33" t="s">
        <v>2201</v>
      </c>
      <c r="C261" s="39">
        <v>45902.0</v>
      </c>
      <c r="D261" s="40">
        <v>1099.87</v>
      </c>
      <c r="E261" s="33" t="s">
        <v>180</v>
      </c>
    </row>
    <row r="262" ht="15.75" customHeight="1">
      <c r="A262" s="33" t="s">
        <v>4139</v>
      </c>
      <c r="B262" s="33" t="s">
        <v>1253</v>
      </c>
      <c r="C262" s="39">
        <v>46237.0</v>
      </c>
      <c r="D262" s="40">
        <v>1114.84</v>
      </c>
      <c r="E262" s="33" t="s">
        <v>180</v>
      </c>
    </row>
    <row r="263" ht="15.75" customHeight="1">
      <c r="A263" s="33" t="s">
        <v>4141</v>
      </c>
      <c r="B263" s="33" t="s">
        <v>731</v>
      </c>
      <c r="C263" s="39">
        <v>46055.0</v>
      </c>
      <c r="D263" s="40">
        <v>1585.59</v>
      </c>
      <c r="E263" s="33" t="s">
        <v>180</v>
      </c>
    </row>
    <row r="264" ht="15.75" customHeight="1">
      <c r="A264" s="33" t="s">
        <v>4143</v>
      </c>
      <c r="B264" s="33" t="s">
        <v>2217</v>
      </c>
      <c r="C264" s="39">
        <v>45806.0</v>
      </c>
      <c r="D264" s="40">
        <v>1278.27</v>
      </c>
      <c r="E264" s="33" t="s">
        <v>180</v>
      </c>
    </row>
    <row r="265" ht="15.75" customHeight="1">
      <c r="A265" s="33" t="s">
        <v>4145</v>
      </c>
      <c r="B265" s="33" t="s">
        <v>2221</v>
      </c>
      <c r="C265" s="39">
        <v>46226.0</v>
      </c>
      <c r="D265" s="40">
        <v>1968.89</v>
      </c>
      <c r="E265" s="33" t="s">
        <v>180</v>
      </c>
    </row>
    <row r="266" ht="15.75" customHeight="1">
      <c r="A266" s="33" t="s">
        <v>4148</v>
      </c>
      <c r="B266" s="33" t="s">
        <v>2226</v>
      </c>
      <c r="C266" s="39">
        <v>46113.0</v>
      </c>
      <c r="D266" s="40">
        <v>358.96</v>
      </c>
      <c r="E266" s="33" t="s">
        <v>180</v>
      </c>
    </row>
    <row r="267" ht="15.75" customHeight="1">
      <c r="A267" s="33" t="s">
        <v>4150</v>
      </c>
      <c r="B267" s="33" t="s">
        <v>2229</v>
      </c>
      <c r="C267" s="39">
        <v>45993.0</v>
      </c>
      <c r="D267" s="40">
        <v>1272.97</v>
      </c>
      <c r="E267" s="33" t="s">
        <v>180</v>
      </c>
    </row>
    <row r="268" ht="15.75" customHeight="1">
      <c r="A268" s="33" t="s">
        <v>4152</v>
      </c>
      <c r="B268" s="33" t="s">
        <v>2123</v>
      </c>
      <c r="C268" s="39">
        <v>45884.0</v>
      </c>
      <c r="D268" s="40">
        <v>1262.11</v>
      </c>
      <c r="E268" s="33" t="s">
        <v>330</v>
      </c>
    </row>
    <row r="269" ht="15.75" customHeight="1">
      <c r="A269" s="33" t="s">
        <v>4156</v>
      </c>
      <c r="B269" s="33" t="s">
        <v>783</v>
      </c>
      <c r="C269" s="39">
        <v>45822.0</v>
      </c>
      <c r="D269" s="40">
        <v>2883.37</v>
      </c>
      <c r="E269" s="33" t="s">
        <v>180</v>
      </c>
    </row>
    <row r="270" ht="15.75" customHeight="1">
      <c r="A270" s="33" t="s">
        <v>4158</v>
      </c>
      <c r="B270" s="33" t="s">
        <v>1082</v>
      </c>
      <c r="C270" s="39">
        <v>46261.0</v>
      </c>
      <c r="D270" s="40">
        <v>800.72</v>
      </c>
      <c r="E270" s="33" t="s">
        <v>180</v>
      </c>
    </row>
    <row r="271" ht="15.75" customHeight="1">
      <c r="A271" s="33" t="s">
        <v>4160</v>
      </c>
      <c r="B271" s="33" t="s">
        <v>1941</v>
      </c>
      <c r="C271" s="39">
        <v>46210.0</v>
      </c>
      <c r="D271" s="40">
        <v>767.63</v>
      </c>
      <c r="E271" s="33" t="s">
        <v>180</v>
      </c>
    </row>
    <row r="272" ht="15.75" customHeight="1">
      <c r="A272" s="33" t="s">
        <v>4163</v>
      </c>
      <c r="B272" s="33" t="s">
        <v>2255</v>
      </c>
      <c r="C272" s="39">
        <v>46249.0</v>
      </c>
      <c r="D272" s="40">
        <v>1721.26</v>
      </c>
      <c r="E272" s="33" t="s">
        <v>180</v>
      </c>
    </row>
    <row r="273" ht="15.75" customHeight="1">
      <c r="A273" s="33" t="s">
        <v>4165</v>
      </c>
      <c r="B273" s="33" t="s">
        <v>1485</v>
      </c>
      <c r="C273" s="39">
        <v>46125.0</v>
      </c>
      <c r="D273" s="40">
        <v>3007.04</v>
      </c>
      <c r="E273" s="33" t="s">
        <v>180</v>
      </c>
    </row>
    <row r="274" ht="15.75" customHeight="1">
      <c r="A274" s="33" t="s">
        <v>4167</v>
      </c>
      <c r="B274" s="33" t="s">
        <v>1227</v>
      </c>
      <c r="C274" s="39">
        <v>46103.0</v>
      </c>
      <c r="D274" s="40">
        <v>74.0</v>
      </c>
      <c r="E274" s="33" t="s">
        <v>180</v>
      </c>
    </row>
    <row r="275" ht="15.75" customHeight="1">
      <c r="A275" s="33" t="s">
        <v>4169</v>
      </c>
      <c r="B275" s="33" t="s">
        <v>2269</v>
      </c>
      <c r="C275" s="39">
        <v>45775.0</v>
      </c>
      <c r="D275" s="40">
        <v>2790.7</v>
      </c>
      <c r="E275" s="33" t="s">
        <v>180</v>
      </c>
    </row>
    <row r="276" ht="15.75" customHeight="1">
      <c r="A276" s="33" t="s">
        <v>4171</v>
      </c>
      <c r="B276" s="33" t="s">
        <v>575</v>
      </c>
      <c r="C276" s="39">
        <v>46066.0</v>
      </c>
      <c r="D276" s="40">
        <v>2501.28</v>
      </c>
      <c r="E276" s="33" t="s">
        <v>180</v>
      </c>
    </row>
    <row r="277" ht="15.75" customHeight="1">
      <c r="A277" s="33" t="s">
        <v>4173</v>
      </c>
      <c r="B277" s="33" t="s">
        <v>2277</v>
      </c>
      <c r="C277" s="39">
        <v>46251.0</v>
      </c>
      <c r="D277" s="40">
        <v>1601.03</v>
      </c>
      <c r="E277" s="33" t="s">
        <v>180</v>
      </c>
    </row>
    <row r="278" ht="15.75" customHeight="1">
      <c r="A278" s="33" t="s">
        <v>4177</v>
      </c>
      <c r="B278" s="33" t="s">
        <v>1991</v>
      </c>
      <c r="C278" s="39">
        <v>46257.0</v>
      </c>
      <c r="D278" s="40">
        <v>1916.67</v>
      </c>
      <c r="E278" s="33" t="s">
        <v>180</v>
      </c>
    </row>
    <row r="279" ht="15.75" customHeight="1">
      <c r="A279" s="33" t="s">
        <v>4180</v>
      </c>
      <c r="B279" s="33" t="s">
        <v>1181</v>
      </c>
      <c r="C279" s="39">
        <v>46185.0</v>
      </c>
      <c r="D279" s="40">
        <v>3413.23</v>
      </c>
      <c r="E279" s="33" t="s">
        <v>180</v>
      </c>
    </row>
    <row r="280" ht="15.75" customHeight="1">
      <c r="A280" s="33" t="s">
        <v>4182</v>
      </c>
      <c r="B280" s="33" t="s">
        <v>701</v>
      </c>
      <c r="C280" s="39">
        <v>45966.0</v>
      </c>
      <c r="D280" s="40">
        <v>1107.98</v>
      </c>
      <c r="E280" s="33" t="s">
        <v>180</v>
      </c>
    </row>
    <row r="281" ht="15.75" customHeight="1">
      <c r="A281" s="33" t="s">
        <v>4185</v>
      </c>
      <c r="B281" s="33" t="s">
        <v>2292</v>
      </c>
      <c r="C281" s="39">
        <v>45866.0</v>
      </c>
      <c r="D281" s="40">
        <v>509.35</v>
      </c>
      <c r="E281" s="33" t="s">
        <v>180</v>
      </c>
    </row>
    <row r="282" ht="15.75" customHeight="1">
      <c r="A282" s="33" t="s">
        <v>4186</v>
      </c>
      <c r="B282" s="33" t="s">
        <v>1289</v>
      </c>
      <c r="C282" s="39">
        <v>46173.0</v>
      </c>
      <c r="D282" s="40">
        <v>2511.45</v>
      </c>
      <c r="E282" s="33" t="s">
        <v>180</v>
      </c>
    </row>
    <row r="283" ht="15.75" customHeight="1">
      <c r="A283" s="33" t="s">
        <v>4188</v>
      </c>
      <c r="B283" s="33" t="s">
        <v>740</v>
      </c>
      <c r="C283" s="39">
        <v>46148.0</v>
      </c>
      <c r="D283" s="40">
        <v>2365.38</v>
      </c>
      <c r="E283" s="33" t="s">
        <v>180</v>
      </c>
    </row>
    <row r="284" ht="15.75" customHeight="1">
      <c r="A284" s="33" t="s">
        <v>4190</v>
      </c>
      <c r="B284" s="33" t="s">
        <v>2194</v>
      </c>
      <c r="C284" s="39">
        <v>46241.0</v>
      </c>
      <c r="D284" s="40">
        <v>228.74</v>
      </c>
      <c r="E284" s="33" t="s">
        <v>180</v>
      </c>
    </row>
    <row r="285" ht="15.75" customHeight="1">
      <c r="A285" s="33" t="s">
        <v>4191</v>
      </c>
      <c r="B285" s="33" t="s">
        <v>2308</v>
      </c>
      <c r="C285" s="39">
        <v>46092.0</v>
      </c>
      <c r="D285" s="40">
        <v>4644.6</v>
      </c>
      <c r="E285" s="33" t="s">
        <v>180</v>
      </c>
    </row>
    <row r="286" ht="15.75" customHeight="1">
      <c r="A286" s="33" t="s">
        <v>4193</v>
      </c>
      <c r="B286" s="33" t="s">
        <v>2319</v>
      </c>
      <c r="C286" s="39">
        <v>45997.0</v>
      </c>
      <c r="D286" s="40">
        <v>2257.96</v>
      </c>
      <c r="E286" s="33" t="s">
        <v>180</v>
      </c>
    </row>
    <row r="287" ht="15.75" customHeight="1">
      <c r="A287" s="33" t="s">
        <v>4195</v>
      </c>
      <c r="B287" s="33" t="s">
        <v>619</v>
      </c>
      <c r="C287" s="39">
        <v>46154.0</v>
      </c>
      <c r="D287" s="40">
        <v>844.26</v>
      </c>
      <c r="E287" s="33" t="s">
        <v>180</v>
      </c>
    </row>
    <row r="288" ht="15.75" customHeight="1">
      <c r="A288" s="33" t="s">
        <v>4197</v>
      </c>
      <c r="B288" s="33" t="s">
        <v>1382</v>
      </c>
      <c r="C288" s="39">
        <v>46247.0</v>
      </c>
      <c r="D288" s="40">
        <v>2391.81</v>
      </c>
      <c r="E288" s="33" t="s">
        <v>180</v>
      </c>
    </row>
    <row r="289" ht="15.75" customHeight="1">
      <c r="A289" s="33" t="s">
        <v>4198</v>
      </c>
      <c r="B289" s="33" t="s">
        <v>1045</v>
      </c>
      <c r="C289" s="39">
        <v>46076.0</v>
      </c>
      <c r="D289" s="40">
        <v>2168.31</v>
      </c>
      <c r="E289" s="33" t="s">
        <v>180</v>
      </c>
    </row>
    <row r="290" ht="15.75" customHeight="1">
      <c r="A290" s="33" t="s">
        <v>4200</v>
      </c>
      <c r="B290" s="33" t="s">
        <v>749</v>
      </c>
      <c r="C290" s="39">
        <v>46098.0</v>
      </c>
      <c r="D290" s="40">
        <v>1233.88</v>
      </c>
      <c r="E290" s="33" t="s">
        <v>180</v>
      </c>
    </row>
    <row r="291" ht="15.75" customHeight="1">
      <c r="A291" s="33" t="s">
        <v>4201</v>
      </c>
      <c r="B291" s="33" t="s">
        <v>684</v>
      </c>
      <c r="C291" s="39">
        <v>46236.0</v>
      </c>
      <c r="D291" s="40">
        <v>1901.29</v>
      </c>
      <c r="E291" s="33" t="s">
        <v>180</v>
      </c>
    </row>
    <row r="292" ht="15.75" customHeight="1">
      <c r="A292" s="33" t="s">
        <v>4204</v>
      </c>
      <c r="B292" s="33" t="s">
        <v>1661</v>
      </c>
      <c r="C292" s="39">
        <v>45949.0</v>
      </c>
      <c r="D292" s="40">
        <v>1912.65</v>
      </c>
      <c r="E292" s="33" t="s">
        <v>180</v>
      </c>
    </row>
    <row r="293" ht="15.75" customHeight="1">
      <c r="A293" s="33" t="s">
        <v>4205</v>
      </c>
      <c r="B293" s="33" t="s">
        <v>1953</v>
      </c>
      <c r="C293" s="39">
        <v>46223.0</v>
      </c>
      <c r="D293" s="40">
        <v>1756.09</v>
      </c>
      <c r="E293" s="33" t="s">
        <v>180</v>
      </c>
    </row>
    <row r="294" ht="15.75" customHeight="1">
      <c r="A294" s="33" t="s">
        <v>4207</v>
      </c>
      <c r="B294" s="33" t="s">
        <v>1135</v>
      </c>
      <c r="C294" s="39">
        <v>46086.0</v>
      </c>
      <c r="D294" s="40">
        <v>1646.05</v>
      </c>
      <c r="E294" s="33" t="s">
        <v>180</v>
      </c>
    </row>
    <row r="295" ht="15.75" customHeight="1">
      <c r="A295" s="33" t="s">
        <v>4209</v>
      </c>
      <c r="B295" s="33" t="s">
        <v>2354</v>
      </c>
      <c r="C295" s="39">
        <v>46250.0</v>
      </c>
      <c r="D295" s="40">
        <v>2185.65</v>
      </c>
      <c r="E295" s="33" t="s">
        <v>180</v>
      </c>
    </row>
    <row r="296" ht="15.75" customHeight="1">
      <c r="A296" s="33" t="s">
        <v>4211</v>
      </c>
      <c r="B296" s="33" t="s">
        <v>2362</v>
      </c>
      <c r="C296" s="39">
        <v>46261.0</v>
      </c>
      <c r="D296" s="40">
        <v>1956.07</v>
      </c>
      <c r="E296" s="33" t="s">
        <v>180</v>
      </c>
    </row>
    <row r="297" ht="15.75" customHeight="1">
      <c r="A297" s="33" t="s">
        <v>4213</v>
      </c>
      <c r="B297" s="33" t="s">
        <v>2371</v>
      </c>
      <c r="C297" s="39">
        <v>45908.0</v>
      </c>
      <c r="D297" s="40">
        <v>1113.54</v>
      </c>
      <c r="E297" s="33" t="s">
        <v>180</v>
      </c>
    </row>
    <row r="298" ht="15.75" customHeight="1">
      <c r="A298" s="33" t="s">
        <v>4215</v>
      </c>
      <c r="B298" s="33" t="s">
        <v>2375</v>
      </c>
      <c r="C298" s="39">
        <v>46108.0</v>
      </c>
      <c r="D298" s="40">
        <v>705.48</v>
      </c>
      <c r="E298" s="33" t="s">
        <v>180</v>
      </c>
    </row>
    <row r="299" ht="15.75" customHeight="1">
      <c r="A299" s="33" t="s">
        <v>4216</v>
      </c>
      <c r="B299" s="33" t="s">
        <v>1759</v>
      </c>
      <c r="C299" s="39">
        <v>46055.0</v>
      </c>
      <c r="D299" s="40">
        <v>1894.01</v>
      </c>
      <c r="E299" s="33" t="s">
        <v>180</v>
      </c>
    </row>
    <row r="300" ht="15.75" customHeight="1">
      <c r="A300" s="33" t="s">
        <v>4218</v>
      </c>
      <c r="B300" s="33" t="s">
        <v>2002</v>
      </c>
      <c r="C300" s="39">
        <v>46067.0</v>
      </c>
      <c r="D300" s="40">
        <v>2776.25</v>
      </c>
      <c r="E300" s="33" t="s">
        <v>180</v>
      </c>
    </row>
    <row r="301" ht="15.75" customHeight="1">
      <c r="A301" s="33" t="s">
        <v>4220</v>
      </c>
      <c r="B301" s="33" t="s">
        <v>1998</v>
      </c>
      <c r="C301" s="39">
        <v>45919.0</v>
      </c>
      <c r="D301" s="40">
        <v>1840.99</v>
      </c>
      <c r="E301" s="33" t="s">
        <v>180</v>
      </c>
    </row>
    <row r="302" ht="15.75" customHeight="1">
      <c r="A302" s="33" t="s">
        <v>4221</v>
      </c>
      <c r="B302" s="33" t="s">
        <v>988</v>
      </c>
      <c r="C302" s="39">
        <v>46180.0</v>
      </c>
      <c r="D302" s="40">
        <v>1097.73</v>
      </c>
      <c r="E302" s="33" t="s">
        <v>180</v>
      </c>
    </row>
    <row r="303" ht="15.75" customHeight="1">
      <c r="A303" s="33" t="s">
        <v>4224</v>
      </c>
      <c r="B303" s="33" t="s">
        <v>1495</v>
      </c>
      <c r="C303" s="39">
        <v>46264.0</v>
      </c>
      <c r="D303" s="40">
        <v>338.72</v>
      </c>
      <c r="E303" s="33" t="s">
        <v>180</v>
      </c>
    </row>
    <row r="304" ht="15.75" customHeight="1">
      <c r="A304" s="33" t="s">
        <v>4225</v>
      </c>
      <c r="B304" s="33" t="s">
        <v>2397</v>
      </c>
      <c r="C304" s="39">
        <v>46216.0</v>
      </c>
      <c r="D304" s="40">
        <v>4742.56</v>
      </c>
      <c r="E304" s="33" t="s">
        <v>180</v>
      </c>
    </row>
    <row r="305" ht="15.75" customHeight="1">
      <c r="A305" s="33" t="s">
        <v>4227</v>
      </c>
      <c r="B305" s="33" t="s">
        <v>835</v>
      </c>
      <c r="C305" s="39">
        <v>46254.0</v>
      </c>
      <c r="D305" s="40">
        <v>2298.31</v>
      </c>
      <c r="E305" s="33" t="s">
        <v>180</v>
      </c>
    </row>
    <row r="306" ht="15.75" customHeight="1">
      <c r="A306" s="33" t="s">
        <v>4228</v>
      </c>
      <c r="B306" s="33" t="s">
        <v>1679</v>
      </c>
      <c r="C306" s="39">
        <v>45718.0</v>
      </c>
      <c r="D306" s="40">
        <v>2182.06</v>
      </c>
      <c r="E306" s="33" t="s">
        <v>180</v>
      </c>
    </row>
    <row r="307" ht="15.75" customHeight="1">
      <c r="A307" s="33" t="s">
        <v>4231</v>
      </c>
      <c r="B307" s="33" t="s">
        <v>2334</v>
      </c>
      <c r="C307" s="39">
        <v>46240.0</v>
      </c>
      <c r="D307" s="40">
        <v>1241.28</v>
      </c>
      <c r="E307" s="33" t="s">
        <v>180</v>
      </c>
    </row>
    <row r="308" ht="15.75" customHeight="1">
      <c r="A308" s="33" t="s">
        <v>4232</v>
      </c>
      <c r="B308" s="33" t="s">
        <v>2231</v>
      </c>
      <c r="C308" s="39">
        <v>46229.0</v>
      </c>
      <c r="D308" s="40">
        <v>353.54</v>
      </c>
      <c r="E308" s="33" t="s">
        <v>180</v>
      </c>
    </row>
    <row r="309" ht="15.75" customHeight="1">
      <c r="A309" s="33" t="s">
        <v>4234</v>
      </c>
      <c r="B309" s="33" t="s">
        <v>489</v>
      </c>
      <c r="C309" s="39">
        <v>46229.0</v>
      </c>
      <c r="D309" s="40">
        <v>1040.2</v>
      </c>
      <c r="E309" s="33" t="s">
        <v>180</v>
      </c>
    </row>
    <row r="310" ht="15.75" customHeight="1">
      <c r="A310" s="33" t="s">
        <v>4235</v>
      </c>
      <c r="B310" s="33" t="s">
        <v>1010</v>
      </c>
      <c r="C310" s="39">
        <v>46173.0</v>
      </c>
      <c r="D310" s="40">
        <v>4264.99</v>
      </c>
      <c r="E310" s="33" t="s">
        <v>180</v>
      </c>
    </row>
    <row r="311" ht="15.75" customHeight="1">
      <c r="A311" s="33" t="s">
        <v>4238</v>
      </c>
      <c r="B311" s="33" t="s">
        <v>898</v>
      </c>
      <c r="C311" s="39">
        <v>46252.0</v>
      </c>
      <c r="D311" s="40">
        <v>577.39</v>
      </c>
      <c r="E311" s="33" t="s">
        <v>180</v>
      </c>
    </row>
    <row r="312" ht="15.75" customHeight="1">
      <c r="A312" s="33" t="s">
        <v>4240</v>
      </c>
      <c r="B312" s="33" t="s">
        <v>2429</v>
      </c>
      <c r="C312" s="39">
        <v>46245.0</v>
      </c>
      <c r="D312" s="40">
        <v>282.05</v>
      </c>
      <c r="E312" s="33" t="s">
        <v>180</v>
      </c>
    </row>
    <row r="313" ht="15.75" customHeight="1">
      <c r="A313" s="33" t="s">
        <v>4243</v>
      </c>
      <c r="B313" s="33" t="s">
        <v>1297</v>
      </c>
      <c r="C313" s="39">
        <v>46095.0</v>
      </c>
      <c r="D313" s="40">
        <v>4700.6</v>
      </c>
      <c r="E313" s="33" t="s">
        <v>180</v>
      </c>
    </row>
    <row r="314" ht="15.75" customHeight="1">
      <c r="A314" s="33" t="s">
        <v>4245</v>
      </c>
      <c r="B314" s="33" t="s">
        <v>1890</v>
      </c>
      <c r="C314" s="39">
        <v>46087.0</v>
      </c>
      <c r="D314" s="40">
        <v>856.69</v>
      </c>
      <c r="E314" s="33" t="s">
        <v>180</v>
      </c>
    </row>
    <row r="315" ht="15.75" customHeight="1">
      <c r="A315" s="33" t="s">
        <v>4246</v>
      </c>
      <c r="B315" s="33" t="s">
        <v>2048</v>
      </c>
      <c r="C315" s="39">
        <v>46167.0</v>
      </c>
      <c r="D315" s="40">
        <v>1474.73</v>
      </c>
      <c r="E315" s="33" t="s">
        <v>180</v>
      </c>
    </row>
    <row r="316" ht="15.75" customHeight="1">
      <c r="A316" s="33" t="s">
        <v>4249</v>
      </c>
      <c r="B316" s="33" t="s">
        <v>1842</v>
      </c>
      <c r="C316" s="39">
        <v>46132.0</v>
      </c>
      <c r="D316" s="40">
        <v>2205.46</v>
      </c>
      <c r="E316" s="33" t="s">
        <v>180</v>
      </c>
    </row>
    <row r="317" ht="15.75" customHeight="1">
      <c r="A317" s="33" t="s">
        <v>4251</v>
      </c>
      <c r="B317" s="33" t="s">
        <v>2453</v>
      </c>
      <c r="C317" s="39">
        <v>46147.0</v>
      </c>
      <c r="D317" s="40">
        <v>5691.06</v>
      </c>
      <c r="E317" s="33" t="s">
        <v>180</v>
      </c>
    </row>
    <row r="318" ht="15.75" customHeight="1">
      <c r="A318" s="33" t="s">
        <v>4252</v>
      </c>
      <c r="B318" s="33" t="s">
        <v>2458</v>
      </c>
      <c r="C318" s="39">
        <v>46137.0</v>
      </c>
      <c r="D318" s="40">
        <v>4199.02</v>
      </c>
      <c r="E318" s="33" t="s">
        <v>180</v>
      </c>
    </row>
    <row r="319" ht="15.75" customHeight="1">
      <c r="A319" s="33" t="s">
        <v>4254</v>
      </c>
      <c r="B319" s="33" t="s">
        <v>2464</v>
      </c>
      <c r="C319" s="39">
        <v>46039.0</v>
      </c>
      <c r="D319" s="40">
        <v>1613.23</v>
      </c>
      <c r="E319" s="33" t="s">
        <v>180</v>
      </c>
    </row>
    <row r="320" ht="15.75" customHeight="1">
      <c r="A320" s="33" t="s">
        <v>4256</v>
      </c>
      <c r="B320" s="33" t="s">
        <v>1167</v>
      </c>
      <c r="C320" s="39">
        <v>46207.0</v>
      </c>
      <c r="D320" s="40">
        <v>1092.89</v>
      </c>
      <c r="E320" s="33" t="s">
        <v>180</v>
      </c>
    </row>
    <row r="321" ht="15.75" customHeight="1">
      <c r="A321" s="33" t="s">
        <v>4260</v>
      </c>
      <c r="B321" s="33" t="s">
        <v>2131</v>
      </c>
      <c r="C321" s="39">
        <v>45908.0</v>
      </c>
      <c r="D321" s="40">
        <v>648.26</v>
      </c>
      <c r="E321" s="33" t="s">
        <v>180</v>
      </c>
    </row>
    <row r="322" ht="15.75" customHeight="1">
      <c r="A322" s="33" t="s">
        <v>4261</v>
      </c>
      <c r="B322" s="33" t="s">
        <v>469</v>
      </c>
      <c r="C322" s="39">
        <v>46158.0</v>
      </c>
      <c r="D322" s="40">
        <v>2322.54</v>
      </c>
      <c r="E322" s="33" t="s">
        <v>180</v>
      </c>
    </row>
    <row r="323" ht="15.75" customHeight="1">
      <c r="A323" s="33" t="s">
        <v>4264</v>
      </c>
      <c r="B323" s="33" t="s">
        <v>2212</v>
      </c>
      <c r="C323" s="39">
        <v>46148.0</v>
      </c>
      <c r="D323" s="40">
        <v>1849.27</v>
      </c>
      <c r="E323" s="33" t="s">
        <v>180</v>
      </c>
    </row>
    <row r="324" ht="15.75" customHeight="1">
      <c r="A324" s="33" t="s">
        <v>4265</v>
      </c>
      <c r="B324" s="33" t="s">
        <v>430</v>
      </c>
      <c r="C324" s="39">
        <v>45927.0</v>
      </c>
      <c r="D324" s="40">
        <v>326.94</v>
      </c>
      <c r="E324" s="33" t="s">
        <v>180</v>
      </c>
    </row>
    <row r="325" ht="15.75" customHeight="1">
      <c r="A325" s="33" t="s">
        <v>4268</v>
      </c>
      <c r="B325" s="33" t="s">
        <v>884</v>
      </c>
      <c r="C325" s="39">
        <v>45901.0</v>
      </c>
      <c r="D325" s="40">
        <v>1468.16</v>
      </c>
      <c r="E325" s="33" t="s">
        <v>180</v>
      </c>
    </row>
    <row r="326" ht="15.75" customHeight="1">
      <c r="A326" s="33" t="s">
        <v>4269</v>
      </c>
      <c r="B326" s="33" t="s">
        <v>2497</v>
      </c>
      <c r="C326" s="39">
        <v>46249.0</v>
      </c>
      <c r="D326" s="40">
        <v>1883.91</v>
      </c>
      <c r="E326" s="33" t="s">
        <v>180</v>
      </c>
    </row>
    <row r="327" ht="15.75" customHeight="1">
      <c r="A327" s="33" t="s">
        <v>4271</v>
      </c>
      <c r="B327" s="33" t="s">
        <v>1847</v>
      </c>
      <c r="C327" s="39">
        <v>46080.0</v>
      </c>
      <c r="D327" s="40">
        <v>2467.54</v>
      </c>
      <c r="E327" s="33" t="s">
        <v>180</v>
      </c>
    </row>
    <row r="328" ht="15.75" customHeight="1">
      <c r="A328" s="33" t="s">
        <v>4274</v>
      </c>
      <c r="B328" s="33" t="s">
        <v>1796</v>
      </c>
      <c r="C328" s="39">
        <v>46038.0</v>
      </c>
      <c r="D328" s="40">
        <v>756.62</v>
      </c>
      <c r="E328" s="33" t="s">
        <v>180</v>
      </c>
    </row>
    <row r="329" ht="15.75" customHeight="1">
      <c r="A329" s="33" t="s">
        <v>4275</v>
      </c>
      <c r="B329" s="33" t="s">
        <v>1329</v>
      </c>
      <c r="C329" s="39">
        <v>45836.0</v>
      </c>
      <c r="D329" s="40">
        <v>1923.67</v>
      </c>
      <c r="E329" s="33" t="s">
        <v>180</v>
      </c>
    </row>
    <row r="330" ht="15.75" customHeight="1">
      <c r="A330" s="33" t="s">
        <v>4277</v>
      </c>
      <c r="B330" s="33" t="s">
        <v>672</v>
      </c>
      <c r="C330" s="39">
        <v>45781.0</v>
      </c>
      <c r="D330" s="40">
        <v>630.69</v>
      </c>
      <c r="E330" s="33" t="s">
        <v>180</v>
      </c>
    </row>
    <row r="331" ht="15.75" customHeight="1">
      <c r="A331" s="33" t="s">
        <v>4278</v>
      </c>
      <c r="B331" s="33" t="s">
        <v>2515</v>
      </c>
      <c r="C331" s="39">
        <v>46176.0</v>
      </c>
      <c r="D331" s="40">
        <v>2209.51</v>
      </c>
      <c r="E331" s="33" t="s">
        <v>180</v>
      </c>
    </row>
    <row r="332" ht="15.75" customHeight="1">
      <c r="A332" s="33" t="s">
        <v>4281</v>
      </c>
      <c r="B332" s="33" t="s">
        <v>2521</v>
      </c>
      <c r="C332" s="39">
        <v>46244.0</v>
      </c>
      <c r="D332" s="40">
        <v>1432.67</v>
      </c>
      <c r="E332" s="33" t="s">
        <v>180</v>
      </c>
    </row>
    <row r="333" ht="15.75" customHeight="1">
      <c r="A333" s="33" t="s">
        <v>4283</v>
      </c>
      <c r="B333" s="33" t="s">
        <v>2015</v>
      </c>
      <c r="C333" s="39">
        <v>46217.0</v>
      </c>
      <c r="D333" s="40">
        <v>5973.55</v>
      </c>
      <c r="E333" s="33" t="s">
        <v>180</v>
      </c>
    </row>
    <row r="334" ht="15.75" customHeight="1">
      <c r="A334" s="33" t="s">
        <v>4285</v>
      </c>
      <c r="B334" s="33" t="s">
        <v>2538</v>
      </c>
      <c r="C334" s="39">
        <v>46022.0</v>
      </c>
      <c r="D334" s="40">
        <v>880.5</v>
      </c>
      <c r="E334" s="33" t="s">
        <v>180</v>
      </c>
    </row>
    <row r="335" ht="15.75" customHeight="1">
      <c r="A335" s="33" t="s">
        <v>4286</v>
      </c>
      <c r="B335" s="33" t="s">
        <v>1775</v>
      </c>
      <c r="C335" s="39">
        <v>46082.0</v>
      </c>
      <c r="D335" s="40">
        <v>1178.27</v>
      </c>
      <c r="E335" s="33" t="s">
        <v>180</v>
      </c>
    </row>
    <row r="336" ht="15.75" customHeight="1">
      <c r="A336" s="33" t="s">
        <v>4289</v>
      </c>
      <c r="B336" s="33" t="s">
        <v>2546</v>
      </c>
      <c r="C336" s="39">
        <v>46176.0</v>
      </c>
      <c r="D336" s="40">
        <v>347.94</v>
      </c>
      <c r="E336" s="33" t="s">
        <v>180</v>
      </c>
    </row>
    <row r="337" ht="15.75" customHeight="1">
      <c r="A337" s="33" t="s">
        <v>4290</v>
      </c>
      <c r="B337" s="33" t="s">
        <v>2511</v>
      </c>
      <c r="C337" s="39">
        <v>46154.0</v>
      </c>
      <c r="D337" s="40">
        <v>1666.56</v>
      </c>
      <c r="E337" s="33" t="s">
        <v>180</v>
      </c>
    </row>
    <row r="338" ht="15.75" customHeight="1">
      <c r="A338" s="33" t="s">
        <v>4292</v>
      </c>
      <c r="B338" s="33" t="s">
        <v>404</v>
      </c>
      <c r="C338" s="39">
        <v>46245.0</v>
      </c>
      <c r="D338" s="40">
        <v>1299.87</v>
      </c>
      <c r="E338" s="33" t="s">
        <v>180</v>
      </c>
    </row>
    <row r="339" ht="15.75" customHeight="1">
      <c r="A339" s="33" t="s">
        <v>4293</v>
      </c>
      <c r="B339" s="33" t="s">
        <v>833</v>
      </c>
      <c r="C339" s="39">
        <v>46211.0</v>
      </c>
      <c r="D339" s="40">
        <v>1790.65</v>
      </c>
      <c r="E339" s="33" t="s">
        <v>180</v>
      </c>
    </row>
    <row r="340" ht="15.75" customHeight="1">
      <c r="A340" s="33" t="s">
        <v>4295</v>
      </c>
      <c r="B340" s="33" t="s">
        <v>801</v>
      </c>
      <c r="C340" s="39">
        <v>45893.0</v>
      </c>
      <c r="D340" s="40">
        <v>1600.73</v>
      </c>
      <c r="E340" s="33" t="s">
        <v>180</v>
      </c>
    </row>
    <row r="341" ht="15.75" customHeight="1">
      <c r="A341" s="33" t="s">
        <v>4296</v>
      </c>
      <c r="B341" s="33" t="s">
        <v>2570</v>
      </c>
      <c r="C341" s="39">
        <v>46029.0</v>
      </c>
      <c r="D341" s="40">
        <v>6044.64</v>
      </c>
      <c r="E341" s="33" t="s">
        <v>180</v>
      </c>
    </row>
    <row r="342" ht="15.75" customHeight="1">
      <c r="A342" s="33" t="s">
        <v>4298</v>
      </c>
      <c r="B342" s="33" t="s">
        <v>2169</v>
      </c>
      <c r="C342" s="39">
        <v>45978.0</v>
      </c>
      <c r="D342" s="40">
        <v>2355.2</v>
      </c>
      <c r="E342" s="33" t="s">
        <v>180</v>
      </c>
    </row>
    <row r="343" ht="15.75" customHeight="1">
      <c r="A343" s="33" t="s">
        <v>4299</v>
      </c>
      <c r="B343" s="33" t="s">
        <v>2579</v>
      </c>
      <c r="C343" s="39">
        <v>46263.0</v>
      </c>
      <c r="D343" s="40">
        <v>2906.07</v>
      </c>
      <c r="E343" s="33" t="s">
        <v>180</v>
      </c>
    </row>
    <row r="344" ht="15.75" customHeight="1">
      <c r="A344" s="33" t="s">
        <v>4301</v>
      </c>
      <c r="B344" s="33" t="s">
        <v>2026</v>
      </c>
      <c r="C344" s="39">
        <v>46254.0</v>
      </c>
      <c r="D344" s="40">
        <v>1830.68</v>
      </c>
      <c r="E344" s="33" t="s">
        <v>180</v>
      </c>
    </row>
    <row r="345" ht="15.75" customHeight="1">
      <c r="A345" s="33" t="s">
        <v>4302</v>
      </c>
      <c r="B345" s="33" t="s">
        <v>1256</v>
      </c>
      <c r="C345" s="39">
        <v>46026.0</v>
      </c>
      <c r="D345" s="40">
        <v>2040.76</v>
      </c>
      <c r="E345" s="33" t="s">
        <v>180</v>
      </c>
    </row>
    <row r="346" ht="15.75" customHeight="1">
      <c r="A346" s="33" t="s">
        <v>4305</v>
      </c>
      <c r="B346" s="33" t="s">
        <v>948</v>
      </c>
      <c r="C346" s="39">
        <v>46067.0</v>
      </c>
      <c r="D346" s="40">
        <v>1781.16</v>
      </c>
      <c r="E346" s="33" t="s">
        <v>180</v>
      </c>
    </row>
    <row r="347" ht="15.75" customHeight="1">
      <c r="A347" s="33" t="s">
        <v>4307</v>
      </c>
      <c r="B347" s="33" t="s">
        <v>267</v>
      </c>
      <c r="C347" s="39">
        <v>46032.0</v>
      </c>
      <c r="D347" s="40">
        <v>1805.0</v>
      </c>
      <c r="E347" s="33" t="s">
        <v>180</v>
      </c>
    </row>
    <row r="348" ht="15.75" customHeight="1">
      <c r="A348" s="33" t="s">
        <v>4309</v>
      </c>
      <c r="B348" s="33" t="s">
        <v>2615</v>
      </c>
      <c r="C348" s="39">
        <v>46168.0</v>
      </c>
      <c r="D348" s="40">
        <v>1093.04</v>
      </c>
      <c r="E348" s="33" t="s">
        <v>180</v>
      </c>
    </row>
    <row r="349" ht="15.75" customHeight="1">
      <c r="A349" s="33" t="s">
        <v>4311</v>
      </c>
      <c r="B349" s="33" t="s">
        <v>1816</v>
      </c>
      <c r="C349" s="39">
        <v>46235.0</v>
      </c>
      <c r="D349" s="40">
        <v>2856.38</v>
      </c>
      <c r="E349" s="33" t="s">
        <v>180</v>
      </c>
    </row>
    <row r="350" ht="15.75" customHeight="1">
      <c r="A350" s="33" t="s">
        <v>4312</v>
      </c>
      <c r="B350" s="33" t="s">
        <v>2474</v>
      </c>
      <c r="C350" s="39">
        <v>45724.0</v>
      </c>
      <c r="D350" s="40">
        <v>6290.16</v>
      </c>
      <c r="E350" s="33" t="s">
        <v>180</v>
      </c>
    </row>
    <row r="351" ht="15.75" customHeight="1">
      <c r="A351" s="33" t="s">
        <v>4315</v>
      </c>
      <c r="B351" s="33" t="s">
        <v>879</v>
      </c>
      <c r="C351" s="39">
        <v>46202.0</v>
      </c>
      <c r="D351" s="40">
        <v>1827.63</v>
      </c>
      <c r="E351" s="33" t="s">
        <v>180</v>
      </c>
    </row>
    <row r="352" ht="15.75" customHeight="1">
      <c r="A352" s="33" t="s">
        <v>4316</v>
      </c>
      <c r="B352" s="33" t="s">
        <v>1533</v>
      </c>
      <c r="C352" s="39">
        <v>46213.0</v>
      </c>
      <c r="D352" s="40">
        <v>792.56</v>
      </c>
      <c r="E352" s="33" t="s">
        <v>330</v>
      </c>
    </row>
    <row r="353" ht="15.75" customHeight="1">
      <c r="A353" s="33" t="s">
        <v>4318</v>
      </c>
      <c r="B353" s="33" t="s">
        <v>524</v>
      </c>
      <c r="C353" s="39">
        <v>46243.0</v>
      </c>
      <c r="D353" s="40">
        <v>3308.36</v>
      </c>
      <c r="E353" s="33" t="s">
        <v>180</v>
      </c>
    </row>
    <row r="354" ht="15.75" customHeight="1">
      <c r="A354" s="33" t="s">
        <v>4319</v>
      </c>
      <c r="B354" s="33" t="s">
        <v>1198</v>
      </c>
      <c r="C354" s="39">
        <v>46249.0</v>
      </c>
      <c r="D354" s="40">
        <v>4677.17</v>
      </c>
      <c r="E354" s="33" t="s">
        <v>180</v>
      </c>
    </row>
    <row r="355" ht="15.75" customHeight="1">
      <c r="A355" s="33" t="s">
        <v>4321</v>
      </c>
      <c r="B355" s="33" t="s">
        <v>1399</v>
      </c>
      <c r="C355" s="39">
        <v>46088.0</v>
      </c>
      <c r="D355" s="40">
        <v>1144.41</v>
      </c>
      <c r="E355" s="33" t="s">
        <v>180</v>
      </c>
    </row>
    <row r="356" ht="15.75" customHeight="1">
      <c r="A356" s="33" t="s">
        <v>4322</v>
      </c>
      <c r="B356" s="33" t="s">
        <v>659</v>
      </c>
      <c r="C356" s="39">
        <v>46233.0</v>
      </c>
      <c r="D356" s="40">
        <v>647.74</v>
      </c>
      <c r="E356" s="33" t="s">
        <v>180</v>
      </c>
    </row>
    <row r="357" ht="15.75" customHeight="1">
      <c r="A357" s="33" t="s">
        <v>4326</v>
      </c>
      <c r="B357" s="33" t="s">
        <v>759</v>
      </c>
      <c r="C357" s="39">
        <v>46127.0</v>
      </c>
      <c r="D357" s="40">
        <v>2654.44</v>
      </c>
      <c r="E357" s="33" t="s">
        <v>180</v>
      </c>
    </row>
    <row r="358" ht="15.75" customHeight="1">
      <c r="A358" s="33" t="s">
        <v>4327</v>
      </c>
      <c r="B358" s="33" t="s">
        <v>936</v>
      </c>
      <c r="C358" s="39">
        <v>46253.0</v>
      </c>
      <c r="D358" s="40">
        <v>1870.46</v>
      </c>
      <c r="E358" s="33" t="s">
        <v>180</v>
      </c>
    </row>
    <row r="359" ht="15.75" customHeight="1">
      <c r="A359" s="33" t="s">
        <v>4329</v>
      </c>
      <c r="B359" s="33" t="s">
        <v>1510</v>
      </c>
      <c r="C359" s="39">
        <v>46043.0</v>
      </c>
      <c r="D359" s="40">
        <v>2491.15</v>
      </c>
      <c r="E359" s="33" t="s">
        <v>180</v>
      </c>
    </row>
    <row r="360" ht="15.75" customHeight="1">
      <c r="A360" s="33" t="s">
        <v>4331</v>
      </c>
      <c r="B360" s="33" t="s">
        <v>2718</v>
      </c>
      <c r="C360" s="39">
        <v>46072.0</v>
      </c>
      <c r="D360" s="40">
        <v>1728.48</v>
      </c>
      <c r="E360" s="33" t="s">
        <v>180</v>
      </c>
    </row>
    <row r="361" ht="15.75" customHeight="1">
      <c r="A361" s="33" t="s">
        <v>4332</v>
      </c>
      <c r="B361" s="33" t="s">
        <v>2018</v>
      </c>
      <c r="C361" s="39">
        <v>46241.0</v>
      </c>
      <c r="D361" s="40">
        <v>1469.12</v>
      </c>
      <c r="E361" s="33" t="s">
        <v>180</v>
      </c>
    </row>
    <row r="362" ht="15.75" customHeight="1">
      <c r="A362" s="33" t="s">
        <v>4335</v>
      </c>
      <c r="B362" s="33" t="s">
        <v>2732</v>
      </c>
      <c r="C362" s="39">
        <v>46154.0</v>
      </c>
      <c r="D362" s="40">
        <v>839.05</v>
      </c>
      <c r="E362" s="33" t="s">
        <v>180</v>
      </c>
    </row>
    <row r="363" ht="15.75" customHeight="1">
      <c r="A363" s="33" t="s">
        <v>4336</v>
      </c>
      <c r="B363" s="33" t="s">
        <v>2447</v>
      </c>
      <c r="C363" s="39">
        <v>46193.0</v>
      </c>
      <c r="D363" s="40">
        <v>2273.6</v>
      </c>
      <c r="E363" s="33" t="s">
        <v>180</v>
      </c>
    </row>
    <row r="364" ht="15.75" customHeight="1">
      <c r="A364" s="33" t="s">
        <v>4339</v>
      </c>
      <c r="B364" s="33" t="s">
        <v>2744</v>
      </c>
      <c r="C364" s="39">
        <v>46131.0</v>
      </c>
      <c r="D364" s="40">
        <v>563.32</v>
      </c>
      <c r="E364" s="33" t="s">
        <v>180</v>
      </c>
    </row>
    <row r="365" ht="15.75" customHeight="1">
      <c r="A365" s="33" t="s">
        <v>4341</v>
      </c>
      <c r="B365" s="33" t="s">
        <v>737</v>
      </c>
      <c r="C365" s="39">
        <v>45937.0</v>
      </c>
      <c r="D365" s="40">
        <v>2848.44</v>
      </c>
      <c r="E365" s="33" t="s">
        <v>180</v>
      </c>
    </row>
    <row r="366" ht="15.75" customHeight="1">
      <c r="A366" s="33" t="s">
        <v>4343</v>
      </c>
      <c r="B366" s="33" t="s">
        <v>2753</v>
      </c>
      <c r="C366" s="39">
        <v>46192.0</v>
      </c>
      <c r="D366" s="40">
        <v>2723.18</v>
      </c>
      <c r="E366" s="33" t="s">
        <v>180</v>
      </c>
    </row>
    <row r="367" ht="15.75" customHeight="1">
      <c r="A367" s="33" t="s">
        <v>4346</v>
      </c>
      <c r="B367" s="33" t="s">
        <v>2757</v>
      </c>
      <c r="C367" s="39">
        <v>46251.0</v>
      </c>
      <c r="D367" s="40">
        <v>2213.13</v>
      </c>
      <c r="E367" s="33" t="s">
        <v>180</v>
      </c>
    </row>
    <row r="368" ht="15.75" customHeight="1">
      <c r="A368" s="33" t="s">
        <v>4347</v>
      </c>
      <c r="B368" s="33" t="s">
        <v>2766</v>
      </c>
      <c r="C368" s="39">
        <v>46260.0</v>
      </c>
      <c r="D368" s="40">
        <v>3871.34</v>
      </c>
      <c r="E368" s="33" t="s">
        <v>180</v>
      </c>
    </row>
    <row r="369" ht="15.75" customHeight="1">
      <c r="A369" s="33" t="s">
        <v>4350</v>
      </c>
      <c r="B369" s="33" t="s">
        <v>2775</v>
      </c>
      <c r="C369" s="39">
        <v>46067.0</v>
      </c>
      <c r="D369" s="40">
        <v>1372.15</v>
      </c>
      <c r="E369" s="33" t="s">
        <v>180</v>
      </c>
    </row>
    <row r="370" ht="15.75" customHeight="1">
      <c r="A370" s="33" t="s">
        <v>4351</v>
      </c>
      <c r="B370" s="33" t="s">
        <v>1331</v>
      </c>
      <c r="C370" s="39">
        <v>46238.0</v>
      </c>
      <c r="D370" s="40">
        <v>1335.89</v>
      </c>
      <c r="E370" s="33" t="s">
        <v>180</v>
      </c>
    </row>
    <row r="371" ht="15.75" customHeight="1">
      <c r="A371" s="33" t="s">
        <v>4353</v>
      </c>
      <c r="B371" s="33" t="s">
        <v>2786</v>
      </c>
      <c r="C371" s="39">
        <v>46046.0</v>
      </c>
      <c r="D371" s="40">
        <v>1261.07</v>
      </c>
      <c r="E371" s="33" t="s">
        <v>180</v>
      </c>
    </row>
    <row r="372" ht="15.75" customHeight="1">
      <c r="A372" s="33" t="s">
        <v>4356</v>
      </c>
      <c r="B372" s="33" t="s">
        <v>1615</v>
      </c>
      <c r="C372" s="39">
        <v>46049.0</v>
      </c>
      <c r="D372" s="40">
        <v>1934.02</v>
      </c>
      <c r="E372" s="33" t="s">
        <v>180</v>
      </c>
    </row>
    <row r="373" ht="15.75" customHeight="1">
      <c r="A373" s="33" t="s">
        <v>4357</v>
      </c>
      <c r="B373" s="33" t="s">
        <v>1043</v>
      </c>
      <c r="C373" s="39">
        <v>46249.0</v>
      </c>
      <c r="D373" s="40">
        <v>1562.45</v>
      </c>
      <c r="E373" s="33" t="s">
        <v>180</v>
      </c>
    </row>
    <row r="374" ht="15.75" customHeight="1">
      <c r="A374" s="33" t="s">
        <v>4358</v>
      </c>
      <c r="B374" s="33" t="s">
        <v>1451</v>
      </c>
      <c r="C374" s="39">
        <v>46171.0</v>
      </c>
      <c r="D374" s="40">
        <v>1227.99</v>
      </c>
      <c r="E374" s="33" t="s">
        <v>180</v>
      </c>
    </row>
    <row r="375" ht="15.75" customHeight="1">
      <c r="A375" s="33" t="s">
        <v>4360</v>
      </c>
      <c r="B375" s="33" t="s">
        <v>1654</v>
      </c>
      <c r="C375" s="39">
        <v>46034.0</v>
      </c>
      <c r="D375" s="40">
        <v>1308.65</v>
      </c>
      <c r="E375" s="33" t="s">
        <v>180</v>
      </c>
    </row>
    <row r="376" ht="15.75" customHeight="1">
      <c r="A376" s="33" t="s">
        <v>4362</v>
      </c>
      <c r="B376" s="33" t="s">
        <v>2809</v>
      </c>
      <c r="C376" s="39">
        <v>45994.0</v>
      </c>
      <c r="D376" s="40">
        <v>2144.73</v>
      </c>
      <c r="E376" s="33" t="s">
        <v>330</v>
      </c>
    </row>
    <row r="377" ht="15.75" customHeight="1">
      <c r="A377" s="33" t="s">
        <v>4364</v>
      </c>
      <c r="B377" s="33" t="s">
        <v>2168</v>
      </c>
      <c r="C377" s="39">
        <v>46156.0</v>
      </c>
      <c r="D377" s="40">
        <v>3625.5</v>
      </c>
      <c r="E377" s="33" t="s">
        <v>180</v>
      </c>
    </row>
    <row r="378" ht="15.75" customHeight="1">
      <c r="A378" s="33" t="s">
        <v>4365</v>
      </c>
      <c r="B378" s="33" t="s">
        <v>2821</v>
      </c>
      <c r="C378" s="39">
        <v>46245.0</v>
      </c>
      <c r="D378" s="40">
        <v>1072.77</v>
      </c>
      <c r="E378" s="33" t="s">
        <v>180</v>
      </c>
    </row>
    <row r="379" ht="15.75" customHeight="1">
      <c r="A379" s="33" t="s">
        <v>4367</v>
      </c>
      <c r="B379" s="33" t="s">
        <v>226</v>
      </c>
      <c r="C379" s="39">
        <v>46116.0</v>
      </c>
      <c r="D379" s="40">
        <v>199.34</v>
      </c>
      <c r="E379" s="33" t="s">
        <v>180</v>
      </c>
    </row>
    <row r="380" ht="15.75" customHeight="1">
      <c r="A380" s="33" t="s">
        <v>4369</v>
      </c>
      <c r="B380" s="33" t="s">
        <v>1544</v>
      </c>
      <c r="C380" s="39">
        <v>46250.0</v>
      </c>
      <c r="D380" s="40">
        <v>2614.7</v>
      </c>
      <c r="E380" s="33" t="s">
        <v>180</v>
      </c>
    </row>
    <row r="381" ht="15.75" customHeight="1">
      <c r="A381" s="33" t="s">
        <v>4371</v>
      </c>
      <c r="B381" s="33" t="s">
        <v>1833</v>
      </c>
      <c r="C381" s="39">
        <v>46200.0</v>
      </c>
      <c r="D381" s="40">
        <v>794.84</v>
      </c>
      <c r="E381" s="33" t="s">
        <v>180</v>
      </c>
    </row>
    <row r="382" ht="15.75" customHeight="1">
      <c r="A382" s="33" t="s">
        <v>4372</v>
      </c>
      <c r="B382" s="33" t="s">
        <v>1259</v>
      </c>
      <c r="C382" s="39">
        <v>45948.0</v>
      </c>
      <c r="D382" s="40">
        <v>3618.77</v>
      </c>
      <c r="E382" s="33" t="s">
        <v>180</v>
      </c>
    </row>
    <row r="383" ht="15.75" customHeight="1">
      <c r="A383" s="33" t="s">
        <v>4374</v>
      </c>
      <c r="B383" s="33" t="s">
        <v>371</v>
      </c>
      <c r="C383" s="39">
        <v>46242.0</v>
      </c>
      <c r="D383" s="40">
        <v>2919.31</v>
      </c>
      <c r="E383" s="33" t="s">
        <v>180</v>
      </c>
    </row>
    <row r="384" ht="15.75" customHeight="1">
      <c r="A384" s="33" t="s">
        <v>4376</v>
      </c>
      <c r="B384" s="33" t="s">
        <v>866</v>
      </c>
      <c r="C384" s="39">
        <v>46241.0</v>
      </c>
      <c r="D384" s="40">
        <v>3092.2</v>
      </c>
      <c r="E384" s="33" t="s">
        <v>180</v>
      </c>
    </row>
    <row r="385" ht="15.75" customHeight="1">
      <c r="A385" s="33" t="s">
        <v>4377</v>
      </c>
      <c r="B385" s="33" t="s">
        <v>2650</v>
      </c>
      <c r="C385" s="39">
        <v>46044.0</v>
      </c>
      <c r="D385" s="40">
        <v>1789.37</v>
      </c>
      <c r="E385" s="33" t="s">
        <v>180</v>
      </c>
    </row>
    <row r="386" ht="15.75" customHeight="1">
      <c r="A386" s="33" t="s">
        <v>4380</v>
      </c>
      <c r="B386" s="33" t="s">
        <v>2860</v>
      </c>
      <c r="C386" s="39">
        <v>45963.0</v>
      </c>
      <c r="D386" s="40">
        <v>3497.13</v>
      </c>
      <c r="E386" s="33" t="s">
        <v>330</v>
      </c>
    </row>
    <row r="387" ht="15.75" customHeight="1">
      <c r="A387" s="33" t="s">
        <v>4381</v>
      </c>
      <c r="B387" s="33" t="s">
        <v>302</v>
      </c>
      <c r="C387" s="39">
        <v>46182.0</v>
      </c>
      <c r="D387" s="40">
        <v>2256.84</v>
      </c>
      <c r="E387" s="33" t="s">
        <v>180</v>
      </c>
    </row>
    <row r="388" ht="15.75" customHeight="1">
      <c r="A388" s="33" t="s">
        <v>4383</v>
      </c>
      <c r="B388" s="33" t="s">
        <v>1716</v>
      </c>
      <c r="C388" s="39">
        <v>46230.0</v>
      </c>
      <c r="D388" s="40">
        <v>2132.64</v>
      </c>
      <c r="E388" s="33" t="s">
        <v>180</v>
      </c>
    </row>
    <row r="389" ht="15.75" customHeight="1">
      <c r="A389" s="33" t="s">
        <v>4384</v>
      </c>
      <c r="B389" s="33" t="s">
        <v>2444</v>
      </c>
      <c r="C389" s="39">
        <v>46225.0</v>
      </c>
      <c r="D389" s="40">
        <v>1888.48</v>
      </c>
      <c r="E389" s="33" t="s">
        <v>180</v>
      </c>
    </row>
    <row r="390" ht="15.75" customHeight="1">
      <c r="A390" s="33" t="s">
        <v>4386</v>
      </c>
      <c r="B390" s="33" t="s">
        <v>2139</v>
      </c>
      <c r="C390" s="39">
        <v>46052.0</v>
      </c>
      <c r="D390" s="40">
        <v>2423.58</v>
      </c>
      <c r="E390" s="33" t="s">
        <v>180</v>
      </c>
    </row>
    <row r="391" ht="15.75" customHeight="1">
      <c r="A391" s="33" t="s">
        <v>4387</v>
      </c>
      <c r="B391" s="33" t="s">
        <v>2905</v>
      </c>
      <c r="C391" s="39">
        <v>46256.0</v>
      </c>
      <c r="D391" s="40">
        <v>480.15</v>
      </c>
      <c r="E391" s="33" t="s">
        <v>180</v>
      </c>
    </row>
    <row r="392" ht="15.75" customHeight="1">
      <c r="A392" s="33" t="s">
        <v>4389</v>
      </c>
      <c r="B392" s="33" t="s">
        <v>2917</v>
      </c>
      <c r="C392" s="39">
        <v>46250.0</v>
      </c>
      <c r="D392" s="40">
        <v>1216.57</v>
      </c>
      <c r="E392" s="33" t="s">
        <v>180</v>
      </c>
    </row>
    <row r="393" ht="15.75" customHeight="1">
      <c r="A393" s="33" t="s">
        <v>4390</v>
      </c>
      <c r="B393" s="33" t="s">
        <v>2923</v>
      </c>
      <c r="C393" s="39">
        <v>46188.0</v>
      </c>
      <c r="D393" s="40">
        <v>1218.51</v>
      </c>
      <c r="E393" s="33" t="s">
        <v>180</v>
      </c>
    </row>
    <row r="394" ht="15.75" customHeight="1">
      <c r="A394" s="33" t="s">
        <v>4392</v>
      </c>
      <c r="B394" s="33" t="s">
        <v>401</v>
      </c>
      <c r="C394" s="39">
        <v>46210.0</v>
      </c>
      <c r="D394" s="40">
        <v>1597.45</v>
      </c>
      <c r="E394" s="33" t="s">
        <v>180</v>
      </c>
    </row>
    <row r="395" ht="15.75" customHeight="1">
      <c r="A395" s="33" t="s">
        <v>4395</v>
      </c>
      <c r="B395" s="33" t="s">
        <v>2934</v>
      </c>
      <c r="C395" s="39">
        <v>46253.0</v>
      </c>
      <c r="D395" s="40">
        <v>760.11</v>
      </c>
      <c r="E395" s="33" t="s">
        <v>180</v>
      </c>
    </row>
    <row r="396" ht="15.75" customHeight="1">
      <c r="A396" s="33" t="s">
        <v>4396</v>
      </c>
      <c r="B396" s="33" t="s">
        <v>521</v>
      </c>
      <c r="C396" s="39">
        <v>46146.0</v>
      </c>
      <c r="D396" s="40">
        <v>1031.83</v>
      </c>
      <c r="E396" s="33" t="s">
        <v>180</v>
      </c>
    </row>
    <row r="397" ht="15.75" customHeight="1">
      <c r="A397" s="33" t="s">
        <v>4399</v>
      </c>
      <c r="B397" s="33" t="s">
        <v>838</v>
      </c>
      <c r="C397" s="39">
        <v>46150.0</v>
      </c>
      <c r="D397" s="40">
        <v>603.57</v>
      </c>
      <c r="E397" s="33" t="s">
        <v>180</v>
      </c>
    </row>
    <row r="398" ht="15.75" customHeight="1">
      <c r="A398" s="33" t="s">
        <v>4401</v>
      </c>
      <c r="B398" s="33" t="s">
        <v>806</v>
      </c>
      <c r="C398" s="39">
        <v>46073.0</v>
      </c>
      <c r="D398" s="40">
        <v>1022.18</v>
      </c>
      <c r="E398" s="33" t="s">
        <v>180</v>
      </c>
    </row>
    <row r="399" ht="15.75" customHeight="1">
      <c r="A399" s="33" t="s">
        <v>4403</v>
      </c>
      <c r="B399" s="33" t="s">
        <v>2954</v>
      </c>
      <c r="C399" s="39">
        <v>46210.0</v>
      </c>
      <c r="D399" s="40">
        <v>868.06</v>
      </c>
      <c r="E399" s="33" t="s">
        <v>180</v>
      </c>
    </row>
    <row r="400" ht="15.75" customHeight="1">
      <c r="A400" s="33" t="s">
        <v>4404</v>
      </c>
      <c r="B400" s="33" t="s">
        <v>999</v>
      </c>
      <c r="C400" s="39">
        <v>46155.0</v>
      </c>
      <c r="D400" s="40">
        <v>1003.12</v>
      </c>
      <c r="E400" s="33" t="s">
        <v>180</v>
      </c>
    </row>
    <row r="401" ht="15.75" customHeight="1">
      <c r="A401" s="33" t="s">
        <v>4406</v>
      </c>
      <c r="B401" s="33" t="s">
        <v>2965</v>
      </c>
      <c r="C401" s="39">
        <v>45923.0</v>
      </c>
      <c r="D401" s="40">
        <v>2960.41</v>
      </c>
      <c r="E401" s="33" t="s">
        <v>180</v>
      </c>
    </row>
    <row r="402" ht="15.75" customHeight="1">
      <c r="A402" s="33" t="s">
        <v>4407</v>
      </c>
      <c r="B402" s="33" t="s">
        <v>1378</v>
      </c>
      <c r="C402" s="39">
        <v>46249.0</v>
      </c>
      <c r="D402" s="40">
        <v>1631.5</v>
      </c>
      <c r="E402" s="33" t="s">
        <v>180</v>
      </c>
    </row>
    <row r="403" ht="15.75" customHeight="1">
      <c r="A403" s="33" t="s">
        <v>4409</v>
      </c>
      <c r="B403" s="33" t="s">
        <v>2239</v>
      </c>
      <c r="C403" s="39">
        <v>46181.0</v>
      </c>
      <c r="D403" s="40">
        <v>1437.52</v>
      </c>
      <c r="E403" s="33" t="s">
        <v>180</v>
      </c>
    </row>
    <row r="404" ht="15.75" customHeight="1">
      <c r="A404" s="33" t="s">
        <v>4410</v>
      </c>
      <c r="B404" s="33" t="s">
        <v>2990</v>
      </c>
      <c r="C404" s="39">
        <v>46176.0</v>
      </c>
      <c r="D404" s="40">
        <v>3851.95</v>
      </c>
      <c r="E404" s="33" t="s">
        <v>180</v>
      </c>
    </row>
    <row r="405" ht="15.75" customHeight="1">
      <c r="A405" s="33" t="s">
        <v>4413</v>
      </c>
      <c r="B405" s="33" t="s">
        <v>819</v>
      </c>
      <c r="C405" s="39">
        <v>45740.0</v>
      </c>
      <c r="D405" s="40">
        <v>2165.08</v>
      </c>
      <c r="E405" s="33" t="s">
        <v>180</v>
      </c>
    </row>
    <row r="406" ht="15.75" customHeight="1">
      <c r="A406" s="33" t="s">
        <v>4414</v>
      </c>
      <c r="B406" s="33" t="s">
        <v>1444</v>
      </c>
      <c r="C406" s="39">
        <v>45745.0</v>
      </c>
      <c r="D406" s="40">
        <v>2285.53</v>
      </c>
      <c r="E406" s="33" t="s">
        <v>180</v>
      </c>
    </row>
    <row r="407" ht="15.75" customHeight="1">
      <c r="A407" s="33" t="s">
        <v>4417</v>
      </c>
      <c r="B407" s="33" t="s">
        <v>3008</v>
      </c>
      <c r="C407" s="39">
        <v>45935.0</v>
      </c>
      <c r="D407" s="40">
        <v>1893.33</v>
      </c>
      <c r="E407" s="33" t="s">
        <v>180</v>
      </c>
    </row>
    <row r="408" ht="15.75" customHeight="1">
      <c r="A408" s="33" t="s">
        <v>4419</v>
      </c>
      <c r="B408" s="33" t="s">
        <v>3014</v>
      </c>
      <c r="C408" s="39">
        <v>46236.0</v>
      </c>
      <c r="D408" s="40">
        <v>3007.4</v>
      </c>
      <c r="E408" s="33" t="s">
        <v>180</v>
      </c>
    </row>
    <row r="409" ht="15.75" customHeight="1">
      <c r="A409" s="33" t="s">
        <v>4420</v>
      </c>
      <c r="B409" s="33" t="s">
        <v>1920</v>
      </c>
      <c r="C409" s="39">
        <v>46187.0</v>
      </c>
      <c r="D409" s="40">
        <v>3318.76</v>
      </c>
      <c r="E409" s="33" t="s">
        <v>180</v>
      </c>
    </row>
    <row r="410" ht="15.75" customHeight="1">
      <c r="A410" s="33" t="s">
        <v>4422</v>
      </c>
      <c r="B410" s="33" t="s">
        <v>662</v>
      </c>
      <c r="C410" s="39">
        <v>46148.0</v>
      </c>
      <c r="D410" s="40">
        <v>2105.47</v>
      </c>
      <c r="E410" s="33" t="s">
        <v>180</v>
      </c>
    </row>
    <row r="411" ht="15.75" customHeight="1">
      <c r="A411" s="33" t="s">
        <v>4423</v>
      </c>
      <c r="B411" s="33" t="s">
        <v>264</v>
      </c>
      <c r="C411" s="39">
        <v>46117.0</v>
      </c>
      <c r="D411" s="40">
        <v>2983.45</v>
      </c>
      <c r="E411" s="33" t="s">
        <v>180</v>
      </c>
    </row>
    <row r="412" ht="15.75" customHeight="1">
      <c r="A412" s="33" t="s">
        <v>4425</v>
      </c>
      <c r="B412" s="33" t="s">
        <v>2826</v>
      </c>
      <c r="C412" s="39">
        <v>46107.0</v>
      </c>
      <c r="D412" s="40">
        <v>2420.47</v>
      </c>
      <c r="E412" s="33" t="s">
        <v>180</v>
      </c>
    </row>
    <row r="413" ht="15.75" customHeight="1">
      <c r="A413" s="33" t="s">
        <v>4428</v>
      </c>
      <c r="B413" s="33" t="s">
        <v>3044</v>
      </c>
      <c r="C413" s="39">
        <v>46225.0</v>
      </c>
      <c r="D413" s="40">
        <v>2161.16</v>
      </c>
      <c r="E413" s="33" t="s">
        <v>180</v>
      </c>
    </row>
    <row r="414" ht="15.75" customHeight="1">
      <c r="A414" s="33" t="s">
        <v>4433</v>
      </c>
      <c r="B414" s="33" t="s">
        <v>3048</v>
      </c>
      <c r="C414" s="39">
        <v>46251.0</v>
      </c>
      <c r="D414" s="40">
        <v>1347.88</v>
      </c>
      <c r="E414" s="33" t="s">
        <v>180</v>
      </c>
    </row>
    <row r="415" ht="15.75" customHeight="1">
      <c r="A415" s="33" t="s">
        <v>4435</v>
      </c>
      <c r="B415" s="33" t="s">
        <v>945</v>
      </c>
      <c r="C415" s="39">
        <v>46238.0</v>
      </c>
      <c r="D415" s="40">
        <v>982.97</v>
      </c>
      <c r="E415" s="33" t="s">
        <v>180</v>
      </c>
    </row>
    <row r="416" ht="15.75" customHeight="1">
      <c r="A416" s="33" t="s">
        <v>4437</v>
      </c>
      <c r="B416" s="33" t="s">
        <v>1598</v>
      </c>
      <c r="C416" s="39">
        <v>46242.0</v>
      </c>
      <c r="D416" s="40">
        <v>490.7</v>
      </c>
      <c r="E416" s="33" t="s">
        <v>180</v>
      </c>
    </row>
    <row r="417" ht="15.75" customHeight="1">
      <c r="A417" s="33" t="s">
        <v>4439</v>
      </c>
      <c r="B417" s="33" t="s">
        <v>2211</v>
      </c>
      <c r="C417" s="39">
        <v>46235.0</v>
      </c>
      <c r="D417" s="40">
        <v>4543.24</v>
      </c>
      <c r="E417" s="33" t="s">
        <v>180</v>
      </c>
    </row>
    <row r="418" ht="15.75" customHeight="1">
      <c r="A418" s="33" t="s">
        <v>4442</v>
      </c>
      <c r="B418" s="33" t="s">
        <v>620</v>
      </c>
      <c r="C418" s="39">
        <v>46203.0</v>
      </c>
      <c r="D418" s="40">
        <v>3003.47</v>
      </c>
      <c r="E418" s="33" t="s">
        <v>180</v>
      </c>
    </row>
    <row r="419" ht="15.75" customHeight="1">
      <c r="A419" s="33" t="s">
        <v>4444</v>
      </c>
      <c r="B419" s="33" t="s">
        <v>2116</v>
      </c>
      <c r="C419" s="39">
        <v>46162.0</v>
      </c>
      <c r="D419" s="40">
        <v>1247.37</v>
      </c>
      <c r="E419" s="33" t="s">
        <v>180</v>
      </c>
    </row>
    <row r="420" ht="15.75" customHeight="1">
      <c r="A420" s="33" t="s">
        <v>4446</v>
      </c>
      <c r="B420" s="33" t="s">
        <v>1031</v>
      </c>
      <c r="C420" s="39">
        <v>46230.0</v>
      </c>
      <c r="D420" s="40">
        <v>411.76</v>
      </c>
      <c r="E420" s="33" t="s">
        <v>180</v>
      </c>
    </row>
    <row r="421" ht="15.75" customHeight="1">
      <c r="A421" s="33" t="s">
        <v>4448</v>
      </c>
      <c r="B421" s="33" t="s">
        <v>3088</v>
      </c>
      <c r="C421" s="39">
        <v>45818.0</v>
      </c>
      <c r="D421" s="40">
        <v>2431.1</v>
      </c>
      <c r="E421" s="33" t="s">
        <v>180</v>
      </c>
    </row>
    <row r="422" ht="15.75" customHeight="1">
      <c r="A422" s="33" t="s">
        <v>4450</v>
      </c>
      <c r="B422" s="33" t="s">
        <v>3092</v>
      </c>
      <c r="C422" s="39">
        <v>45917.0</v>
      </c>
      <c r="D422" s="40">
        <v>1382.44</v>
      </c>
      <c r="E422" s="33" t="s">
        <v>180</v>
      </c>
    </row>
    <row r="423" ht="15.75" customHeight="1">
      <c r="A423" s="33" t="s">
        <v>4452</v>
      </c>
      <c r="B423" s="33" t="s">
        <v>872</v>
      </c>
      <c r="C423" s="39">
        <v>46232.0</v>
      </c>
      <c r="D423" s="40">
        <v>3107.85</v>
      </c>
      <c r="E423" s="33" t="s">
        <v>180</v>
      </c>
    </row>
    <row r="424" ht="15.75" customHeight="1">
      <c r="A424" s="33" t="s">
        <v>4454</v>
      </c>
      <c r="B424" s="33" t="s">
        <v>1229</v>
      </c>
      <c r="C424" s="39">
        <v>46248.0</v>
      </c>
      <c r="D424" s="40">
        <v>818.78</v>
      </c>
      <c r="E424" s="33" t="s">
        <v>180</v>
      </c>
    </row>
    <row r="425" ht="15.75" customHeight="1">
      <c r="A425" s="33" t="s">
        <v>4457</v>
      </c>
      <c r="B425" s="33" t="s">
        <v>3112</v>
      </c>
      <c r="C425" s="39">
        <v>46202.0</v>
      </c>
      <c r="D425" s="40">
        <v>1211.88</v>
      </c>
      <c r="E425" s="33" t="s">
        <v>180</v>
      </c>
    </row>
    <row r="426" ht="15.75" customHeight="1">
      <c r="A426" s="33" t="s">
        <v>4459</v>
      </c>
      <c r="B426" s="33" t="s">
        <v>3116</v>
      </c>
      <c r="C426" s="39">
        <v>46252.0</v>
      </c>
      <c r="D426" s="40">
        <v>1487.63</v>
      </c>
      <c r="E426" s="33" t="s">
        <v>180</v>
      </c>
    </row>
    <row r="427" ht="15.75" customHeight="1">
      <c r="A427" s="33" t="s">
        <v>4461</v>
      </c>
      <c r="B427" s="33" t="s">
        <v>1130</v>
      </c>
      <c r="C427" s="39">
        <v>46208.0</v>
      </c>
      <c r="D427" s="40">
        <v>2659.24</v>
      </c>
      <c r="E427" s="33" t="s">
        <v>180</v>
      </c>
    </row>
    <row r="428" ht="15.75" customHeight="1">
      <c r="A428" s="33" t="s">
        <v>4463</v>
      </c>
      <c r="B428" s="33" t="s">
        <v>602</v>
      </c>
      <c r="C428" s="39">
        <v>45911.0</v>
      </c>
      <c r="D428" s="40">
        <v>1047.1</v>
      </c>
      <c r="E428" s="33" t="s">
        <v>180</v>
      </c>
    </row>
    <row r="429" ht="15.75" customHeight="1">
      <c r="A429" s="33" t="s">
        <v>4465</v>
      </c>
      <c r="B429" s="33" t="s">
        <v>533</v>
      </c>
      <c r="C429" s="39">
        <v>46057.0</v>
      </c>
      <c r="D429" s="40">
        <v>2451.99</v>
      </c>
      <c r="E429" s="33" t="s">
        <v>180</v>
      </c>
    </row>
    <row r="430" ht="15.75" customHeight="1">
      <c r="A430" s="33" t="s">
        <v>4467</v>
      </c>
      <c r="B430" s="33" t="s">
        <v>1488</v>
      </c>
      <c r="C430" s="39">
        <v>46251.0</v>
      </c>
      <c r="D430" s="40">
        <v>517.39</v>
      </c>
      <c r="E430" s="33" t="s">
        <v>180</v>
      </c>
    </row>
    <row r="431" ht="15.75" customHeight="1">
      <c r="A431" s="33" t="s">
        <v>4468</v>
      </c>
      <c r="B431" s="33" t="s">
        <v>1887</v>
      </c>
      <c r="C431" s="39">
        <v>46235.0</v>
      </c>
      <c r="D431" s="40">
        <v>1642.62</v>
      </c>
      <c r="E431" s="33" t="s">
        <v>180</v>
      </c>
    </row>
    <row r="432" ht="15.75" customHeight="1">
      <c r="A432" s="33" t="s">
        <v>4471</v>
      </c>
      <c r="B432" s="33" t="s">
        <v>3140</v>
      </c>
      <c r="C432" s="39">
        <v>46252.0</v>
      </c>
      <c r="D432" s="40">
        <v>4162.19</v>
      </c>
      <c r="E432" s="33" t="s">
        <v>180</v>
      </c>
    </row>
    <row r="433" ht="15.75" customHeight="1">
      <c r="A433" s="33" t="s">
        <v>4472</v>
      </c>
      <c r="B433" s="33" t="s">
        <v>941</v>
      </c>
      <c r="C433" s="39">
        <v>46219.0</v>
      </c>
      <c r="D433" s="40">
        <v>5300.65</v>
      </c>
      <c r="E433" s="33" t="s">
        <v>180</v>
      </c>
    </row>
    <row r="434" ht="15.75" customHeight="1">
      <c r="A434" s="33" t="s">
        <v>4475</v>
      </c>
      <c r="B434" s="33" t="s">
        <v>891</v>
      </c>
      <c r="C434" s="39">
        <v>46224.0</v>
      </c>
      <c r="D434" s="40">
        <v>3445.96</v>
      </c>
      <c r="E434" s="33" t="s">
        <v>180</v>
      </c>
    </row>
    <row r="435" ht="15.75" customHeight="1">
      <c r="A435" s="33" t="s">
        <v>4476</v>
      </c>
      <c r="B435" s="33" t="s">
        <v>569</v>
      </c>
      <c r="C435" s="39">
        <v>46164.0</v>
      </c>
      <c r="D435" s="40">
        <v>401.07</v>
      </c>
      <c r="E435" s="33" t="s">
        <v>180</v>
      </c>
    </row>
    <row r="436" ht="15.75" customHeight="1">
      <c r="A436" s="33" t="s">
        <v>4478</v>
      </c>
      <c r="B436" s="33" t="s">
        <v>493</v>
      </c>
      <c r="C436" s="39">
        <v>46254.0</v>
      </c>
      <c r="D436" s="40">
        <v>1530.77</v>
      </c>
      <c r="E436" s="33" t="s">
        <v>180</v>
      </c>
    </row>
    <row r="437" ht="15.75" customHeight="1">
      <c r="A437" s="33" t="s">
        <v>4479</v>
      </c>
      <c r="B437" s="33" t="s">
        <v>757</v>
      </c>
      <c r="C437" s="39">
        <v>46113.0</v>
      </c>
      <c r="D437" s="40">
        <v>1679.47</v>
      </c>
      <c r="E437" s="33" t="s">
        <v>180</v>
      </c>
    </row>
    <row r="438" ht="15.75" customHeight="1">
      <c r="A438" s="33" t="s">
        <v>4482</v>
      </c>
      <c r="B438" s="33" t="s">
        <v>1476</v>
      </c>
      <c r="C438" s="39">
        <v>46223.0</v>
      </c>
      <c r="D438" s="40">
        <v>3167.23</v>
      </c>
      <c r="E438" s="33" t="s">
        <v>180</v>
      </c>
    </row>
    <row r="439" ht="15.75" customHeight="1">
      <c r="A439" s="33" t="s">
        <v>4483</v>
      </c>
      <c r="B439" s="33" t="s">
        <v>2723</v>
      </c>
      <c r="C439" s="39">
        <v>46148.0</v>
      </c>
      <c r="D439" s="40">
        <v>1862.76</v>
      </c>
      <c r="E439" s="33" t="s">
        <v>180</v>
      </c>
    </row>
    <row r="440" ht="15.75" customHeight="1">
      <c r="A440" s="33" t="s">
        <v>4486</v>
      </c>
      <c r="B440" s="33" t="s">
        <v>3179</v>
      </c>
      <c r="C440" s="39">
        <v>46134.0</v>
      </c>
      <c r="D440" s="40">
        <v>775.08</v>
      </c>
      <c r="E440" s="33" t="s">
        <v>180</v>
      </c>
    </row>
    <row r="441" ht="15.75" customHeight="1">
      <c r="A441" s="33" t="s">
        <v>4487</v>
      </c>
      <c r="B441" s="33" t="s">
        <v>788</v>
      </c>
      <c r="C441" s="39">
        <v>46231.0</v>
      </c>
      <c r="D441" s="40">
        <v>3481.37</v>
      </c>
      <c r="E441" s="33" t="s">
        <v>180</v>
      </c>
    </row>
    <row r="442" ht="15.75" customHeight="1">
      <c r="A442" s="33" t="s">
        <v>4490</v>
      </c>
      <c r="B442" s="33" t="s">
        <v>3193</v>
      </c>
      <c r="C442" s="39">
        <v>45801.0</v>
      </c>
      <c r="D442" s="40">
        <v>4885.58</v>
      </c>
      <c r="E442" s="33" t="s">
        <v>180</v>
      </c>
    </row>
    <row r="443" ht="15.75" customHeight="1">
      <c r="A443" s="33" t="s">
        <v>4491</v>
      </c>
      <c r="B443" s="33" t="s">
        <v>585</v>
      </c>
      <c r="C443" s="39">
        <v>46110.0</v>
      </c>
      <c r="D443" s="40">
        <v>2857.97</v>
      </c>
      <c r="E443" s="33" t="s">
        <v>180</v>
      </c>
    </row>
    <row r="444" ht="15.75" customHeight="1">
      <c r="A444" s="33" t="s">
        <v>4496</v>
      </c>
      <c r="B444" s="33" t="s">
        <v>713</v>
      </c>
      <c r="C444" s="39">
        <v>46194.0</v>
      </c>
      <c r="D444" s="40">
        <v>1011.41</v>
      </c>
      <c r="E444" s="33" t="s">
        <v>180</v>
      </c>
    </row>
    <row r="445" ht="15.75" customHeight="1">
      <c r="A445" s="33" t="s">
        <v>4499</v>
      </c>
      <c r="B445" s="33" t="s">
        <v>1137</v>
      </c>
      <c r="C445" s="39">
        <v>45890.0</v>
      </c>
      <c r="D445" s="40">
        <v>5619.47</v>
      </c>
      <c r="E445" s="33" t="s">
        <v>180</v>
      </c>
    </row>
    <row r="446" ht="15.75" customHeight="1">
      <c r="A446" s="33" t="s">
        <v>4500</v>
      </c>
      <c r="B446" s="33" t="s">
        <v>1549</v>
      </c>
      <c r="C446" s="39">
        <v>46232.0</v>
      </c>
      <c r="D446" s="40">
        <v>3028.31</v>
      </c>
      <c r="E446" s="33" t="s">
        <v>180</v>
      </c>
    </row>
    <row r="447" ht="15.75" customHeight="1">
      <c r="A447" s="33" t="s">
        <v>4502</v>
      </c>
      <c r="B447" s="33" t="s">
        <v>407</v>
      </c>
      <c r="C447" s="39">
        <v>46142.0</v>
      </c>
      <c r="D447" s="40">
        <v>2709.53</v>
      </c>
      <c r="E447" s="33" t="s">
        <v>180</v>
      </c>
    </row>
    <row r="448" ht="15.75" customHeight="1">
      <c r="A448" s="33" t="s">
        <v>4503</v>
      </c>
      <c r="B448" s="33" t="s">
        <v>1102</v>
      </c>
      <c r="C448" s="39">
        <v>46222.0</v>
      </c>
      <c r="D448" s="40">
        <v>4752.42</v>
      </c>
      <c r="E448" s="33" t="s">
        <v>180</v>
      </c>
    </row>
    <row r="449" ht="15.75" customHeight="1">
      <c r="A449" s="33" t="s">
        <v>4505</v>
      </c>
      <c r="B449" s="33" t="s">
        <v>3055</v>
      </c>
      <c r="C449" s="39">
        <v>46248.0</v>
      </c>
      <c r="D449" s="40">
        <v>3082.94</v>
      </c>
      <c r="E449" s="33" t="s">
        <v>180</v>
      </c>
    </row>
    <row r="450" ht="15.75" customHeight="1">
      <c r="A450" s="33" t="s">
        <v>4506</v>
      </c>
      <c r="B450" s="33" t="s">
        <v>308</v>
      </c>
      <c r="C450" s="39">
        <v>46070.0</v>
      </c>
      <c r="D450" s="40">
        <v>1574.35</v>
      </c>
      <c r="E450" s="33" t="s">
        <v>180</v>
      </c>
    </row>
    <row r="451" ht="15.75" customHeight="1">
      <c r="A451" s="33" t="s">
        <v>4509</v>
      </c>
      <c r="B451" s="33" t="s">
        <v>526</v>
      </c>
      <c r="C451" s="39">
        <v>45989.0</v>
      </c>
      <c r="D451" s="40">
        <v>4377.33</v>
      </c>
      <c r="E451" s="33" t="s">
        <v>180</v>
      </c>
    </row>
    <row r="452" ht="15.75" customHeight="1">
      <c r="A452" s="33" t="s">
        <v>4510</v>
      </c>
      <c r="B452" s="33" t="s">
        <v>2715</v>
      </c>
      <c r="C452" s="39">
        <v>45826.0</v>
      </c>
      <c r="D452" s="40">
        <v>843.76</v>
      </c>
      <c r="E452" s="33" t="s">
        <v>180</v>
      </c>
    </row>
    <row r="453" ht="15.75" customHeight="1">
      <c r="A453" s="33" t="s">
        <v>4513</v>
      </c>
      <c r="B453" s="33" t="s">
        <v>1389</v>
      </c>
      <c r="C453" s="39">
        <v>46160.0</v>
      </c>
      <c r="D453" s="40">
        <v>975.39</v>
      </c>
      <c r="E453" s="33" t="s">
        <v>180</v>
      </c>
    </row>
    <row r="454" ht="15.75" customHeight="1">
      <c r="A454" s="33" t="s">
        <v>4514</v>
      </c>
      <c r="B454" s="33" t="s">
        <v>1374</v>
      </c>
      <c r="C454" s="39">
        <v>46232.0</v>
      </c>
      <c r="D454" s="40">
        <v>1162.27</v>
      </c>
      <c r="E454" s="33" t="s">
        <v>180</v>
      </c>
    </row>
    <row r="455" ht="15.75" customHeight="1">
      <c r="A455" s="33" t="s">
        <v>4517</v>
      </c>
      <c r="B455" s="33" t="s">
        <v>608</v>
      </c>
      <c r="C455" s="39">
        <v>46020.0</v>
      </c>
      <c r="D455" s="40">
        <v>1904.87</v>
      </c>
      <c r="E455" s="33" t="s">
        <v>180</v>
      </c>
    </row>
    <row r="456" ht="15.75" customHeight="1">
      <c r="A456" s="33" t="s">
        <v>4519</v>
      </c>
      <c r="B456" s="33" t="s">
        <v>1876</v>
      </c>
      <c r="C456" s="39">
        <v>45938.0</v>
      </c>
      <c r="D456" s="40">
        <v>2104.98</v>
      </c>
      <c r="E456" s="33" t="s">
        <v>180</v>
      </c>
    </row>
    <row r="457" ht="15.75" customHeight="1">
      <c r="A457" s="33" t="s">
        <v>4522</v>
      </c>
      <c r="B457" s="33" t="s">
        <v>2879</v>
      </c>
      <c r="C457" s="39">
        <v>46246.0</v>
      </c>
      <c r="D457" s="40">
        <v>1498.55</v>
      </c>
      <c r="E457" s="33" t="s">
        <v>180</v>
      </c>
    </row>
    <row r="458" ht="15.75" customHeight="1">
      <c r="A458" s="33" t="s">
        <v>4523</v>
      </c>
      <c r="B458" s="33" t="s">
        <v>1467</v>
      </c>
      <c r="C458" s="39">
        <v>46232.0</v>
      </c>
      <c r="D458" s="40">
        <v>1555.07</v>
      </c>
      <c r="E458" s="33" t="s">
        <v>180</v>
      </c>
    </row>
    <row r="459" ht="15.75" customHeight="1">
      <c r="A459" s="33" t="s">
        <v>4525</v>
      </c>
      <c r="B459" s="33" t="s">
        <v>3273</v>
      </c>
      <c r="C459" s="39">
        <v>46252.0</v>
      </c>
      <c r="D459" s="40">
        <v>2177.27</v>
      </c>
      <c r="E459" s="33" t="s">
        <v>180</v>
      </c>
    </row>
    <row r="460" ht="15.75" customHeight="1">
      <c r="A460" s="33" t="s">
        <v>4526</v>
      </c>
      <c r="B460" s="33" t="s">
        <v>1409</v>
      </c>
      <c r="C460" s="39">
        <v>46140.0</v>
      </c>
      <c r="D460" s="40">
        <v>845.22</v>
      </c>
      <c r="E460" s="33" t="s">
        <v>180</v>
      </c>
    </row>
    <row r="461" ht="15.75" customHeight="1">
      <c r="A461" s="33" t="s">
        <v>4530</v>
      </c>
      <c r="B461" s="33" t="s">
        <v>3282</v>
      </c>
      <c r="C461" s="39">
        <v>45886.0</v>
      </c>
      <c r="D461" s="40">
        <v>2556.58</v>
      </c>
      <c r="E461" s="33" t="s">
        <v>180</v>
      </c>
    </row>
    <row r="462" ht="15.75" customHeight="1">
      <c r="A462" s="33" t="s">
        <v>4531</v>
      </c>
      <c r="B462" s="33" t="s">
        <v>2188</v>
      </c>
      <c r="C462" s="39">
        <v>45844.0</v>
      </c>
      <c r="D462" s="40">
        <v>178.41</v>
      </c>
      <c r="E462" s="33" t="s">
        <v>180</v>
      </c>
    </row>
    <row r="463" ht="15.75" customHeight="1">
      <c r="A463" s="33" t="s">
        <v>4535</v>
      </c>
      <c r="B463" s="33" t="s">
        <v>1620</v>
      </c>
      <c r="C463" s="39">
        <v>46207.0</v>
      </c>
      <c r="D463" s="40">
        <v>1730.44</v>
      </c>
      <c r="E463" s="33" t="s">
        <v>180</v>
      </c>
    </row>
    <row r="464" ht="15.75" customHeight="1">
      <c r="A464" s="33" t="s">
        <v>4536</v>
      </c>
      <c r="B464" s="33" t="s">
        <v>293</v>
      </c>
      <c r="C464" s="39">
        <v>46016.0</v>
      </c>
      <c r="D464" s="40">
        <v>1155.57</v>
      </c>
      <c r="E464" s="33" t="s">
        <v>330</v>
      </c>
    </row>
    <row r="465" ht="15.75" customHeight="1">
      <c r="A465" s="33" t="s">
        <v>4538</v>
      </c>
      <c r="B465" s="33" t="s">
        <v>393</v>
      </c>
      <c r="C465" s="39">
        <v>46065.0</v>
      </c>
      <c r="D465" s="40">
        <v>5474.42</v>
      </c>
      <c r="E465" s="33" t="s">
        <v>180</v>
      </c>
    </row>
    <row r="466" ht="15.75" customHeight="1">
      <c r="A466" s="33" t="s">
        <v>4539</v>
      </c>
      <c r="B466" s="33" t="s">
        <v>1006</v>
      </c>
      <c r="C466" s="39">
        <v>46013.0</v>
      </c>
      <c r="D466" s="40">
        <v>1414.77</v>
      </c>
      <c r="E466" s="33" t="s">
        <v>180</v>
      </c>
    </row>
    <row r="467" ht="15.75" customHeight="1">
      <c r="A467" s="33" t="s">
        <v>4541</v>
      </c>
      <c r="B467" s="33" t="s">
        <v>2926</v>
      </c>
      <c r="C467" s="39">
        <v>46135.0</v>
      </c>
      <c r="D467" s="40">
        <v>1911.23</v>
      </c>
      <c r="E467" s="33" t="s">
        <v>330</v>
      </c>
    </row>
    <row r="468" ht="15.75" customHeight="1">
      <c r="A468" s="33" t="s">
        <v>4543</v>
      </c>
      <c r="B468" s="33" t="s">
        <v>706</v>
      </c>
      <c r="C468" s="39">
        <v>46187.0</v>
      </c>
      <c r="D468" s="40">
        <v>1467.27</v>
      </c>
      <c r="E468" s="33" t="s">
        <v>180</v>
      </c>
    </row>
    <row r="469" ht="15.75" customHeight="1">
      <c r="A469" s="33" t="s">
        <v>4545</v>
      </c>
      <c r="B469" s="33" t="s">
        <v>1473</v>
      </c>
      <c r="C469" s="39">
        <v>46183.0</v>
      </c>
      <c r="D469" s="40">
        <v>722.86</v>
      </c>
      <c r="E469" s="33" t="s">
        <v>180</v>
      </c>
    </row>
    <row r="470" ht="15.75" customHeight="1">
      <c r="A470" s="33" t="s">
        <v>4547</v>
      </c>
      <c r="B470" s="33" t="s">
        <v>955</v>
      </c>
      <c r="C470" s="39">
        <v>46042.0</v>
      </c>
      <c r="D470" s="40">
        <v>698.39</v>
      </c>
      <c r="E470" s="33" t="s">
        <v>180</v>
      </c>
    </row>
    <row r="471" ht="15.75" customHeight="1">
      <c r="A471" s="33" t="s">
        <v>4549</v>
      </c>
      <c r="B471" s="33" t="s">
        <v>3342</v>
      </c>
      <c r="C471" s="39">
        <v>46260.0</v>
      </c>
      <c r="D471" s="40">
        <v>595.6</v>
      </c>
      <c r="E471" s="33" t="s">
        <v>180</v>
      </c>
    </row>
    <row r="472" ht="15.75" customHeight="1">
      <c r="A472" s="33" t="s">
        <v>4550</v>
      </c>
      <c r="B472" s="33" t="s">
        <v>3162</v>
      </c>
      <c r="C472" s="39">
        <v>45993.0</v>
      </c>
      <c r="D472" s="40">
        <v>1712.09</v>
      </c>
      <c r="E472" s="33" t="s">
        <v>180</v>
      </c>
    </row>
    <row r="473" ht="15.75" customHeight="1">
      <c r="A473" s="33" t="s">
        <v>4552</v>
      </c>
      <c r="B473" s="33" t="s">
        <v>3352</v>
      </c>
      <c r="C473" s="39">
        <v>46104.0</v>
      </c>
      <c r="D473" s="40">
        <v>1373.34</v>
      </c>
      <c r="E473" s="33" t="s">
        <v>180</v>
      </c>
    </row>
    <row r="474" ht="15.75" customHeight="1">
      <c r="A474" s="33" t="s">
        <v>4554</v>
      </c>
      <c r="B474" s="33" t="s">
        <v>2610</v>
      </c>
      <c r="C474" s="39">
        <v>46191.0</v>
      </c>
      <c r="D474" s="40">
        <v>394.85</v>
      </c>
      <c r="E474" s="33" t="s">
        <v>180</v>
      </c>
    </row>
    <row r="475" ht="15.75" customHeight="1">
      <c r="A475" s="33" t="s">
        <v>4555</v>
      </c>
      <c r="B475" s="33" t="s">
        <v>905</v>
      </c>
      <c r="C475" s="39">
        <v>46246.0</v>
      </c>
      <c r="D475" s="40">
        <v>5019.48</v>
      </c>
      <c r="E475" s="33" t="s">
        <v>180</v>
      </c>
    </row>
    <row r="476" ht="15.75" customHeight="1">
      <c r="A476" s="33" t="s">
        <v>4557</v>
      </c>
      <c r="B476" s="33" t="s">
        <v>1141</v>
      </c>
      <c r="C476" s="39">
        <v>46210.0</v>
      </c>
      <c r="D476" s="40">
        <v>2710.34</v>
      </c>
      <c r="E476" s="33" t="s">
        <v>180</v>
      </c>
    </row>
    <row r="477" ht="15.75" customHeight="1">
      <c r="A477" s="33" t="s">
        <v>4559</v>
      </c>
      <c r="B477" s="33" t="s">
        <v>615</v>
      </c>
      <c r="C477" s="39">
        <v>45776.0</v>
      </c>
      <c r="D477" s="40">
        <v>1938.27</v>
      </c>
      <c r="E477" s="33" t="s">
        <v>180</v>
      </c>
    </row>
    <row r="478" ht="15.75" customHeight="1">
      <c r="A478" s="33" t="s">
        <v>4561</v>
      </c>
      <c r="B478" s="33" t="s">
        <v>1806</v>
      </c>
      <c r="C478" s="39">
        <v>46247.0</v>
      </c>
      <c r="D478" s="40">
        <v>258.73</v>
      </c>
      <c r="E478" s="33" t="s">
        <v>180</v>
      </c>
    </row>
    <row r="479" ht="15.75" customHeight="1">
      <c r="A479" s="33" t="s">
        <v>4562</v>
      </c>
      <c r="B479" s="33" t="s">
        <v>3295</v>
      </c>
      <c r="C479" s="39">
        <v>46215.0</v>
      </c>
      <c r="D479" s="40">
        <v>2283.96</v>
      </c>
      <c r="E479" s="33" t="s">
        <v>180</v>
      </c>
    </row>
    <row r="480" ht="15.75" customHeight="1">
      <c r="A480" s="33" t="s">
        <v>4564</v>
      </c>
      <c r="B480" s="33" t="s">
        <v>1059</v>
      </c>
      <c r="C480" s="39">
        <v>46216.0</v>
      </c>
      <c r="D480" s="40">
        <v>1862.08</v>
      </c>
      <c r="E480" s="33" t="s">
        <v>180</v>
      </c>
    </row>
    <row r="481" ht="15.75" customHeight="1">
      <c r="A481" s="33" t="s">
        <v>4566</v>
      </c>
      <c r="B481" s="33" t="s">
        <v>548</v>
      </c>
      <c r="C481" s="39">
        <v>45878.0</v>
      </c>
      <c r="D481" s="40">
        <v>3084.64</v>
      </c>
      <c r="E481" s="33" t="s">
        <v>180</v>
      </c>
    </row>
    <row r="482" ht="15.75" customHeight="1">
      <c r="A482" s="33" t="s">
        <v>4568</v>
      </c>
      <c r="B482" s="33" t="s">
        <v>3400</v>
      </c>
      <c r="C482" s="39">
        <v>46181.0</v>
      </c>
      <c r="D482" s="40">
        <v>991.49</v>
      </c>
      <c r="E482" s="33" t="s">
        <v>180</v>
      </c>
    </row>
    <row r="483" ht="15.75" customHeight="1">
      <c r="A483" s="33" t="s">
        <v>4571</v>
      </c>
      <c r="B483" s="33" t="s">
        <v>1396</v>
      </c>
      <c r="C483" s="39">
        <v>46124.0</v>
      </c>
      <c r="D483" s="40">
        <v>1211.66</v>
      </c>
      <c r="E483" s="33" t="s">
        <v>180</v>
      </c>
    </row>
    <row r="484" ht="15.75" customHeight="1">
      <c r="A484" s="33" t="s">
        <v>4573</v>
      </c>
      <c r="B484" s="33" t="s">
        <v>3407</v>
      </c>
      <c r="C484" s="39">
        <v>46208.0</v>
      </c>
      <c r="D484" s="40">
        <v>2067.1</v>
      </c>
      <c r="E484" s="33" t="s">
        <v>180</v>
      </c>
    </row>
    <row r="485" ht="15.75" customHeight="1">
      <c r="A485" s="33" t="s">
        <v>4575</v>
      </c>
      <c r="B485" s="33" t="s">
        <v>3412</v>
      </c>
      <c r="C485" s="39">
        <v>46235.0</v>
      </c>
      <c r="D485" s="40">
        <v>1175.12</v>
      </c>
      <c r="E485" s="33" t="s">
        <v>180</v>
      </c>
    </row>
    <row r="486" ht="15.75" customHeight="1">
      <c r="A486" s="33" t="s">
        <v>4578</v>
      </c>
      <c r="B486" s="33" t="s">
        <v>2469</v>
      </c>
      <c r="C486" s="39">
        <v>46113.0</v>
      </c>
      <c r="D486" s="40">
        <v>2262.5</v>
      </c>
      <c r="E486" s="33" t="s">
        <v>180</v>
      </c>
    </row>
    <row r="487" ht="15.75" customHeight="1">
      <c r="A487" s="33" t="s">
        <v>4581</v>
      </c>
      <c r="B487" s="33" t="s">
        <v>2562</v>
      </c>
      <c r="C487" s="39">
        <v>46203.0</v>
      </c>
      <c r="D487" s="40">
        <v>705.43</v>
      </c>
      <c r="E487" s="33" t="s">
        <v>180</v>
      </c>
    </row>
    <row r="488" ht="15.75" customHeight="1">
      <c r="A488" s="33" t="s">
        <v>4584</v>
      </c>
      <c r="B488" s="33" t="s">
        <v>3426</v>
      </c>
      <c r="C488" s="39">
        <v>45760.0</v>
      </c>
      <c r="D488" s="40">
        <v>1616.44</v>
      </c>
      <c r="E488" s="33" t="s">
        <v>180</v>
      </c>
    </row>
    <row r="489" ht="15.75" customHeight="1">
      <c r="A489" s="33" t="s">
        <v>4587</v>
      </c>
      <c r="B489" s="33" t="s">
        <v>3431</v>
      </c>
      <c r="C489" s="39">
        <v>45912.0</v>
      </c>
      <c r="D489" s="40">
        <v>1004.16</v>
      </c>
      <c r="E489" s="33" t="s">
        <v>330</v>
      </c>
    </row>
    <row r="490" ht="15.75" customHeight="1">
      <c r="A490" s="33" t="s">
        <v>4589</v>
      </c>
      <c r="B490" s="33" t="s">
        <v>1585</v>
      </c>
      <c r="C490" s="39">
        <v>46223.0</v>
      </c>
      <c r="D490" s="40">
        <v>2983.86</v>
      </c>
      <c r="E490" s="33" t="s">
        <v>180</v>
      </c>
    </row>
    <row r="491" ht="15.75" customHeight="1">
      <c r="A491" s="33" t="s">
        <v>4593</v>
      </c>
      <c r="B491" s="33" t="s">
        <v>2080</v>
      </c>
      <c r="C491" s="39">
        <v>46243.0</v>
      </c>
      <c r="D491" s="40">
        <v>5805.11</v>
      </c>
      <c r="E491" s="33" t="s">
        <v>180</v>
      </c>
    </row>
    <row r="492" ht="15.75" customHeight="1">
      <c r="A492" s="33" t="s">
        <v>4596</v>
      </c>
      <c r="B492" s="33" t="s">
        <v>1145</v>
      </c>
      <c r="C492" s="39">
        <v>46232.0</v>
      </c>
      <c r="D492" s="40">
        <v>4913.49</v>
      </c>
      <c r="E492" s="33" t="s">
        <v>180</v>
      </c>
    </row>
    <row r="493" ht="15.75" customHeight="1">
      <c r="A493" s="33" t="s">
        <v>4601</v>
      </c>
      <c r="B493" s="33" t="s">
        <v>2987</v>
      </c>
      <c r="C493" s="39">
        <v>45744.0</v>
      </c>
      <c r="D493" s="40">
        <v>348.3</v>
      </c>
      <c r="E493" s="33" t="s">
        <v>180</v>
      </c>
    </row>
    <row r="494" ht="15.75" customHeight="1">
      <c r="A494" s="33" t="s">
        <v>4603</v>
      </c>
      <c r="B494" s="33" t="s">
        <v>3452</v>
      </c>
      <c r="C494" s="39">
        <v>46233.0</v>
      </c>
      <c r="D494" s="40">
        <v>2398.25</v>
      </c>
      <c r="E494" s="33" t="s">
        <v>180</v>
      </c>
    </row>
    <row r="495" ht="15.75" customHeight="1">
      <c r="A495" s="33" t="s">
        <v>4605</v>
      </c>
      <c r="B495" s="33" t="s">
        <v>1957</v>
      </c>
      <c r="C495" s="39">
        <v>46180.0</v>
      </c>
      <c r="D495" s="40">
        <v>991.36</v>
      </c>
      <c r="E495" s="33" t="s">
        <v>180</v>
      </c>
    </row>
    <row r="496" ht="15.75" customHeight="1">
      <c r="A496" s="33" t="s">
        <v>4607</v>
      </c>
      <c r="B496" s="33" t="s">
        <v>497</v>
      </c>
      <c r="C496" s="39">
        <v>45944.0</v>
      </c>
      <c r="D496" s="40">
        <v>689.26</v>
      </c>
      <c r="E496" s="33" t="s">
        <v>180</v>
      </c>
    </row>
    <row r="497" ht="15.75" customHeight="1">
      <c r="A497" s="33" t="s">
        <v>4609</v>
      </c>
      <c r="B497" s="33" t="s">
        <v>438</v>
      </c>
      <c r="C497" s="39">
        <v>46170.0</v>
      </c>
      <c r="D497" s="40">
        <v>2353.39</v>
      </c>
      <c r="E497" s="33" t="s">
        <v>180</v>
      </c>
    </row>
    <row r="498" ht="15.75" customHeight="1">
      <c r="A498" s="33" t="s">
        <v>4611</v>
      </c>
      <c r="B498" s="33" t="s">
        <v>2161</v>
      </c>
      <c r="C498" s="39">
        <v>45942.0</v>
      </c>
      <c r="D498" s="40">
        <v>689.61</v>
      </c>
      <c r="E498" s="33" t="s">
        <v>330</v>
      </c>
    </row>
    <row r="499" ht="15.75" customHeight="1">
      <c r="A499" s="33" t="s">
        <v>4613</v>
      </c>
      <c r="B499" s="33" t="s">
        <v>931</v>
      </c>
      <c r="C499" s="39">
        <v>46240.0</v>
      </c>
      <c r="D499" s="40">
        <v>3611.38</v>
      </c>
      <c r="E499" s="33" t="s">
        <v>180</v>
      </c>
    </row>
    <row r="500" ht="15.75" customHeight="1">
      <c r="A500" s="33" t="s">
        <v>4614</v>
      </c>
      <c r="B500" s="33" t="s">
        <v>1945</v>
      </c>
      <c r="C500" s="39">
        <v>46058.0</v>
      </c>
      <c r="D500" s="40">
        <v>2387.1</v>
      </c>
      <c r="E500" s="33" t="s">
        <v>180</v>
      </c>
    </row>
    <row r="501" ht="15.75" customHeight="1">
      <c r="A501" s="33" t="s">
        <v>4617</v>
      </c>
      <c r="B501" s="33" t="s">
        <v>1056</v>
      </c>
      <c r="C501" s="39">
        <v>46171.0</v>
      </c>
      <c r="D501" s="40">
        <v>3135.72</v>
      </c>
      <c r="E501" s="33" t="s">
        <v>330</v>
      </c>
    </row>
    <row r="502" ht="15.75" customHeight="1">
      <c r="A502" s="33" t="s">
        <v>4619</v>
      </c>
      <c r="B502" s="33" t="s">
        <v>565</v>
      </c>
      <c r="C502" s="39">
        <v>46215.0</v>
      </c>
      <c r="D502" s="40">
        <v>2070.1</v>
      </c>
      <c r="E502" s="33" t="s">
        <v>180</v>
      </c>
    </row>
    <row r="503" ht="15.75" customHeight="1">
      <c r="A503" s="33" t="s">
        <v>4623</v>
      </c>
      <c r="B503" s="33" t="s">
        <v>1001</v>
      </c>
      <c r="C503" s="39">
        <v>46149.0</v>
      </c>
      <c r="D503" s="40">
        <v>619.03</v>
      </c>
      <c r="E503" s="33" t="s">
        <v>180</v>
      </c>
    </row>
    <row r="504" ht="15.75" customHeight="1">
      <c r="A504" s="33" t="s">
        <v>4625</v>
      </c>
      <c r="B504" s="33" t="s">
        <v>2051</v>
      </c>
      <c r="C504" s="39">
        <v>46243.0</v>
      </c>
      <c r="D504" s="40">
        <v>1334.39</v>
      </c>
      <c r="E504" s="33" t="s">
        <v>180</v>
      </c>
    </row>
    <row r="505" ht="15.75" customHeight="1">
      <c r="A505" s="33" t="s">
        <v>4626</v>
      </c>
      <c r="B505" s="33" t="s">
        <v>1906</v>
      </c>
      <c r="C505" s="39">
        <v>46216.0</v>
      </c>
      <c r="D505" s="40">
        <v>4030.87</v>
      </c>
      <c r="E505" s="33" t="s">
        <v>180</v>
      </c>
    </row>
    <row r="506" ht="15.75" customHeight="1">
      <c r="A506" s="33" t="s">
        <v>4629</v>
      </c>
      <c r="B506" s="33" t="s">
        <v>2914</v>
      </c>
      <c r="C506" s="39">
        <v>46254.0</v>
      </c>
      <c r="D506" s="40">
        <v>1574.43</v>
      </c>
      <c r="E506" s="33" t="s">
        <v>180</v>
      </c>
    </row>
    <row r="507" ht="15.75" customHeight="1">
      <c r="A507" s="33" t="s">
        <v>4632</v>
      </c>
      <c r="B507" s="33" t="s">
        <v>1421</v>
      </c>
      <c r="C507" s="39">
        <v>45960.0</v>
      </c>
      <c r="D507" s="40">
        <v>1494.17</v>
      </c>
      <c r="E507" s="33" t="s">
        <v>330</v>
      </c>
    </row>
    <row r="508" ht="15.75" customHeight="1">
      <c r="A508" s="33" t="s">
        <v>4634</v>
      </c>
      <c r="B508" s="33" t="s">
        <v>415</v>
      </c>
      <c r="C508" s="39">
        <v>46042.0</v>
      </c>
      <c r="D508" s="40">
        <v>4318.4</v>
      </c>
      <c r="E508" s="33" t="s">
        <v>180</v>
      </c>
    </row>
    <row r="509" ht="15.75" customHeight="1">
      <c r="A509" s="33" t="s">
        <v>4638</v>
      </c>
      <c r="B509" s="33" t="s">
        <v>426</v>
      </c>
      <c r="C509" s="39">
        <v>46186.0</v>
      </c>
      <c r="D509" s="40">
        <v>2023.11</v>
      </c>
      <c r="E509" s="33" t="s">
        <v>180</v>
      </c>
    </row>
    <row r="510" ht="15.75" customHeight="1">
      <c r="A510" s="33" t="s">
        <v>4639</v>
      </c>
      <c r="B510" s="33" t="s">
        <v>1524</v>
      </c>
      <c r="C510" s="39">
        <v>46039.0</v>
      </c>
      <c r="D510" s="40">
        <v>3756.19</v>
      </c>
      <c r="E510" s="33" t="s">
        <v>180</v>
      </c>
    </row>
    <row r="511" ht="15.75" customHeight="1">
      <c r="A511" s="33" t="s">
        <v>4641</v>
      </c>
      <c r="B511" s="33" t="s">
        <v>2165</v>
      </c>
      <c r="C511" s="39">
        <v>46242.0</v>
      </c>
      <c r="D511" s="40">
        <v>1593.15</v>
      </c>
      <c r="E511" s="33" t="s">
        <v>180</v>
      </c>
    </row>
    <row r="512" ht="15.75" customHeight="1">
      <c r="A512" s="33" t="s">
        <v>4643</v>
      </c>
      <c r="B512" s="33" t="s">
        <v>2702</v>
      </c>
      <c r="C512" s="39">
        <v>46054.0</v>
      </c>
      <c r="D512" s="40">
        <v>824.29</v>
      </c>
      <c r="E512" s="33" t="s">
        <v>180</v>
      </c>
    </row>
    <row r="513" ht="15.75" customHeight="1">
      <c r="A513" s="33" t="s">
        <v>4647</v>
      </c>
      <c r="B513" s="33" t="s">
        <v>2836</v>
      </c>
      <c r="C513" s="39">
        <v>46220.0</v>
      </c>
      <c r="D513" s="40">
        <v>210.09</v>
      </c>
      <c r="E513" s="33" t="s">
        <v>180</v>
      </c>
    </row>
    <row r="514" ht="15.75" customHeight="1">
      <c r="A514" s="33" t="s">
        <v>4648</v>
      </c>
      <c r="B514" s="33" t="s">
        <v>2129</v>
      </c>
      <c r="C514" s="39">
        <v>46156.0</v>
      </c>
      <c r="D514" s="40">
        <v>1566.82</v>
      </c>
      <c r="E514" s="33" t="s">
        <v>180</v>
      </c>
    </row>
    <row r="515" ht="15.75" customHeight="1">
      <c r="A515" s="33" t="s">
        <v>4651</v>
      </c>
      <c r="B515" s="33" t="s">
        <v>3079</v>
      </c>
      <c r="C515" s="39">
        <v>46240.0</v>
      </c>
      <c r="D515" s="40">
        <v>1865.3</v>
      </c>
      <c r="E515" s="33" t="s">
        <v>180</v>
      </c>
    </row>
    <row r="516" ht="15.75" customHeight="1">
      <c r="A516" s="33" t="s">
        <v>4653</v>
      </c>
      <c r="B516" s="33" t="s">
        <v>320</v>
      </c>
      <c r="C516" s="39">
        <v>45997.0</v>
      </c>
      <c r="D516" s="40">
        <v>3523.35</v>
      </c>
      <c r="E516" s="33" t="s">
        <v>180</v>
      </c>
    </row>
    <row r="517" ht="15.75" customHeight="1">
      <c r="A517" s="33" t="s">
        <v>4655</v>
      </c>
      <c r="B517" s="33" t="s">
        <v>3177</v>
      </c>
      <c r="C517" s="39">
        <v>46047.0</v>
      </c>
      <c r="D517" s="40">
        <v>29.51</v>
      </c>
      <c r="E517" s="33" t="s">
        <v>222</v>
      </c>
    </row>
    <row r="518" ht="15.75" customHeight="1">
      <c r="A518" s="33" t="s">
        <v>4658</v>
      </c>
      <c r="B518" s="33" t="s">
        <v>1147</v>
      </c>
      <c r="C518" s="39">
        <v>45997.0</v>
      </c>
      <c r="D518" s="40">
        <v>2538.59</v>
      </c>
      <c r="E518" s="33" t="s">
        <v>180</v>
      </c>
    </row>
    <row r="519" ht="15.75" customHeight="1">
      <c r="A519" s="33" t="s">
        <v>4661</v>
      </c>
      <c r="B519" s="33" t="s">
        <v>553</v>
      </c>
      <c r="C519" s="39">
        <v>46258.0</v>
      </c>
      <c r="D519" s="40">
        <v>1751.52</v>
      </c>
      <c r="E519" s="33" t="s">
        <v>180</v>
      </c>
    </row>
    <row r="520" ht="15.75" customHeight="1">
      <c r="A520" s="33" t="s">
        <v>4663</v>
      </c>
      <c r="B520" s="33" t="s">
        <v>1969</v>
      </c>
      <c r="C520" s="39">
        <v>46183.0</v>
      </c>
      <c r="D520" s="40">
        <v>1526.01</v>
      </c>
      <c r="E520" s="33" t="s">
        <v>180</v>
      </c>
    </row>
    <row r="521" ht="15.75" customHeight="1">
      <c r="A521" s="33" t="s">
        <v>4664</v>
      </c>
      <c r="B521" s="33" t="s">
        <v>1245</v>
      </c>
      <c r="C521" s="39">
        <v>46210.0</v>
      </c>
      <c r="D521" s="40">
        <v>5631.21</v>
      </c>
      <c r="E521" s="33" t="s">
        <v>180</v>
      </c>
    </row>
    <row r="522" ht="15.75" customHeight="1">
      <c r="A522" s="33" t="s">
        <v>4666</v>
      </c>
      <c r="B522" s="33" t="s">
        <v>1309</v>
      </c>
      <c r="C522" s="39">
        <v>46043.0</v>
      </c>
      <c r="D522" s="40">
        <v>2399.61</v>
      </c>
      <c r="E522" s="33" t="s">
        <v>330</v>
      </c>
    </row>
    <row r="523" ht="15.75" customHeight="1">
      <c r="A523" s="33" t="s">
        <v>4668</v>
      </c>
      <c r="B523" s="33" t="s">
        <v>815</v>
      </c>
      <c r="C523" s="39">
        <v>46106.0</v>
      </c>
      <c r="D523" s="40">
        <v>4428.48</v>
      </c>
      <c r="E523" s="33" t="s">
        <v>180</v>
      </c>
    </row>
    <row r="524" ht="15.75" customHeight="1">
      <c r="A524" s="33" t="s">
        <v>4669</v>
      </c>
      <c r="B524" s="33" t="s">
        <v>3572</v>
      </c>
      <c r="C524" s="39">
        <v>46088.0</v>
      </c>
      <c r="D524" s="40">
        <v>969.07</v>
      </c>
      <c r="E524" s="33" t="s">
        <v>180</v>
      </c>
    </row>
    <row r="525" ht="15.75" customHeight="1">
      <c r="A525" s="33" t="s">
        <v>4671</v>
      </c>
      <c r="B525" s="33" t="s">
        <v>3575</v>
      </c>
      <c r="C525" s="39">
        <v>46070.0</v>
      </c>
      <c r="D525" s="40">
        <v>1285.13</v>
      </c>
      <c r="E525" s="33" t="s">
        <v>180</v>
      </c>
    </row>
    <row r="526" ht="15.75" customHeight="1">
      <c r="A526" s="33" t="s">
        <v>4674</v>
      </c>
      <c r="B526" s="33" t="s">
        <v>861</v>
      </c>
      <c r="C526" s="39">
        <v>45915.0</v>
      </c>
      <c r="D526" s="40">
        <v>3544.96</v>
      </c>
      <c r="E526" s="33" t="s">
        <v>180</v>
      </c>
    </row>
    <row r="527" ht="15.75" customHeight="1">
      <c r="A527" s="33" t="s">
        <v>4676</v>
      </c>
      <c r="B527" s="33" t="s">
        <v>1703</v>
      </c>
      <c r="C527" s="39">
        <v>46222.0</v>
      </c>
      <c r="D527" s="40">
        <v>856.34</v>
      </c>
      <c r="E527" s="33" t="s">
        <v>180</v>
      </c>
    </row>
    <row r="528" ht="15.75" customHeight="1">
      <c r="A528" s="33" t="s">
        <v>4678</v>
      </c>
      <c r="B528" s="33" t="s">
        <v>2303</v>
      </c>
      <c r="C528" s="39">
        <v>46183.0</v>
      </c>
      <c r="D528" s="40">
        <v>895.71</v>
      </c>
      <c r="E528" s="33" t="s">
        <v>180</v>
      </c>
    </row>
    <row r="529" ht="15.75" customHeight="1">
      <c r="A529" s="33" t="s">
        <v>4680</v>
      </c>
      <c r="B529" s="33" t="s">
        <v>3190</v>
      </c>
      <c r="C529" s="39">
        <v>46057.0</v>
      </c>
      <c r="D529" s="40">
        <v>765.19</v>
      </c>
      <c r="E529" s="33" t="s">
        <v>180</v>
      </c>
    </row>
    <row r="530" ht="15.75" customHeight="1">
      <c r="A530" s="33" t="s">
        <v>4681</v>
      </c>
      <c r="B530" s="33" t="s">
        <v>1276</v>
      </c>
      <c r="C530" s="39">
        <v>45956.0</v>
      </c>
      <c r="D530" s="40">
        <v>1153.38</v>
      </c>
      <c r="E530" s="33" t="s">
        <v>180</v>
      </c>
    </row>
    <row r="531" ht="15.75" customHeight="1">
      <c r="A531" s="33" t="s">
        <v>4682</v>
      </c>
      <c r="B531" s="33" t="s">
        <v>3590</v>
      </c>
      <c r="C531" s="39">
        <v>46085.0</v>
      </c>
      <c r="D531" s="40">
        <v>2082.65</v>
      </c>
      <c r="E531" s="33" t="s">
        <v>180</v>
      </c>
    </row>
    <row r="532" ht="15.75" customHeight="1">
      <c r="A532" s="33" t="s">
        <v>4684</v>
      </c>
      <c r="B532" s="33" t="s">
        <v>2872</v>
      </c>
      <c r="C532" s="39">
        <v>46172.0</v>
      </c>
      <c r="D532" s="40">
        <v>2520.76</v>
      </c>
      <c r="E532" s="33" t="s">
        <v>180</v>
      </c>
    </row>
    <row r="533" ht="15.75" customHeight="1">
      <c r="A533" s="33" t="s">
        <v>4685</v>
      </c>
      <c r="B533" s="33" t="s">
        <v>686</v>
      </c>
      <c r="C533" s="39">
        <v>46030.0</v>
      </c>
      <c r="D533" s="40">
        <v>1952.34</v>
      </c>
      <c r="E533" s="33" t="s">
        <v>180</v>
      </c>
    </row>
    <row r="534" ht="15.75" customHeight="1">
      <c r="A534" s="33" t="s">
        <v>4687</v>
      </c>
      <c r="B534" s="33" t="s">
        <v>3228</v>
      </c>
      <c r="C534" s="39">
        <v>46038.0</v>
      </c>
      <c r="D534" s="40">
        <v>1369.84</v>
      </c>
      <c r="E534" s="33" t="s">
        <v>180</v>
      </c>
    </row>
    <row r="535" ht="15.75" customHeight="1">
      <c r="A535" s="33" t="s">
        <v>4689</v>
      </c>
      <c r="B535" s="33" t="s">
        <v>2087</v>
      </c>
      <c r="C535" s="39">
        <v>46171.0</v>
      </c>
      <c r="D535" s="40">
        <v>1800.45</v>
      </c>
      <c r="E535" s="33" t="s">
        <v>180</v>
      </c>
    </row>
    <row r="536" ht="15.75" customHeight="1">
      <c r="A536" s="33" t="s">
        <v>4690</v>
      </c>
      <c r="B536" s="33" t="s">
        <v>587</v>
      </c>
      <c r="C536" s="39">
        <v>45978.0</v>
      </c>
      <c r="D536" s="40">
        <v>4456.89</v>
      </c>
      <c r="E536" s="33" t="s">
        <v>330</v>
      </c>
    </row>
    <row r="537" ht="15.75" customHeight="1">
      <c r="A537" s="33" t="s">
        <v>4692</v>
      </c>
      <c r="B537" s="33" t="s">
        <v>3605</v>
      </c>
      <c r="C537" s="39">
        <v>46205.0</v>
      </c>
      <c r="D537" s="40">
        <v>1763.37</v>
      </c>
      <c r="E537" s="33" t="s">
        <v>180</v>
      </c>
    </row>
    <row r="538" ht="15.75" customHeight="1">
      <c r="A538" s="33" t="s">
        <v>4693</v>
      </c>
      <c r="B538" s="33" t="s">
        <v>1908</v>
      </c>
      <c r="C538" s="39">
        <v>46013.0</v>
      </c>
      <c r="D538" s="40">
        <v>1293.81</v>
      </c>
      <c r="E538" s="33" t="s">
        <v>180</v>
      </c>
    </row>
    <row r="539" ht="15.75" customHeight="1">
      <c r="A539" s="33" t="s">
        <v>4695</v>
      </c>
      <c r="B539" s="33" t="s">
        <v>929</v>
      </c>
      <c r="C539" s="39">
        <v>46085.0</v>
      </c>
      <c r="D539" s="40">
        <v>169.34</v>
      </c>
      <c r="E539" s="33" t="s">
        <v>180</v>
      </c>
    </row>
    <row r="540" ht="15.75" customHeight="1">
      <c r="A540" s="33" t="s">
        <v>4697</v>
      </c>
      <c r="B540" s="33" t="s">
        <v>1085</v>
      </c>
      <c r="C540" s="39">
        <v>46179.0</v>
      </c>
      <c r="D540" s="40">
        <v>1648.74</v>
      </c>
      <c r="E540" s="33" t="s">
        <v>180</v>
      </c>
    </row>
    <row r="541" ht="15.75" customHeight="1">
      <c r="A541" s="33" t="s">
        <v>4699</v>
      </c>
      <c r="B541" s="33" t="s">
        <v>3613</v>
      </c>
      <c r="C541" s="39">
        <v>45792.0</v>
      </c>
      <c r="D541" s="40">
        <v>3440.2</v>
      </c>
      <c r="E541" s="33" t="s">
        <v>180</v>
      </c>
    </row>
    <row r="542" ht="15.75" customHeight="1">
      <c r="A542" s="33" t="s">
        <v>4700</v>
      </c>
      <c r="B542" s="33" t="s">
        <v>1981</v>
      </c>
      <c r="C542" s="39">
        <v>46103.0</v>
      </c>
      <c r="D542" s="40">
        <v>384.3</v>
      </c>
      <c r="E542" s="33" t="s">
        <v>180</v>
      </c>
    </row>
    <row r="543" ht="15.75" customHeight="1">
      <c r="A543" s="33" t="s">
        <v>4702</v>
      </c>
      <c r="B543" s="33" t="s">
        <v>2520</v>
      </c>
      <c r="C543" s="39">
        <v>45950.0</v>
      </c>
      <c r="D543" s="40">
        <v>600.1</v>
      </c>
      <c r="E543" s="33" t="s">
        <v>180</v>
      </c>
    </row>
    <row r="544" ht="15.75" customHeight="1">
      <c r="A544" s="33" t="s">
        <v>4705</v>
      </c>
      <c r="B544" s="33" t="s">
        <v>1758</v>
      </c>
      <c r="C544" s="39">
        <v>46140.0</v>
      </c>
      <c r="D544" s="40">
        <v>1183.52</v>
      </c>
      <c r="E544" s="33" t="s">
        <v>180</v>
      </c>
    </row>
    <row r="545" ht="15.75" customHeight="1">
      <c r="A545" s="33" t="s">
        <v>4706</v>
      </c>
      <c r="B545" s="33" t="s">
        <v>2816</v>
      </c>
      <c r="C545" s="39">
        <v>46243.0</v>
      </c>
      <c r="D545" s="40">
        <v>1053.62</v>
      </c>
      <c r="E545" s="33" t="s">
        <v>180</v>
      </c>
    </row>
    <row r="546" ht="15.75" customHeight="1">
      <c r="A546" s="33" t="s">
        <v>4708</v>
      </c>
      <c r="B546" s="33" t="s">
        <v>2418</v>
      </c>
      <c r="C546" s="39">
        <v>46253.0</v>
      </c>
      <c r="D546" s="40">
        <v>1882.27</v>
      </c>
      <c r="E546" s="33" t="s">
        <v>180</v>
      </c>
    </row>
    <row r="547" ht="15.75" customHeight="1">
      <c r="A547" s="33" t="s">
        <v>4710</v>
      </c>
      <c r="B547" s="33" t="s">
        <v>1737</v>
      </c>
      <c r="C547" s="39">
        <v>46241.0</v>
      </c>
      <c r="D547" s="40">
        <v>5263.35</v>
      </c>
      <c r="E547" s="33" t="s">
        <v>180</v>
      </c>
    </row>
    <row r="548" ht="15.75" customHeight="1">
      <c r="A548" s="33" t="s">
        <v>4711</v>
      </c>
      <c r="B548" s="33" t="s">
        <v>1725</v>
      </c>
      <c r="C548" s="39">
        <v>46030.0</v>
      </c>
      <c r="D548" s="40">
        <v>727.96</v>
      </c>
      <c r="E548" s="33" t="s">
        <v>180</v>
      </c>
    </row>
    <row r="549" ht="15.75" customHeight="1">
      <c r="A549" s="33" t="s">
        <v>4713</v>
      </c>
      <c r="B549" s="33" t="s">
        <v>558</v>
      </c>
      <c r="C549" s="39">
        <v>46180.0</v>
      </c>
      <c r="D549" s="40">
        <v>1035.42</v>
      </c>
      <c r="E549" s="33" t="s">
        <v>180</v>
      </c>
    </row>
    <row r="550" ht="15.75" customHeight="1">
      <c r="A550" s="33" t="s">
        <v>4715</v>
      </c>
      <c r="B550" s="33" t="s">
        <v>3305</v>
      </c>
      <c r="C550" s="39">
        <v>46211.0</v>
      </c>
      <c r="D550" s="40">
        <v>1549.04</v>
      </c>
      <c r="E550" s="33" t="s">
        <v>180</v>
      </c>
    </row>
    <row r="551" ht="15.75" customHeight="1">
      <c r="A551" s="33" t="s">
        <v>4717</v>
      </c>
      <c r="B551" s="33" t="s">
        <v>3652</v>
      </c>
      <c r="C551" s="39">
        <v>46061.0</v>
      </c>
      <c r="D551" s="40">
        <v>970.74</v>
      </c>
      <c r="E551" s="33" t="s">
        <v>180</v>
      </c>
    </row>
    <row r="552" ht="15.75" customHeight="1">
      <c r="A552" s="33" t="s">
        <v>4718</v>
      </c>
      <c r="B552" s="33" t="s">
        <v>1393</v>
      </c>
      <c r="C552" s="39">
        <v>46054.0</v>
      </c>
      <c r="D552" s="40">
        <v>1874.88</v>
      </c>
      <c r="E552" s="33" t="s">
        <v>180</v>
      </c>
    </row>
    <row r="553" ht="15.75" customHeight="1">
      <c r="A553" s="33" t="s">
        <v>4720</v>
      </c>
      <c r="B553" s="33" t="s">
        <v>2205</v>
      </c>
      <c r="C553" s="39">
        <v>46251.0</v>
      </c>
      <c r="D553" s="40">
        <v>2463.94</v>
      </c>
      <c r="E553" s="33" t="s">
        <v>180</v>
      </c>
    </row>
    <row r="554" ht="15.75" customHeight="1">
      <c r="A554" s="33" t="s">
        <v>4721</v>
      </c>
      <c r="B554" s="33" t="s">
        <v>1828</v>
      </c>
      <c r="C554" s="39">
        <v>46245.0</v>
      </c>
      <c r="D554" s="40">
        <v>1058.42</v>
      </c>
      <c r="E554" s="33" t="s">
        <v>180</v>
      </c>
    </row>
    <row r="555" ht="15.75" customHeight="1">
      <c r="A555" s="33" t="s">
        <v>4723</v>
      </c>
      <c r="B555" s="33" t="s">
        <v>767</v>
      </c>
      <c r="C555" s="39">
        <v>46088.0</v>
      </c>
      <c r="D555" s="40">
        <v>3102.51</v>
      </c>
      <c r="E555" s="33" t="s">
        <v>180</v>
      </c>
    </row>
    <row r="556" ht="15.75" customHeight="1">
      <c r="A556" s="33" t="s">
        <v>4726</v>
      </c>
      <c r="B556" s="33" t="s">
        <v>1616</v>
      </c>
      <c r="C556" s="39">
        <v>46162.0</v>
      </c>
      <c r="D556" s="40">
        <v>1319.47</v>
      </c>
      <c r="E556" s="33" t="s">
        <v>180</v>
      </c>
    </row>
    <row r="557" ht="15.75" customHeight="1">
      <c r="A557" s="33" t="s">
        <v>4728</v>
      </c>
      <c r="B557" s="33" t="s">
        <v>1700</v>
      </c>
      <c r="C557" s="39">
        <v>46128.0</v>
      </c>
      <c r="D557" s="40">
        <v>963.38</v>
      </c>
      <c r="E557" s="33" t="s">
        <v>180</v>
      </c>
    </row>
    <row r="558" ht="15.75" customHeight="1">
      <c r="A558" s="33" t="s">
        <v>4732</v>
      </c>
      <c r="B558" s="33" t="s">
        <v>1901</v>
      </c>
      <c r="C558" s="39">
        <v>46248.0</v>
      </c>
      <c r="D558" s="40">
        <v>478.78</v>
      </c>
      <c r="E558" s="33" t="s">
        <v>180</v>
      </c>
    </row>
    <row r="559" ht="15.75" customHeight="1">
      <c r="A559" s="33" t="s">
        <v>4733</v>
      </c>
      <c r="B559" s="33" t="s">
        <v>1016</v>
      </c>
      <c r="C559" s="39">
        <v>46175.0</v>
      </c>
      <c r="D559" s="40">
        <v>2638.01</v>
      </c>
      <c r="E559" s="33" t="s">
        <v>180</v>
      </c>
    </row>
    <row r="560" ht="15.75" customHeight="1">
      <c r="A560" s="33" t="s">
        <v>4735</v>
      </c>
      <c r="B560" s="33" t="s">
        <v>3687</v>
      </c>
      <c r="C560" s="39">
        <v>46096.0</v>
      </c>
      <c r="D560" s="40">
        <v>2123.28</v>
      </c>
      <c r="E560" s="33" t="s">
        <v>180</v>
      </c>
    </row>
    <row r="561" ht="15.75" customHeight="1">
      <c r="A561" s="33" t="s">
        <v>4736</v>
      </c>
      <c r="B561" s="33" t="s">
        <v>1856</v>
      </c>
      <c r="C561" s="39">
        <v>46231.0</v>
      </c>
      <c r="D561" s="40">
        <v>692.48</v>
      </c>
      <c r="E561" s="33" t="s">
        <v>180</v>
      </c>
    </row>
    <row r="562" ht="15.75" customHeight="1">
      <c r="A562" s="33" t="s">
        <v>4738</v>
      </c>
      <c r="B562" s="33" t="s">
        <v>3344</v>
      </c>
      <c r="C562" s="39">
        <v>46215.0</v>
      </c>
      <c r="D562" s="40">
        <v>871.53</v>
      </c>
      <c r="E562" s="33" t="s">
        <v>180</v>
      </c>
    </row>
    <row r="563" ht="15.75" customHeight="1">
      <c r="A563" s="33" t="s">
        <v>4739</v>
      </c>
      <c r="B563" s="33" t="s">
        <v>665</v>
      </c>
      <c r="C563" s="39">
        <v>45817.0</v>
      </c>
      <c r="D563" s="40">
        <v>2000.4</v>
      </c>
      <c r="E563" s="33" t="s">
        <v>180</v>
      </c>
    </row>
    <row r="564" ht="15.75" customHeight="1">
      <c r="A564" s="33" t="s">
        <v>4741</v>
      </c>
      <c r="B564" s="33" t="s">
        <v>1424</v>
      </c>
      <c r="C564" s="39">
        <v>46133.0</v>
      </c>
      <c r="D564" s="40">
        <v>2524.36</v>
      </c>
      <c r="E564" s="33" t="s">
        <v>180</v>
      </c>
    </row>
    <row r="565" ht="15.75" customHeight="1">
      <c r="A565" s="33" t="s">
        <v>4743</v>
      </c>
      <c r="B565" s="33" t="s">
        <v>378</v>
      </c>
      <c r="C565" s="39">
        <v>46223.0</v>
      </c>
      <c r="D565" s="40">
        <v>2175.8</v>
      </c>
      <c r="E565" s="33" t="s">
        <v>330</v>
      </c>
    </row>
    <row r="566" ht="15.75" customHeight="1">
      <c r="A566" s="33" t="s">
        <v>4745</v>
      </c>
      <c r="B566" s="33" t="s">
        <v>1645</v>
      </c>
      <c r="C566" s="39">
        <v>45855.0</v>
      </c>
      <c r="D566" s="40">
        <v>2628.62</v>
      </c>
      <c r="E566" s="33" t="s">
        <v>180</v>
      </c>
    </row>
    <row r="567" ht="15.75" customHeight="1">
      <c r="A567" s="33" t="s">
        <v>4746</v>
      </c>
      <c r="B567" s="33" t="s">
        <v>1034</v>
      </c>
      <c r="C567" s="39">
        <v>45923.0</v>
      </c>
      <c r="D567" s="40">
        <v>6327.8</v>
      </c>
      <c r="E567" s="33" t="s">
        <v>180</v>
      </c>
    </row>
    <row r="568" ht="15.75" customHeight="1">
      <c r="A568" s="33" t="s">
        <v>4748</v>
      </c>
      <c r="B568" s="33" t="s">
        <v>2340</v>
      </c>
      <c r="C568" s="39">
        <v>46185.0</v>
      </c>
      <c r="D568" s="40">
        <v>3139.45</v>
      </c>
      <c r="E568" s="33" t="s">
        <v>180</v>
      </c>
    </row>
    <row r="569" ht="15.75" customHeight="1">
      <c r="A569" s="33" t="s">
        <v>4749</v>
      </c>
      <c r="B569" s="33" t="s">
        <v>1554</v>
      </c>
      <c r="C569" s="39">
        <v>46079.0</v>
      </c>
      <c r="D569" s="40">
        <v>2685.06</v>
      </c>
      <c r="E569" s="33" t="s">
        <v>180</v>
      </c>
    </row>
    <row r="570" ht="15.75" customHeight="1">
      <c r="A570" s="33" t="s">
        <v>4751</v>
      </c>
      <c r="B570" s="33" t="s">
        <v>923</v>
      </c>
      <c r="C570" s="39">
        <v>46050.0</v>
      </c>
      <c r="D570" s="40">
        <v>1139.19</v>
      </c>
      <c r="E570" s="33" t="s">
        <v>180</v>
      </c>
    </row>
    <row r="571" ht="15.75" customHeight="1">
      <c r="A571" s="33" t="s">
        <v>4752</v>
      </c>
      <c r="B571" s="33" t="s">
        <v>3195</v>
      </c>
      <c r="C571" s="39">
        <v>46234.0</v>
      </c>
      <c r="D571" s="40">
        <v>632.07</v>
      </c>
      <c r="E571" s="33" t="s">
        <v>180</v>
      </c>
    </row>
    <row r="572" ht="15.75" customHeight="1">
      <c r="A572" s="33" t="s">
        <v>4755</v>
      </c>
      <c r="B572" s="33" t="s">
        <v>2911</v>
      </c>
      <c r="C572" s="39">
        <v>46237.0</v>
      </c>
      <c r="D572" s="40">
        <v>4036.38</v>
      </c>
      <c r="E572" s="33" t="s">
        <v>180</v>
      </c>
    </row>
    <row r="573" ht="15.75" customHeight="1">
      <c r="A573" s="33" t="s">
        <v>4757</v>
      </c>
      <c r="B573" s="33" t="s">
        <v>1232</v>
      </c>
      <c r="C573" s="39">
        <v>45744.0</v>
      </c>
      <c r="D573" s="40">
        <v>1184.67</v>
      </c>
      <c r="E573" s="33" t="s">
        <v>180</v>
      </c>
    </row>
    <row r="574" ht="15.75" customHeight="1">
      <c r="A574" s="33" t="s">
        <v>4759</v>
      </c>
      <c r="B574" s="33" t="s">
        <v>2245</v>
      </c>
      <c r="C574" s="39">
        <v>46239.0</v>
      </c>
      <c r="D574" s="40">
        <v>2322.06</v>
      </c>
      <c r="E574" s="33" t="s">
        <v>180</v>
      </c>
    </row>
    <row r="575" ht="15.75" customHeight="1">
      <c r="A575" s="33" t="s">
        <v>4760</v>
      </c>
      <c r="B575" s="33" t="s">
        <v>3428</v>
      </c>
      <c r="C575" s="39">
        <v>46065.0</v>
      </c>
      <c r="D575" s="40">
        <v>456.8</v>
      </c>
      <c r="E575" s="33" t="s">
        <v>180</v>
      </c>
    </row>
    <row r="576" ht="15.75" customHeight="1">
      <c r="A576" s="33" t="s">
        <v>4762</v>
      </c>
      <c r="B576" s="33" t="s">
        <v>1152</v>
      </c>
      <c r="C576" s="39">
        <v>46006.0</v>
      </c>
      <c r="D576" s="40">
        <v>304.85</v>
      </c>
      <c r="E576" s="33" t="s">
        <v>180</v>
      </c>
    </row>
    <row r="577" ht="15.75" customHeight="1">
      <c r="A577" s="33" t="s">
        <v>4764</v>
      </c>
      <c r="B577" s="33" t="s">
        <v>1132</v>
      </c>
      <c r="C577" s="39">
        <v>46044.0</v>
      </c>
      <c r="D577" s="40">
        <v>3120.31</v>
      </c>
      <c r="E577" s="33" t="s">
        <v>180</v>
      </c>
    </row>
    <row r="578" ht="15.75" customHeight="1">
      <c r="A578" s="33" t="s">
        <v>4765</v>
      </c>
      <c r="B578" s="33" t="s">
        <v>817</v>
      </c>
      <c r="C578" s="39">
        <v>46225.0</v>
      </c>
      <c r="D578" s="40">
        <v>945.85</v>
      </c>
      <c r="E578" s="33" t="s">
        <v>180</v>
      </c>
    </row>
    <row r="579" ht="15.75" customHeight="1">
      <c r="A579" s="33" t="s">
        <v>4768</v>
      </c>
      <c r="B579" s="33" t="s">
        <v>530</v>
      </c>
      <c r="C579" s="39">
        <v>46164.0</v>
      </c>
      <c r="D579" s="40">
        <v>2308.27</v>
      </c>
      <c r="E579" s="33" t="s">
        <v>180</v>
      </c>
    </row>
    <row r="580" ht="15.75" customHeight="1">
      <c r="A580" s="33" t="s">
        <v>4769</v>
      </c>
      <c r="B580" s="33" t="s">
        <v>1186</v>
      </c>
      <c r="C580" s="39">
        <v>45989.0</v>
      </c>
      <c r="D580" s="40">
        <v>954.59</v>
      </c>
      <c r="E580" s="33" t="s">
        <v>180</v>
      </c>
    </row>
    <row r="581" ht="15.75" customHeight="1">
      <c r="A581" s="33" t="s">
        <v>4771</v>
      </c>
      <c r="B581" s="33" t="s">
        <v>3612</v>
      </c>
      <c r="C581" s="39">
        <v>46035.0</v>
      </c>
      <c r="D581" s="40">
        <v>2485.85</v>
      </c>
      <c r="E581" s="33" t="s">
        <v>180</v>
      </c>
    </row>
    <row r="582" ht="15.75" customHeight="1">
      <c r="A582" s="33" t="s">
        <v>4773</v>
      </c>
      <c r="B582" s="33" t="s">
        <v>314</v>
      </c>
      <c r="C582" s="39">
        <v>46128.0</v>
      </c>
      <c r="D582" s="40">
        <v>1619.48</v>
      </c>
      <c r="E582" s="33" t="s">
        <v>180</v>
      </c>
    </row>
    <row r="583" ht="15.75" customHeight="1">
      <c r="A583" s="33" t="s">
        <v>4775</v>
      </c>
      <c r="B583" s="33" t="s">
        <v>1932</v>
      </c>
      <c r="C583" s="39">
        <v>46165.0</v>
      </c>
      <c r="D583" s="40">
        <v>1414.65</v>
      </c>
      <c r="E583" s="33" t="s">
        <v>180</v>
      </c>
    </row>
    <row r="584" ht="15.75" customHeight="1">
      <c r="A584" s="33" t="s">
        <v>4777</v>
      </c>
      <c r="B584" s="33" t="s">
        <v>3774</v>
      </c>
      <c r="C584" s="39">
        <v>46255.0</v>
      </c>
      <c r="D584" s="40">
        <v>2159.52</v>
      </c>
      <c r="E584" s="33" t="s">
        <v>180</v>
      </c>
    </row>
    <row r="585" ht="15.75" customHeight="1">
      <c r="A585" s="33" t="s">
        <v>4779</v>
      </c>
      <c r="B585" s="33" t="s">
        <v>2622</v>
      </c>
      <c r="C585" s="39">
        <v>46248.0</v>
      </c>
      <c r="D585" s="40">
        <v>2403.17</v>
      </c>
      <c r="E585" s="33" t="s">
        <v>180</v>
      </c>
    </row>
    <row r="586" ht="15.75" customHeight="1">
      <c r="A586" s="33" t="s">
        <v>4781</v>
      </c>
      <c r="B586" s="33" t="s">
        <v>721</v>
      </c>
      <c r="C586" s="39">
        <v>45865.0</v>
      </c>
      <c r="D586" s="40">
        <v>1021.36</v>
      </c>
      <c r="E586" s="33" t="s">
        <v>180</v>
      </c>
    </row>
    <row r="587" ht="15.75" customHeight="1">
      <c r="A587" s="33" t="s">
        <v>4784</v>
      </c>
      <c r="B587" s="33" t="s">
        <v>2177</v>
      </c>
      <c r="C587" s="39">
        <v>46184.0</v>
      </c>
      <c r="D587" s="40">
        <v>2321.19</v>
      </c>
      <c r="E587" s="33" t="s">
        <v>180</v>
      </c>
    </row>
    <row r="588" ht="15.75" customHeight="1">
      <c r="A588" s="33" t="s">
        <v>4786</v>
      </c>
      <c r="B588" s="33" t="s">
        <v>1721</v>
      </c>
      <c r="C588" s="39">
        <v>46012.0</v>
      </c>
      <c r="D588" s="40">
        <v>2449.03</v>
      </c>
      <c r="E588" s="33" t="s">
        <v>180</v>
      </c>
    </row>
    <row r="589" ht="15.75" customHeight="1">
      <c r="A589" s="33" t="s">
        <v>4788</v>
      </c>
      <c r="B589" s="33" t="s">
        <v>3793</v>
      </c>
      <c r="C589" s="39">
        <v>46145.0</v>
      </c>
      <c r="D589" s="40">
        <v>3080.71</v>
      </c>
      <c r="E589" s="33" t="s">
        <v>180</v>
      </c>
    </row>
    <row r="590" ht="15.75" customHeight="1">
      <c r="A590" s="33" t="s">
        <v>4790</v>
      </c>
      <c r="B590" s="33" t="s">
        <v>275</v>
      </c>
      <c r="C590" s="39">
        <v>46017.0</v>
      </c>
      <c r="D590" s="40">
        <v>3761.27</v>
      </c>
      <c r="E590" s="33" t="s">
        <v>180</v>
      </c>
    </row>
    <row r="591" ht="15.75" customHeight="1">
      <c r="A591" s="33" t="s">
        <v>4791</v>
      </c>
      <c r="B591" s="33" t="s">
        <v>961</v>
      </c>
      <c r="C591" s="39">
        <v>46235.0</v>
      </c>
      <c r="D591" s="40">
        <v>1667.61</v>
      </c>
      <c r="E591" s="33" t="s">
        <v>180</v>
      </c>
    </row>
    <row r="592" ht="15.75" customHeight="1">
      <c r="A592" s="33" t="s">
        <v>4794</v>
      </c>
      <c r="B592" s="33" t="s">
        <v>2021</v>
      </c>
      <c r="C592" s="39">
        <v>46147.0</v>
      </c>
      <c r="D592" s="40">
        <v>961.23</v>
      </c>
      <c r="E592" s="33" t="s">
        <v>180</v>
      </c>
    </row>
    <row r="593" ht="15.75" customHeight="1">
      <c r="A593" s="33" t="s">
        <v>4796</v>
      </c>
      <c r="B593" s="33" t="s">
        <v>1914</v>
      </c>
      <c r="C593" s="39">
        <v>46252.0</v>
      </c>
      <c r="D593" s="40">
        <v>781.72</v>
      </c>
      <c r="E593" s="33" t="s">
        <v>180</v>
      </c>
    </row>
    <row r="594" ht="15.75" customHeight="1">
      <c r="A594" s="33" t="s">
        <v>4798</v>
      </c>
      <c r="B594" s="33" t="s">
        <v>1321</v>
      </c>
      <c r="C594" s="39">
        <v>45813.0</v>
      </c>
      <c r="D594" s="40">
        <v>1081.73</v>
      </c>
      <c r="E594" s="33" t="s">
        <v>330</v>
      </c>
    </row>
    <row r="595" ht="15.75" customHeight="1">
      <c r="A595" s="33" t="s">
        <v>4801</v>
      </c>
      <c r="B595" s="33" t="s">
        <v>870</v>
      </c>
      <c r="C595" s="39">
        <v>46130.0</v>
      </c>
      <c r="D595" s="40">
        <v>1152.78</v>
      </c>
      <c r="E595" s="33" t="s">
        <v>180</v>
      </c>
    </row>
    <row r="596" ht="15.75" customHeight="1">
      <c r="A596" s="33" t="s">
        <v>4803</v>
      </c>
      <c r="B596" s="33" t="s">
        <v>1174</v>
      </c>
      <c r="C596" s="39">
        <v>46249.0</v>
      </c>
      <c r="D596" s="40">
        <v>1296.56</v>
      </c>
      <c r="E596" s="33" t="s">
        <v>180</v>
      </c>
    </row>
    <row r="597" ht="15.75" customHeight="1">
      <c r="A597" s="33" t="s">
        <v>4805</v>
      </c>
      <c r="B597" s="33" t="s">
        <v>1285</v>
      </c>
      <c r="C597" s="39">
        <v>46128.0</v>
      </c>
      <c r="D597" s="40">
        <v>1631.76</v>
      </c>
      <c r="E597" s="33" t="s">
        <v>180</v>
      </c>
    </row>
    <row r="598" ht="15.75" customHeight="1">
      <c r="A598" s="33" t="s">
        <v>4807</v>
      </c>
      <c r="B598" s="33" t="s">
        <v>1669</v>
      </c>
      <c r="C598" s="39">
        <v>46255.0</v>
      </c>
      <c r="D598" s="40">
        <v>1912.3</v>
      </c>
      <c r="E598" s="33" t="s">
        <v>180</v>
      </c>
    </row>
    <row r="599" ht="15.75" customHeight="1">
      <c r="A599" s="33" t="s">
        <v>4808</v>
      </c>
      <c r="B599" s="33" t="s">
        <v>2252</v>
      </c>
      <c r="C599" s="39">
        <v>46120.0</v>
      </c>
      <c r="D599" s="40">
        <v>1993.53</v>
      </c>
      <c r="E599" s="33" t="s">
        <v>180</v>
      </c>
    </row>
    <row r="600" ht="15.75" customHeight="1">
      <c r="A600" s="33" t="s">
        <v>4811</v>
      </c>
      <c r="B600" s="33" t="s">
        <v>3846</v>
      </c>
      <c r="C600" s="39">
        <v>46064.0</v>
      </c>
      <c r="D600" s="40">
        <v>2804.21</v>
      </c>
      <c r="E600" s="33" t="s">
        <v>180</v>
      </c>
    </row>
    <row r="601" ht="15.75" customHeight="1">
      <c r="A601" s="33" t="s">
        <v>4812</v>
      </c>
      <c r="B601" s="33" t="s">
        <v>3853</v>
      </c>
      <c r="C601" s="39">
        <v>46258.0</v>
      </c>
      <c r="D601" s="40">
        <v>4019.58</v>
      </c>
      <c r="E601" s="33" t="s">
        <v>180</v>
      </c>
    </row>
    <row r="602" ht="15.75" customHeight="1">
      <c r="A602" s="33" t="s">
        <v>4814</v>
      </c>
      <c r="B602" s="33" t="s">
        <v>3857</v>
      </c>
      <c r="C602" s="39">
        <v>46138.0</v>
      </c>
      <c r="D602" s="40">
        <v>2005.75</v>
      </c>
      <c r="E602" s="33" t="s">
        <v>180</v>
      </c>
    </row>
    <row r="603" ht="15.75" customHeight="1">
      <c r="A603" s="33" t="s">
        <v>4815</v>
      </c>
      <c r="B603" s="33" t="s">
        <v>3442</v>
      </c>
      <c r="C603" s="39">
        <v>46136.0</v>
      </c>
      <c r="D603" s="40">
        <v>1154.85</v>
      </c>
      <c r="E603" s="33" t="s">
        <v>180</v>
      </c>
    </row>
    <row r="604" ht="15.75" customHeight="1">
      <c r="A604" s="33" t="s">
        <v>4817</v>
      </c>
      <c r="B604" s="33" t="s">
        <v>2063</v>
      </c>
      <c r="C604" s="39">
        <v>46191.0</v>
      </c>
      <c r="D604" s="40">
        <v>2765.65</v>
      </c>
      <c r="E604" s="33" t="s">
        <v>180</v>
      </c>
    </row>
    <row r="605" ht="15.75" customHeight="1">
      <c r="A605" s="33" t="s">
        <v>4819</v>
      </c>
      <c r="B605" s="33" t="s">
        <v>317</v>
      </c>
      <c r="C605" s="39">
        <v>46033.0</v>
      </c>
      <c r="D605" s="40">
        <v>2650.54</v>
      </c>
      <c r="E605" s="33" t="s">
        <v>180</v>
      </c>
    </row>
    <row r="606" ht="15.75" customHeight="1">
      <c r="A606" s="33" t="s">
        <v>4821</v>
      </c>
      <c r="B606" s="33" t="s">
        <v>3552</v>
      </c>
      <c r="C606" s="39">
        <v>46223.0</v>
      </c>
      <c r="D606" s="40">
        <v>1065.05</v>
      </c>
      <c r="E606" s="33" t="s">
        <v>180</v>
      </c>
    </row>
    <row r="607" ht="15.75" customHeight="1">
      <c r="A607" s="33" t="s">
        <v>4824</v>
      </c>
      <c r="B607" s="33" t="s">
        <v>1188</v>
      </c>
      <c r="C607" s="39">
        <v>46195.0</v>
      </c>
      <c r="D607" s="40">
        <v>2680.51</v>
      </c>
      <c r="E607" s="33" t="s">
        <v>180</v>
      </c>
    </row>
    <row r="608" ht="15.75" customHeight="1">
      <c r="A608" s="33" t="s">
        <v>4826</v>
      </c>
      <c r="B608" s="33" t="s">
        <v>1054</v>
      </c>
      <c r="C608" s="39">
        <v>46122.0</v>
      </c>
      <c r="D608" s="40">
        <v>114.1</v>
      </c>
      <c r="E608" s="33" t="s">
        <v>330</v>
      </c>
    </row>
    <row r="609" ht="15.75" customHeight="1">
      <c r="A609" s="33" t="s">
        <v>4828</v>
      </c>
      <c r="B609" s="33" t="s">
        <v>777</v>
      </c>
      <c r="C609" s="39">
        <v>46125.0</v>
      </c>
      <c r="D609" s="40">
        <v>776.82</v>
      </c>
      <c r="E609" s="33" t="s">
        <v>180</v>
      </c>
    </row>
    <row r="610" ht="15.75" customHeight="1">
      <c r="A610" s="33" t="s">
        <v>4830</v>
      </c>
      <c r="B610" s="33" t="s">
        <v>483</v>
      </c>
      <c r="C610" s="39">
        <v>46257.0</v>
      </c>
      <c r="D610" s="40">
        <v>638.95</v>
      </c>
      <c r="E610" s="33" t="s">
        <v>180</v>
      </c>
    </row>
    <row r="611" ht="15.75" customHeight="1">
      <c r="A611" s="33" t="s">
        <v>4832</v>
      </c>
      <c r="B611" s="33" t="s">
        <v>1019</v>
      </c>
      <c r="C611" s="39">
        <v>46231.0</v>
      </c>
      <c r="D611" s="40">
        <v>817.28</v>
      </c>
      <c r="E611" s="33" t="s">
        <v>180</v>
      </c>
    </row>
    <row r="612" ht="15.75" customHeight="1">
      <c r="A612" s="33" t="s">
        <v>4835</v>
      </c>
      <c r="B612" s="33" t="s">
        <v>1693</v>
      </c>
      <c r="C612" s="39">
        <v>46057.0</v>
      </c>
      <c r="D612" s="40">
        <v>2805.74</v>
      </c>
      <c r="E612" s="33" t="s">
        <v>180</v>
      </c>
    </row>
    <row r="613" ht="15.75" customHeight="1">
      <c r="A613" s="33" t="s">
        <v>4837</v>
      </c>
      <c r="B613" s="33" t="s">
        <v>3895</v>
      </c>
      <c r="C613" s="39">
        <v>46123.0</v>
      </c>
      <c r="D613" s="40">
        <v>1397.36</v>
      </c>
      <c r="E613" s="33" t="s">
        <v>180</v>
      </c>
    </row>
    <row r="614" ht="15.75" customHeight="1">
      <c r="A614" s="33" t="s">
        <v>4839</v>
      </c>
      <c r="B614" s="33" t="s">
        <v>875</v>
      </c>
      <c r="C614" s="39">
        <v>45814.0</v>
      </c>
      <c r="D614" s="40">
        <v>3037.53</v>
      </c>
      <c r="E614" s="33" t="s">
        <v>180</v>
      </c>
    </row>
    <row r="615" ht="15.75" customHeight="1">
      <c r="A615" s="33" t="s">
        <v>4841</v>
      </c>
      <c r="B615" s="33" t="s">
        <v>2526</v>
      </c>
      <c r="C615" s="39">
        <v>46063.0</v>
      </c>
      <c r="D615" s="40">
        <v>4253.73</v>
      </c>
      <c r="E615" s="33" t="s">
        <v>180</v>
      </c>
    </row>
    <row r="616" ht="15.75" customHeight="1">
      <c r="A616" s="33" t="s">
        <v>4844</v>
      </c>
      <c r="B616" s="33" t="s">
        <v>305</v>
      </c>
      <c r="C616" s="39">
        <v>45788.0</v>
      </c>
      <c r="D616" s="40">
        <v>4112.68</v>
      </c>
      <c r="E616" s="33" t="s">
        <v>180</v>
      </c>
    </row>
    <row r="617" ht="15.75" customHeight="1">
      <c r="A617" s="33" t="s">
        <v>4845</v>
      </c>
      <c r="B617" s="33" t="s">
        <v>579</v>
      </c>
      <c r="C617" s="39">
        <v>46224.0</v>
      </c>
      <c r="D617" s="40">
        <v>1039.34</v>
      </c>
      <c r="E617" s="33" t="s">
        <v>180</v>
      </c>
    </row>
    <row r="618" ht="15.75" customHeight="1">
      <c r="A618" s="33" t="s">
        <v>4848</v>
      </c>
      <c r="B618" s="33" t="s">
        <v>1463</v>
      </c>
      <c r="C618" s="39">
        <v>46183.0</v>
      </c>
      <c r="D618" s="40">
        <v>1442.47</v>
      </c>
      <c r="E618" s="33" t="s">
        <v>180</v>
      </c>
    </row>
    <row r="619" ht="15.75" customHeight="1">
      <c r="A619" s="33" t="s">
        <v>4849</v>
      </c>
      <c r="B619" s="33" t="s">
        <v>949</v>
      </c>
      <c r="C619" s="39">
        <v>45754.0</v>
      </c>
      <c r="D619" s="40">
        <v>1667.0</v>
      </c>
      <c r="E619" s="33" t="s">
        <v>180</v>
      </c>
    </row>
    <row r="620" ht="15.75" customHeight="1">
      <c r="A620" s="33" t="s">
        <v>4851</v>
      </c>
      <c r="B620" s="33" t="s">
        <v>850</v>
      </c>
      <c r="C620" s="39">
        <v>46234.0</v>
      </c>
      <c r="D620" s="40">
        <v>4654.69</v>
      </c>
      <c r="E620" s="33" t="s">
        <v>180</v>
      </c>
    </row>
    <row r="621" ht="15.75" customHeight="1">
      <c r="A621" s="33" t="s">
        <v>4852</v>
      </c>
      <c r="B621" s="33" t="s">
        <v>1205</v>
      </c>
      <c r="C621" s="39">
        <v>45979.0</v>
      </c>
      <c r="D621" s="40">
        <v>1023.21</v>
      </c>
      <c r="E621" s="33" t="s">
        <v>180</v>
      </c>
    </row>
    <row r="622" ht="15.75" customHeight="1">
      <c r="A622" s="33" t="s">
        <v>4855</v>
      </c>
      <c r="B622" s="33" t="s">
        <v>3936</v>
      </c>
      <c r="C622" s="39">
        <v>46084.0</v>
      </c>
      <c r="D622" s="40">
        <v>3371.48</v>
      </c>
      <c r="E622" s="33" t="s">
        <v>180</v>
      </c>
    </row>
    <row r="623" ht="15.75" customHeight="1">
      <c r="A623" s="33" t="s">
        <v>4857</v>
      </c>
      <c r="B623" s="33" t="s">
        <v>902</v>
      </c>
      <c r="C623" s="39">
        <v>46180.0</v>
      </c>
      <c r="D623" s="40">
        <v>2309.14</v>
      </c>
      <c r="E623" s="33" t="s">
        <v>180</v>
      </c>
    </row>
    <row r="624" ht="15.75" customHeight="1">
      <c r="A624" s="33" t="s">
        <v>4858</v>
      </c>
      <c r="B624" s="33" t="s">
        <v>2478</v>
      </c>
      <c r="C624" s="39">
        <v>46124.0</v>
      </c>
      <c r="D624" s="40">
        <v>168.9</v>
      </c>
      <c r="E624" s="33" t="s">
        <v>180</v>
      </c>
    </row>
    <row r="625" ht="15.75" customHeight="1">
      <c r="A625" s="33" t="s">
        <v>4860</v>
      </c>
      <c r="B625" s="33" t="s">
        <v>336</v>
      </c>
      <c r="C625" s="39">
        <v>46250.0</v>
      </c>
      <c r="D625" s="40">
        <v>1360.0</v>
      </c>
      <c r="E625" s="33" t="s">
        <v>180</v>
      </c>
    </row>
    <row r="626" ht="15.75" customHeight="1">
      <c r="A626" s="33" t="s">
        <v>4861</v>
      </c>
      <c r="B626" s="33" t="s">
        <v>1742</v>
      </c>
      <c r="C626" s="39">
        <v>46141.0</v>
      </c>
      <c r="D626" s="40">
        <v>737.05</v>
      </c>
      <c r="E626" s="33" t="s">
        <v>180</v>
      </c>
    </row>
    <row r="627" ht="15.75" customHeight="1">
      <c r="A627" s="33" t="s">
        <v>4863</v>
      </c>
      <c r="B627" s="33" t="s">
        <v>487</v>
      </c>
      <c r="C627" s="39">
        <v>46091.0</v>
      </c>
      <c r="D627" s="40">
        <v>1324.5</v>
      </c>
      <c r="E627" s="33" t="s">
        <v>180</v>
      </c>
    </row>
    <row r="628" ht="15.75" customHeight="1">
      <c r="A628" s="33" t="s">
        <v>4864</v>
      </c>
      <c r="B628" s="33" t="s">
        <v>2625</v>
      </c>
      <c r="C628" s="39">
        <v>46103.0</v>
      </c>
      <c r="D628" s="40">
        <v>179.77</v>
      </c>
      <c r="E628" s="33" t="s">
        <v>180</v>
      </c>
    </row>
    <row r="629" ht="15.75" customHeight="1">
      <c r="A629" s="33" t="s">
        <v>4866</v>
      </c>
      <c r="B629" s="33" t="s">
        <v>2259</v>
      </c>
      <c r="C629" s="39">
        <v>45924.0</v>
      </c>
      <c r="D629" s="40">
        <v>4844.77</v>
      </c>
      <c r="E629" s="33" t="s">
        <v>180</v>
      </c>
    </row>
    <row r="630" ht="15.75" customHeight="1">
      <c r="A630" s="33" t="s">
        <v>4867</v>
      </c>
      <c r="B630" s="33" t="s">
        <v>284</v>
      </c>
      <c r="C630" s="39">
        <v>46136.0</v>
      </c>
      <c r="D630" s="40">
        <v>1229.26</v>
      </c>
      <c r="E630" s="33" t="s">
        <v>180</v>
      </c>
    </row>
    <row r="631" ht="15.75" customHeight="1">
      <c r="A631" s="33" t="s">
        <v>4869</v>
      </c>
      <c r="B631" s="33" t="s">
        <v>786</v>
      </c>
      <c r="C631" s="39">
        <v>46253.0</v>
      </c>
      <c r="D631" s="40">
        <v>1334.74</v>
      </c>
      <c r="E631" s="33" t="s">
        <v>180</v>
      </c>
    </row>
    <row r="632" ht="15.75" customHeight="1">
      <c r="A632" s="33" t="s">
        <v>4870</v>
      </c>
      <c r="B632" s="33" t="s">
        <v>2153</v>
      </c>
      <c r="C632" s="39">
        <v>46219.0</v>
      </c>
      <c r="D632" s="40">
        <v>4540.75</v>
      </c>
      <c r="E632" s="33" t="s">
        <v>180</v>
      </c>
    </row>
    <row r="633" ht="15.75" customHeight="1">
      <c r="A633" s="33" t="s">
        <v>4872</v>
      </c>
      <c r="B633" s="33" t="s">
        <v>3978</v>
      </c>
      <c r="C633" s="39">
        <v>46153.0</v>
      </c>
      <c r="D633" s="40">
        <v>544.61</v>
      </c>
      <c r="E633" s="33" t="s">
        <v>180</v>
      </c>
    </row>
    <row r="634" ht="15.75" customHeight="1">
      <c r="A634" s="33" t="s">
        <v>4873</v>
      </c>
      <c r="B634" s="33" t="s">
        <v>1092</v>
      </c>
      <c r="C634" s="39">
        <v>46069.0</v>
      </c>
      <c r="D634" s="40">
        <v>2372.37</v>
      </c>
      <c r="E634" s="33" t="s">
        <v>180</v>
      </c>
    </row>
    <row r="635" ht="15.75" customHeight="1">
      <c r="A635" s="33" t="s">
        <v>4876</v>
      </c>
      <c r="B635" s="33" t="s">
        <v>3985</v>
      </c>
      <c r="C635" s="39">
        <v>46188.0</v>
      </c>
      <c r="D635" s="40">
        <v>938.49</v>
      </c>
      <c r="E635" s="33" t="s">
        <v>180</v>
      </c>
    </row>
    <row r="636" ht="15.75" customHeight="1">
      <c r="A636" s="33" t="s">
        <v>4877</v>
      </c>
      <c r="B636" s="33" t="s">
        <v>2667</v>
      </c>
      <c r="C636" s="39">
        <v>46229.0</v>
      </c>
      <c r="D636" s="40">
        <v>313.54</v>
      </c>
      <c r="E636" s="33" t="s">
        <v>180</v>
      </c>
    </row>
    <row r="637" ht="15.75" customHeight="1">
      <c r="A637" s="33" t="s">
        <v>4880</v>
      </c>
      <c r="B637" s="33" t="s">
        <v>1637</v>
      </c>
      <c r="C637" s="39">
        <v>45915.0</v>
      </c>
      <c r="D637" s="40">
        <v>2581.11</v>
      </c>
      <c r="E637" s="33" t="s">
        <v>180</v>
      </c>
    </row>
    <row r="638" ht="15.75" customHeight="1">
      <c r="A638" s="33" t="s">
        <v>4881</v>
      </c>
      <c r="B638" s="33" t="s">
        <v>3242</v>
      </c>
      <c r="C638" s="39">
        <v>46081.0</v>
      </c>
      <c r="D638" s="40">
        <v>3835.08</v>
      </c>
      <c r="E638" s="33" t="s">
        <v>180</v>
      </c>
    </row>
    <row r="639" ht="15.75" customHeight="1">
      <c r="A639" s="33" t="s">
        <v>4884</v>
      </c>
      <c r="B639" s="33" t="s">
        <v>1314</v>
      </c>
      <c r="C639" s="39">
        <v>46196.0</v>
      </c>
      <c r="D639" s="40">
        <v>1594.89</v>
      </c>
      <c r="E639" s="33" t="s">
        <v>180</v>
      </c>
    </row>
    <row r="640" ht="15.75" customHeight="1">
      <c r="A640" s="33" t="s">
        <v>4885</v>
      </c>
      <c r="B640" s="33" t="s">
        <v>1448</v>
      </c>
      <c r="C640" s="39">
        <v>45891.0</v>
      </c>
      <c r="D640" s="40">
        <v>2854.65</v>
      </c>
      <c r="E640" s="33" t="s">
        <v>180</v>
      </c>
    </row>
    <row r="641" ht="15.75" customHeight="1">
      <c r="A641" s="33" t="s">
        <v>4888</v>
      </c>
      <c r="B641" s="33" t="s">
        <v>1571</v>
      </c>
      <c r="C641" s="39">
        <v>46258.0</v>
      </c>
      <c r="D641" s="40">
        <v>1019.88</v>
      </c>
      <c r="E641" s="33" t="s">
        <v>180</v>
      </c>
    </row>
    <row r="642" ht="15.75" customHeight="1">
      <c r="A642" s="33" t="s">
        <v>4891</v>
      </c>
      <c r="B642" s="33" t="s">
        <v>444</v>
      </c>
      <c r="C642" s="39">
        <v>45947.0</v>
      </c>
      <c r="D642" s="40">
        <v>2429.13</v>
      </c>
      <c r="E642" s="33" t="s">
        <v>180</v>
      </c>
    </row>
    <row r="643" ht="15.75" customHeight="1">
      <c r="A643" s="33" t="s">
        <v>4893</v>
      </c>
      <c r="B643" s="33" t="s">
        <v>2456</v>
      </c>
      <c r="C643" s="39">
        <v>45791.0</v>
      </c>
      <c r="D643" s="40">
        <v>1708.65</v>
      </c>
      <c r="E643" s="33" t="s">
        <v>180</v>
      </c>
    </row>
    <row r="644" ht="15.75" customHeight="1">
      <c r="A644" s="33" t="s">
        <v>4895</v>
      </c>
      <c r="B644" s="33" t="s">
        <v>397</v>
      </c>
      <c r="C644" s="39">
        <v>46070.0</v>
      </c>
      <c r="D644" s="40">
        <v>1115.07</v>
      </c>
      <c r="E644" s="33" t="s">
        <v>180</v>
      </c>
    </row>
    <row r="645" ht="15.75" customHeight="1">
      <c r="A645" s="33" t="s">
        <v>4897</v>
      </c>
      <c r="B645" s="33" t="s">
        <v>2627</v>
      </c>
      <c r="C645" s="39">
        <v>46038.0</v>
      </c>
      <c r="D645" s="40">
        <v>708.33</v>
      </c>
      <c r="E645" s="33" t="s">
        <v>180</v>
      </c>
    </row>
    <row r="646" ht="15.75" customHeight="1">
      <c r="A646" s="33" t="s">
        <v>4899</v>
      </c>
      <c r="B646" s="33" t="s">
        <v>4028</v>
      </c>
      <c r="C646" s="39">
        <v>46111.0</v>
      </c>
      <c r="D646" s="40">
        <v>3787.74</v>
      </c>
      <c r="E646" s="33" t="s">
        <v>180</v>
      </c>
    </row>
    <row r="647" ht="15.75" customHeight="1">
      <c r="A647" s="33" t="s">
        <v>4900</v>
      </c>
      <c r="B647" s="33" t="s">
        <v>762</v>
      </c>
      <c r="C647" s="39">
        <v>46014.0</v>
      </c>
      <c r="D647" s="40">
        <v>1755.93</v>
      </c>
      <c r="E647" s="33" t="s">
        <v>180</v>
      </c>
    </row>
    <row r="648" ht="15.75" customHeight="1">
      <c r="A648" s="33" t="s">
        <v>4902</v>
      </c>
      <c r="B648" s="33" t="s">
        <v>278</v>
      </c>
      <c r="C648" s="39">
        <v>46246.0</v>
      </c>
      <c r="D648" s="40">
        <v>1263.59</v>
      </c>
      <c r="E648" s="33" t="s">
        <v>180</v>
      </c>
    </row>
    <row r="649" ht="15.75" customHeight="1">
      <c r="A649" s="33" t="s">
        <v>4904</v>
      </c>
      <c r="B649" s="33" t="s">
        <v>596</v>
      </c>
      <c r="C649" s="39">
        <v>46122.0</v>
      </c>
      <c r="D649" s="40">
        <v>1391.64</v>
      </c>
      <c r="E649" s="33" t="s">
        <v>180</v>
      </c>
    </row>
    <row r="650" ht="15.75" customHeight="1">
      <c r="A650" s="33" t="s">
        <v>4905</v>
      </c>
      <c r="B650" s="33" t="s">
        <v>984</v>
      </c>
      <c r="C650" s="39">
        <v>45769.0</v>
      </c>
      <c r="D650" s="40">
        <v>2481.04</v>
      </c>
      <c r="E650" s="33" t="s">
        <v>180</v>
      </c>
    </row>
    <row r="651" ht="15.75" customHeight="1">
      <c r="A651" s="33" t="s">
        <v>4907</v>
      </c>
      <c r="B651" s="33" t="s">
        <v>2886</v>
      </c>
      <c r="C651" s="39">
        <v>46095.0</v>
      </c>
      <c r="D651" s="40">
        <v>2792.03</v>
      </c>
      <c r="E651" s="33" t="s">
        <v>180</v>
      </c>
    </row>
    <row r="652" ht="15.75" customHeight="1">
      <c r="A652" s="33" t="s">
        <v>4908</v>
      </c>
      <c r="B652" s="33" t="s">
        <v>1749</v>
      </c>
      <c r="C652" s="39">
        <v>46263.0</v>
      </c>
      <c r="D652" s="40">
        <v>1716.5</v>
      </c>
      <c r="E652" s="33" t="s">
        <v>180</v>
      </c>
    </row>
    <row r="653" ht="15.75" customHeight="1">
      <c r="A653" s="33" t="s">
        <v>4911</v>
      </c>
      <c r="B653" s="33" t="s">
        <v>2559</v>
      </c>
      <c r="C653" s="39">
        <v>46252.0</v>
      </c>
      <c r="D653" s="40">
        <v>2338.22</v>
      </c>
      <c r="E653" s="33" t="s">
        <v>180</v>
      </c>
    </row>
    <row r="654" ht="15.75" customHeight="1">
      <c r="A654" s="33" t="s">
        <v>4913</v>
      </c>
      <c r="B654" s="33" t="s">
        <v>2348</v>
      </c>
      <c r="C654" s="39">
        <v>46075.0</v>
      </c>
      <c r="D654" s="40">
        <v>1321.38</v>
      </c>
      <c r="E654" s="33" t="s">
        <v>180</v>
      </c>
    </row>
    <row r="655" ht="15.75" customHeight="1">
      <c r="A655" s="33" t="s">
        <v>4915</v>
      </c>
      <c r="B655" s="33" t="s">
        <v>4066</v>
      </c>
      <c r="C655" s="39">
        <v>46228.0</v>
      </c>
      <c r="D655" s="40">
        <v>1452.22</v>
      </c>
      <c r="E655" s="33" t="s">
        <v>180</v>
      </c>
    </row>
    <row r="656" ht="15.75" customHeight="1">
      <c r="A656" s="33" t="s">
        <v>4916</v>
      </c>
      <c r="B656" s="33" t="s">
        <v>1530</v>
      </c>
      <c r="C656" s="39">
        <v>46031.0</v>
      </c>
      <c r="D656" s="40">
        <v>2609.32</v>
      </c>
      <c r="E656" s="33" t="s">
        <v>180</v>
      </c>
    </row>
    <row r="657" ht="15.75" customHeight="1">
      <c r="A657" s="33" t="s">
        <v>4918</v>
      </c>
      <c r="B657" s="33" t="s">
        <v>2676</v>
      </c>
      <c r="C657" s="39">
        <v>46012.0</v>
      </c>
      <c r="D657" s="40">
        <v>1285.83</v>
      </c>
      <c r="E657" s="33" t="s">
        <v>180</v>
      </c>
    </row>
    <row r="658" ht="15.75" customHeight="1">
      <c r="A658" s="33" t="s">
        <v>4920</v>
      </c>
      <c r="B658" s="33" t="s">
        <v>1062</v>
      </c>
      <c r="C658" s="39">
        <v>46182.0</v>
      </c>
      <c r="D658" s="40">
        <v>660.31</v>
      </c>
      <c r="E658" s="33" t="s">
        <v>180</v>
      </c>
    </row>
    <row r="659" ht="15.75" customHeight="1">
      <c r="A659" s="33" t="s">
        <v>4922</v>
      </c>
      <c r="B659" s="33" t="s">
        <v>1735</v>
      </c>
      <c r="C659" s="39">
        <v>46206.0</v>
      </c>
      <c r="D659" s="40">
        <v>2515.92</v>
      </c>
      <c r="E659" s="33" t="s">
        <v>330</v>
      </c>
    </row>
    <row r="660" ht="15.75" customHeight="1">
      <c r="A660" s="33" t="s">
        <v>4924</v>
      </c>
      <c r="B660" s="33" t="s">
        <v>1979</v>
      </c>
      <c r="C660" s="39">
        <v>46260.0</v>
      </c>
      <c r="D660" s="40">
        <v>2216.1</v>
      </c>
      <c r="E660" s="33" t="s">
        <v>180</v>
      </c>
    </row>
    <row r="661" ht="15.75" customHeight="1">
      <c r="A661" s="33" t="s">
        <v>4926</v>
      </c>
      <c r="B661" s="33" t="s">
        <v>895</v>
      </c>
      <c r="C661" s="39">
        <v>45821.0</v>
      </c>
      <c r="D661" s="40">
        <v>3112.87</v>
      </c>
      <c r="E661" s="33" t="s">
        <v>180</v>
      </c>
    </row>
    <row r="662" ht="15.75" customHeight="1">
      <c r="A662" s="33" t="s">
        <v>4928</v>
      </c>
      <c r="B662" s="33" t="s">
        <v>2144</v>
      </c>
      <c r="C662" s="39">
        <v>46132.0</v>
      </c>
      <c r="D662" s="40">
        <v>2490.59</v>
      </c>
      <c r="E662" s="33" t="s">
        <v>180</v>
      </c>
    </row>
    <row r="663" ht="15.75" customHeight="1">
      <c r="A663" s="33" t="s">
        <v>4929</v>
      </c>
      <c r="B663" s="33" t="s">
        <v>2729</v>
      </c>
      <c r="C663" s="39">
        <v>46174.0</v>
      </c>
      <c r="D663" s="40">
        <v>2173.47</v>
      </c>
      <c r="E663" s="33" t="s">
        <v>180</v>
      </c>
    </row>
    <row r="664" ht="15.75" customHeight="1">
      <c r="A664" s="33" t="s">
        <v>4931</v>
      </c>
      <c r="B664" s="33" t="s">
        <v>1972</v>
      </c>
      <c r="C664" s="39">
        <v>46261.0</v>
      </c>
      <c r="D664" s="40">
        <v>578.2</v>
      </c>
      <c r="E664" s="33" t="s">
        <v>180</v>
      </c>
    </row>
    <row r="665" ht="15.75" customHeight="1">
      <c r="A665" s="33" t="s">
        <v>4933</v>
      </c>
      <c r="B665" s="33" t="s">
        <v>4104</v>
      </c>
      <c r="C665" s="39">
        <v>45983.0</v>
      </c>
      <c r="D665" s="40">
        <v>1682.3</v>
      </c>
      <c r="E665" s="33" t="s">
        <v>180</v>
      </c>
    </row>
    <row r="666" ht="15.75" customHeight="1">
      <c r="A666" s="33" t="s">
        <v>4934</v>
      </c>
      <c r="B666" s="33" t="s">
        <v>4112</v>
      </c>
      <c r="C666" s="39">
        <v>46182.0</v>
      </c>
      <c r="D666" s="40">
        <v>1159.46</v>
      </c>
      <c r="E666" s="33" t="s">
        <v>180</v>
      </c>
    </row>
    <row r="667" ht="15.75" customHeight="1">
      <c r="A667" s="33" t="s">
        <v>4937</v>
      </c>
      <c r="B667" s="33" t="s">
        <v>692</v>
      </c>
      <c r="C667" s="39">
        <v>46215.0</v>
      </c>
      <c r="D667" s="40">
        <v>2477.22</v>
      </c>
      <c r="E667" s="33" t="s">
        <v>330</v>
      </c>
    </row>
    <row r="668" ht="15.75" customHeight="1">
      <c r="A668" s="33" t="s">
        <v>4939</v>
      </c>
      <c r="B668" s="33" t="s">
        <v>1642</v>
      </c>
      <c r="C668" s="39">
        <v>46244.0</v>
      </c>
      <c r="D668" s="40">
        <v>4836.93</v>
      </c>
      <c r="E668" s="33" t="s">
        <v>180</v>
      </c>
    </row>
    <row r="669" ht="15.75" customHeight="1">
      <c r="A669" s="33" t="s">
        <v>4941</v>
      </c>
      <c r="B669" s="33" t="s">
        <v>334</v>
      </c>
      <c r="C669" s="39">
        <v>45751.0</v>
      </c>
      <c r="D669" s="40">
        <v>2755.32</v>
      </c>
      <c r="E669" s="33" t="s">
        <v>330</v>
      </c>
    </row>
    <row r="670" ht="15.75" customHeight="1">
      <c r="A670" s="33" t="s">
        <v>4942</v>
      </c>
      <c r="B670" s="33" t="s">
        <v>1192</v>
      </c>
      <c r="C670" s="39">
        <v>46007.0</v>
      </c>
      <c r="D670" s="40">
        <v>542.38</v>
      </c>
      <c r="E670" s="33" t="s">
        <v>180</v>
      </c>
    </row>
    <row r="671" ht="15.75" customHeight="1">
      <c r="A671" s="33" t="s">
        <v>4944</v>
      </c>
      <c r="B671" s="33" t="s">
        <v>1722</v>
      </c>
      <c r="C671" s="39">
        <v>45978.0</v>
      </c>
      <c r="D671" s="40">
        <v>2087.98</v>
      </c>
      <c r="E671" s="33" t="s">
        <v>180</v>
      </c>
    </row>
    <row r="672" ht="15.75" customHeight="1">
      <c r="A672" s="33" t="s">
        <v>4946</v>
      </c>
      <c r="B672" s="33" t="s">
        <v>4138</v>
      </c>
      <c r="C672" s="39">
        <v>46015.0</v>
      </c>
      <c r="D672" s="40">
        <v>1165.05</v>
      </c>
      <c r="E672" s="33" t="s">
        <v>180</v>
      </c>
    </row>
    <row r="673" ht="15.75" customHeight="1">
      <c r="A673" s="33" t="s">
        <v>4948</v>
      </c>
      <c r="B673" s="33" t="s">
        <v>4142</v>
      </c>
      <c r="C673" s="39">
        <v>45886.0</v>
      </c>
      <c r="D673" s="40">
        <v>2655.39</v>
      </c>
      <c r="E673" s="33" t="s">
        <v>180</v>
      </c>
    </row>
    <row r="674" ht="15.75" customHeight="1">
      <c r="A674" s="33" t="s">
        <v>4950</v>
      </c>
      <c r="B674" s="33" t="s">
        <v>685</v>
      </c>
      <c r="C674" s="39">
        <v>46195.0</v>
      </c>
      <c r="D674" s="40">
        <v>2953.75</v>
      </c>
      <c r="E674" s="33" t="s">
        <v>180</v>
      </c>
    </row>
    <row r="675" ht="15.75" customHeight="1">
      <c r="A675" s="33" t="s">
        <v>4952</v>
      </c>
      <c r="B675" s="33" t="s">
        <v>3633</v>
      </c>
      <c r="C675" s="39">
        <v>46244.0</v>
      </c>
      <c r="D675" s="40">
        <v>1646.38</v>
      </c>
      <c r="E675" s="33" t="s">
        <v>180</v>
      </c>
    </row>
    <row r="676" ht="15.75" customHeight="1">
      <c r="A676" s="33" t="s">
        <v>4954</v>
      </c>
      <c r="B676" s="33" t="s">
        <v>4154</v>
      </c>
      <c r="C676" s="39">
        <v>45755.0</v>
      </c>
      <c r="D676" s="40">
        <v>1296.46</v>
      </c>
      <c r="E676" s="33" t="s">
        <v>180</v>
      </c>
    </row>
    <row r="677" ht="15.75" customHeight="1">
      <c r="A677" s="33" t="s">
        <v>4956</v>
      </c>
      <c r="B677" s="33" t="s">
        <v>1883</v>
      </c>
      <c r="C677" s="39">
        <v>46065.0</v>
      </c>
      <c r="D677" s="40">
        <v>2169.66</v>
      </c>
      <c r="E677" s="33" t="s">
        <v>180</v>
      </c>
    </row>
    <row r="678" ht="15.75" customHeight="1">
      <c r="A678" s="33" t="s">
        <v>4958</v>
      </c>
      <c r="B678" s="33" t="s">
        <v>614</v>
      </c>
      <c r="C678" s="39">
        <v>46231.0</v>
      </c>
      <c r="D678" s="40">
        <v>1061.96</v>
      </c>
      <c r="E678" s="33" t="s">
        <v>180</v>
      </c>
    </row>
    <row r="679" ht="15.75" customHeight="1">
      <c r="A679" s="33" t="s">
        <v>4959</v>
      </c>
      <c r="B679" s="33" t="s">
        <v>3059</v>
      </c>
      <c r="C679" s="39">
        <v>46258.0</v>
      </c>
      <c r="D679" s="40">
        <v>3011.36</v>
      </c>
      <c r="E679" s="33" t="s">
        <v>180</v>
      </c>
    </row>
    <row r="680" ht="15.75" customHeight="1">
      <c r="A680" s="33" t="s">
        <v>4961</v>
      </c>
      <c r="B680" s="33" t="s">
        <v>4175</v>
      </c>
      <c r="C680" s="39">
        <v>46015.0</v>
      </c>
      <c r="D680" s="40">
        <v>2503.52</v>
      </c>
      <c r="E680" s="33" t="s">
        <v>180</v>
      </c>
    </row>
    <row r="681" ht="15.75" customHeight="1">
      <c r="A681" s="33" t="s">
        <v>4963</v>
      </c>
      <c r="B681" s="33" t="s">
        <v>741</v>
      </c>
      <c r="C681" s="39">
        <v>46245.0</v>
      </c>
      <c r="D681" s="40">
        <v>1256.43</v>
      </c>
      <c r="E681" s="33" t="s">
        <v>330</v>
      </c>
    </row>
    <row r="682" ht="15.75" customHeight="1">
      <c r="A682" s="33" t="s">
        <v>4965</v>
      </c>
      <c r="B682" s="33" t="s">
        <v>3013</v>
      </c>
      <c r="C682" s="39">
        <v>46250.0</v>
      </c>
      <c r="D682" s="40">
        <v>743.58</v>
      </c>
      <c r="E682" s="33" t="s">
        <v>180</v>
      </c>
    </row>
    <row r="683" ht="15.75" customHeight="1">
      <c r="A683" s="33" t="s">
        <v>4966</v>
      </c>
      <c r="B683" s="33" t="s">
        <v>1247</v>
      </c>
      <c r="C683" s="39">
        <v>46185.0</v>
      </c>
      <c r="D683" s="40">
        <v>2016.12</v>
      </c>
      <c r="E683" s="33" t="s">
        <v>180</v>
      </c>
    </row>
    <row r="684" ht="15.75" customHeight="1">
      <c r="A684" s="33" t="s">
        <v>4969</v>
      </c>
      <c r="B684" s="33" t="s">
        <v>1239</v>
      </c>
      <c r="C684" s="39">
        <v>45948.0</v>
      </c>
      <c r="D684" s="40">
        <v>3383.21</v>
      </c>
      <c r="E684" s="33" t="s">
        <v>180</v>
      </c>
    </row>
    <row r="685" ht="15.75" customHeight="1">
      <c r="A685" s="33" t="s">
        <v>4971</v>
      </c>
      <c r="B685" s="33" t="s">
        <v>2958</v>
      </c>
      <c r="C685" s="39">
        <v>46010.0</v>
      </c>
      <c r="D685" s="40">
        <v>2873.87</v>
      </c>
      <c r="E685" s="33" t="s">
        <v>180</v>
      </c>
    </row>
    <row r="686" ht="15.75" customHeight="1">
      <c r="A686" s="33" t="s">
        <v>4972</v>
      </c>
      <c r="B686" s="33" t="s">
        <v>1819</v>
      </c>
      <c r="C686" s="39">
        <v>46241.0</v>
      </c>
      <c r="D686" s="40">
        <v>650.76</v>
      </c>
      <c r="E686" s="33" t="s">
        <v>180</v>
      </c>
    </row>
    <row r="687" ht="15.75" customHeight="1">
      <c r="A687" s="33" t="s">
        <v>4974</v>
      </c>
      <c r="B687" s="33" t="s">
        <v>561</v>
      </c>
      <c r="C687" s="39">
        <v>46143.0</v>
      </c>
      <c r="D687" s="40">
        <v>2333.47</v>
      </c>
      <c r="E687" s="33" t="s">
        <v>180</v>
      </c>
    </row>
    <row r="688" ht="15.75" customHeight="1">
      <c r="A688" s="33" t="s">
        <v>4975</v>
      </c>
      <c r="B688" s="33" t="s">
        <v>3128</v>
      </c>
      <c r="C688" s="39">
        <v>46206.0</v>
      </c>
      <c r="D688" s="40">
        <v>2503.45</v>
      </c>
      <c r="E688" s="33" t="s">
        <v>180</v>
      </c>
    </row>
    <row r="689" ht="15.75" customHeight="1">
      <c r="A689" s="33" t="s">
        <v>4977</v>
      </c>
      <c r="B689" s="33" t="s">
        <v>1802</v>
      </c>
      <c r="C689" s="39">
        <v>46015.0</v>
      </c>
      <c r="D689" s="40">
        <v>1466.21</v>
      </c>
      <c r="E689" s="33" t="s">
        <v>330</v>
      </c>
    </row>
    <row r="690" ht="15.75" customHeight="1">
      <c r="A690" s="33" t="s">
        <v>4978</v>
      </c>
      <c r="B690" s="33" t="s">
        <v>1774</v>
      </c>
      <c r="C690" s="39">
        <v>46225.0</v>
      </c>
      <c r="D690" s="40">
        <v>1761.34</v>
      </c>
      <c r="E690" s="33" t="s">
        <v>180</v>
      </c>
    </row>
    <row r="691" ht="15.75" customHeight="1">
      <c r="A691" s="33" t="s">
        <v>4980</v>
      </c>
      <c r="B691" s="33" t="s">
        <v>1224</v>
      </c>
      <c r="C691" s="39">
        <v>46047.0</v>
      </c>
      <c r="D691" s="40">
        <v>2775.11</v>
      </c>
      <c r="E691" s="33" t="s">
        <v>180</v>
      </c>
    </row>
    <row r="692" ht="15.75" customHeight="1">
      <c r="A692" s="33" t="s">
        <v>4983</v>
      </c>
      <c r="B692" s="33" t="s">
        <v>2040</v>
      </c>
      <c r="C692" s="39">
        <v>46263.0</v>
      </c>
      <c r="D692" s="40">
        <v>1896.6</v>
      </c>
      <c r="E692" s="33" t="s">
        <v>180</v>
      </c>
    </row>
    <row r="693" ht="15.75" customHeight="1">
      <c r="A693" s="33" t="s">
        <v>4985</v>
      </c>
      <c r="B693" s="33" t="s">
        <v>4242</v>
      </c>
      <c r="C693" s="39">
        <v>46205.0</v>
      </c>
      <c r="D693" s="40">
        <v>257.17</v>
      </c>
      <c r="E693" s="33" t="s">
        <v>180</v>
      </c>
    </row>
    <row r="694" ht="15.75" customHeight="1">
      <c r="A694" s="33" t="s">
        <v>4987</v>
      </c>
      <c r="B694" s="33" t="s">
        <v>2812</v>
      </c>
      <c r="C694" s="39">
        <v>46200.0</v>
      </c>
      <c r="D694" s="40">
        <v>910.2</v>
      </c>
      <c r="E694" s="33" t="s">
        <v>180</v>
      </c>
    </row>
    <row r="695" ht="15.75" customHeight="1">
      <c r="A695" s="33" t="s">
        <v>4988</v>
      </c>
      <c r="B695" s="33" t="s">
        <v>1896</v>
      </c>
      <c r="C695" s="39">
        <v>46151.0</v>
      </c>
      <c r="D695" s="40">
        <v>1239.72</v>
      </c>
      <c r="E695" s="33" t="s">
        <v>180</v>
      </c>
    </row>
    <row r="696" ht="15.75" customHeight="1">
      <c r="A696" s="33" t="s">
        <v>4990</v>
      </c>
      <c r="B696" s="33" t="s">
        <v>1028</v>
      </c>
      <c r="C696" s="39">
        <v>46144.0</v>
      </c>
      <c r="D696" s="40">
        <v>931.04</v>
      </c>
      <c r="E696" s="33" t="s">
        <v>180</v>
      </c>
    </row>
    <row r="697" ht="15.75" customHeight="1">
      <c r="A697" s="33" t="s">
        <v>4992</v>
      </c>
      <c r="B697" s="33" t="s">
        <v>4258</v>
      </c>
      <c r="C697" s="39">
        <v>46240.0</v>
      </c>
      <c r="D697" s="40">
        <v>2997.28</v>
      </c>
      <c r="E697" s="33" t="s">
        <v>180</v>
      </c>
    </row>
    <row r="698" ht="15.75" customHeight="1">
      <c r="A698" s="33" t="s">
        <v>4994</v>
      </c>
      <c r="B698" s="33" t="s">
        <v>1660</v>
      </c>
      <c r="C698" s="39">
        <v>46227.0</v>
      </c>
      <c r="D698" s="40">
        <v>2273.64</v>
      </c>
      <c r="E698" s="33" t="s">
        <v>180</v>
      </c>
    </row>
    <row r="699" ht="15.75" customHeight="1">
      <c r="A699" s="33" t="s">
        <v>4995</v>
      </c>
      <c r="B699" s="33" t="s">
        <v>1067</v>
      </c>
      <c r="C699" s="39">
        <v>46120.0</v>
      </c>
      <c r="D699" s="40">
        <v>574.89</v>
      </c>
      <c r="E699" s="33" t="s">
        <v>180</v>
      </c>
    </row>
    <row r="700" ht="15.75" customHeight="1">
      <c r="A700" s="33" t="s">
        <v>4997</v>
      </c>
      <c r="B700" s="33" t="s">
        <v>4287</v>
      </c>
      <c r="C700" s="39">
        <v>46063.0</v>
      </c>
      <c r="D700" s="40">
        <v>2240.35</v>
      </c>
      <c r="E700" s="33" t="s">
        <v>180</v>
      </c>
    </row>
    <row r="701" ht="15.75" customHeight="1">
      <c r="A701" s="33" t="s">
        <v>5000</v>
      </c>
      <c r="B701" s="33" t="s">
        <v>367</v>
      </c>
      <c r="C701" s="39">
        <v>46219.0</v>
      </c>
      <c r="D701" s="40">
        <v>3150.15</v>
      </c>
      <c r="E701" s="33" t="s">
        <v>180</v>
      </c>
    </row>
    <row r="702" ht="15.75" customHeight="1">
      <c r="A702" s="33" t="s">
        <v>5001</v>
      </c>
      <c r="B702" s="33" t="s">
        <v>2669</v>
      </c>
      <c r="C702" s="39">
        <v>46232.0</v>
      </c>
      <c r="D702" s="40">
        <v>1473.7</v>
      </c>
      <c r="E702" s="33" t="s">
        <v>180</v>
      </c>
    </row>
    <row r="703" ht="15.75" customHeight="1">
      <c r="A703" s="33" t="s">
        <v>5005</v>
      </c>
      <c r="B703" s="33" t="s">
        <v>1305</v>
      </c>
      <c r="C703" s="39">
        <v>46102.0</v>
      </c>
      <c r="D703" s="40">
        <v>2141.35</v>
      </c>
      <c r="E703" s="33" t="s">
        <v>180</v>
      </c>
    </row>
    <row r="704" ht="15.75" customHeight="1">
      <c r="A704" s="33" t="s">
        <v>5007</v>
      </c>
      <c r="B704" s="33" t="s">
        <v>1987</v>
      </c>
      <c r="C704" s="39">
        <v>46257.0</v>
      </c>
      <c r="D704" s="40">
        <v>1839.63</v>
      </c>
      <c r="E704" s="33" t="s">
        <v>180</v>
      </c>
    </row>
    <row r="705" ht="15.75" customHeight="1">
      <c r="A705" s="33" t="s">
        <v>5010</v>
      </c>
      <c r="B705" s="33" t="s">
        <v>4308</v>
      </c>
      <c r="C705" s="39">
        <v>46185.0</v>
      </c>
      <c r="D705" s="40">
        <v>706.75</v>
      </c>
      <c r="E705" s="33" t="s">
        <v>180</v>
      </c>
    </row>
    <row r="706" ht="15.75" customHeight="1">
      <c r="A706" s="33" t="s">
        <v>5011</v>
      </c>
      <c r="B706" s="33" t="s">
        <v>514</v>
      </c>
      <c r="C706" s="39">
        <v>46001.0</v>
      </c>
      <c r="D706" s="40">
        <v>2246.08</v>
      </c>
      <c r="E706" s="33" t="s">
        <v>180</v>
      </c>
    </row>
    <row r="707" ht="15.75" customHeight="1">
      <c r="A707" s="33" t="s">
        <v>5014</v>
      </c>
      <c r="B707" s="33" t="s">
        <v>2299</v>
      </c>
      <c r="C707" s="39">
        <v>45882.0</v>
      </c>
      <c r="D707" s="40">
        <v>1143.27</v>
      </c>
      <c r="E707" s="33" t="s">
        <v>180</v>
      </c>
    </row>
    <row r="708" ht="15.75" customHeight="1">
      <c r="A708" s="33" t="s">
        <v>5016</v>
      </c>
      <c r="B708" s="33" t="s">
        <v>2658</v>
      </c>
      <c r="C708" s="39">
        <v>45856.0</v>
      </c>
      <c r="D708" s="40">
        <v>4185.76</v>
      </c>
      <c r="E708" s="33" t="s">
        <v>180</v>
      </c>
    </row>
    <row r="709" ht="15.75" customHeight="1">
      <c r="A709" s="33" t="s">
        <v>5017</v>
      </c>
      <c r="B709" s="33" t="s">
        <v>1561</v>
      </c>
      <c r="C709" s="39">
        <v>45872.0</v>
      </c>
      <c r="D709" s="40">
        <v>668.52</v>
      </c>
      <c r="E709" s="33" t="s">
        <v>180</v>
      </c>
    </row>
    <row r="710" ht="15.75" customHeight="1">
      <c r="A710" s="33" t="s">
        <v>5020</v>
      </c>
      <c r="B710" s="33" t="s">
        <v>3138</v>
      </c>
      <c r="C710" s="39">
        <v>46189.0</v>
      </c>
      <c r="D710" s="40">
        <v>1699.04</v>
      </c>
      <c r="E710" s="33" t="s">
        <v>180</v>
      </c>
    </row>
    <row r="711" ht="15.75" customHeight="1">
      <c r="A711" s="33" t="s">
        <v>5021</v>
      </c>
      <c r="B711" s="33" t="s">
        <v>354</v>
      </c>
      <c r="C711" s="39">
        <v>46135.0</v>
      </c>
      <c r="D711" s="40">
        <v>3267.93</v>
      </c>
      <c r="E711" s="33" t="s">
        <v>180</v>
      </c>
    </row>
    <row r="712" ht="15.75" customHeight="1">
      <c r="A712" s="33" t="s">
        <v>5023</v>
      </c>
      <c r="B712" s="33" t="s">
        <v>1505</v>
      </c>
      <c r="C712" s="39">
        <v>46183.0</v>
      </c>
      <c r="D712" s="40">
        <v>1255.18</v>
      </c>
      <c r="E712" s="33" t="s">
        <v>180</v>
      </c>
    </row>
    <row r="713" ht="15.75" customHeight="1">
      <c r="A713" s="33" t="s">
        <v>5024</v>
      </c>
      <c r="B713" s="33" t="s">
        <v>4153</v>
      </c>
      <c r="C713" s="39">
        <v>45831.0</v>
      </c>
      <c r="D713" s="40">
        <v>2217.06</v>
      </c>
      <c r="E713" s="33" t="s">
        <v>180</v>
      </c>
    </row>
    <row r="714" ht="15.75" customHeight="1">
      <c r="A714" s="33" t="s">
        <v>5026</v>
      </c>
      <c r="B714" s="33" t="s">
        <v>1576</v>
      </c>
      <c r="C714" s="39">
        <v>45895.0</v>
      </c>
      <c r="D714" s="40">
        <v>9660.86</v>
      </c>
      <c r="E714" s="33" t="s">
        <v>180</v>
      </c>
    </row>
    <row r="715" ht="15.75" customHeight="1">
      <c r="A715" s="33" t="s">
        <v>5028</v>
      </c>
      <c r="B715" s="33" t="s">
        <v>1581</v>
      </c>
      <c r="C715" s="39">
        <v>46226.0</v>
      </c>
      <c r="D715" s="40">
        <v>3115.29</v>
      </c>
      <c r="E715" s="33" t="s">
        <v>180</v>
      </c>
    </row>
    <row r="716" ht="15.75" customHeight="1">
      <c r="A716" s="33" t="s">
        <v>5030</v>
      </c>
      <c r="B716" s="33" t="s">
        <v>592</v>
      </c>
      <c r="C716" s="39">
        <v>46057.0</v>
      </c>
      <c r="D716" s="40">
        <v>2296.37</v>
      </c>
      <c r="E716" s="33" t="s">
        <v>180</v>
      </c>
    </row>
    <row r="717" ht="15.75" customHeight="1">
      <c r="A717" s="33" t="s">
        <v>5033</v>
      </c>
      <c r="B717" s="33" t="s">
        <v>1503</v>
      </c>
      <c r="C717" s="39">
        <v>46234.0</v>
      </c>
      <c r="D717" s="40">
        <v>2860.13</v>
      </c>
      <c r="E717" s="33" t="s">
        <v>180</v>
      </c>
    </row>
    <row r="718" ht="15.75" customHeight="1">
      <c r="A718" s="33" t="s">
        <v>5035</v>
      </c>
      <c r="B718" s="33" t="s">
        <v>453</v>
      </c>
      <c r="C718" s="39">
        <v>46217.0</v>
      </c>
      <c r="D718" s="40">
        <v>2378.29</v>
      </c>
      <c r="E718" s="33" t="s">
        <v>180</v>
      </c>
    </row>
    <row r="719" ht="15.75" customHeight="1">
      <c r="A719" s="33" t="s">
        <v>5037</v>
      </c>
      <c r="B719" s="33" t="s">
        <v>1360</v>
      </c>
      <c r="C719" s="39">
        <v>46177.0</v>
      </c>
      <c r="D719" s="40">
        <v>878.48</v>
      </c>
      <c r="E719" s="33" t="s">
        <v>180</v>
      </c>
    </row>
    <row r="720" ht="15.75" customHeight="1">
      <c r="A720" s="33" t="s">
        <v>5039</v>
      </c>
      <c r="B720" s="33" t="s">
        <v>888</v>
      </c>
      <c r="C720" s="39">
        <v>46028.0</v>
      </c>
      <c r="D720" s="40">
        <v>2171.14</v>
      </c>
      <c r="E720" s="33" t="s">
        <v>180</v>
      </c>
    </row>
    <row r="721" ht="15.75" customHeight="1">
      <c r="A721" s="33" t="s">
        <v>5041</v>
      </c>
      <c r="B721" s="33" t="s">
        <v>2594</v>
      </c>
      <c r="C721" s="39">
        <v>46261.0</v>
      </c>
      <c r="D721" s="40">
        <v>6083.91</v>
      </c>
      <c r="E721" s="33" t="s">
        <v>180</v>
      </c>
    </row>
    <row r="722" ht="15.75" customHeight="1">
      <c r="A722" s="33" t="s">
        <v>5042</v>
      </c>
      <c r="B722" s="33" t="s">
        <v>3934</v>
      </c>
      <c r="C722" s="39">
        <v>46199.0</v>
      </c>
      <c r="D722" s="40">
        <v>3725.91</v>
      </c>
      <c r="E722" s="33" t="s">
        <v>180</v>
      </c>
    </row>
    <row r="723" ht="15.75" customHeight="1">
      <c r="A723" s="33" t="s">
        <v>5045</v>
      </c>
      <c r="B723" s="33" t="s">
        <v>1430</v>
      </c>
      <c r="C723" s="39">
        <v>46048.0</v>
      </c>
      <c r="D723" s="40">
        <v>1395.29</v>
      </c>
      <c r="E723" s="33" t="s">
        <v>180</v>
      </c>
    </row>
    <row r="724" ht="15.75" customHeight="1">
      <c r="A724" s="33" t="s">
        <v>5046</v>
      </c>
      <c r="B724" s="33" t="s">
        <v>728</v>
      </c>
      <c r="C724" s="39">
        <v>46169.0</v>
      </c>
      <c r="D724" s="40">
        <v>1519.76</v>
      </c>
      <c r="E724" s="33" t="s">
        <v>180</v>
      </c>
    </row>
    <row r="725" ht="15.75" customHeight="1">
      <c r="A725" s="33" t="s">
        <v>5049</v>
      </c>
      <c r="B725" s="33" t="s">
        <v>458</v>
      </c>
      <c r="C725" s="39">
        <v>46242.0</v>
      </c>
      <c r="D725" s="40">
        <v>6348.61</v>
      </c>
      <c r="E725" s="33" t="s">
        <v>180</v>
      </c>
    </row>
    <row r="726" ht="15.75" customHeight="1">
      <c r="A726" s="33" t="s">
        <v>5051</v>
      </c>
      <c r="B726" s="33" t="s">
        <v>1527</v>
      </c>
      <c r="C726" s="39">
        <v>46203.0</v>
      </c>
      <c r="D726" s="40">
        <v>1697.62</v>
      </c>
      <c r="E726" s="33" t="s">
        <v>180</v>
      </c>
    </row>
    <row r="727" ht="15.75" customHeight="1">
      <c r="A727" s="33" t="s">
        <v>5053</v>
      </c>
      <c r="B727" s="33" t="s">
        <v>2953</v>
      </c>
      <c r="C727" s="39">
        <v>46076.0</v>
      </c>
      <c r="D727" s="40">
        <v>1273.31</v>
      </c>
      <c r="E727" s="33" t="s">
        <v>180</v>
      </c>
    </row>
    <row r="728" ht="15.75" customHeight="1">
      <c r="A728" s="33" t="s">
        <v>5055</v>
      </c>
      <c r="B728" s="33" t="s">
        <v>781</v>
      </c>
      <c r="C728" s="39">
        <v>46210.0</v>
      </c>
      <c r="D728" s="40">
        <v>900.26</v>
      </c>
      <c r="E728" s="33" t="s">
        <v>180</v>
      </c>
    </row>
    <row r="729" ht="15.75" customHeight="1">
      <c r="A729" s="33" t="s">
        <v>5058</v>
      </c>
      <c r="B729" s="33" t="s">
        <v>2286</v>
      </c>
      <c r="C729" s="39">
        <v>46037.0</v>
      </c>
      <c r="D729" s="40">
        <v>1940.86</v>
      </c>
      <c r="E729" s="33" t="s">
        <v>180</v>
      </c>
    </row>
    <row r="730" ht="15.75" customHeight="1">
      <c r="A730" s="33" t="s">
        <v>5059</v>
      </c>
      <c r="B730" s="33" t="s">
        <v>2276</v>
      </c>
      <c r="C730" s="39">
        <v>46251.0</v>
      </c>
      <c r="D730" s="40">
        <v>1213.6</v>
      </c>
      <c r="E730" s="33" t="s">
        <v>180</v>
      </c>
    </row>
    <row r="731" ht="15.75" customHeight="1">
      <c r="A731" s="33" t="s">
        <v>5062</v>
      </c>
      <c r="B731" s="33" t="s">
        <v>1340</v>
      </c>
      <c r="C731" s="39">
        <v>46172.0</v>
      </c>
      <c r="D731" s="40">
        <v>1884.97</v>
      </c>
      <c r="E731" s="33" t="s">
        <v>180</v>
      </c>
    </row>
    <row r="732" ht="15.75" customHeight="1">
      <c r="A732" s="33" t="s">
        <v>5064</v>
      </c>
      <c r="B732" s="33" t="s">
        <v>3134</v>
      </c>
      <c r="C732" s="39">
        <v>46251.0</v>
      </c>
      <c r="D732" s="40">
        <v>2253.82</v>
      </c>
      <c r="E732" s="33" t="s">
        <v>180</v>
      </c>
    </row>
    <row r="733" ht="15.75" customHeight="1">
      <c r="A733" s="33" t="s">
        <v>5065</v>
      </c>
      <c r="B733" s="33" t="s">
        <v>1651</v>
      </c>
      <c r="C733" s="39">
        <v>46256.0</v>
      </c>
      <c r="D733" s="40">
        <v>4027.75</v>
      </c>
      <c r="E733" s="33" t="s">
        <v>180</v>
      </c>
    </row>
    <row r="734" ht="15.75" customHeight="1">
      <c r="A734" s="33" t="s">
        <v>5068</v>
      </c>
      <c r="B734" s="33" t="s">
        <v>4325</v>
      </c>
      <c r="C734" s="39">
        <v>46169.0</v>
      </c>
      <c r="D734" s="40">
        <v>1498.27</v>
      </c>
      <c r="E734" s="33" t="s">
        <v>180</v>
      </c>
    </row>
    <row r="735" ht="15.75" customHeight="1">
      <c r="A735" s="33" t="s">
        <v>5071</v>
      </c>
      <c r="B735" s="33" t="s">
        <v>2199</v>
      </c>
      <c r="C735" s="39">
        <v>46258.0</v>
      </c>
      <c r="D735" s="40">
        <v>247.6</v>
      </c>
      <c r="E735" s="33" t="s">
        <v>180</v>
      </c>
    </row>
    <row r="736" ht="15.75" customHeight="1">
      <c r="A736" s="33" t="s">
        <v>5074</v>
      </c>
      <c r="B736" s="33" t="s">
        <v>2529</v>
      </c>
      <c r="C736" s="39">
        <v>46254.0</v>
      </c>
      <c r="D736" s="40">
        <v>1442.27</v>
      </c>
      <c r="E736" s="33" t="s">
        <v>180</v>
      </c>
    </row>
    <row r="737" ht="15.75" customHeight="1">
      <c r="A737" s="33" t="s">
        <v>5075</v>
      </c>
      <c r="B737" s="33" t="s">
        <v>3547</v>
      </c>
      <c r="C737" s="39">
        <v>46142.0</v>
      </c>
      <c r="D737" s="40">
        <v>1456.7</v>
      </c>
      <c r="E737" s="33" t="s">
        <v>330</v>
      </c>
    </row>
    <row r="738" ht="15.75" customHeight="1">
      <c r="A738" s="33" t="s">
        <v>5076</v>
      </c>
      <c r="B738" s="33" t="s">
        <v>2752</v>
      </c>
      <c r="C738" s="39">
        <v>46232.0</v>
      </c>
      <c r="D738" s="40">
        <v>1370.54</v>
      </c>
      <c r="E738" s="33" t="s">
        <v>180</v>
      </c>
    </row>
    <row r="739" ht="15.75" customHeight="1">
      <c r="A739" s="33" t="s">
        <v>5078</v>
      </c>
      <c r="B739" s="33" t="s">
        <v>1727</v>
      </c>
      <c r="C739" s="39">
        <v>46246.0</v>
      </c>
      <c r="D739" s="40">
        <v>1645.53</v>
      </c>
      <c r="E739" s="33" t="s">
        <v>180</v>
      </c>
    </row>
    <row r="740" ht="15.75" customHeight="1">
      <c r="A740" s="33" t="s">
        <v>5080</v>
      </c>
      <c r="B740" s="33" t="s">
        <v>969</v>
      </c>
      <c r="C740" s="39">
        <v>45836.0</v>
      </c>
      <c r="D740" s="40">
        <v>351.84</v>
      </c>
      <c r="E740" s="33" t="s">
        <v>180</v>
      </c>
    </row>
    <row r="741" ht="15.75" customHeight="1">
      <c r="A741" s="33" t="s">
        <v>5082</v>
      </c>
      <c r="B741" s="33" t="s">
        <v>1103</v>
      </c>
      <c r="C741" s="39">
        <v>45968.0</v>
      </c>
      <c r="D741" s="40">
        <v>693.41</v>
      </c>
      <c r="E741" s="33" t="s">
        <v>180</v>
      </c>
    </row>
    <row r="742" ht="15.75" customHeight="1">
      <c r="A742" s="33" t="s">
        <v>5085</v>
      </c>
      <c r="B742" s="33" t="s">
        <v>1113</v>
      </c>
      <c r="C742" s="39">
        <v>46024.0</v>
      </c>
      <c r="D742" s="40">
        <v>1325.08</v>
      </c>
      <c r="E742" s="33" t="s">
        <v>330</v>
      </c>
    </row>
    <row r="743" ht="15.75" customHeight="1">
      <c r="A743" s="33" t="s">
        <v>5086</v>
      </c>
      <c r="B743" s="33" t="s">
        <v>1541</v>
      </c>
      <c r="C743" s="39">
        <v>45982.0</v>
      </c>
      <c r="D743" s="40">
        <v>3111.96</v>
      </c>
      <c r="E743" s="33" t="s">
        <v>180</v>
      </c>
    </row>
    <row r="744" ht="15.75" customHeight="1">
      <c r="A744" s="33" t="s">
        <v>5088</v>
      </c>
      <c r="B744" s="33" t="s">
        <v>2283</v>
      </c>
      <c r="C744" s="39">
        <v>46102.0</v>
      </c>
      <c r="D744" s="40">
        <v>1725.52</v>
      </c>
      <c r="E744" s="33" t="s">
        <v>180</v>
      </c>
    </row>
    <row r="745" ht="15.75" customHeight="1">
      <c r="A745" s="33" t="s">
        <v>5090</v>
      </c>
      <c r="B745" s="33" t="s">
        <v>1311</v>
      </c>
      <c r="C745" s="39">
        <v>46117.0</v>
      </c>
      <c r="D745" s="40">
        <v>2506.39</v>
      </c>
      <c r="E745" s="33" t="s">
        <v>180</v>
      </c>
    </row>
    <row r="746" ht="15.75" customHeight="1">
      <c r="A746" s="33" t="s">
        <v>5092</v>
      </c>
      <c r="B746" s="33" t="s">
        <v>689</v>
      </c>
      <c r="C746" s="39">
        <v>46099.0</v>
      </c>
      <c r="D746" s="40">
        <v>613.13</v>
      </c>
      <c r="E746" s="33" t="s">
        <v>180</v>
      </c>
    </row>
    <row r="747" ht="15.75" customHeight="1">
      <c r="A747" s="33" t="s">
        <v>5094</v>
      </c>
      <c r="B747" s="33" t="s">
        <v>3203</v>
      </c>
      <c r="C747" s="39">
        <v>46148.0</v>
      </c>
      <c r="D747" s="40">
        <v>989.85</v>
      </c>
      <c r="E747" s="33" t="s">
        <v>180</v>
      </c>
    </row>
    <row r="748" ht="15.75" customHeight="1">
      <c r="A748" s="33" t="s">
        <v>5096</v>
      </c>
      <c r="B748" s="33" t="s">
        <v>2317</v>
      </c>
      <c r="C748" s="39">
        <v>46200.0</v>
      </c>
      <c r="D748" s="40">
        <v>63.69</v>
      </c>
      <c r="E748" s="33" t="s">
        <v>180</v>
      </c>
    </row>
    <row r="749" ht="15.75" customHeight="1">
      <c r="A749" s="33" t="s">
        <v>5098</v>
      </c>
      <c r="B749" s="33" t="s">
        <v>3535</v>
      </c>
      <c r="C749" s="39">
        <v>46009.0</v>
      </c>
      <c r="D749" s="40">
        <v>303.23</v>
      </c>
      <c r="E749" s="33" t="s">
        <v>180</v>
      </c>
    </row>
    <row r="750" ht="15.75" customHeight="1">
      <c r="A750" s="33" t="s">
        <v>5100</v>
      </c>
      <c r="B750" s="33" t="s">
        <v>3440</v>
      </c>
      <c r="C750" s="39">
        <v>46062.0</v>
      </c>
      <c r="D750" s="40">
        <v>5727.43</v>
      </c>
      <c r="E750" s="33" t="s">
        <v>180</v>
      </c>
    </row>
    <row r="751" ht="15.75" customHeight="1">
      <c r="A751" s="33" t="s">
        <v>5102</v>
      </c>
      <c r="B751" s="33" t="s">
        <v>1437</v>
      </c>
      <c r="C751" s="39">
        <v>45989.0</v>
      </c>
      <c r="D751" s="40">
        <v>578.29</v>
      </c>
      <c r="E751" s="33" t="s">
        <v>180</v>
      </c>
    </row>
    <row r="752" ht="15.75" customHeight="1">
      <c r="A752" s="33" t="s">
        <v>5103</v>
      </c>
      <c r="B752" s="33" t="s">
        <v>1557</v>
      </c>
      <c r="C752" s="39">
        <v>46054.0</v>
      </c>
      <c r="D752" s="40">
        <v>806.22</v>
      </c>
      <c r="E752" s="33" t="s">
        <v>180</v>
      </c>
    </row>
    <row r="753" ht="15.75" customHeight="1">
      <c r="A753" s="33" t="s">
        <v>5105</v>
      </c>
      <c r="B753" s="33" t="s">
        <v>281</v>
      </c>
      <c r="C753" s="39">
        <v>45840.0</v>
      </c>
      <c r="D753" s="40">
        <v>960.8</v>
      </c>
      <c r="E753" s="33" t="s">
        <v>180</v>
      </c>
    </row>
    <row r="754" ht="15.75" customHeight="1">
      <c r="A754" s="33" t="s">
        <v>5107</v>
      </c>
      <c r="B754" s="33" t="s">
        <v>1342</v>
      </c>
      <c r="C754" s="39">
        <v>46242.0</v>
      </c>
      <c r="D754" s="40">
        <v>4655.92</v>
      </c>
      <c r="E754" s="33" t="s">
        <v>180</v>
      </c>
    </row>
    <row r="755" ht="15.75" customHeight="1">
      <c r="A755" s="33" t="s">
        <v>5109</v>
      </c>
      <c r="B755" s="33" t="s">
        <v>2107</v>
      </c>
      <c r="C755" s="39">
        <v>46170.0</v>
      </c>
      <c r="D755" s="40">
        <v>597.8</v>
      </c>
      <c r="E755" s="33" t="s">
        <v>180</v>
      </c>
    </row>
    <row r="756" ht="15.75" customHeight="1">
      <c r="A756" s="33" t="s">
        <v>5111</v>
      </c>
      <c r="B756" s="33" t="s">
        <v>2957</v>
      </c>
      <c r="C756" s="39">
        <v>46023.0</v>
      </c>
      <c r="D756" s="40">
        <v>1560.49</v>
      </c>
      <c r="E756" s="33" t="s">
        <v>180</v>
      </c>
    </row>
    <row r="757" ht="15.75" customHeight="1">
      <c r="A757" s="33" t="s">
        <v>5112</v>
      </c>
      <c r="B757" s="33" t="s">
        <v>534</v>
      </c>
      <c r="C757" s="39">
        <v>46112.0</v>
      </c>
      <c r="D757" s="40">
        <v>1022.41</v>
      </c>
      <c r="E757" s="33" t="s">
        <v>180</v>
      </c>
    </row>
    <row r="758" ht="15.75" customHeight="1">
      <c r="A758" s="33" t="s">
        <v>5115</v>
      </c>
      <c r="B758" s="33" t="s">
        <v>1116</v>
      </c>
      <c r="C758" s="39">
        <v>46100.0</v>
      </c>
      <c r="D758" s="40">
        <v>1205.61</v>
      </c>
      <c r="E758" s="33" t="s">
        <v>180</v>
      </c>
    </row>
    <row r="759" ht="15.75" customHeight="1">
      <c r="A759" s="33" t="s">
        <v>5117</v>
      </c>
      <c r="B759" s="33" t="s">
        <v>1077</v>
      </c>
      <c r="C759" s="39">
        <v>45969.0</v>
      </c>
      <c r="D759" s="40">
        <v>478.81</v>
      </c>
      <c r="E759" s="33" t="s">
        <v>330</v>
      </c>
    </row>
    <row r="760" ht="15.75" customHeight="1">
      <c r="A760" s="33" t="s">
        <v>5119</v>
      </c>
      <c r="B760" s="33" t="s">
        <v>434</v>
      </c>
      <c r="C760" s="39">
        <v>46092.0</v>
      </c>
      <c r="D760" s="40">
        <v>1047.6</v>
      </c>
      <c r="E760" s="33" t="s">
        <v>180</v>
      </c>
    </row>
    <row r="761" ht="15.75" customHeight="1">
      <c r="A761" s="33" t="s">
        <v>5122</v>
      </c>
      <c r="B761" s="33" t="s">
        <v>1690</v>
      </c>
      <c r="C761" s="39">
        <v>46156.0</v>
      </c>
      <c r="D761" s="40">
        <v>2628.7</v>
      </c>
      <c r="E761" s="33" t="s">
        <v>180</v>
      </c>
    </row>
    <row r="762" ht="15.75" customHeight="1">
      <c r="A762" s="33" t="s">
        <v>5123</v>
      </c>
      <c r="B762" s="33" t="s">
        <v>2876</v>
      </c>
      <c r="C762" s="39">
        <v>46038.0</v>
      </c>
      <c r="D762" s="40">
        <v>1548.45</v>
      </c>
      <c r="E762" s="33" t="s">
        <v>180</v>
      </c>
    </row>
    <row r="763" ht="15.75" customHeight="1">
      <c r="A763" s="33" t="s">
        <v>5126</v>
      </c>
      <c r="B763" s="33" t="s">
        <v>3714</v>
      </c>
      <c r="C763" s="39">
        <v>46248.0</v>
      </c>
      <c r="D763" s="40">
        <v>2197.26</v>
      </c>
      <c r="E763" s="33" t="s">
        <v>180</v>
      </c>
    </row>
    <row r="764" ht="15.75" customHeight="1">
      <c r="A764" s="33" t="s">
        <v>5127</v>
      </c>
      <c r="B764" s="33" t="s">
        <v>4529</v>
      </c>
      <c r="C764" s="39">
        <v>46205.0</v>
      </c>
      <c r="D764" s="40">
        <v>659.8</v>
      </c>
      <c r="E764" s="33" t="s">
        <v>180</v>
      </c>
    </row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14.0"/>
    <col customWidth="1" min="3" max="3" width="21.0"/>
    <col customWidth="1" min="4" max="4" width="13.0"/>
    <col customWidth="1" min="5" max="26" width="8.71"/>
  </cols>
  <sheetData>
    <row r="1">
      <c r="A1" s="38" t="s">
        <v>4576</v>
      </c>
      <c r="B1" s="38" t="s">
        <v>4577</v>
      </c>
      <c r="C1" s="38" t="s">
        <v>4580</v>
      </c>
      <c r="D1" s="38" t="s">
        <v>4582</v>
      </c>
    </row>
    <row r="2">
      <c r="A2" s="39">
        <v>45658.0</v>
      </c>
      <c r="B2" s="33" t="s">
        <v>197</v>
      </c>
      <c r="C2" s="33" t="s">
        <v>4586</v>
      </c>
      <c r="D2" s="40">
        <v>134648.83</v>
      </c>
    </row>
    <row r="3">
      <c r="A3" s="39">
        <v>45658.0</v>
      </c>
      <c r="B3" s="33" t="s">
        <v>197</v>
      </c>
      <c r="C3" s="33" t="s">
        <v>4590</v>
      </c>
      <c r="D3" s="40">
        <v>120686.94</v>
      </c>
    </row>
    <row r="4">
      <c r="A4" s="39">
        <v>45658.0</v>
      </c>
      <c r="B4" s="33" t="s">
        <v>197</v>
      </c>
      <c r="C4" s="33" t="s">
        <v>4592</v>
      </c>
      <c r="D4" s="40">
        <v>126227.8</v>
      </c>
    </row>
    <row r="5">
      <c r="A5" s="39">
        <v>45658.0</v>
      </c>
      <c r="B5" s="33" t="s">
        <v>243</v>
      </c>
      <c r="C5" s="33" t="s">
        <v>4595</v>
      </c>
      <c r="D5" s="40">
        <v>66552.73</v>
      </c>
    </row>
    <row r="6">
      <c r="A6" s="39">
        <v>45658.0</v>
      </c>
      <c r="B6" s="33" t="s">
        <v>243</v>
      </c>
      <c r="C6" s="33" t="s">
        <v>4597</v>
      </c>
      <c r="D6" s="40">
        <v>67716.68</v>
      </c>
    </row>
    <row r="7">
      <c r="A7" s="39">
        <v>45658.0</v>
      </c>
      <c r="B7" s="33" t="s">
        <v>40</v>
      </c>
      <c r="C7" s="33" t="s">
        <v>4600</v>
      </c>
      <c r="D7" s="40">
        <v>53868.6</v>
      </c>
    </row>
    <row r="8">
      <c r="A8" s="39">
        <v>45689.0</v>
      </c>
      <c r="B8" s="33" t="s">
        <v>197</v>
      </c>
      <c r="C8" s="33" t="s">
        <v>4586</v>
      </c>
      <c r="D8" s="40">
        <v>134594.57</v>
      </c>
    </row>
    <row r="9">
      <c r="A9" s="39">
        <v>45689.0</v>
      </c>
      <c r="B9" s="33" t="s">
        <v>197</v>
      </c>
      <c r="C9" s="33" t="s">
        <v>4590</v>
      </c>
      <c r="D9" s="40">
        <v>133252.86</v>
      </c>
    </row>
    <row r="10">
      <c r="A10" s="39">
        <v>45689.0</v>
      </c>
      <c r="B10" s="33" t="s">
        <v>197</v>
      </c>
      <c r="C10" s="33" t="s">
        <v>4592</v>
      </c>
      <c r="D10" s="40">
        <v>147340.38</v>
      </c>
    </row>
    <row r="11">
      <c r="A11" s="39">
        <v>45689.0</v>
      </c>
      <c r="B11" s="33" t="s">
        <v>243</v>
      </c>
      <c r="C11" s="33" t="s">
        <v>4595</v>
      </c>
      <c r="D11" s="40">
        <v>74457.26</v>
      </c>
    </row>
    <row r="12">
      <c r="A12" s="39">
        <v>45689.0</v>
      </c>
      <c r="B12" s="33" t="s">
        <v>243</v>
      </c>
      <c r="C12" s="33" t="s">
        <v>4597</v>
      </c>
      <c r="D12" s="40">
        <v>69581.6</v>
      </c>
    </row>
    <row r="13">
      <c r="A13" s="39">
        <v>45689.0</v>
      </c>
      <c r="B13" s="33" t="s">
        <v>40</v>
      </c>
      <c r="C13" s="33" t="s">
        <v>4600</v>
      </c>
      <c r="D13" s="40">
        <v>67990.03</v>
      </c>
    </row>
    <row r="14">
      <c r="A14" s="39">
        <v>45717.0</v>
      </c>
      <c r="B14" s="33" t="s">
        <v>197</v>
      </c>
      <c r="C14" s="33" t="s">
        <v>4586</v>
      </c>
      <c r="D14" s="40">
        <v>141629.94</v>
      </c>
    </row>
    <row r="15">
      <c r="A15" s="39">
        <v>45717.0</v>
      </c>
      <c r="B15" s="33" t="s">
        <v>197</v>
      </c>
      <c r="C15" s="33" t="s">
        <v>4590</v>
      </c>
      <c r="D15" s="40">
        <v>139689.86</v>
      </c>
    </row>
    <row r="16">
      <c r="A16" s="39">
        <v>45717.0</v>
      </c>
      <c r="B16" s="33" t="s">
        <v>197</v>
      </c>
      <c r="C16" s="33" t="s">
        <v>4592</v>
      </c>
      <c r="D16" s="40">
        <v>137436.78</v>
      </c>
    </row>
    <row r="17">
      <c r="A17" s="39">
        <v>45717.0</v>
      </c>
      <c r="B17" s="33" t="s">
        <v>243</v>
      </c>
      <c r="C17" s="33" t="s">
        <v>4595</v>
      </c>
      <c r="D17" s="40">
        <v>79187.01</v>
      </c>
    </row>
    <row r="18">
      <c r="A18" s="39">
        <v>45717.0</v>
      </c>
      <c r="B18" s="33" t="s">
        <v>243</v>
      </c>
      <c r="C18" s="33" t="s">
        <v>4597</v>
      </c>
      <c r="D18" s="40">
        <v>72788.84</v>
      </c>
    </row>
    <row r="19">
      <c r="A19" s="39">
        <v>45717.0</v>
      </c>
      <c r="B19" s="33" t="s">
        <v>40</v>
      </c>
      <c r="C19" s="33" t="s">
        <v>4600</v>
      </c>
      <c r="D19" s="40">
        <v>61660.0</v>
      </c>
    </row>
    <row r="20">
      <c r="A20" s="39">
        <v>45748.0</v>
      </c>
      <c r="B20" s="33" t="s">
        <v>197</v>
      </c>
      <c r="C20" s="33" t="s">
        <v>4586</v>
      </c>
      <c r="D20" s="40">
        <v>141187.94</v>
      </c>
    </row>
    <row r="21" ht="15.75" customHeight="1">
      <c r="A21" s="39">
        <v>45748.0</v>
      </c>
      <c r="B21" s="33" t="s">
        <v>197</v>
      </c>
      <c r="C21" s="33" t="s">
        <v>4590</v>
      </c>
      <c r="D21" s="40">
        <v>147848.81</v>
      </c>
    </row>
    <row r="22" ht="15.75" customHeight="1">
      <c r="A22" s="39">
        <v>45748.0</v>
      </c>
      <c r="B22" s="33" t="s">
        <v>197</v>
      </c>
      <c r="C22" s="33" t="s">
        <v>4592</v>
      </c>
      <c r="D22" s="40">
        <v>156634.94</v>
      </c>
    </row>
    <row r="23" ht="15.75" customHeight="1">
      <c r="A23" s="39">
        <v>45748.0</v>
      </c>
      <c r="B23" s="33" t="s">
        <v>243</v>
      </c>
      <c r="C23" s="33" t="s">
        <v>4595</v>
      </c>
      <c r="D23" s="40">
        <v>89339.21</v>
      </c>
    </row>
    <row r="24" ht="15.75" customHeight="1">
      <c r="A24" s="39">
        <v>45748.0</v>
      </c>
      <c r="B24" s="33" t="s">
        <v>243</v>
      </c>
      <c r="C24" s="33" t="s">
        <v>4597</v>
      </c>
      <c r="D24" s="40">
        <v>86305.92</v>
      </c>
    </row>
    <row r="25" ht="15.75" customHeight="1">
      <c r="A25" s="39">
        <v>45748.0</v>
      </c>
      <c r="B25" s="33" t="s">
        <v>40</v>
      </c>
      <c r="C25" s="33" t="s">
        <v>4600</v>
      </c>
      <c r="D25" s="40">
        <v>54530.58</v>
      </c>
    </row>
    <row r="26" ht="15.75" customHeight="1">
      <c r="A26" s="39">
        <v>45778.0</v>
      </c>
      <c r="B26" s="33" t="s">
        <v>197</v>
      </c>
      <c r="C26" s="33" t="s">
        <v>4586</v>
      </c>
      <c r="D26" s="40">
        <v>144937.27</v>
      </c>
    </row>
    <row r="27" ht="15.75" customHeight="1">
      <c r="A27" s="39">
        <v>45778.0</v>
      </c>
      <c r="B27" s="33" t="s">
        <v>197</v>
      </c>
      <c r="C27" s="33" t="s">
        <v>4590</v>
      </c>
      <c r="D27" s="40">
        <v>128174.27</v>
      </c>
    </row>
    <row r="28" ht="15.75" customHeight="1">
      <c r="A28" s="39">
        <v>45778.0</v>
      </c>
      <c r="B28" s="33" t="s">
        <v>197</v>
      </c>
      <c r="C28" s="33" t="s">
        <v>4592</v>
      </c>
      <c r="D28" s="40">
        <v>163268.95</v>
      </c>
    </row>
    <row r="29" ht="15.75" customHeight="1">
      <c r="A29" s="39">
        <v>45778.0</v>
      </c>
      <c r="B29" s="33" t="s">
        <v>243</v>
      </c>
      <c r="C29" s="33" t="s">
        <v>4595</v>
      </c>
      <c r="D29" s="40">
        <v>87018.72</v>
      </c>
    </row>
    <row r="30" ht="15.75" customHeight="1">
      <c r="A30" s="39">
        <v>45778.0</v>
      </c>
      <c r="B30" s="33" t="s">
        <v>243</v>
      </c>
      <c r="C30" s="33" t="s">
        <v>4597</v>
      </c>
      <c r="D30" s="40">
        <v>86829.7</v>
      </c>
    </row>
    <row r="31" ht="15.75" customHeight="1">
      <c r="A31" s="39">
        <v>45778.0</v>
      </c>
      <c r="B31" s="33" t="s">
        <v>40</v>
      </c>
      <c r="C31" s="33" t="s">
        <v>4600</v>
      </c>
      <c r="D31" s="40">
        <v>61013.63</v>
      </c>
    </row>
    <row r="32" ht="15.75" customHeight="1">
      <c r="A32" s="39">
        <v>45809.0</v>
      </c>
      <c r="B32" s="33" t="s">
        <v>197</v>
      </c>
      <c r="C32" s="33" t="s">
        <v>4586</v>
      </c>
      <c r="D32" s="40">
        <v>172913.92</v>
      </c>
    </row>
    <row r="33" ht="15.75" customHeight="1">
      <c r="A33" s="39">
        <v>45809.0</v>
      </c>
      <c r="B33" s="33" t="s">
        <v>197</v>
      </c>
      <c r="C33" s="33" t="s">
        <v>4590</v>
      </c>
      <c r="D33" s="40">
        <v>158236.01</v>
      </c>
    </row>
    <row r="34" ht="15.75" customHeight="1">
      <c r="A34" s="39">
        <v>45809.0</v>
      </c>
      <c r="B34" s="33" t="s">
        <v>197</v>
      </c>
      <c r="C34" s="33" t="s">
        <v>4592</v>
      </c>
      <c r="D34" s="40">
        <v>155508.51</v>
      </c>
    </row>
    <row r="35" ht="15.75" customHeight="1">
      <c r="A35" s="39">
        <v>45809.0</v>
      </c>
      <c r="B35" s="33" t="s">
        <v>243</v>
      </c>
      <c r="C35" s="33" t="s">
        <v>4595</v>
      </c>
      <c r="D35" s="40">
        <v>94082.35</v>
      </c>
    </row>
    <row r="36" ht="15.75" customHeight="1">
      <c r="A36" s="39">
        <v>45809.0</v>
      </c>
      <c r="B36" s="33" t="s">
        <v>243</v>
      </c>
      <c r="C36" s="33" t="s">
        <v>4597</v>
      </c>
      <c r="D36" s="40">
        <v>94657.56</v>
      </c>
    </row>
    <row r="37" ht="15.75" customHeight="1">
      <c r="A37" s="39">
        <v>45809.0</v>
      </c>
      <c r="B37" s="33" t="s">
        <v>40</v>
      </c>
      <c r="C37" s="33" t="s">
        <v>4600</v>
      </c>
      <c r="D37" s="40">
        <v>65154.71</v>
      </c>
    </row>
    <row r="38" ht="15.75" customHeight="1">
      <c r="A38" s="39">
        <v>45839.0</v>
      </c>
      <c r="B38" s="33" t="s">
        <v>197</v>
      </c>
      <c r="C38" s="33" t="s">
        <v>4586</v>
      </c>
      <c r="D38" s="40">
        <v>180677.73</v>
      </c>
    </row>
    <row r="39" ht="15.75" customHeight="1">
      <c r="A39" s="39">
        <v>45839.0</v>
      </c>
      <c r="B39" s="33" t="s">
        <v>197</v>
      </c>
      <c r="C39" s="33" t="s">
        <v>4590</v>
      </c>
      <c r="D39" s="40">
        <v>180542.16</v>
      </c>
    </row>
    <row r="40" ht="15.75" customHeight="1">
      <c r="A40" s="39">
        <v>45839.0</v>
      </c>
      <c r="B40" s="33" t="s">
        <v>197</v>
      </c>
      <c r="C40" s="33" t="s">
        <v>4592</v>
      </c>
      <c r="D40" s="40">
        <v>165255.78</v>
      </c>
    </row>
    <row r="41" ht="15.75" customHeight="1">
      <c r="A41" s="39">
        <v>45839.0</v>
      </c>
      <c r="B41" s="33" t="s">
        <v>243</v>
      </c>
      <c r="C41" s="33" t="s">
        <v>4595</v>
      </c>
      <c r="D41" s="40">
        <v>92554.89</v>
      </c>
    </row>
    <row r="42" ht="15.75" customHeight="1">
      <c r="A42" s="39">
        <v>45839.0</v>
      </c>
      <c r="B42" s="33" t="s">
        <v>243</v>
      </c>
      <c r="C42" s="33" t="s">
        <v>4597</v>
      </c>
      <c r="D42" s="40">
        <v>101330.28</v>
      </c>
    </row>
    <row r="43" ht="15.75" customHeight="1">
      <c r="A43" s="39">
        <v>45839.0</v>
      </c>
      <c r="B43" s="33" t="s">
        <v>40</v>
      </c>
      <c r="C43" s="33" t="s">
        <v>4600</v>
      </c>
      <c r="D43" s="40">
        <v>63969.12</v>
      </c>
    </row>
    <row r="44" ht="15.75" customHeight="1">
      <c r="A44" s="39">
        <v>45870.0</v>
      </c>
      <c r="B44" s="33" t="s">
        <v>197</v>
      </c>
      <c r="C44" s="33" t="s">
        <v>4586</v>
      </c>
      <c r="D44" s="40">
        <v>191077.76</v>
      </c>
    </row>
    <row r="45" ht="15.75" customHeight="1">
      <c r="A45" s="39">
        <v>45870.0</v>
      </c>
      <c r="B45" s="33" t="s">
        <v>197</v>
      </c>
      <c r="C45" s="33" t="s">
        <v>4590</v>
      </c>
      <c r="D45" s="40">
        <v>193061.24</v>
      </c>
    </row>
    <row r="46" ht="15.75" customHeight="1">
      <c r="A46" s="39">
        <v>45870.0</v>
      </c>
      <c r="B46" s="33" t="s">
        <v>197</v>
      </c>
      <c r="C46" s="33" t="s">
        <v>4592</v>
      </c>
      <c r="D46" s="40">
        <v>181337.18</v>
      </c>
    </row>
    <row r="47" ht="15.75" customHeight="1">
      <c r="A47" s="39">
        <v>45870.0</v>
      </c>
      <c r="B47" s="33" t="s">
        <v>243</v>
      </c>
      <c r="C47" s="33" t="s">
        <v>4595</v>
      </c>
      <c r="D47" s="40">
        <v>94888.76</v>
      </c>
    </row>
    <row r="48" ht="15.75" customHeight="1">
      <c r="A48" s="39">
        <v>45870.0</v>
      </c>
      <c r="B48" s="33" t="s">
        <v>243</v>
      </c>
      <c r="C48" s="33" t="s">
        <v>4597</v>
      </c>
      <c r="D48" s="40">
        <v>100738.93</v>
      </c>
    </row>
    <row r="49" ht="15.75" customHeight="1">
      <c r="A49" s="39">
        <v>45870.0</v>
      </c>
      <c r="B49" s="33" t="s">
        <v>40</v>
      </c>
      <c r="C49" s="33" t="s">
        <v>4600</v>
      </c>
      <c r="D49" s="40">
        <v>67429.23</v>
      </c>
    </row>
    <row r="50" ht="15.75" customHeight="1">
      <c r="A50" s="39">
        <v>45901.0</v>
      </c>
      <c r="B50" s="33" t="s">
        <v>197</v>
      </c>
      <c r="C50" s="33" t="s">
        <v>4586</v>
      </c>
      <c r="D50" s="40">
        <v>167009.31</v>
      </c>
    </row>
    <row r="51" ht="15.75" customHeight="1">
      <c r="A51" s="39">
        <v>45901.0</v>
      </c>
      <c r="B51" s="33" t="s">
        <v>197</v>
      </c>
      <c r="C51" s="33" t="s">
        <v>4590</v>
      </c>
      <c r="D51" s="40">
        <v>174759.93</v>
      </c>
    </row>
    <row r="52" ht="15.75" customHeight="1">
      <c r="A52" s="39">
        <v>45901.0</v>
      </c>
      <c r="B52" s="33" t="s">
        <v>197</v>
      </c>
      <c r="C52" s="33" t="s">
        <v>4592</v>
      </c>
      <c r="D52" s="40">
        <v>182480.37</v>
      </c>
    </row>
    <row r="53" ht="15.75" customHeight="1">
      <c r="A53" s="39">
        <v>45901.0</v>
      </c>
      <c r="B53" s="33" t="s">
        <v>243</v>
      </c>
      <c r="C53" s="33" t="s">
        <v>4595</v>
      </c>
      <c r="D53" s="40">
        <v>115653.5</v>
      </c>
    </row>
    <row r="54" ht="15.75" customHeight="1">
      <c r="A54" s="39">
        <v>45901.0</v>
      </c>
      <c r="B54" s="33" t="s">
        <v>243</v>
      </c>
      <c r="C54" s="33" t="s">
        <v>4597</v>
      </c>
      <c r="D54" s="40">
        <v>122443.79</v>
      </c>
    </row>
    <row r="55" ht="15.75" customHeight="1">
      <c r="A55" s="39">
        <v>45901.0</v>
      </c>
      <c r="B55" s="33" t="s">
        <v>40</v>
      </c>
      <c r="C55" s="33" t="s">
        <v>4600</v>
      </c>
      <c r="D55" s="40">
        <v>69788.12</v>
      </c>
    </row>
    <row r="56" ht="15.75" customHeight="1">
      <c r="A56" s="39">
        <v>45931.0</v>
      </c>
      <c r="B56" s="33" t="s">
        <v>197</v>
      </c>
      <c r="C56" s="33" t="s">
        <v>4586</v>
      </c>
      <c r="D56" s="40">
        <v>182678.08</v>
      </c>
    </row>
    <row r="57" ht="15.75" customHeight="1">
      <c r="A57" s="39">
        <v>45931.0</v>
      </c>
      <c r="B57" s="33" t="s">
        <v>197</v>
      </c>
      <c r="C57" s="33" t="s">
        <v>4590</v>
      </c>
      <c r="D57" s="40">
        <v>167801.31</v>
      </c>
    </row>
    <row r="58" ht="15.75" customHeight="1">
      <c r="A58" s="39">
        <v>45931.0</v>
      </c>
      <c r="B58" s="33" t="s">
        <v>197</v>
      </c>
      <c r="C58" s="33" t="s">
        <v>4592</v>
      </c>
      <c r="D58" s="40">
        <v>192431.15</v>
      </c>
    </row>
    <row r="59" ht="15.75" customHeight="1">
      <c r="A59" s="39">
        <v>45931.0</v>
      </c>
      <c r="B59" s="33" t="s">
        <v>243</v>
      </c>
      <c r="C59" s="33" t="s">
        <v>4595</v>
      </c>
      <c r="D59" s="40">
        <v>113329.37</v>
      </c>
    </row>
    <row r="60" ht="15.75" customHeight="1">
      <c r="A60" s="39">
        <v>45931.0</v>
      </c>
      <c r="B60" s="33" t="s">
        <v>243</v>
      </c>
      <c r="C60" s="33" t="s">
        <v>4597</v>
      </c>
      <c r="D60" s="40">
        <v>115642.3</v>
      </c>
    </row>
    <row r="61" ht="15.75" customHeight="1">
      <c r="A61" s="39">
        <v>45931.0</v>
      </c>
      <c r="B61" s="33" t="s">
        <v>40</v>
      </c>
      <c r="C61" s="33" t="s">
        <v>4600</v>
      </c>
      <c r="D61" s="40">
        <v>68068.4</v>
      </c>
    </row>
    <row r="62" ht="15.75" customHeight="1">
      <c r="A62" s="39">
        <v>45962.0</v>
      </c>
      <c r="B62" s="33" t="s">
        <v>197</v>
      </c>
      <c r="C62" s="33" t="s">
        <v>4586</v>
      </c>
      <c r="D62" s="40">
        <v>187177.11</v>
      </c>
    </row>
    <row r="63" ht="15.75" customHeight="1">
      <c r="A63" s="39">
        <v>45962.0</v>
      </c>
      <c r="B63" s="33" t="s">
        <v>197</v>
      </c>
      <c r="C63" s="33" t="s">
        <v>4590</v>
      </c>
      <c r="D63" s="40">
        <v>206936.0</v>
      </c>
    </row>
    <row r="64" ht="15.75" customHeight="1">
      <c r="A64" s="39">
        <v>45962.0</v>
      </c>
      <c r="B64" s="33" t="s">
        <v>197</v>
      </c>
      <c r="C64" s="33" t="s">
        <v>4592</v>
      </c>
      <c r="D64" s="40">
        <v>194747.62</v>
      </c>
    </row>
    <row r="65" ht="15.75" customHeight="1">
      <c r="A65" s="39">
        <v>45962.0</v>
      </c>
      <c r="B65" s="33" t="s">
        <v>243</v>
      </c>
      <c r="C65" s="33" t="s">
        <v>4595</v>
      </c>
      <c r="D65" s="40">
        <v>140345.65</v>
      </c>
    </row>
    <row r="66" ht="15.75" customHeight="1">
      <c r="A66" s="39">
        <v>45962.0</v>
      </c>
      <c r="B66" s="33" t="s">
        <v>243</v>
      </c>
      <c r="C66" s="33" t="s">
        <v>4597</v>
      </c>
      <c r="D66" s="40">
        <v>113468.77</v>
      </c>
    </row>
    <row r="67" ht="15.75" customHeight="1">
      <c r="A67" s="39">
        <v>45962.0</v>
      </c>
      <c r="B67" s="33" t="s">
        <v>40</v>
      </c>
      <c r="C67" s="33" t="s">
        <v>4600</v>
      </c>
      <c r="D67" s="40">
        <v>80061.13</v>
      </c>
    </row>
    <row r="68" ht="15.75" customHeight="1">
      <c r="A68" s="39">
        <v>45992.0</v>
      </c>
      <c r="B68" s="33" t="s">
        <v>197</v>
      </c>
      <c r="C68" s="33" t="s">
        <v>4586</v>
      </c>
      <c r="D68" s="40">
        <v>196342.46</v>
      </c>
    </row>
    <row r="69" ht="15.75" customHeight="1">
      <c r="A69" s="39">
        <v>45992.0</v>
      </c>
      <c r="B69" s="33" t="s">
        <v>197</v>
      </c>
      <c r="C69" s="33" t="s">
        <v>4590</v>
      </c>
      <c r="D69" s="40">
        <v>203543.44</v>
      </c>
    </row>
    <row r="70" ht="15.75" customHeight="1">
      <c r="A70" s="39">
        <v>45992.0</v>
      </c>
      <c r="B70" s="33" t="s">
        <v>197</v>
      </c>
      <c r="C70" s="33" t="s">
        <v>4592</v>
      </c>
      <c r="D70" s="40">
        <v>212583.64</v>
      </c>
    </row>
    <row r="71" ht="15.75" customHeight="1">
      <c r="A71" s="39">
        <v>45992.0</v>
      </c>
      <c r="B71" s="33" t="s">
        <v>243</v>
      </c>
      <c r="C71" s="33" t="s">
        <v>4595</v>
      </c>
      <c r="D71" s="40">
        <v>143077.33</v>
      </c>
    </row>
    <row r="72" ht="15.75" customHeight="1">
      <c r="A72" s="39">
        <v>45992.0</v>
      </c>
      <c r="B72" s="33" t="s">
        <v>243</v>
      </c>
      <c r="C72" s="33" t="s">
        <v>4597</v>
      </c>
      <c r="D72" s="40">
        <v>143496.27</v>
      </c>
    </row>
    <row r="73" ht="15.75" customHeight="1">
      <c r="A73" s="39">
        <v>45992.0</v>
      </c>
      <c r="B73" s="33" t="s">
        <v>40</v>
      </c>
      <c r="C73" s="33" t="s">
        <v>4600</v>
      </c>
      <c r="D73" s="40">
        <v>80446.35</v>
      </c>
    </row>
    <row r="74" ht="15.75" customHeight="1">
      <c r="A74" s="39">
        <v>46023.0</v>
      </c>
      <c r="B74" s="33" t="s">
        <v>197</v>
      </c>
      <c r="C74" s="33" t="s">
        <v>4586</v>
      </c>
      <c r="D74" s="40">
        <v>210083.64</v>
      </c>
    </row>
    <row r="75" ht="15.75" customHeight="1">
      <c r="A75" s="39">
        <v>46023.0</v>
      </c>
      <c r="B75" s="33" t="s">
        <v>197</v>
      </c>
      <c r="C75" s="33" t="s">
        <v>4590</v>
      </c>
      <c r="D75" s="40">
        <v>244812.16</v>
      </c>
    </row>
    <row r="76" ht="15.75" customHeight="1">
      <c r="A76" s="39">
        <v>46023.0</v>
      </c>
      <c r="B76" s="33" t="s">
        <v>197</v>
      </c>
      <c r="C76" s="33" t="s">
        <v>4592</v>
      </c>
      <c r="D76" s="40">
        <v>224229.87</v>
      </c>
    </row>
    <row r="77" ht="15.75" customHeight="1">
      <c r="A77" s="39">
        <v>46023.0</v>
      </c>
      <c r="B77" s="33" t="s">
        <v>243</v>
      </c>
      <c r="C77" s="33" t="s">
        <v>4595</v>
      </c>
      <c r="D77" s="40">
        <v>106941.66</v>
      </c>
    </row>
    <row r="78" ht="15.75" customHeight="1">
      <c r="A78" s="39">
        <v>46023.0</v>
      </c>
      <c r="B78" s="33" t="s">
        <v>243</v>
      </c>
      <c r="C78" s="33" t="s">
        <v>4597</v>
      </c>
      <c r="D78" s="40">
        <v>140768.93</v>
      </c>
    </row>
    <row r="79" ht="15.75" customHeight="1">
      <c r="A79" s="39">
        <v>46023.0</v>
      </c>
      <c r="B79" s="33" t="s">
        <v>40</v>
      </c>
      <c r="C79" s="33" t="s">
        <v>4600</v>
      </c>
      <c r="D79" s="40">
        <v>73528.01</v>
      </c>
    </row>
    <row r="80" ht="15.75" customHeight="1">
      <c r="A80" s="39">
        <v>46054.0</v>
      </c>
      <c r="B80" s="33" t="s">
        <v>197</v>
      </c>
      <c r="C80" s="33" t="s">
        <v>4586</v>
      </c>
      <c r="D80" s="40">
        <v>218127.62</v>
      </c>
    </row>
    <row r="81" ht="15.75" customHeight="1">
      <c r="A81" s="39">
        <v>46054.0</v>
      </c>
      <c r="B81" s="33" t="s">
        <v>197</v>
      </c>
      <c r="C81" s="33" t="s">
        <v>4590</v>
      </c>
      <c r="D81" s="40">
        <v>235186.41</v>
      </c>
    </row>
    <row r="82" ht="15.75" customHeight="1">
      <c r="A82" s="39">
        <v>46054.0</v>
      </c>
      <c r="B82" s="33" t="s">
        <v>197</v>
      </c>
      <c r="C82" s="33" t="s">
        <v>4592</v>
      </c>
      <c r="D82" s="40">
        <v>229268.87</v>
      </c>
    </row>
    <row r="83" ht="15.75" customHeight="1">
      <c r="A83" s="39">
        <v>46054.0</v>
      </c>
      <c r="B83" s="33" t="s">
        <v>243</v>
      </c>
      <c r="C83" s="33" t="s">
        <v>4595</v>
      </c>
      <c r="D83" s="40">
        <v>140748.74</v>
      </c>
    </row>
    <row r="84" ht="15.75" customHeight="1">
      <c r="A84" s="39">
        <v>46054.0</v>
      </c>
      <c r="B84" s="33" t="s">
        <v>243</v>
      </c>
      <c r="C84" s="33" t="s">
        <v>4597</v>
      </c>
      <c r="D84" s="40">
        <v>166779.93</v>
      </c>
    </row>
    <row r="85" ht="15.75" customHeight="1">
      <c r="A85" s="39">
        <v>46054.0</v>
      </c>
      <c r="B85" s="33" t="s">
        <v>40</v>
      </c>
      <c r="C85" s="33" t="s">
        <v>4600</v>
      </c>
      <c r="D85" s="40">
        <v>69388.43</v>
      </c>
    </row>
    <row r="86" ht="15.75" customHeight="1">
      <c r="A86" s="39">
        <v>46082.0</v>
      </c>
      <c r="B86" s="33" t="s">
        <v>197</v>
      </c>
      <c r="C86" s="33" t="s">
        <v>4586</v>
      </c>
      <c r="D86" s="40">
        <v>208444.84</v>
      </c>
    </row>
    <row r="87" ht="15.75" customHeight="1">
      <c r="A87" s="39">
        <v>46082.0</v>
      </c>
      <c r="B87" s="33" t="s">
        <v>197</v>
      </c>
      <c r="C87" s="33" t="s">
        <v>4590</v>
      </c>
      <c r="D87" s="40">
        <v>213447.45</v>
      </c>
    </row>
    <row r="88" ht="15.75" customHeight="1">
      <c r="A88" s="39">
        <v>46082.0</v>
      </c>
      <c r="B88" s="33" t="s">
        <v>197</v>
      </c>
      <c r="C88" s="33" t="s">
        <v>4592</v>
      </c>
      <c r="D88" s="40">
        <v>242166.75</v>
      </c>
    </row>
    <row r="89" ht="15.75" customHeight="1">
      <c r="A89" s="39">
        <v>46082.0</v>
      </c>
      <c r="B89" s="33" t="s">
        <v>243</v>
      </c>
      <c r="C89" s="33" t="s">
        <v>4595</v>
      </c>
      <c r="D89" s="40">
        <v>162408.41</v>
      </c>
    </row>
    <row r="90" ht="15.75" customHeight="1">
      <c r="A90" s="39">
        <v>46082.0</v>
      </c>
      <c r="B90" s="33" t="s">
        <v>243</v>
      </c>
      <c r="C90" s="33" t="s">
        <v>4597</v>
      </c>
      <c r="D90" s="40">
        <v>147471.75</v>
      </c>
    </row>
    <row r="91" ht="15.75" customHeight="1">
      <c r="A91" s="39">
        <v>46082.0</v>
      </c>
      <c r="B91" s="33" t="s">
        <v>40</v>
      </c>
      <c r="C91" s="33" t="s">
        <v>4600</v>
      </c>
      <c r="D91" s="40">
        <v>75145.79</v>
      </c>
    </row>
    <row r="92" ht="15.75" customHeight="1">
      <c r="A92" s="39">
        <v>46113.0</v>
      </c>
      <c r="B92" s="33" t="s">
        <v>197</v>
      </c>
      <c r="C92" s="33" t="s">
        <v>4586</v>
      </c>
      <c r="D92" s="40">
        <v>244271.1</v>
      </c>
    </row>
    <row r="93" ht="15.75" customHeight="1">
      <c r="A93" s="39">
        <v>46113.0</v>
      </c>
      <c r="B93" s="33" t="s">
        <v>197</v>
      </c>
      <c r="C93" s="33" t="s">
        <v>4590</v>
      </c>
      <c r="D93" s="40">
        <v>223397.19</v>
      </c>
    </row>
    <row r="94" ht="15.75" customHeight="1">
      <c r="A94" s="39">
        <v>46113.0</v>
      </c>
      <c r="B94" s="33" t="s">
        <v>197</v>
      </c>
      <c r="C94" s="33" t="s">
        <v>4592</v>
      </c>
      <c r="D94" s="40">
        <v>260013.51</v>
      </c>
    </row>
    <row r="95" ht="15.75" customHeight="1">
      <c r="A95" s="39">
        <v>46113.0</v>
      </c>
      <c r="B95" s="33" t="s">
        <v>243</v>
      </c>
      <c r="C95" s="33" t="s">
        <v>4595</v>
      </c>
      <c r="D95" s="40">
        <v>188242.82</v>
      </c>
    </row>
    <row r="96" ht="15.75" customHeight="1">
      <c r="A96" s="39">
        <v>46113.0</v>
      </c>
      <c r="B96" s="33" t="s">
        <v>243</v>
      </c>
      <c r="C96" s="33" t="s">
        <v>4597</v>
      </c>
      <c r="D96" s="40">
        <v>164839.84</v>
      </c>
    </row>
    <row r="97" ht="15.75" customHeight="1">
      <c r="A97" s="39">
        <v>46113.0</v>
      </c>
      <c r="B97" s="33" t="s">
        <v>40</v>
      </c>
      <c r="C97" s="33" t="s">
        <v>4600</v>
      </c>
      <c r="D97" s="40">
        <v>82733.75</v>
      </c>
    </row>
    <row r="98" ht="15.75" customHeight="1">
      <c r="A98" s="39">
        <v>46143.0</v>
      </c>
      <c r="B98" s="33" t="s">
        <v>197</v>
      </c>
      <c r="C98" s="33" t="s">
        <v>4586</v>
      </c>
      <c r="D98" s="40">
        <v>257572.9</v>
      </c>
    </row>
    <row r="99" ht="15.75" customHeight="1">
      <c r="A99" s="39">
        <v>46143.0</v>
      </c>
      <c r="B99" s="33" t="s">
        <v>197</v>
      </c>
      <c r="C99" s="33" t="s">
        <v>4590</v>
      </c>
      <c r="D99" s="40">
        <v>283374.31</v>
      </c>
    </row>
    <row r="100" ht="15.75" customHeight="1">
      <c r="A100" s="39">
        <v>46143.0</v>
      </c>
      <c r="B100" s="33" t="s">
        <v>197</v>
      </c>
      <c r="C100" s="33" t="s">
        <v>4592</v>
      </c>
      <c r="D100" s="40">
        <v>295126.33</v>
      </c>
    </row>
    <row r="101" ht="15.75" customHeight="1">
      <c r="A101" s="39">
        <v>46143.0</v>
      </c>
      <c r="B101" s="33" t="s">
        <v>243</v>
      </c>
      <c r="C101" s="33" t="s">
        <v>4595</v>
      </c>
      <c r="D101" s="40">
        <v>172170.97</v>
      </c>
    </row>
    <row r="102" ht="15.75" customHeight="1">
      <c r="A102" s="39">
        <v>46143.0</v>
      </c>
      <c r="B102" s="33" t="s">
        <v>243</v>
      </c>
      <c r="C102" s="33" t="s">
        <v>4597</v>
      </c>
      <c r="D102" s="40">
        <v>177718.81</v>
      </c>
    </row>
    <row r="103" ht="15.75" customHeight="1">
      <c r="A103" s="39">
        <v>46143.0</v>
      </c>
      <c r="B103" s="33" t="s">
        <v>40</v>
      </c>
      <c r="C103" s="33" t="s">
        <v>4600</v>
      </c>
      <c r="D103" s="40">
        <v>87760.27</v>
      </c>
    </row>
    <row r="104" ht="15.75" customHeight="1">
      <c r="A104" s="39">
        <v>46174.0</v>
      </c>
      <c r="B104" s="33" t="s">
        <v>197</v>
      </c>
      <c r="C104" s="33" t="s">
        <v>4586</v>
      </c>
      <c r="D104" s="40">
        <v>274231.18</v>
      </c>
    </row>
    <row r="105" ht="15.75" customHeight="1">
      <c r="A105" s="39">
        <v>46174.0</v>
      </c>
      <c r="B105" s="33" t="s">
        <v>197</v>
      </c>
      <c r="C105" s="33" t="s">
        <v>4590</v>
      </c>
      <c r="D105" s="40">
        <v>247318.68</v>
      </c>
    </row>
    <row r="106" ht="15.75" customHeight="1">
      <c r="A106" s="39">
        <v>46174.0</v>
      </c>
      <c r="B106" s="33" t="s">
        <v>197</v>
      </c>
      <c r="C106" s="33" t="s">
        <v>4592</v>
      </c>
      <c r="D106" s="40">
        <v>228102.56</v>
      </c>
    </row>
    <row r="107" ht="15.75" customHeight="1">
      <c r="A107" s="39">
        <v>46174.0</v>
      </c>
      <c r="B107" s="33" t="s">
        <v>243</v>
      </c>
      <c r="C107" s="33" t="s">
        <v>4595</v>
      </c>
      <c r="D107" s="40">
        <v>178889.57</v>
      </c>
    </row>
    <row r="108" ht="15.75" customHeight="1">
      <c r="A108" s="39">
        <v>46174.0</v>
      </c>
      <c r="B108" s="33" t="s">
        <v>243</v>
      </c>
      <c r="C108" s="33" t="s">
        <v>4597</v>
      </c>
      <c r="D108" s="40">
        <v>192840.65</v>
      </c>
    </row>
    <row r="109" ht="15.75" customHeight="1">
      <c r="A109" s="39">
        <v>46174.0</v>
      </c>
      <c r="B109" s="33" t="s">
        <v>40</v>
      </c>
      <c r="C109" s="33" t="s">
        <v>4600</v>
      </c>
      <c r="D109" s="40">
        <v>81099.63</v>
      </c>
    </row>
    <row r="110" ht="15.75" customHeight="1">
      <c r="A110" s="39">
        <v>46204.0</v>
      </c>
      <c r="B110" s="33" t="s">
        <v>197</v>
      </c>
      <c r="C110" s="33" t="s">
        <v>4586</v>
      </c>
      <c r="D110" s="40">
        <v>255249.75</v>
      </c>
    </row>
    <row r="111" ht="15.75" customHeight="1">
      <c r="A111" s="39">
        <v>46204.0</v>
      </c>
      <c r="B111" s="33" t="s">
        <v>197</v>
      </c>
      <c r="C111" s="33" t="s">
        <v>4590</v>
      </c>
      <c r="D111" s="40">
        <v>265868.18</v>
      </c>
    </row>
    <row r="112" ht="15.75" customHeight="1">
      <c r="A112" s="39">
        <v>46204.0</v>
      </c>
      <c r="B112" s="33" t="s">
        <v>197</v>
      </c>
      <c r="C112" s="33" t="s">
        <v>4592</v>
      </c>
      <c r="D112" s="40">
        <v>319826.19</v>
      </c>
    </row>
    <row r="113" ht="15.75" customHeight="1">
      <c r="A113" s="39">
        <v>46204.0</v>
      </c>
      <c r="B113" s="33" t="s">
        <v>243</v>
      </c>
      <c r="C113" s="33" t="s">
        <v>4595</v>
      </c>
      <c r="D113" s="40">
        <v>181132.29</v>
      </c>
    </row>
    <row r="114" ht="15.75" customHeight="1">
      <c r="A114" s="39">
        <v>46204.0</v>
      </c>
      <c r="B114" s="33" t="s">
        <v>243</v>
      </c>
      <c r="C114" s="33" t="s">
        <v>4597</v>
      </c>
      <c r="D114" s="40">
        <v>194140.03</v>
      </c>
    </row>
    <row r="115" ht="15.75" customHeight="1">
      <c r="A115" s="39">
        <v>46204.0</v>
      </c>
      <c r="B115" s="33" t="s">
        <v>40</v>
      </c>
      <c r="C115" s="33" t="s">
        <v>4600</v>
      </c>
      <c r="D115" s="40">
        <v>81885.21</v>
      </c>
    </row>
    <row r="116" ht="15.75" customHeight="1">
      <c r="A116" s="39">
        <v>46235.0</v>
      </c>
      <c r="B116" s="33" t="s">
        <v>197</v>
      </c>
      <c r="C116" s="33" t="s">
        <v>4586</v>
      </c>
      <c r="D116" s="40">
        <v>337152.36</v>
      </c>
    </row>
    <row r="117" ht="15.75" customHeight="1">
      <c r="A117" s="39">
        <v>46235.0</v>
      </c>
      <c r="B117" s="33" t="s">
        <v>197</v>
      </c>
      <c r="C117" s="33" t="s">
        <v>4590</v>
      </c>
      <c r="D117" s="40">
        <v>256968.56</v>
      </c>
    </row>
    <row r="118" ht="15.75" customHeight="1">
      <c r="A118" s="39">
        <v>46235.0</v>
      </c>
      <c r="B118" s="33" t="s">
        <v>197</v>
      </c>
      <c r="C118" s="33" t="s">
        <v>4592</v>
      </c>
      <c r="D118" s="40">
        <v>273040.18</v>
      </c>
    </row>
    <row r="119" ht="15.75" customHeight="1">
      <c r="A119" s="39">
        <v>46235.0</v>
      </c>
      <c r="B119" s="33" t="s">
        <v>243</v>
      </c>
      <c r="C119" s="33" t="s">
        <v>4595</v>
      </c>
      <c r="D119" s="40">
        <v>212220.11</v>
      </c>
    </row>
    <row r="120" ht="15.75" customHeight="1">
      <c r="A120" s="39">
        <v>46235.0</v>
      </c>
      <c r="B120" s="33" t="s">
        <v>243</v>
      </c>
      <c r="C120" s="33" t="s">
        <v>4597</v>
      </c>
      <c r="D120" s="40">
        <v>213988.42</v>
      </c>
    </row>
    <row r="121" ht="15.75" customHeight="1">
      <c r="A121" s="39">
        <v>46235.0</v>
      </c>
      <c r="B121" s="33" t="s">
        <v>40</v>
      </c>
      <c r="C121" s="33" t="s">
        <v>4600</v>
      </c>
      <c r="D121" s="40">
        <v>94983.86</v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